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15" codeName="{00000000-0000-0000-0000-000000000000}"/>
  <workbookPr codeName="ThisWorkbook" hidePivotFieldList="1" checkCompatibility="1"/>
  <mc:AlternateContent xmlns:mc="http://schemas.openxmlformats.org/markup-compatibility/2006">
    <mc:Choice Requires="x15">
      <x15ac:absPath xmlns:x15ac="http://schemas.microsoft.com/office/spreadsheetml/2010/11/ac" url="C:\Users\BlackTeam\Desktop\Cyberxia\Spika\"/>
    </mc:Choice>
  </mc:AlternateContent>
  <xr:revisionPtr revIDLastSave="3" documentId="13_ncr:1_{7E60C92E-1835-4EAF-828F-628FB100E95C}" xr6:coauthVersionLast="47" xr6:coauthVersionMax="47" xr10:uidLastSave="{096F2704-EF1F-4589-8A05-6CB5E8765923}"/>
  <bookViews>
    <workbookView xWindow="-108" yWindow="-108" windowWidth="23256" windowHeight="13176" tabRatio="858" firstSheet="7" activeTab="3" xr2:uid="{00000000-000D-0000-FFFF-FFFF00000000}"/>
  </bookViews>
  <sheets>
    <sheet name="Panel de Control" sheetId="43" r:id="rId1"/>
    <sheet name="DatosHADES" sheetId="44" state="hidden" r:id="rId2"/>
    <sheet name="Listado de Alcance" sheetId="15" r:id="rId3"/>
    <sheet name="Aplicación web 1" sheetId="17" r:id="rId4"/>
    <sheet name="Aplicación web 2" sheetId="18" r:id="rId5"/>
    <sheet name="Aplicación web 3" sheetId="21" r:id="rId6"/>
    <sheet name="Aplicación web 4" sheetId="45" r:id="rId7"/>
    <sheet name="Aplicación web 5" sheetId="46" r:id="rId8"/>
  </sheets>
  <definedNames>
    <definedName name="__Anonymous_Sheet_DB__4" localSheetId="3">#REF!</definedName>
    <definedName name="__Anonymous_Sheet_DB__4" localSheetId="4">#REF!</definedName>
    <definedName name="__Anonymous_Sheet_DB__4" localSheetId="5">#REF!</definedName>
    <definedName name="__Anonymous_Sheet_DB__4" localSheetId="6">#REF!</definedName>
    <definedName name="__Anonymous_Sheet_DB__4" localSheetId="7">#REF!</definedName>
    <definedName name="__Anonymous_Sheet_DB__4">#REF!</definedName>
    <definedName name="_1Excel_BuiltIn__FilterDatabase_1" localSheetId="3">#REF!</definedName>
    <definedName name="_1Excel_BuiltIn__FilterDatabase_1" localSheetId="4">#REF!</definedName>
    <definedName name="_1Excel_BuiltIn__FilterDatabase_1" localSheetId="5">#REF!</definedName>
    <definedName name="_1Excel_BuiltIn__FilterDatabase_1" localSheetId="6">#REF!</definedName>
    <definedName name="_1Excel_BuiltIn__FilterDatabase_1" localSheetId="7">#REF!</definedName>
    <definedName name="_1Excel_BuiltIn__FilterDatabase_1">#REF!</definedName>
    <definedName name="_2Excel_BuiltIn_Print_Area_2" localSheetId="3">#REF!</definedName>
    <definedName name="_2Excel_BuiltIn_Print_Area_2" localSheetId="4">#REF!</definedName>
    <definedName name="_2Excel_BuiltIn_Print_Area_2" localSheetId="5">#REF!</definedName>
    <definedName name="_2Excel_BuiltIn_Print_Area_2" localSheetId="6">#REF!</definedName>
    <definedName name="_2Excel_BuiltIn_Print_Area_2" localSheetId="7">#REF!</definedName>
    <definedName name="_2Excel_BuiltIn_Print_Area_2">#REF!</definedName>
    <definedName name="_Toc4058040" localSheetId="3">'Aplicación web 1'!#REF!</definedName>
    <definedName name="_Toc4058040" localSheetId="4">'Aplicación web 2'!#REF!</definedName>
    <definedName name="_Toc4058040" localSheetId="5">'Aplicación web 3'!#REF!</definedName>
    <definedName name="_Toc4058040" localSheetId="6">'Aplicación web 4'!#REF!</definedName>
    <definedName name="_Toc4058040" localSheetId="7">'Aplicación web 5'!#REF!</definedName>
    <definedName name="controles" localSheetId="3">#REF!</definedName>
    <definedName name="controles" localSheetId="4">#REF!</definedName>
    <definedName name="controles" localSheetId="5">#REF!</definedName>
    <definedName name="controles" localSheetId="6">#REF!</definedName>
    <definedName name="controles" localSheetId="7">#REF!</definedName>
    <definedName name="controles">#REF!</definedName>
    <definedName name="Excel_BuiltIn__FilterDatabase" localSheetId="3">#REF!</definedName>
    <definedName name="Excel_BuiltIn__FilterDatabase" localSheetId="4">#REF!</definedName>
    <definedName name="Excel_BuiltIn__FilterDatabase" localSheetId="5">#REF!</definedName>
    <definedName name="Excel_BuiltIn__FilterDatabase" localSheetId="6">#REF!</definedName>
    <definedName name="Excel_BuiltIn__FilterDatabase" localSheetId="7">#REF!</definedName>
    <definedName name="Excel_BuiltIn__FilterDatabase">#REF!</definedName>
    <definedName name="Excel_BuiltIn_Print_Area" localSheetId="3">#REF!</definedName>
    <definedName name="Excel_BuiltIn_Print_Area" localSheetId="4">#REF!</definedName>
    <definedName name="Excel_BuiltIn_Print_Area" localSheetId="5">#REF!</definedName>
    <definedName name="Excel_BuiltIn_Print_Area" localSheetId="6">#REF!</definedName>
    <definedName name="Excel_BuiltIn_Print_Area" localSheetId="7">#REF!</definedName>
    <definedName name="Excel_BuiltIn_Print_Area">#REF!</definedName>
    <definedName name="ip10_137_0_42" localSheetId="3">'Aplicación web 1'!#REF!</definedName>
    <definedName name="ip10_137_0_42" localSheetId="4">'Aplicación web 2'!#REF!</definedName>
    <definedName name="ip10_137_0_42" localSheetId="5">'Aplicación web 3'!#REF!</definedName>
    <definedName name="ip10_137_0_42" localSheetId="6">'Aplicación web 4'!#REF!</definedName>
    <definedName name="ip10_137_0_42" localSheetId="7">'Aplicación web 5'!#REF!</definedName>
    <definedName name="Lista_Escalado">"$#REF!.$B$5:$B$40"</definedName>
    <definedName name="SegmentaciónDeDatos_Categoría">#N/A</definedName>
    <definedName name="SegmentaciónDeDatos_Recursos_Afectados">#N/A</definedName>
  </definedNames>
  <calcPr calcId="191028"/>
  <customWorkbookViews>
    <customWorkbookView name="Prueba" guid="{6FEA8F55-CD33-418F-8294-EAD48292C84C}" maximized="1" xWindow="2869" yWindow="-11" windowWidth="2902" windowHeight="1582" tabRatio="812" activeSheetId="14"/>
  </customWorkbookViews>
  <pivotCaches>
    <pivotCache cacheId="173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3" i="44" l="1"/>
  <c r="B43" i="44"/>
  <c r="C43" i="44"/>
  <c r="D43" i="44"/>
  <c r="E43" i="44"/>
  <c r="F43" i="44"/>
  <c r="G43" i="44"/>
  <c r="H43" i="44"/>
  <c r="I43" i="44"/>
  <c r="J43" i="44"/>
  <c r="A44" i="44"/>
  <c r="B44" i="44"/>
  <c r="C44" i="44"/>
  <c r="D44" i="44"/>
  <c r="E44" i="44"/>
  <c r="F44" i="44"/>
  <c r="G44" i="44"/>
  <c r="H44" i="44"/>
  <c r="I44" i="44"/>
  <c r="J44" i="44"/>
  <c r="A45" i="44"/>
  <c r="B45" i="44"/>
  <c r="C45" i="44"/>
  <c r="D45" i="44"/>
  <c r="E45" i="44"/>
  <c r="F45" i="44"/>
  <c r="G45" i="44"/>
  <c r="H45" i="44"/>
  <c r="I45" i="44"/>
  <c r="J45" i="44"/>
  <c r="A46" i="44"/>
  <c r="B46" i="44"/>
  <c r="C46" i="44"/>
  <c r="D46" i="44"/>
  <c r="E46" i="44"/>
  <c r="F46" i="44"/>
  <c r="G46" i="44"/>
  <c r="H46" i="44"/>
  <c r="I46" i="44"/>
  <c r="J46" i="44"/>
  <c r="A47" i="44"/>
  <c r="B47" i="44"/>
  <c r="C47" i="44"/>
  <c r="D47" i="44"/>
  <c r="E47" i="44"/>
  <c r="F47" i="44"/>
  <c r="G47" i="44"/>
  <c r="H47" i="44"/>
  <c r="I47" i="44"/>
  <c r="J47" i="44"/>
  <c r="A48" i="44"/>
  <c r="B48" i="44"/>
  <c r="C48" i="44"/>
  <c r="D48" i="44"/>
  <c r="E48" i="44"/>
  <c r="F48" i="44"/>
  <c r="G48" i="44"/>
  <c r="H48" i="44"/>
  <c r="I48" i="44"/>
  <c r="J48" i="44"/>
  <c r="A49" i="44"/>
  <c r="B49" i="44"/>
  <c r="C49" i="44"/>
  <c r="D49" i="44"/>
  <c r="E49" i="44"/>
  <c r="F49" i="44"/>
  <c r="G49" i="44"/>
  <c r="H49" i="44"/>
  <c r="I49" i="44"/>
  <c r="J49" i="44"/>
  <c r="B42" i="44"/>
  <c r="C42" i="44"/>
  <c r="D42" i="44"/>
  <c r="E42" i="44"/>
  <c r="F42" i="44"/>
  <c r="G42" i="44"/>
  <c r="H42" i="44"/>
  <c r="I42" i="44"/>
  <c r="J42" i="44"/>
  <c r="A42" i="44"/>
  <c r="A37" i="44"/>
  <c r="B37" i="44"/>
  <c r="C37" i="44"/>
  <c r="D37" i="44"/>
  <c r="E37" i="44"/>
  <c r="F37" i="44"/>
  <c r="G37" i="44"/>
  <c r="H37" i="44"/>
  <c r="I37" i="44"/>
  <c r="J37" i="44"/>
  <c r="A38" i="44"/>
  <c r="B38" i="44"/>
  <c r="C38" i="44"/>
  <c r="D38" i="44"/>
  <c r="E38" i="44"/>
  <c r="F38" i="44"/>
  <c r="G38" i="44"/>
  <c r="H38" i="44"/>
  <c r="I38" i="44"/>
  <c r="J38" i="44"/>
  <c r="A39" i="44"/>
  <c r="B39" i="44"/>
  <c r="C39" i="44"/>
  <c r="D39" i="44"/>
  <c r="E39" i="44"/>
  <c r="F39" i="44"/>
  <c r="G39" i="44"/>
  <c r="H39" i="44"/>
  <c r="I39" i="44"/>
  <c r="J39" i="44"/>
  <c r="A40" i="44"/>
  <c r="B40" i="44"/>
  <c r="C40" i="44"/>
  <c r="D40" i="44"/>
  <c r="E40" i="44"/>
  <c r="F40" i="44"/>
  <c r="G40" i="44"/>
  <c r="H40" i="44"/>
  <c r="I40" i="44"/>
  <c r="J40" i="44"/>
  <c r="A41" i="44"/>
  <c r="B41" i="44"/>
  <c r="C41" i="44"/>
  <c r="D41" i="44"/>
  <c r="E41" i="44"/>
  <c r="F41" i="44"/>
  <c r="G41" i="44"/>
  <c r="H41" i="44"/>
  <c r="I41" i="44"/>
  <c r="J41" i="44"/>
  <c r="B36" i="44"/>
  <c r="C36" i="44"/>
  <c r="D36" i="44"/>
  <c r="E36" i="44"/>
  <c r="F36" i="44"/>
  <c r="G36" i="44"/>
  <c r="H36" i="44"/>
  <c r="I36" i="44"/>
  <c r="J36" i="44"/>
  <c r="A36" i="44"/>
  <c r="H8" i="46"/>
  <c r="G8" i="46"/>
  <c r="F8" i="46"/>
  <c r="E8" i="46"/>
  <c r="H7" i="46"/>
  <c r="G7" i="46"/>
  <c r="F7" i="46"/>
  <c r="E7" i="46"/>
  <c r="H2" i="46"/>
  <c r="H8" i="45"/>
  <c r="G8" i="45"/>
  <c r="F8" i="45"/>
  <c r="E8" i="45"/>
  <c r="H7" i="45"/>
  <c r="G7" i="45"/>
  <c r="F7" i="45"/>
  <c r="E7" i="45"/>
  <c r="H2" i="45"/>
  <c r="H2" i="21"/>
  <c r="H2" i="18"/>
  <c r="H2" i="17"/>
  <c r="F2" i="15"/>
  <c r="F2" i="44"/>
  <c r="A29" i="44" l="1"/>
  <c r="B29" i="44"/>
  <c r="C29" i="44"/>
  <c r="D29" i="44"/>
  <c r="E29" i="44"/>
  <c r="F29" i="44"/>
  <c r="G29" i="44"/>
  <c r="H29" i="44"/>
  <c r="I29" i="44"/>
  <c r="J29" i="44"/>
  <c r="A30" i="44"/>
  <c r="B30" i="44"/>
  <c r="C30" i="44"/>
  <c r="D30" i="44"/>
  <c r="E30" i="44"/>
  <c r="F30" i="44"/>
  <c r="G30" i="44"/>
  <c r="H30" i="44"/>
  <c r="I30" i="44"/>
  <c r="J30" i="44"/>
  <c r="A31" i="44"/>
  <c r="B31" i="44"/>
  <c r="C31" i="44"/>
  <c r="D31" i="44"/>
  <c r="E31" i="44"/>
  <c r="F31" i="44"/>
  <c r="G31" i="44"/>
  <c r="H31" i="44"/>
  <c r="I31" i="44"/>
  <c r="J31" i="44"/>
  <c r="A32" i="44"/>
  <c r="B32" i="44"/>
  <c r="C32" i="44"/>
  <c r="D32" i="44"/>
  <c r="E32" i="44"/>
  <c r="F32" i="44"/>
  <c r="G32" i="44"/>
  <c r="H32" i="44"/>
  <c r="I32" i="44"/>
  <c r="J32" i="44"/>
  <c r="A33" i="44"/>
  <c r="B33" i="44"/>
  <c r="C33" i="44"/>
  <c r="D33" i="44"/>
  <c r="E33" i="44"/>
  <c r="F33" i="44"/>
  <c r="G33" i="44"/>
  <c r="H33" i="44"/>
  <c r="I33" i="44"/>
  <c r="J33" i="44"/>
  <c r="A34" i="44"/>
  <c r="B34" i="44"/>
  <c r="C34" i="44"/>
  <c r="D34" i="44"/>
  <c r="E34" i="44"/>
  <c r="F34" i="44"/>
  <c r="G34" i="44"/>
  <c r="H34" i="44"/>
  <c r="I34" i="44"/>
  <c r="J34" i="44"/>
  <c r="A35" i="44"/>
  <c r="B35" i="44"/>
  <c r="C35" i="44"/>
  <c r="D35" i="44"/>
  <c r="E35" i="44"/>
  <c r="F35" i="44"/>
  <c r="G35" i="44"/>
  <c r="H35" i="44"/>
  <c r="I35" i="44"/>
  <c r="J35" i="44"/>
  <c r="B28" i="44"/>
  <c r="C28" i="44"/>
  <c r="D28" i="44"/>
  <c r="E28" i="44"/>
  <c r="F28" i="44"/>
  <c r="G28" i="44"/>
  <c r="H28" i="44"/>
  <c r="I28" i="44"/>
  <c r="J28" i="44"/>
  <c r="A28" i="44"/>
  <c r="A17" i="44"/>
  <c r="B17" i="44"/>
  <c r="C17" i="44"/>
  <c r="D17" i="44"/>
  <c r="E17" i="44"/>
  <c r="F17" i="44"/>
  <c r="G17" i="44"/>
  <c r="H17" i="44"/>
  <c r="I17" i="44"/>
  <c r="J17" i="44"/>
  <c r="A18" i="44"/>
  <c r="B18" i="44"/>
  <c r="C18" i="44"/>
  <c r="D18" i="44"/>
  <c r="E18" i="44"/>
  <c r="F18" i="44"/>
  <c r="G18" i="44"/>
  <c r="H18" i="44"/>
  <c r="I18" i="44"/>
  <c r="J18" i="44"/>
  <c r="A19" i="44"/>
  <c r="B19" i="44"/>
  <c r="C19" i="44"/>
  <c r="D19" i="44"/>
  <c r="E19" i="44"/>
  <c r="F19" i="44"/>
  <c r="G19" i="44"/>
  <c r="H19" i="44"/>
  <c r="I19" i="44"/>
  <c r="J19" i="44"/>
  <c r="A20" i="44"/>
  <c r="B20" i="44"/>
  <c r="C20" i="44"/>
  <c r="D20" i="44"/>
  <c r="E20" i="44"/>
  <c r="F20" i="44"/>
  <c r="G20" i="44"/>
  <c r="H20" i="44"/>
  <c r="I20" i="44"/>
  <c r="J20" i="44"/>
  <c r="A21" i="44"/>
  <c r="B21" i="44"/>
  <c r="C21" i="44"/>
  <c r="D21" i="44"/>
  <c r="E21" i="44"/>
  <c r="F21" i="44"/>
  <c r="G21" i="44"/>
  <c r="H21" i="44"/>
  <c r="I21" i="44"/>
  <c r="J21" i="44"/>
  <c r="A22" i="44"/>
  <c r="B22" i="44"/>
  <c r="C22" i="44"/>
  <c r="D22" i="44"/>
  <c r="E22" i="44"/>
  <c r="F22" i="44"/>
  <c r="G22" i="44"/>
  <c r="H22" i="44"/>
  <c r="I22" i="44"/>
  <c r="J22" i="44"/>
  <c r="A23" i="44"/>
  <c r="B23" i="44"/>
  <c r="C23" i="44"/>
  <c r="D23" i="44"/>
  <c r="E23" i="44"/>
  <c r="F23" i="44"/>
  <c r="G23" i="44"/>
  <c r="H23" i="44"/>
  <c r="I23" i="44"/>
  <c r="J23" i="44"/>
  <c r="A24" i="44"/>
  <c r="B24" i="44"/>
  <c r="C24" i="44"/>
  <c r="D24" i="44"/>
  <c r="E24" i="44"/>
  <c r="F24" i="44"/>
  <c r="G24" i="44"/>
  <c r="H24" i="44"/>
  <c r="I24" i="44"/>
  <c r="J24" i="44"/>
  <c r="A25" i="44"/>
  <c r="B25" i="44"/>
  <c r="C25" i="44"/>
  <c r="D25" i="44"/>
  <c r="E25" i="44"/>
  <c r="F25" i="44"/>
  <c r="G25" i="44"/>
  <c r="H25" i="44"/>
  <c r="I25" i="44"/>
  <c r="J25" i="44"/>
  <c r="A26" i="44"/>
  <c r="B26" i="44"/>
  <c r="C26" i="44"/>
  <c r="D26" i="44"/>
  <c r="E26" i="44"/>
  <c r="F26" i="44"/>
  <c r="G26" i="44"/>
  <c r="H26" i="44"/>
  <c r="I26" i="44"/>
  <c r="J26" i="44"/>
  <c r="A27" i="44"/>
  <c r="B27" i="44"/>
  <c r="C27" i="44"/>
  <c r="D27" i="44"/>
  <c r="E27" i="44"/>
  <c r="F27" i="44"/>
  <c r="G27" i="44"/>
  <c r="H27" i="44"/>
  <c r="I27" i="44"/>
  <c r="J27" i="44"/>
  <c r="B16" i="44"/>
  <c r="C16" i="44"/>
  <c r="D16" i="44"/>
  <c r="E16" i="44"/>
  <c r="F16" i="44"/>
  <c r="G16" i="44"/>
  <c r="H16" i="44"/>
  <c r="I16" i="44"/>
  <c r="J16" i="44"/>
  <c r="A16" i="44"/>
  <c r="A9" i="44"/>
  <c r="B9" i="44"/>
  <c r="C9" i="44"/>
  <c r="D9" i="44"/>
  <c r="E9" i="44"/>
  <c r="F9" i="44"/>
  <c r="G9" i="44"/>
  <c r="H9" i="44"/>
  <c r="I9" i="44"/>
  <c r="J9" i="44"/>
  <c r="A10" i="44"/>
  <c r="B10" i="44"/>
  <c r="C10" i="44"/>
  <c r="D10" i="44"/>
  <c r="E10" i="44"/>
  <c r="F10" i="44"/>
  <c r="G10" i="44"/>
  <c r="H10" i="44"/>
  <c r="I10" i="44"/>
  <c r="J10" i="44"/>
  <c r="A11" i="44"/>
  <c r="B11" i="44"/>
  <c r="C11" i="44"/>
  <c r="D11" i="44"/>
  <c r="E11" i="44"/>
  <c r="F11" i="44"/>
  <c r="G11" i="44"/>
  <c r="H11" i="44"/>
  <c r="I11" i="44"/>
  <c r="J11" i="44"/>
  <c r="A12" i="44"/>
  <c r="B12" i="44"/>
  <c r="C12" i="44"/>
  <c r="D12" i="44"/>
  <c r="E12" i="44"/>
  <c r="F12" i="44"/>
  <c r="G12" i="44"/>
  <c r="H12" i="44"/>
  <c r="I12" i="44"/>
  <c r="J12" i="44"/>
  <c r="A13" i="44"/>
  <c r="B13" i="44"/>
  <c r="C13" i="44"/>
  <c r="D13" i="44"/>
  <c r="E13" i="44"/>
  <c r="F13" i="44"/>
  <c r="G13" i="44"/>
  <c r="H13" i="44"/>
  <c r="I13" i="44"/>
  <c r="J13" i="44"/>
  <c r="A14" i="44"/>
  <c r="B14" i="44"/>
  <c r="C14" i="44"/>
  <c r="D14" i="44"/>
  <c r="E14" i="44"/>
  <c r="F14" i="44"/>
  <c r="G14" i="44"/>
  <c r="H14" i="44"/>
  <c r="I14" i="44"/>
  <c r="J14" i="44"/>
  <c r="A15" i="44"/>
  <c r="B15" i="44"/>
  <c r="C15" i="44"/>
  <c r="D15" i="44"/>
  <c r="E15" i="44"/>
  <c r="F15" i="44"/>
  <c r="G15" i="44"/>
  <c r="H15" i="44"/>
  <c r="I15" i="44"/>
  <c r="J15" i="44"/>
  <c r="B8" i="44"/>
  <c r="C8" i="44"/>
  <c r="D8" i="44"/>
  <c r="E8" i="44"/>
  <c r="F8" i="44"/>
  <c r="G8" i="44"/>
  <c r="H8" i="44"/>
  <c r="I8" i="44"/>
  <c r="J8" i="44"/>
  <c r="A8" i="44"/>
  <c r="F8" i="17" l="1"/>
  <c r="G8" i="17"/>
  <c r="H8" i="17"/>
  <c r="E8" i="17"/>
  <c r="H7" i="17"/>
  <c r="H8" i="18" l="1"/>
  <c r="G8" i="18"/>
  <c r="F8" i="18"/>
  <c r="E8" i="18"/>
  <c r="H8" i="21"/>
  <c r="G8" i="21"/>
  <c r="F8" i="21"/>
  <c r="E8" i="21"/>
  <c r="E7" i="21"/>
  <c r="H7" i="21" l="1"/>
  <c r="G7" i="21"/>
  <c r="F7" i="21"/>
  <c r="H7" i="18"/>
  <c r="G7" i="18"/>
  <c r="F7" i="18"/>
  <c r="E7" i="18"/>
  <c r="E7" i="17"/>
  <c r="G7" i="17"/>
  <c r="F7" i="17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<sst xmlns="http://schemas.openxmlformats.org/spreadsheetml/2006/main" count="342" uniqueCount="97">
  <si>
    <t>HADES</t>
  </si>
  <si>
    <t>V1.0</t>
  </si>
  <si>
    <t>Herramienta de Autogestión Dinámica del Estado de Seguridad</t>
  </si>
  <si>
    <t>Total de Vulnerabilidades Encontradas</t>
  </si>
  <si>
    <t>Aplicaciones</t>
  </si>
  <si>
    <t>Aplicación web 1</t>
  </si>
  <si>
    <t>Aplicación web 2</t>
  </si>
  <si>
    <t>Aplicación web 3</t>
  </si>
  <si>
    <t>Aplicación web 4</t>
  </si>
  <si>
    <t>Etiquetas de fila</t>
  </si>
  <si>
    <t>Cuenta de Categoría</t>
  </si>
  <si>
    <t>Aplicación web 5</t>
  </si>
  <si>
    <t>Alta</t>
  </si>
  <si>
    <t>Baja</t>
  </si>
  <si>
    <t>Informativa</t>
  </si>
  <si>
    <t>Media</t>
  </si>
  <si>
    <t>Total general</t>
  </si>
  <si>
    <t>Total de Vulnerabilidades Resueltas</t>
  </si>
  <si>
    <t>Cuenta de Estado</t>
  </si>
  <si>
    <t>Pendiente</t>
  </si>
  <si>
    <t>Categoría</t>
  </si>
  <si>
    <t>Vulnerabilidad</t>
  </si>
  <si>
    <t>Fecha</t>
  </si>
  <si>
    <t>Tipo</t>
  </si>
  <si>
    <t>Alcance</t>
  </si>
  <si>
    <t>Recursos Afectados</t>
  </si>
  <si>
    <t>Referencias</t>
  </si>
  <si>
    <t>Estado</t>
  </si>
  <si>
    <t>Tiempo Estimado</t>
  </si>
  <si>
    <t>Dificultad Resolución</t>
  </si>
  <si>
    <t>ORANGE BOGOTÁ</t>
  </si>
  <si>
    <t>APLICACIÓN</t>
  </si>
  <si>
    <t xml:space="preserve">TECNOLOGIA </t>
  </si>
  <si>
    <t xml:space="preserve">FECHA </t>
  </si>
  <si>
    <t>ESTADO AUDITORÍA</t>
  </si>
  <si>
    <t>INFO</t>
  </si>
  <si>
    <t>BLOQUES</t>
  </si>
  <si>
    <t xml:space="preserve">Aplicación web </t>
  </si>
  <si>
    <t>Web</t>
  </si>
  <si>
    <t>11/12/2023 - 25/12/2023</t>
  </si>
  <si>
    <t>Por auditar</t>
  </si>
  <si>
    <t>Enlace al recurso</t>
  </si>
  <si>
    <t>Bloque A</t>
  </si>
  <si>
    <t>SPIKATECH</t>
  </si>
  <si>
    <t>Activo</t>
  </si>
  <si>
    <t>A</t>
  </si>
  <si>
    <t>Encontradas</t>
  </si>
  <si>
    <t>Resueltas</t>
  </si>
  <si>
    <t>Cross-Site Scripting</t>
  </si>
  <si>
    <t>Exposición de información</t>
  </si>
  <si>
    <t>Confidencialidad</t>
  </si>
  <si>
    <t>Criptografía insuficiente</t>
  </si>
  <si>
    <t>Configuración</t>
  </si>
  <si>
    <t>Configuración de Seguridad Incorrecta: Cabeceras mal configuradas</t>
  </si>
  <si>
    <t>Confidencialidad e Integridad</t>
  </si>
  <si>
    <t>Configuración de Seguridad Incorrecta: Cookies mal configuradas</t>
  </si>
  <si>
    <t>Clickjacking</t>
  </si>
  <si>
    <t>Presencia de elementos tipo hidden</t>
  </si>
  <si>
    <t>Confidencialidad e Integridada</t>
  </si>
  <si>
    <t>Exposición de datos sensibles: Metadatos de PDFs</t>
  </si>
  <si>
    <t>Insuficiente validación de datos de entrada</t>
  </si>
  <si>
    <t>Validación de datos de entrada</t>
  </si>
  <si>
    <t>N/A</t>
  </si>
  <si>
    <t>Subida arbitraria de ficheros, sin comprobación de código malicioso</t>
  </si>
  <si>
    <t>Inyección</t>
  </si>
  <si>
    <t>Confidencialidad, Integridad y Disponibilidad</t>
  </si>
  <si>
    <t>3h</t>
  </si>
  <si>
    <t>Difícil (4)</t>
  </si>
  <si>
    <t>Enumeración de usuarios</t>
  </si>
  <si>
    <t>Resuelta</t>
  </si>
  <si>
    <t>2h</t>
  </si>
  <si>
    <t>Medio (3)</t>
  </si>
  <si>
    <t>Cambio de datos sensibles sin confirmación</t>
  </si>
  <si>
    <t>Diseño inseguro</t>
  </si>
  <si>
    <t>Modificación de datos protegidos</t>
  </si>
  <si>
    <t>Fallas de Identificación y Autentificación</t>
  </si>
  <si>
    <t>Uso de componentes con vulnerabilidades conocidas</t>
  </si>
  <si>
    <t>Componentes Vulnerables o desactualizados</t>
  </si>
  <si>
    <t>facil (2)</t>
  </si>
  <si>
    <t>Ataques por fuerza bruta permitidos por el servidor</t>
  </si>
  <si>
    <t>Configuracion de Seguridad Incorrecta</t>
  </si>
  <si>
    <t>Cross-site scripting (XSS)</t>
  </si>
  <si>
    <t>Confidencialidad y Disponibilidad</t>
  </si>
  <si>
    <t>Inyección de HTML</t>
  </si>
  <si>
    <t>Manejo de sesión indebido</t>
  </si>
  <si>
    <t>Manejo de sesión</t>
  </si>
  <si>
    <t>Exposición del identificador de sesión en la URL</t>
  </si>
  <si>
    <t>Incorrecto manejo de errores, exposición de información interna</t>
  </si>
  <si>
    <t>Fichero robots.txt</t>
  </si>
  <si>
    <t>0.5h</t>
  </si>
  <si>
    <t>Muy fácil (1)</t>
  </si>
  <si>
    <t>Configuración de Seguridad incorreta: Cabeceras mal configurada</t>
  </si>
  <si>
    <t>1h</t>
  </si>
  <si>
    <t>Campo de contraseña sin autocomplete = off</t>
  </si>
  <si>
    <t>Integridad</t>
  </si>
  <si>
    <t>Método OPTIONS habilitado</t>
  </si>
  <si>
    <t>CVE-2020-8589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</si>
</sst>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Century Gothic"/>
      <family val="2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1"/>
      <color rgb="FF1F497D"/>
      <name val="Century Gothic"/>
      <family val="2"/>
    </font>
    <font>
      <b/>
      <sz val="11"/>
      <color theme="1"/>
      <name val="Century Gothic"/>
      <family val="2"/>
    </font>
    <font>
      <b/>
      <sz val="8"/>
      <color theme="1"/>
      <name val="Century Gothic"/>
      <family val="2"/>
    </font>
    <font>
      <b/>
      <sz val="10"/>
      <name val="Century Gothic"/>
      <family val="2"/>
    </font>
    <font>
      <sz val="11"/>
      <color rgb="FF006100"/>
      <name val="Calibri"/>
      <family val="2"/>
      <scheme val="minor"/>
    </font>
    <font>
      <sz val="11"/>
      <color rgb="FF006100"/>
      <name val="Century Gothic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entury Gothic"/>
      <family val="2"/>
    </font>
    <font>
      <b/>
      <sz val="12"/>
      <color theme="1"/>
      <name val="Century Gothic"/>
      <family val="2"/>
    </font>
    <font>
      <b/>
      <sz val="18"/>
      <color theme="1"/>
      <name val="Century Gothic"/>
      <family val="2"/>
    </font>
    <font>
      <b/>
      <sz val="20"/>
      <color theme="1"/>
      <name val="Century Gothic"/>
      <family val="2"/>
    </font>
    <font>
      <sz val="16"/>
      <color theme="1"/>
      <name val="Century Gothic"/>
      <family val="2"/>
    </font>
    <font>
      <sz val="11"/>
      <color rgb="FF9C6500"/>
      <name val="Century Gothic"/>
      <family val="2"/>
    </font>
    <font>
      <b/>
      <sz val="11"/>
      <color theme="0"/>
      <name val="Century Gothic"/>
      <family val="2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Century Gothic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A3E0"/>
        <bgColor auto="1"/>
      </patternFill>
    </fill>
    <fill>
      <patternFill patternType="solid">
        <fgColor rgb="FF8BE1FF"/>
        <bgColor indexed="64"/>
      </patternFill>
    </fill>
    <fill>
      <patternFill patternType="solid">
        <fgColor rgb="FF00A3E0"/>
        <bgColor indexed="64"/>
      </patternFill>
    </fill>
    <fill>
      <patternFill patternType="solid">
        <fgColor rgb="FFB7ECEB"/>
        <bgColor indexed="64"/>
      </patternFill>
    </fill>
    <fill>
      <patternFill patternType="solid">
        <fgColor rgb="FFB6DDE8"/>
        <bgColor indexed="64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double">
        <color rgb="FF3F3F3F"/>
      </top>
      <bottom style="thin">
        <color auto="1"/>
      </bottom>
      <diagonal/>
    </border>
    <border>
      <left/>
      <right style="thin">
        <color auto="1"/>
      </right>
      <top style="double">
        <color rgb="FF3F3F3F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rgb="FF3F3F3F"/>
      </top>
      <bottom style="thin">
        <color auto="1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/>
      <diagonal/>
    </border>
  </borders>
  <cellStyleXfs count="8">
    <xf numFmtId="0" fontId="0" fillId="0" borderId="0"/>
    <xf numFmtId="0" fontId="3" fillId="0" borderId="0"/>
    <xf numFmtId="0" fontId="2" fillId="0" borderId="0"/>
    <xf numFmtId="0" fontId="12" fillId="2" borderId="0" applyNumberFormat="0" applyBorder="0" applyAlignment="0" applyProtection="0"/>
    <xf numFmtId="0" fontId="20" fillId="9" borderId="0" applyNumberFormat="0" applyBorder="0" applyAlignment="0" applyProtection="0"/>
    <xf numFmtId="0" fontId="21" fillId="10" borderId="14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5" fillId="0" borderId="0" xfId="0" applyFont="1"/>
    <xf numFmtId="0" fontId="7" fillId="0" borderId="1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0" borderId="5" xfId="0" applyFont="1" applyBorder="1" applyAlignment="1">
      <alignment horizontal="center"/>
    </xf>
    <xf numFmtId="0" fontId="13" fillId="2" borderId="1" xfId="3" applyFont="1" applyBorder="1" applyAlignment="1">
      <alignment horizontal="center" vertical="center" wrapText="1"/>
    </xf>
    <xf numFmtId="0" fontId="7" fillId="0" borderId="10" xfId="2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/>
    </xf>
    <xf numFmtId="14" fontId="7" fillId="0" borderId="1" xfId="2" applyNumberFormat="1" applyFont="1" applyBorder="1" applyAlignment="1">
      <alignment horizontal="center" vertical="center" wrapText="1"/>
    </xf>
    <xf numFmtId="0" fontId="19" fillId="0" borderId="0" xfId="0" applyFont="1"/>
    <xf numFmtId="0" fontId="9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4" fillId="5" borderId="5" xfId="2" applyFont="1" applyFill="1" applyBorder="1" applyAlignment="1">
      <alignment horizontal="center" vertical="center" wrapText="1"/>
    </xf>
    <xf numFmtId="0" fontId="4" fillId="6" borderId="5" xfId="2" applyFont="1" applyFill="1" applyBorder="1" applyAlignment="1">
      <alignment horizontal="center" vertical="center" wrapText="1"/>
    </xf>
    <xf numFmtId="0" fontId="4" fillId="7" borderId="5" xfId="2" applyFont="1" applyFill="1" applyBorder="1" applyAlignment="1">
      <alignment horizontal="center" vertical="center" wrapText="1"/>
    </xf>
    <xf numFmtId="0" fontId="11" fillId="8" borderId="5" xfId="2" applyFont="1" applyFill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20" fillId="9" borderId="1" xfId="4" applyBorder="1" applyAlignment="1">
      <alignment horizontal="center" vertical="center" wrapText="1"/>
    </xf>
    <xf numFmtId="0" fontId="22" fillId="6" borderId="26" xfId="0" applyFont="1" applyFill="1" applyBorder="1"/>
    <xf numFmtId="0" fontId="1" fillId="0" borderId="0" xfId="0" applyFont="1"/>
    <xf numFmtId="0" fontId="1" fillId="0" borderId="1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5" xfId="0" applyFont="1" applyBorder="1"/>
    <xf numFmtId="0" fontId="4" fillId="4" borderId="13" xfId="2" applyFont="1" applyFill="1" applyBorder="1" applyAlignment="1">
      <alignment horizontal="center" vertical="center" wrapText="1"/>
    </xf>
    <xf numFmtId="0" fontId="11" fillId="0" borderId="27" xfId="2" applyFont="1" applyBorder="1" applyAlignment="1">
      <alignment horizontal="center" vertical="center" wrapText="1"/>
    </xf>
    <xf numFmtId="0" fontId="11" fillId="0" borderId="28" xfId="2" applyFont="1" applyBorder="1" applyAlignment="1">
      <alignment horizontal="center" vertical="center" wrapText="1"/>
    </xf>
    <xf numFmtId="0" fontId="11" fillId="0" borderId="29" xfId="2" applyFont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 wrapText="1"/>
    </xf>
    <xf numFmtId="0" fontId="4" fillId="6" borderId="13" xfId="2" applyFont="1" applyFill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24" fillId="10" borderId="30" xfId="5" applyFont="1" applyBorder="1" applyAlignment="1">
      <alignment horizontal="center" vertical="top"/>
    </xf>
    <xf numFmtId="0" fontId="26" fillId="3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11" fillId="0" borderId="31" xfId="2" applyFont="1" applyBorder="1" applyAlignment="1">
      <alignment horizontal="center" vertical="center" wrapText="1"/>
    </xf>
    <xf numFmtId="0" fontId="11" fillId="0" borderId="32" xfId="2" applyFont="1" applyBorder="1" applyAlignment="1">
      <alignment horizontal="center" vertical="center" wrapText="1"/>
    </xf>
    <xf numFmtId="0" fontId="25" fillId="0" borderId="0" xfId="0" applyFont="1"/>
    <xf numFmtId="0" fontId="25" fillId="0" borderId="0" xfId="0" applyFont="1" applyAlignment="1">
      <alignment horizontal="center" vertical="center" wrapText="1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36" xfId="0" applyBorder="1" applyAlignment="1">
      <alignment horizontal="left"/>
    </xf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29" fillId="0" borderId="40" xfId="7" applyFont="1" applyBorder="1"/>
    <xf numFmtId="0" fontId="29" fillId="0" borderId="40" xfId="6" applyFont="1" applyBorder="1"/>
    <xf numFmtId="14" fontId="28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9" xfId="0" applyBorder="1" applyAlignment="1">
      <alignment horizontal="center"/>
    </xf>
    <xf numFmtId="14" fontId="0" fillId="0" borderId="0" xfId="0" applyNumberFormat="1"/>
    <xf numFmtId="14" fontId="0" fillId="0" borderId="39" xfId="0" applyNumberFormat="1" applyBorder="1"/>
    <xf numFmtId="0" fontId="14" fillId="0" borderId="0" xfId="6" applyFill="1" applyAlignment="1">
      <alignment horizontal="center"/>
    </xf>
    <xf numFmtId="0" fontId="7" fillId="12" borderId="1" xfId="2" applyFont="1" applyFill="1" applyBorder="1" applyAlignment="1">
      <alignment horizontal="center" vertical="center" wrapText="1"/>
    </xf>
    <xf numFmtId="14" fontId="7" fillId="12" borderId="1" xfId="2" applyNumberFormat="1" applyFont="1" applyFill="1" applyBorder="1" applyAlignment="1">
      <alignment horizontal="center" vertical="center" wrapText="1"/>
    </xf>
    <xf numFmtId="0" fontId="7" fillId="12" borderId="11" xfId="2" applyFont="1" applyFill="1" applyBorder="1" applyAlignment="1">
      <alignment horizontal="center" vertical="center" wrapText="1"/>
    </xf>
    <xf numFmtId="0" fontId="7" fillId="12" borderId="6" xfId="2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23" fillId="11" borderId="33" xfId="0" applyFont="1" applyFill="1" applyBorder="1" applyAlignment="1">
      <alignment horizontal="center" vertical="center"/>
    </xf>
    <xf numFmtId="0" fontId="23" fillId="11" borderId="34" xfId="0" applyFont="1" applyFill="1" applyBorder="1" applyAlignment="1">
      <alignment horizontal="center" vertical="center"/>
    </xf>
    <xf numFmtId="0" fontId="23" fillId="11" borderId="37" xfId="0" applyFont="1" applyFill="1" applyBorder="1" applyAlignment="1">
      <alignment horizontal="center" vertical="center"/>
    </xf>
    <xf numFmtId="0" fontId="23" fillId="11" borderId="38" xfId="0" applyFont="1" applyFill="1" applyBorder="1" applyAlignment="1">
      <alignment horizontal="center" vertical="center"/>
    </xf>
    <xf numFmtId="0" fontId="18" fillId="0" borderId="21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46" xfId="0" applyFont="1" applyBorder="1" applyAlignment="1">
      <alignment horizontal="center"/>
    </xf>
    <xf numFmtId="0" fontId="8" fillId="0" borderId="2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0" borderId="4" xfId="0" applyFont="1" applyBorder="1" applyAlignment="1">
      <alignment vertical="center" wrapText="1"/>
    </xf>
    <xf numFmtId="0" fontId="18" fillId="0" borderId="15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22" fillId="6" borderId="24" xfId="0" applyFont="1" applyFill="1" applyBorder="1" applyAlignment="1">
      <alignment horizontal="center"/>
    </xf>
    <xf numFmtId="0" fontId="22" fillId="6" borderId="25" xfId="0" applyFont="1" applyFill="1" applyBorder="1" applyAlignment="1">
      <alignment horizontal="center"/>
    </xf>
    <xf numFmtId="0" fontId="0" fillId="0" borderId="46" xfId="0" applyBorder="1" applyAlignment="1">
      <alignment horizontal="center"/>
    </xf>
    <xf numFmtId="0" fontId="17" fillId="0" borderId="1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</cellXfs>
  <cellStyles count="8">
    <cellStyle name="Bueno" xfId="3" builtinId="26"/>
    <cellStyle name="Celda de comprobación" xfId="5" builtinId="23"/>
    <cellStyle name="Hipervínculo" xfId="6" builtinId="8"/>
    <cellStyle name="Hyperlink" xfId="7" xr:uid="{00000000-000B-0000-0000-000008000000}"/>
    <cellStyle name="Neutral" xfId="4" builtinId="28"/>
    <cellStyle name="Normal" xfId="0" builtinId="0"/>
    <cellStyle name="Normal 5" xfId="1" xr:uid="{00000000-0005-0000-0000-000005000000}"/>
    <cellStyle name="Normal_RS-B-11.1 Gestión de indicadores v0.0" xfId="2" xr:uid="{00000000-0005-0000-0000-000006000000}"/>
  </cellStyles>
  <dxfs count="5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entury Gothic"/>
        <family val="2"/>
        <scheme val="none"/>
      </font>
      <fill>
        <patternFill patternType="solid">
          <fgColor indexed="64"/>
          <bgColor rgb="FF8BE1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outline="0">
        <left style="thick">
          <color rgb="FF000000"/>
        </left>
        <top style="thick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entury Gothic"/>
        <family val="2"/>
        <scheme val="none"/>
      </font>
      <fill>
        <patternFill patternType="solid">
          <fgColor indexed="64"/>
          <bgColor rgb="FF8BE1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outline="0">
        <left style="thick">
          <color rgb="FF000000"/>
        </left>
        <top style="thick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entury Gothic"/>
        <family val="2"/>
        <scheme val="none"/>
      </font>
      <fill>
        <patternFill patternType="solid">
          <fgColor indexed="64"/>
          <bgColor rgb="FF8BE1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outline="0">
        <left style="thick">
          <color rgb="FF000000"/>
        </left>
        <top style="thick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entury Gothic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entury Gothic"/>
        <family val="2"/>
        <scheme val="none"/>
      </font>
      <fill>
        <patternFill patternType="solid">
          <fgColor indexed="64"/>
          <bgColor rgb="FF8BE1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ck">
          <color auto="1"/>
        </right>
        <top style="thick">
          <color auto="1"/>
        </top>
        <bottom style="thick">
          <color auto="1"/>
        </bottom>
      </border>
    </dxf>
    <dxf>
      <border outline="0">
        <left style="thick">
          <color indexed="64"/>
        </left>
        <top style="thick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entury Gothic"/>
        <family val="2"/>
        <scheme val="none"/>
      </font>
      <fill>
        <patternFill patternType="solid">
          <fgColor indexed="64"/>
          <bgColor rgb="FF00A3E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outline="0">
        <left style="thick">
          <color indexed="64"/>
        </left>
        <top style="thick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bottom style="double">
          <color rgb="FF3F3F3F"/>
        </bottom>
      </border>
    </dxf>
    <dxf>
      <border outline="0">
        <top style="double">
          <color rgb="FF3F3F3F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ill>
        <patternFill>
          <bgColor rgb="FFFFC000"/>
        </patternFill>
      </fill>
    </dxf>
    <dxf>
      <font>
        <color theme="1"/>
      </font>
      <fill>
        <patternFill>
          <bgColor rgb="FFFF3B3B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9" tint="-0.499984740745262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3B3B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9" tint="-0.499984740745262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3B3B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9" tint="-0.499984740745262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3B3B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9" tint="-0.499984740745262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3B3B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9" tint="-0.499984740745262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3B3B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9" tint="-0.499984740745262"/>
      </font>
      <fill>
        <patternFill>
          <bgColor rgb="FFC6EFCE"/>
        </patternFill>
      </fill>
    </dxf>
    <dxf>
      <font>
        <color theme="7" tint="-0.499984740745262"/>
      </font>
      <fill>
        <patternFill patternType="solid">
          <bgColor theme="7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color theme="0"/>
      </font>
      <fill>
        <patternFill patternType="solid">
          <bgColor rgb="FF00A3E0"/>
        </patternFill>
      </fill>
    </dxf>
    <dxf>
      <font>
        <color theme="0"/>
      </font>
      <fill>
        <patternFill>
          <bgColor rgb="FF8BE1FF"/>
        </patternFill>
      </fill>
    </dxf>
    <dxf>
      <font>
        <color theme="0"/>
      </font>
      <fill>
        <patternFill>
          <bgColor rgb="FFB7ECEB"/>
        </patternFill>
      </fill>
    </dxf>
    <dxf>
      <font>
        <color theme="0"/>
      </font>
      <fill>
        <patternFill>
          <bgColor rgb="FFB6DDE8"/>
        </patternFill>
      </fill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horizontal="left"/>
    </dxf>
    <dxf>
      <alignment horizontal="left"/>
    </dxf>
    <dxf>
      <border>
        <right style="thin">
          <color indexed="64"/>
        </right>
      </border>
    </dxf>
    <dxf>
      <border>
        <right style="thin">
          <color indexed="64"/>
        </right>
      </border>
    </dxf>
  </dxfs>
  <tableStyles count="0" defaultTableStyle="TableStyleMedium2" defaultPivotStyle="PivotStyleLight16"/>
  <colors>
    <mruColors>
      <color rgb="FFFA1F5E"/>
      <color rgb="FFAA3084"/>
      <color rgb="FFB6DDE8"/>
      <color rgb="FFB7ECEB"/>
      <color rgb="FF8BE1FF"/>
      <color rgb="FF00A3E0"/>
      <color rgb="FFC6EFCE"/>
      <color rgb="FFFF3B3B"/>
      <color rgb="FF92D050"/>
      <color rgb="FF75B6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microsoft.com/office/2007/relationships/slicerCache" Target="slicerCaches/slicerCache1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[HADES_SpikaTech.xlsm]Panel de Control!TablaDinámica1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</a:t>
            </a:r>
            <a:r>
              <a:rPr lang="en-US" baseline="0"/>
              <a:t> Vulnerabilidades Encontradas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'Panel de Control'!$B$11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E00-4135-9387-A1597B939A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E00-4135-9387-A1597B939AB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E00-4135-9387-A1597B939AB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3B4E-4273-8B78-99068434E17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CD6-4BDA-869A-05C8F1CAEB13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'Panel de Control'!$A$12:$A$16</c:f>
              <c:strCache>
                <c:ptCount val="4"/>
                <c:pt idx="0">
                  <c:v>Alta</c:v>
                </c:pt>
                <c:pt idx="1">
                  <c:v>Baja</c:v>
                </c:pt>
                <c:pt idx="2">
                  <c:v>Informativa</c:v>
                </c:pt>
                <c:pt idx="3">
                  <c:v>Media</c:v>
                </c:pt>
              </c:strCache>
            </c:strRef>
          </c:cat>
          <c:val>
            <c:numRef>
              <c:f>'Panel de Control'!$B$12:$B$16</c:f>
              <c:numCache>
                <c:formatCode>General</c:formatCode>
                <c:ptCount val="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E-4273-8B78-99068434E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[HADES_SpikaTech.xlsm]Panel de Control!TablaDinámica2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'Panel de Control'!$B$25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'Panel de Control'!$A$26:$A$27</c:f>
              <c:strCache>
                <c:ptCount val="1"/>
                <c:pt idx="0">
                  <c:v>Pendiente</c:v>
                </c:pt>
              </c:strCache>
            </c:strRef>
          </c:cat>
          <c:val>
            <c:numRef>
              <c:f>'Panel de Control'!$B$26:$B$27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E-40DF-BADD-FF121729D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77508448"/>
        <c:axId val="1477511360"/>
      </c:barChart>
      <c:catAx>
        <c:axId val="1477508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511360"/>
        <c:crosses val="autoZero"/>
        <c:auto val="1"/>
        <c:lblAlgn val="ctr"/>
        <c:lblOffset val="100"/>
        <c:noMultiLvlLbl val="0"/>
      </c:catAx>
      <c:valAx>
        <c:axId val="147751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50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74839</xdr:colOff>
      <xdr:row>6</xdr:row>
      <xdr:rowOff>122464</xdr:rowOff>
    </xdr:from>
    <xdr:to>
      <xdr:col>3</xdr:col>
      <xdr:colOff>2381250</xdr:colOff>
      <xdr:row>20</xdr:row>
      <xdr:rowOff>160564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3F138B-67CC-40BF-ABB9-336D7C4F1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150018</xdr:colOff>
      <xdr:row>7</xdr:row>
      <xdr:rowOff>52728</xdr:rowOff>
    </xdr:from>
    <xdr:to>
      <xdr:col>4</xdr:col>
      <xdr:colOff>1965756</xdr:colOff>
      <xdr:row>15</xdr:row>
      <xdr:rowOff>205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tegoría">
              <a:extLst>
                <a:ext uri="{FF2B5EF4-FFF2-40B4-BE49-F238E27FC236}">
                  <a16:creationId xmlns:a16="http://schemas.microsoft.com/office/drawing/2014/main" id="{61F5A499-5643-438F-9A51-CCDC325877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10549" y="1767228"/>
              <a:ext cx="1804308" cy="14695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155120</xdr:colOff>
      <xdr:row>15</xdr:row>
      <xdr:rowOff>156482</xdr:rowOff>
    </xdr:from>
    <xdr:to>
      <xdr:col>5</xdr:col>
      <xdr:colOff>1089842</xdr:colOff>
      <xdr:row>36</xdr:row>
      <xdr:rowOff>22588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ecursos Afectados">
              <a:extLst>
                <a:ext uri="{FF2B5EF4-FFF2-40B4-BE49-F238E27FC236}">
                  <a16:creationId xmlns:a16="http://schemas.microsoft.com/office/drawing/2014/main" id="{0222C7A9-C1B9-4D3F-9809-E6510259BA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cursos Afectad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19620" y="3426732"/>
              <a:ext cx="3171827" cy="38780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312965</xdr:colOff>
      <xdr:row>22</xdr:row>
      <xdr:rowOff>81643</xdr:rowOff>
    </xdr:from>
    <xdr:to>
      <xdr:col>3</xdr:col>
      <xdr:colOff>2149929</xdr:colOff>
      <xdr:row>35</xdr:row>
      <xdr:rowOff>38101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3D10C7B-5B64-42B7-BEBB-0ABD98E658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762000</xdr:colOff>
      <xdr:row>2</xdr:row>
      <xdr:rowOff>54430</xdr:rowOff>
    </xdr:from>
    <xdr:to>
      <xdr:col>5</xdr:col>
      <xdr:colOff>1067344</xdr:colOff>
      <xdr:row>3</xdr:row>
      <xdr:rowOff>187870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528921-571F-49DE-82C9-2A2BB9292BD2}"/>
            </a:ext>
            <a:ext uri="{147F2762-F138-4A5C-976F-8EAC2B608ADB}">
              <a16:predDERef xmlns:a16="http://schemas.microsoft.com/office/drawing/2014/main" pred="{E6FFCDF6-628C-4CCE-BA09-B52E6F6DE3B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5409" y="764475"/>
          <a:ext cx="2539390" cy="358577"/>
        </a:xfrm>
        <a:prstGeom prst="rect">
          <a:avLst/>
        </a:prstGeom>
      </xdr:spPr>
    </xdr:pic>
    <xdr:clientData/>
  </xdr:twoCellAnchor>
  <xdr:twoCellAnchor editAs="oneCell">
    <xdr:from>
      <xdr:col>1</xdr:col>
      <xdr:colOff>217714</xdr:colOff>
      <xdr:row>1</xdr:row>
      <xdr:rowOff>136072</xdr:rowOff>
    </xdr:from>
    <xdr:to>
      <xdr:col>1</xdr:col>
      <xdr:colOff>1408339</xdr:colOff>
      <xdr:row>3</xdr:row>
      <xdr:rowOff>114663</xdr:rowOff>
    </xdr:to>
    <xdr:pic>
      <xdr:nvPicPr>
        <xdr:cNvPr id="4" name="Logo Oesía">
          <a:extLst>
            <a:ext uri="{FF2B5EF4-FFF2-40B4-BE49-F238E27FC236}">
              <a16:creationId xmlns:a16="http://schemas.microsoft.com/office/drawing/2014/main" id="{86FBC2DB-FEB5-4A52-9847-B2317A97790C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r="-11562" b="-15000"/>
        <a:stretch/>
      </xdr:blipFill>
      <xdr:spPr bwMode="auto">
        <a:xfrm>
          <a:off x="2999014" y="336097"/>
          <a:ext cx="1190625" cy="702491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uba Gonzalez" refreshedDate="45252.443146990743" createdVersion="6" refreshedVersion="8" minRefreshableVersion="3" recordCount="42" xr:uid="{C018F780-3500-499F-A0AE-B64E35BF6241}">
  <cacheSource type="worksheet">
    <worksheetSource name="DatosHADES"/>
  </cacheSource>
  <cacheFields count="10">
    <cacheField name="Categoría" numFmtId="0">
      <sharedItems count="6">
        <s v="Alta"/>
        <s v="Media"/>
        <s v="Baja"/>
        <s v="Informativa"/>
        <s v=""/>
        <e v="#REF!" u="1"/>
      </sharedItems>
    </cacheField>
    <cacheField name="Vulnerabilidad" numFmtId="0">
      <sharedItems/>
    </cacheField>
    <cacheField name="Fecha" numFmtId="14">
      <sharedItems containsDate="1" containsMixedTypes="1" minDate="2023-03-01T00:00:00" maxDate="2023-03-02T00:00:00"/>
    </cacheField>
    <cacheField name="Tipo" numFmtId="0">
      <sharedItems/>
    </cacheField>
    <cacheField name="Alcance" numFmtId="0">
      <sharedItems/>
    </cacheField>
    <cacheField name="Recursos Afectados" numFmtId="0">
      <sharedItems count="29">
        <s v="Aplicación web 1"/>
        <s v=""/>
        <s v="Aplicación web 2" u="1"/>
        <s v="Aplicación web 3" u="1"/>
        <s v="Aplicación web 4" u="1"/>
        <s v="Aplicación web 5" u="1"/>
        <s v="Aplicación web INVENES WEB" u="1"/>
        <s v="Aplicación web LOCALIZADOR WEB" u="1"/>
        <s v="Aplicación web STOPFALSIFICACIONES" u="1"/>
        <s v="Aplicaciones webs OTTS, CETS, OTERS Y CESS" u="1"/>
        <s v="Aplicación web ESEDE" u="1"/>
        <s v="Aplicación web PROTEGEO" u="1"/>
        <s v="Aplicación web PORTAL WEB OEPM" u="1"/>
        <e v="#REF!" u="1"/>
        <s v="Aplicación web BOPIWEB" u="1"/>
        <s v="Aplicación web PLATASOL" u="1"/>
        <s v="Aplicación web JURISPRUDENCIA" u="1"/>
        <s v="Aplicación web IPCPUB" u="1"/>
        <s v="Aplicación web CEO" u="1"/>
        <s v="Aplicación web SP-UI-DSEFILING" u="1"/>
        <s v="Aplicación web CLINMAR" u="1"/>
        <s v="Aplicación web IPCCAT" u="1"/>
        <s v="Aplicación web GENDOCPAGT2" u="1"/>
        <s v="Aplicación web GENDOCPAG" u="1"/>
        <s v="Aplicación web CALIDAD" u="1"/>
        <s v="Aplicación web CIBEPYME" u="1"/>
        <s v="Aplicación web PASARELA2WEB" u="1"/>
        <s v="Aplicación web SP-UI-ESERVICES" u="1"/>
        <s v="Aplicación web LATIPATCOBERTURA" u="1"/>
      </sharedItems>
    </cacheField>
    <cacheField name="Referencias" numFmtId="0">
      <sharedItems/>
    </cacheField>
    <cacheField name="Estado" numFmtId="0">
      <sharedItems count="4">
        <s v="Pendiente"/>
        <s v=""/>
        <s v="Resuelta" u="1"/>
        <e v="#REF!" u="1"/>
      </sharedItems>
    </cacheField>
    <cacheField name="Tiempo Estimado" numFmtId="0">
      <sharedItems/>
    </cacheField>
    <cacheField name="Dificultad Resolución" numFmtId="0">
      <sharedItems/>
    </cacheField>
  </cacheFields>
  <extLst>
    <ext xmlns:x14="http://schemas.microsoft.com/office/spreadsheetml/2009/9/main" uri="{725AE2AE-9491-48be-B2B4-4EB974FC3084}">
      <x14:pivotCacheDefinition pivotCacheId="1651016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s v="Cross-Site Scripting"/>
    <d v="2023-03-01T00:00:00"/>
    <s v="Exposición de información"/>
    <s v="Confidencialidad"/>
    <x v="0"/>
    <s v="CVE-2020-8589"/>
    <x v="0"/>
    <s v="2h"/>
    <s v="Difícil (4)"/>
  </r>
  <r>
    <x v="0"/>
    <s v="Criptografía insuficiente"/>
    <d v="2023-03-01T00:00:00"/>
    <s v="Configuración"/>
    <s v="Confidencialidad"/>
    <x v="0"/>
    <s v="CVE-2020-8564"/>
    <x v="0"/>
    <s v="1h"/>
    <s v="Medio (3)"/>
  </r>
  <r>
    <x v="1"/>
    <s v="Configuración de Seguridad Incorrecta: Cabeceras mal configuradas"/>
    <d v="2023-03-01T00:00:00"/>
    <s v="Configuración"/>
    <s v="Confidencialidad e Integridad"/>
    <x v="0"/>
    <s v="CVE-2020-4561"/>
    <x v="0"/>
    <s v="1h"/>
    <s v="Medio (3)"/>
  </r>
  <r>
    <x v="1"/>
    <s v="Configuración de Seguridad Incorrecta: Cookies mal configuradas"/>
    <d v="2023-03-01T00:00:00"/>
    <s v="Configuración"/>
    <s v="Confidencialidad e Integridad"/>
    <x v="0"/>
    <s v="CVE-2020-6589"/>
    <x v="0"/>
    <s v="1h"/>
    <s v="facil (2)"/>
  </r>
  <r>
    <x v="1"/>
    <s v="Clickjacking"/>
    <d v="2023-03-01T00:00:00"/>
    <s v="Configuración"/>
    <s v="Confidencialidad e Integridad"/>
    <x v="0"/>
    <s v="CVE-2019-5243"/>
    <x v="0"/>
    <s v="0,5h"/>
    <s v="Muy fácil (1)"/>
  </r>
  <r>
    <x v="2"/>
    <s v="Presencia de elementos tipo hidden"/>
    <d v="2023-03-01T00:00:00"/>
    <s v="Configuración"/>
    <s v="Confidencialidad e Integridada"/>
    <x v="0"/>
    <s v="CVE-2018-8453"/>
    <x v="0"/>
    <s v="1h"/>
    <s v="facil (2)"/>
  </r>
  <r>
    <x v="2"/>
    <s v="Exposición de datos sensibles: Metadatos de PDFs"/>
    <d v="2023-03-01T00:00:00"/>
    <s v="Configuración"/>
    <s v="Confidencialidad e Integridad"/>
    <x v="0"/>
    <s v="CVE-2020-54965"/>
    <x v="0"/>
    <s v="1h"/>
    <s v="Difícil (4)"/>
  </r>
  <r>
    <x v="3"/>
    <s v="Insuficiente validación de datos de entrada"/>
    <d v="2023-03-01T00:00:00"/>
    <s v="Validación de datos de entrada"/>
    <s v="N/A"/>
    <x v="0"/>
    <s v="CVE-2018-1000656"/>
    <x v="0"/>
    <s v="1h"/>
    <s v="facil (2)"/>
  </r>
  <r>
    <x v="0"/>
    <s v="Cross-Site Scripting"/>
    <d v="2023-03-01T00:00:00"/>
    <s v="Exposición de información"/>
    <s v="Confidencialidad"/>
    <x v="0"/>
    <s v="CVE-2020-8589"/>
    <x v="0"/>
    <s v="2h"/>
    <s v="Difícil (4)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0"/>
    <s v="Cross-Site Scripting"/>
    <d v="2023-03-01T00:00:00"/>
    <s v="Exposición de información"/>
    <s v="Confidencialidad"/>
    <x v="0"/>
    <s v="CVE-2020-8589"/>
    <x v="0"/>
    <s v="2h"/>
    <s v="Difícil (4)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0"/>
    <s v="Cross-Site Scripting"/>
    <d v="2023-03-01T00:00:00"/>
    <s v="Exposición de información"/>
    <s v="Confidencialidad"/>
    <x v="0"/>
    <s v="CVE-2020-8589"/>
    <x v="0"/>
    <s v="2h"/>
    <s v="Difícil (4)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0"/>
    <s v="Cross-Site Scripting"/>
    <d v="2023-03-01T00:00:00"/>
    <s v="Exposición de información"/>
    <s v="Confidencialidad"/>
    <x v="0"/>
    <s v="CVE-2020-8589"/>
    <x v="0"/>
    <s v="2h"/>
    <s v="Difícil (4)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  <r>
    <x v="4"/>
    <s v=""/>
    <s v=""/>
    <s v=""/>
    <s v=""/>
    <x v="1"/>
    <s v=""/>
    <x v="1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3B5DE0-52CA-46E4-B063-B6B8BD383F3C}" name="TablaDinámica1" cacheId="173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chartFormat="1">
  <location ref="A11:B16" firstHeaderRow="1" firstDataRow="1" firstDataCol="1"/>
  <pivotFields count="10">
    <pivotField axis="axisRow" dataField="1" showAll="0">
      <items count="7">
        <item x="0"/>
        <item x="2"/>
        <item x="3"/>
        <item x="1"/>
        <item x="4"/>
        <item m="1" x="5"/>
        <item t="default"/>
      </items>
    </pivotField>
    <pivotField showAll="0"/>
    <pivotField showAll="0"/>
    <pivotField showAll="0"/>
    <pivotField showAll="0"/>
    <pivotField showAll="0">
      <items count="30">
        <item h="1" x="1"/>
        <item x="0"/>
        <item h="1" m="1" x="2"/>
        <item h="1" m="1" x="3"/>
        <item h="1" m="1" x="4"/>
        <item h="1" m="1" x="5"/>
        <item h="1" m="1" x="14"/>
        <item h="1" m="1" x="24"/>
        <item h="1" m="1" x="18"/>
        <item h="1" m="1" x="25"/>
        <item h="1" m="1" x="20"/>
        <item h="1" m="1" x="10"/>
        <item h="1" m="1" x="23"/>
        <item h="1" m="1" x="22"/>
        <item h="1" m="1" x="6"/>
        <item h="1" m="1" x="21"/>
        <item h="1" m="1" x="17"/>
        <item h="1" m="1" x="16"/>
        <item h="1" m="1" x="28"/>
        <item h="1" m="1" x="7"/>
        <item h="1" m="1" x="26"/>
        <item h="1" m="1" x="15"/>
        <item h="1" m="1" x="12"/>
        <item h="1" m="1" x="11"/>
        <item h="1" m="1" x="19"/>
        <item h="1" m="1" x="27"/>
        <item h="1" m="1" x="8"/>
        <item h="1" m="1" x="9"/>
        <item h="1" m="1" x="13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ategoría" fld="0" subtotal="count" baseField="0" baseItem="0"/>
  </dataFields>
  <formats count="4">
    <format dxfId="498">
      <pivotArea outline="0" collapsedLevelsAreSubtotals="1" fieldPosition="0"/>
    </format>
    <format dxfId="499">
      <pivotArea dataOnly="0" labelOnly="1" outline="0" axis="axisValues" fieldPosition="0"/>
    </format>
    <format dxfId="500">
      <pivotArea outline="0" collapsedLevelsAreSubtotals="1" fieldPosition="0"/>
    </format>
    <format dxfId="501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ABED22-A1D5-427F-8342-B2C050F0B26F}" name="TablaDinámica2" cacheId="173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chartFormat="1">
  <location ref="A25:B27" firstHeaderRow="1" firstDataRow="1" firstDataCol="1"/>
  <pivotFields count="10">
    <pivotField showAll="0">
      <items count="7">
        <item x="4"/>
        <item x="0"/>
        <item x="2"/>
        <item x="3"/>
        <item x="1"/>
        <item m="1" x="5"/>
        <item t="default"/>
      </items>
    </pivotField>
    <pivotField showAll="0"/>
    <pivotField showAll="0"/>
    <pivotField showAll="0"/>
    <pivotField showAll="0"/>
    <pivotField showAll="0">
      <items count="30">
        <item h="1" x="1"/>
        <item x="0"/>
        <item h="1" m="1" x="2"/>
        <item h="1" m="1" x="3"/>
        <item h="1" m="1" x="4"/>
        <item h="1" m="1" x="5"/>
        <item h="1" m="1" x="14"/>
        <item h="1" m="1" x="24"/>
        <item h="1" m="1" x="18"/>
        <item h="1" m="1" x="25"/>
        <item h="1" m="1" x="20"/>
        <item h="1" m="1" x="10"/>
        <item h="1" m="1" x="23"/>
        <item h="1" m="1" x="22"/>
        <item h="1" m="1" x="6"/>
        <item h="1" m="1" x="21"/>
        <item h="1" m="1" x="17"/>
        <item h="1" m="1" x="16"/>
        <item h="1" m="1" x="28"/>
        <item h="1" m="1" x="7"/>
        <item h="1" m="1" x="26"/>
        <item h="1" m="1" x="15"/>
        <item h="1" m="1" x="12"/>
        <item h="1" m="1" x="11"/>
        <item h="1" m="1" x="19"/>
        <item h="1" m="1" x="27"/>
        <item h="1" m="1" x="8"/>
        <item h="1" m="1" x="9"/>
        <item h="1" m="1" x="13"/>
        <item t="default"/>
      </items>
    </pivotField>
    <pivotField showAll="0"/>
    <pivotField axis="axisRow" dataField="1" showAll="0">
      <items count="5">
        <item x="0"/>
        <item m="1" x="2"/>
        <item x="1"/>
        <item m="1" x="3"/>
        <item t="default"/>
      </items>
    </pivotField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Cuenta de Estado" fld="7" subtotal="count" baseField="0" baseItem="0"/>
  </dataFields>
  <formats count="2">
    <format dxfId="496">
      <pivotArea outline="0" collapsedLevelsAreSubtotals="1" fieldPosition="0"/>
    </format>
    <format dxfId="49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29EF644B-12F4-4D25-BC3B-4D3B5A902C15}" sourceName="Categoría">
  <pivotTables>
    <pivotTable tabId="43" name="TablaDinámica1"/>
    <pivotTable tabId="43" name="TablaDinámica2"/>
  </pivotTables>
  <data>
    <tabular pivotCacheId="165101632" showMissing="0">
      <items count="6">
        <i x="0" s="1"/>
        <i x="2" s="1"/>
        <i x="3" s="1"/>
        <i x="1" s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cursos_Afectados" xr10:uid="{B9CB1F8A-CB81-420C-B644-C043B6FBC5DD}" sourceName="Recursos Afectados">
  <pivotTables>
    <pivotTable tabId="43" name="TablaDinámica1"/>
    <pivotTable tabId="43" name="TablaDinámica2"/>
  </pivotTables>
  <data>
    <tabular pivotCacheId="165101632" showMissing="0">
      <items count="29">
        <i x="1"/>
        <i x="0" s="1"/>
        <i x="2" nd="1"/>
        <i x="3" nd="1"/>
        <i x="4" nd="1"/>
        <i x="5" nd="1"/>
        <i x="14" nd="1"/>
        <i x="24" nd="1"/>
        <i x="18" nd="1"/>
        <i x="25" nd="1"/>
        <i x="20" nd="1"/>
        <i x="10" nd="1"/>
        <i x="23" nd="1"/>
        <i x="22" nd="1"/>
        <i x="6" nd="1"/>
        <i x="21" nd="1"/>
        <i x="17" nd="1"/>
        <i x="16" nd="1"/>
        <i x="28" nd="1"/>
        <i x="7" nd="1"/>
        <i x="26" nd="1"/>
        <i x="15" nd="1"/>
        <i x="12" nd="1"/>
        <i x="11" nd="1"/>
        <i x="19" nd="1"/>
        <i x="27" nd="1"/>
        <i x="8" nd="1"/>
        <i x="9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ía" xr10:uid="{41C946D7-F62F-4244-AED7-30D519E5B0B6}" cache="SegmentaciónDeDatos_Categoría" caption="Categoría" rowHeight="241300"/>
  <slicer name="Recursos Afectados" xr10:uid="{F80AE0B7-A7EB-4A7E-878D-1A7E1F3E96E8}" cache="SegmentaciónDeDatos_Recursos_Afectados" caption="Recursos Afectado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8EC5B91-6A3E-43C5-84E4-CAF2D8E76905}" name="DatosHADES" displayName="DatosHADES" ref="A7:J49" totalsRowShown="0">
  <autoFilter ref="A7:J49" xr:uid="{46E1ADB2-91AD-4E78-98BF-45FEE0D6BF73}"/>
  <tableColumns count="10">
    <tableColumn id="1" xr3:uid="{D6E59618-A3F1-416E-9E22-1BCF15A4553B}" name="Categoría"/>
    <tableColumn id="2" xr3:uid="{F0BA5F56-FF95-44B6-B569-CE074D5F93A6}" name="Vulnerabilidad"/>
    <tableColumn id="3" xr3:uid="{4C1A3133-C835-47BA-B853-CB48A4DC933F}" name="Fecha" dataDxfId="491"/>
    <tableColumn id="4" xr3:uid="{C9A01785-8173-44B6-B7E1-DD2817AAE1FC}" name="Tipo"/>
    <tableColumn id="5" xr3:uid="{72422EFA-9224-49B4-A1C0-3F8AB050BB58}" name="Alcance"/>
    <tableColumn id="6" xr3:uid="{B3578DD0-AC7A-4416-81B6-FD53765A64EE}" name="Recursos Afectados"/>
    <tableColumn id="7" xr3:uid="{E5E01A2D-C66A-42F0-A59A-FCB44EFFF0FA}" name="Referencias"/>
    <tableColumn id="8" xr3:uid="{DADA9B1C-06B4-46B3-9371-40EE05D4BB5E}" name="Estado"/>
    <tableColumn id="9" xr3:uid="{E2357730-A772-4810-8014-17C1EF969EB0}" name="Tiempo Estimado" dataDxfId="490"/>
    <tableColumn id="10" xr3:uid="{AB7E0344-A66F-4F8E-9450-76D56A41A65D}" name="Dificultad Resolució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72A8353-52A8-46B2-ACA1-18C737D775BC}" name="ListadoAlcance" displayName="ListadoAlcance" ref="A7:F12" totalsRowShown="0" headerRowDxfId="453" headerRowBorderDxfId="451" tableBorderDxfId="452">
  <autoFilter ref="A7:F12" xr:uid="{F35F4747-0CDE-4AED-A0D1-4FD175E54FF8}"/>
  <sortState xmlns:xlrd2="http://schemas.microsoft.com/office/spreadsheetml/2017/richdata2" ref="A8:F12">
    <sortCondition descending="1" ref="D7:D12"/>
  </sortState>
  <tableColumns count="6">
    <tableColumn id="2" xr3:uid="{E26F2E2C-6177-4B7C-BFB2-FA9AE2D24FDD}" name="APLICACIÓN" dataDxfId="450"/>
    <tableColumn id="3" xr3:uid="{23D92229-7BF2-450C-9B05-EC2D1709BA16}" name="TECNOLOGIA " dataDxfId="449"/>
    <tableColumn id="4" xr3:uid="{C23C2D3C-7B92-4C8B-882B-80A538F76046}" name="FECHA " dataDxfId="448"/>
    <tableColumn id="5" xr3:uid="{37F54620-12EC-48B7-8D20-9F1645101C3B}" name="ESTADO AUDITORÍA" dataDxfId="447" dataCellStyle="Neutral"/>
    <tableColumn id="7" xr3:uid="{17609B57-40F6-4CCF-B73A-ED9D2738432E}" name="INFO" dataDxfId="446"/>
    <tableColumn id="8" xr3:uid="{639519A4-7136-40C9-801C-D4D48357C2E9}" name="BLOQUES" dataDxfId="44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9DC0FC-226A-4096-8134-736622FF45C4}" name="BOPIWEB" displayName="BOPIWEB" ref="A10:J18" totalsRowShown="0" headerRowDxfId="372" dataDxfId="371" tableBorderDxfId="370" headerRowCellStyle="Normal_RS-B-11.1 Gestión de indicadores v0.0" dataCellStyle="Normal_RS-B-11.1 Gestión de indicadores v0.0">
  <autoFilter ref="A10:J18" xr:uid="{331AE1EE-5D5C-4F01-9E00-70C8B94F21B9}"/>
  <tableColumns count="10">
    <tableColumn id="1" xr3:uid="{8B661140-D2E4-43A2-827A-2F6B3F87B326}" name="Categoría" dataDxfId="369" dataCellStyle="Normal_RS-B-11.1 Gestión de indicadores v0.0"/>
    <tableColumn id="2" xr3:uid="{9ADB5882-583D-4F08-89DE-7FA13F8A2A37}" name="Vulnerabilidad" dataDxfId="368" dataCellStyle="Normal_RS-B-11.1 Gestión de indicadores v0.0"/>
    <tableColumn id="3" xr3:uid="{ED892B5A-6559-4884-B354-2B59830F1D2B}" name="Fecha" dataDxfId="367" dataCellStyle="Normal_RS-B-11.1 Gestión de indicadores v0.0"/>
    <tableColumn id="4" xr3:uid="{BF6C87AC-6771-498D-B58B-B857F867BB69}" name="Tipo" dataDxfId="366" dataCellStyle="Normal_RS-B-11.1 Gestión de indicadores v0.0"/>
    <tableColumn id="5" xr3:uid="{F1EB9BCA-72F0-4D07-BD9E-B513A46EDC11}" name="Alcance" dataDxfId="365" dataCellStyle="Normal_RS-B-11.1 Gestión de indicadores v0.0"/>
    <tableColumn id="6" xr3:uid="{2C4EB554-9F3E-4F06-B90D-26FDD112E079}" name="Recursos Afectados" dataDxfId="364" dataCellStyle="Normal_RS-B-11.1 Gestión de indicadores v0.0"/>
    <tableColumn id="7" xr3:uid="{A000FC1C-3FC1-47DC-8BE8-83E247220DEF}" name="Referencias" dataDxfId="363" dataCellStyle="Normal_RS-B-11.1 Gestión de indicadores v0.0"/>
    <tableColumn id="10" xr3:uid="{8034FCAF-25E6-4E75-9589-6565B46D6719}" name="Estado" dataDxfId="362"/>
    <tableColumn id="11" xr3:uid="{D2BAD1E7-735F-4399-970F-143354ADCBD4}" name="Tiempo Estimado" dataDxfId="361" dataCellStyle="Normal_RS-B-11.1 Gestión de indicadores v0.0"/>
    <tableColumn id="12" xr3:uid="{4810ECCB-23FB-47FB-9530-A4CBF50442AF}" name="Dificultad Resolución" dataDxfId="360" dataCellStyle="Normal_RS-B-11.1 Gestión de indicadores v0.0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173EE3-4E83-4B7B-A2A1-FF51796C2661}" name="CALIDAD" displayName="CALIDAD" ref="A10:J24" totalsRowShown="0" headerRowDxfId="265" dataDxfId="264" tableBorderDxfId="263" headerRowCellStyle="Normal_RS-B-11.1 Gestión de indicadores v0.0" dataCellStyle="Normal_RS-B-11.1 Gestión de indicadores v0.0">
  <autoFilter ref="A10:J24" xr:uid="{B3574F04-CB28-456A-BD7B-DF202164A7CD}"/>
  <tableColumns count="10">
    <tableColumn id="1" xr3:uid="{2B30D746-FCA4-43DE-8191-F93BCAC92C30}" name="Categoría" dataDxfId="262" dataCellStyle="Normal_RS-B-11.1 Gestión de indicadores v0.0"/>
    <tableColumn id="2" xr3:uid="{17D76ABB-1220-4997-A257-0ED6EDA0C4E3}" name="Vulnerabilidad" dataDxfId="261" dataCellStyle="Normal_RS-B-11.1 Gestión de indicadores v0.0"/>
    <tableColumn id="3" xr3:uid="{98A73FCB-3A7F-4C8C-BBB4-5B9EAB71B304}" name="Fecha" dataDxfId="260" dataCellStyle="Normal_RS-B-11.1 Gestión de indicadores v0.0"/>
    <tableColumn id="4" xr3:uid="{D599B740-1C30-4A80-A475-76FCF907F05E}" name="Tipo" dataDxfId="259" dataCellStyle="Normal_RS-B-11.1 Gestión de indicadores v0.0"/>
    <tableColumn id="5" xr3:uid="{0012C7D1-1703-4948-9FD8-EDC75866B319}" name="Alcance" dataDxfId="258" dataCellStyle="Normal_RS-B-11.1 Gestión de indicadores v0.0"/>
    <tableColumn id="6" xr3:uid="{CF44E75A-DBF5-4B42-98B8-ADFF005883A8}" name="Recursos Afectados" dataDxfId="257" dataCellStyle="Normal_RS-B-11.1 Gestión de indicadores v0.0"/>
    <tableColumn id="7" xr3:uid="{1E4EE153-4388-49F6-8EC1-7EC41E42A8A8}" name="Referencias" dataDxfId="256" dataCellStyle="Normal_RS-B-11.1 Gestión de indicadores v0.0"/>
    <tableColumn id="8" xr3:uid="{7BC04CB5-3615-417A-A0CA-8A9C8DA97FEB}" name="Estado" dataDxfId="255"/>
    <tableColumn id="9" xr3:uid="{D140A938-3F88-476B-B7E6-F4C532B83BAA}" name="Tiempo Estimado" dataDxfId="254" dataCellStyle="Normal_RS-B-11.1 Gestión de indicadores v0.0"/>
    <tableColumn id="10" xr3:uid="{AD55DAB4-18D3-42D6-A749-D0FA3775E664}" name="Dificultad Resolución" dataDxfId="253" dataCellStyle="Normal_RS-B-11.1 Gestión de indicadores v0.0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5B17C0-F642-4D85-B0B2-BB24D2C79655}" name="CEO" displayName="CEO" ref="A10:J18" totalsRowShown="0" headerRowDxfId="176" dataDxfId="175" tableBorderDxfId="174" headerRowCellStyle="Normal_RS-B-11.1 Gestión de indicadores v0.0" dataCellStyle="Normal_RS-B-11.1 Gestión de indicadores v0.0">
  <autoFilter ref="A10:J18" xr:uid="{B3574F04-CB28-456A-BD7B-DF202164A7CD}"/>
  <tableColumns count="10">
    <tableColumn id="1" xr3:uid="{EA3D6285-FB35-4E25-8EDA-10FAE38C9577}" name="Categoría" dataDxfId="173" dataCellStyle="Normal_RS-B-11.1 Gestión de indicadores v0.0"/>
    <tableColumn id="2" xr3:uid="{F41E3807-B5B3-41C6-A265-18ED14653892}" name="Vulnerabilidad" dataDxfId="172" dataCellStyle="Normal_RS-B-11.1 Gestión de indicadores v0.0"/>
    <tableColumn id="3" xr3:uid="{413F6A4B-0FDC-4FE5-8520-2BA88F547D99}" name="Fecha" dataDxfId="171" dataCellStyle="Normal_RS-B-11.1 Gestión de indicadores v0.0"/>
    <tableColumn id="4" xr3:uid="{006A73B3-3C86-4595-BEC0-D432A479D8A5}" name="Tipo" dataDxfId="170" dataCellStyle="Normal_RS-B-11.1 Gestión de indicadores v0.0"/>
    <tableColumn id="5" xr3:uid="{0C6B4606-7753-45FE-ACBF-506D26DBD8DB}" name="Alcance" dataDxfId="169" dataCellStyle="Normal_RS-B-11.1 Gestión de indicadores v0.0"/>
    <tableColumn id="6" xr3:uid="{330621F1-97B3-407D-84EB-72D21F33596E}" name="Recursos Afectados" dataDxfId="168" dataCellStyle="Normal_RS-B-11.1 Gestión de indicadores v0.0"/>
    <tableColumn id="7" xr3:uid="{6B8C7908-9392-4F81-B034-5A7DE5815BB0}" name="Referencias" dataDxfId="167" dataCellStyle="Normal_RS-B-11.1 Gestión de indicadores v0.0"/>
    <tableColumn id="8" xr3:uid="{16A11013-6953-458F-A93F-6F4449D65E9A}" name="Estado" dataDxfId="166"/>
    <tableColumn id="9" xr3:uid="{DC235AF3-F975-458C-BC50-72800E35F986}" name="Tiempo Estimado" dataDxfId="165" dataCellStyle="Normal_RS-B-11.1 Gestión de indicadores v0.0"/>
    <tableColumn id="10" xr3:uid="{AB64212B-7FB6-402D-B187-FAAF2794DB2D}" name="Dificultad Resolución" dataDxfId="164" dataCellStyle="Normal_RS-B-11.1 Gestión de indicadores v0.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8CCE69-B98C-4627-8A1B-AB031B2E6FBF}" name="CEO_4" displayName="CEO_4" ref="A10:J16" totalsRowShown="0" headerRowDxfId="101" dataDxfId="100" tableBorderDxfId="99" headerRowCellStyle="Normal_RS-B-11.1 Gestión de indicadores v0.0" dataCellStyle="Normal_RS-B-11.1 Gestión de indicadores v0.0">
  <autoFilter ref="A10:J16" xr:uid="{B3574F04-CB28-456A-BD7B-DF202164A7CD}"/>
  <tableColumns count="10">
    <tableColumn id="1" xr3:uid="{E0860E00-A2CD-4E77-B086-CC18E7EF7204}" name="Categoría" dataDxfId="98" dataCellStyle="Normal_RS-B-11.1 Gestión de indicadores v0.0"/>
    <tableColumn id="2" xr3:uid="{B6FAFA09-262B-465C-874D-B8DA10E53CE8}" name="Vulnerabilidad" dataDxfId="97" dataCellStyle="Normal_RS-B-11.1 Gestión de indicadores v0.0"/>
    <tableColumn id="3" xr3:uid="{EAED8E66-F2DF-4008-B3AD-B2D3F91316ED}" name="Fecha" dataDxfId="96" dataCellStyle="Normal_RS-B-11.1 Gestión de indicadores v0.0"/>
    <tableColumn id="4" xr3:uid="{7B0F1CE8-6771-40A3-BC25-6A33FE1B7D3C}" name="Tipo" dataDxfId="95" dataCellStyle="Normal_RS-B-11.1 Gestión de indicadores v0.0"/>
    <tableColumn id="5" xr3:uid="{69547259-B3DC-4E07-81AE-40FBFF8344EE}" name="Alcance" dataDxfId="94" dataCellStyle="Normal_RS-B-11.1 Gestión de indicadores v0.0"/>
    <tableColumn id="6" xr3:uid="{C7197D40-46E7-47EF-B55D-863E117262D4}" name="Recursos Afectados" dataDxfId="93" dataCellStyle="Normal_RS-B-11.1 Gestión de indicadores v0.0"/>
    <tableColumn id="7" xr3:uid="{F87458FD-1BF7-4DCF-9596-A7DCF585839F}" name="Referencias" dataDxfId="92" dataCellStyle="Normal_RS-B-11.1 Gestión de indicadores v0.0"/>
    <tableColumn id="8" xr3:uid="{C44BF5E2-B0A0-4D25-9737-313E997F16F2}" name="Estado" dataDxfId="91"/>
    <tableColumn id="9" xr3:uid="{3DF651E9-912A-40ED-8E05-D2C6003963AC}" name="Tiempo Estimado" dataDxfId="90" dataCellStyle="Normal_RS-B-11.1 Gestión de indicadores v0.0"/>
    <tableColumn id="10" xr3:uid="{929627DF-165E-4B5D-88B5-5B7E7DABFDEC}" name="Dificultad Resolución" dataDxfId="89" dataCellStyle="Normal_RS-B-11.1 Gestión de indicadores v0.0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825B4A-D632-4F08-97D2-2C37DE473350}" name="CEO_46" displayName="CEO_46" ref="A10:J18" totalsRowShown="0" headerRowDxfId="12" dataDxfId="11" tableBorderDxfId="10" headerRowCellStyle="Normal_RS-B-11.1 Gestión de indicadores v0.0" dataCellStyle="Normal_RS-B-11.1 Gestión de indicadores v0.0">
  <autoFilter ref="A10:J18" xr:uid="{B3574F04-CB28-456A-BD7B-DF202164A7CD}"/>
  <tableColumns count="10">
    <tableColumn id="1" xr3:uid="{9FDDB0D8-DB6D-4930-908A-00F2A839C4FB}" name="Categoría" dataDxfId="9" dataCellStyle="Normal_RS-B-11.1 Gestión de indicadores v0.0"/>
    <tableColumn id="2" xr3:uid="{C53A9B00-9932-4692-87A0-C782837BBF96}" name="Vulnerabilidad" dataDxfId="8" dataCellStyle="Normal_RS-B-11.1 Gestión de indicadores v0.0"/>
    <tableColumn id="3" xr3:uid="{AECA4E1C-C51F-434B-8601-69FFEBA7141D}" name="Fecha" dataDxfId="7" dataCellStyle="Normal_RS-B-11.1 Gestión de indicadores v0.0"/>
    <tableColumn id="4" xr3:uid="{D7F6726E-4395-4165-8702-2656D63F0ED1}" name="Tipo" dataDxfId="6" dataCellStyle="Normal_RS-B-11.1 Gestión de indicadores v0.0"/>
    <tableColumn id="5" xr3:uid="{991EB856-4B42-446B-B606-08F077085537}" name="Alcance" dataDxfId="5" dataCellStyle="Normal_RS-B-11.1 Gestión de indicadores v0.0"/>
    <tableColumn id="6" xr3:uid="{F4535543-F36E-48DF-8B98-5B6BC1EE11DA}" name="Recursos Afectados" dataDxfId="4" dataCellStyle="Normal_RS-B-11.1 Gestión de indicadores v0.0"/>
    <tableColumn id="7" xr3:uid="{E9D7A373-30E6-4140-A87C-ED206954300D}" name="Referencias" dataDxfId="3" dataCellStyle="Normal_RS-B-11.1 Gestión de indicadores v0.0"/>
    <tableColumn id="8" xr3:uid="{E5BF58F0-D5BF-4D8C-AF4C-F75747A075D7}" name="Estado" dataDxfId="2"/>
    <tableColumn id="9" xr3:uid="{6AE99AB4-9A5A-413E-8CD7-F2F971134FAE}" name="Tiempo Estimado" dataDxfId="1" dataCellStyle="Normal_RS-B-11.1 Gestión de indicadores v0.0"/>
    <tableColumn id="10" xr3:uid="{E7818DE2-5C61-4E02-B33A-CA6ABCB451D0}" name="Dificultad Resolución" dataDxfId="0" dataCellStyle="Normal_RS-B-11.1 Gestión de indicadores v0.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30B15-7210-4C90-90A0-CAA06B152A4E}">
  <sheetPr codeName="Hoja1"/>
  <dimension ref="A1:H42"/>
  <sheetViews>
    <sheetView showGridLines="0" zoomScale="80" zoomScaleNormal="80" workbookViewId="0">
      <pane ySplit="4" topLeftCell="A5" activePane="bottomLeft" state="frozen"/>
      <selection pane="bottomLeft" activeCell="A2" sqref="A2:B4"/>
    </sheetView>
  </sheetViews>
  <sheetFormatPr defaultColWidth="11.42578125" defaultRowHeight="14.45"/>
  <cols>
    <col min="1" max="1" width="35.5703125" customWidth="1"/>
    <col min="2" max="2" width="16.42578125" style="51" customWidth="1"/>
    <col min="3" max="3" width="32.85546875" customWidth="1"/>
    <col min="4" max="4" width="36.140625" customWidth="1"/>
    <col min="5" max="5" width="33.5703125" bestFit="1" customWidth="1"/>
    <col min="6" max="6" width="17.85546875" customWidth="1"/>
    <col min="7" max="7" width="28.85546875" bestFit="1" customWidth="1"/>
    <col min="8" max="8" width="21.140625" bestFit="1" customWidth="1"/>
  </cols>
  <sheetData>
    <row r="1" spans="1:8" ht="15" thickBot="1"/>
    <row r="2" spans="1:8" ht="39.950000000000003" customHeight="1" thickTop="1" thickBot="1">
      <c r="A2" s="83" t="e" vm="1">
        <v>#VALUE!</v>
      </c>
      <c r="B2" s="84"/>
      <c r="C2" s="76" t="s">
        <v>0</v>
      </c>
      <c r="D2" s="76"/>
      <c r="E2" s="36"/>
      <c r="F2" s="20" t="s">
        <v>1</v>
      </c>
    </row>
    <row r="3" spans="1:8" ht="15" thickTop="1">
      <c r="A3" s="83"/>
      <c r="B3" s="84"/>
      <c r="C3" s="77" t="s">
        <v>2</v>
      </c>
      <c r="D3" s="77"/>
      <c r="E3" s="79"/>
      <c r="F3" s="80"/>
    </row>
    <row r="4" spans="1:8" ht="15" thickBot="1">
      <c r="A4" s="83"/>
      <c r="B4" s="84"/>
      <c r="C4" s="78"/>
      <c r="D4" s="78"/>
      <c r="E4" s="81"/>
      <c r="F4" s="82"/>
    </row>
    <row r="5" spans="1:8" ht="15" thickTop="1"/>
    <row r="7" spans="1:8">
      <c r="A7" s="72" t="s">
        <v>3</v>
      </c>
      <c r="B7" s="73"/>
      <c r="C7" s="44"/>
      <c r="D7" s="45"/>
      <c r="E7" s="44"/>
      <c r="F7" s="55"/>
      <c r="G7" s="68" t="s">
        <v>4</v>
      </c>
      <c r="H7" s="69"/>
    </row>
    <row r="8" spans="1:8">
      <c r="A8" s="74"/>
      <c r="B8" s="75"/>
      <c r="C8" s="46"/>
      <c r="D8" s="47"/>
      <c r="E8" s="46"/>
      <c r="G8" s="70"/>
      <c r="H8" s="71"/>
    </row>
    <row r="9" spans="1:8">
      <c r="A9" s="46"/>
      <c r="B9" s="52"/>
      <c r="C9" s="46"/>
      <c r="D9" s="47"/>
      <c r="E9" s="46"/>
      <c r="G9" s="56" t="s">
        <v>5</v>
      </c>
      <c r="H9" s="56" t="s">
        <v>6</v>
      </c>
    </row>
    <row r="10" spans="1:8">
      <c r="A10" s="46"/>
      <c r="B10" s="52"/>
      <c r="C10" s="46"/>
      <c r="D10" s="47"/>
      <c r="E10" s="46"/>
      <c r="G10" s="56" t="s">
        <v>7</v>
      </c>
      <c r="H10" s="56" t="s">
        <v>8</v>
      </c>
    </row>
    <row r="11" spans="1:8">
      <c r="A11" s="50" t="s">
        <v>9</v>
      </c>
      <c r="B11" s="52" t="s">
        <v>10</v>
      </c>
      <c r="D11" s="47"/>
      <c r="E11" s="46"/>
      <c r="G11" s="56" t="s">
        <v>11</v>
      </c>
      <c r="H11" s="56"/>
    </row>
    <row r="12" spans="1:8">
      <c r="A12" s="51" t="s">
        <v>12</v>
      </c>
      <c r="B12" s="52">
        <v>6</v>
      </c>
      <c r="D12" s="47"/>
      <c r="E12" s="46"/>
      <c r="G12" s="56"/>
      <c r="H12" s="56"/>
    </row>
    <row r="13" spans="1:8">
      <c r="A13" s="51" t="s">
        <v>13</v>
      </c>
      <c r="B13" s="52">
        <v>2</v>
      </c>
      <c r="D13" s="47"/>
      <c r="E13" s="46"/>
      <c r="G13" s="56"/>
      <c r="H13" s="56"/>
    </row>
    <row r="14" spans="1:8">
      <c r="A14" s="51" t="s">
        <v>14</v>
      </c>
      <c r="B14" s="52">
        <v>1</v>
      </c>
      <c r="D14" s="47"/>
      <c r="E14" s="46"/>
      <c r="G14" s="57"/>
      <c r="H14" s="57"/>
    </row>
    <row r="15" spans="1:8">
      <c r="A15" s="51" t="s">
        <v>15</v>
      </c>
      <c r="B15" s="52">
        <v>3</v>
      </c>
      <c r="D15" s="47"/>
      <c r="E15" s="46"/>
      <c r="G15" s="57"/>
      <c r="H15" s="57"/>
    </row>
    <row r="16" spans="1:8">
      <c r="A16" s="51" t="s">
        <v>16</v>
      </c>
      <c r="B16" s="52">
        <v>12</v>
      </c>
      <c r="D16" s="47"/>
      <c r="E16" s="46"/>
      <c r="G16" s="57"/>
      <c r="H16" s="57"/>
    </row>
    <row r="17" spans="1:8">
      <c r="B17"/>
      <c r="D17" s="47"/>
      <c r="E17" s="46"/>
      <c r="G17" s="57"/>
      <c r="H17" s="57"/>
    </row>
    <row r="18" spans="1:8">
      <c r="B18"/>
      <c r="D18" s="47"/>
      <c r="E18" s="46"/>
      <c r="G18" s="57"/>
      <c r="H18" s="57"/>
    </row>
    <row r="19" spans="1:8">
      <c r="B19" s="52"/>
      <c r="D19" s="47"/>
      <c r="E19" s="46"/>
      <c r="G19" s="57"/>
      <c r="H19" s="57"/>
    </row>
    <row r="20" spans="1:8">
      <c r="B20" s="52"/>
      <c r="D20" s="47"/>
      <c r="E20" s="46"/>
      <c r="G20" s="54"/>
      <c r="H20" s="54"/>
    </row>
    <row r="21" spans="1:8">
      <c r="A21" s="72" t="s">
        <v>17</v>
      </c>
      <c r="B21" s="73"/>
      <c r="D21" s="47"/>
      <c r="E21" s="46"/>
      <c r="G21" s="54"/>
      <c r="H21" s="54"/>
    </row>
    <row r="22" spans="1:8">
      <c r="A22" s="74"/>
      <c r="B22" s="75"/>
      <c r="D22" s="47"/>
      <c r="E22" s="46"/>
      <c r="G22" s="54"/>
      <c r="H22" s="54"/>
    </row>
    <row r="23" spans="1:8">
      <c r="B23" s="52"/>
      <c r="D23" s="47"/>
      <c r="E23" s="46"/>
      <c r="G23" s="54"/>
      <c r="H23" s="54"/>
    </row>
    <row r="24" spans="1:8">
      <c r="B24" s="52"/>
      <c r="D24" s="47"/>
      <c r="E24" s="46"/>
      <c r="G24" s="54"/>
      <c r="H24" s="54"/>
    </row>
    <row r="25" spans="1:8">
      <c r="A25" s="50" t="s">
        <v>9</v>
      </c>
      <c r="B25" s="47" t="s">
        <v>18</v>
      </c>
      <c r="D25" s="47"/>
      <c r="E25" s="46"/>
      <c r="G25" s="54"/>
      <c r="H25" s="54"/>
    </row>
    <row r="26" spans="1:8">
      <c r="A26" s="51" t="s">
        <v>19</v>
      </c>
      <c r="B26" s="47">
        <v>12</v>
      </c>
      <c r="D26" s="47"/>
      <c r="E26" s="46"/>
      <c r="G26" s="54"/>
      <c r="H26" s="54"/>
    </row>
    <row r="27" spans="1:8">
      <c r="A27" s="51" t="s">
        <v>16</v>
      </c>
      <c r="B27" s="47">
        <v>12</v>
      </c>
      <c r="D27" s="47"/>
      <c r="E27" s="46"/>
      <c r="G27" s="54"/>
      <c r="H27" s="54"/>
    </row>
    <row r="28" spans="1:8">
      <c r="B28"/>
      <c r="D28" s="47"/>
      <c r="E28" s="46"/>
      <c r="G28" s="54"/>
      <c r="H28" s="54"/>
    </row>
    <row r="29" spans="1:8">
      <c r="B29" s="47"/>
      <c r="D29" s="47"/>
      <c r="E29" s="46"/>
      <c r="G29" s="54"/>
      <c r="H29" s="54"/>
    </row>
    <row r="30" spans="1:8">
      <c r="B30" s="47"/>
      <c r="D30" s="47"/>
      <c r="E30" s="46"/>
      <c r="G30" s="54"/>
      <c r="H30" s="54"/>
    </row>
    <row r="31" spans="1:8">
      <c r="B31" s="47"/>
      <c r="D31" s="47"/>
      <c r="E31" s="46"/>
      <c r="G31" s="54"/>
      <c r="H31" s="54"/>
    </row>
    <row r="32" spans="1:8">
      <c r="B32" s="47"/>
      <c r="D32" s="47"/>
      <c r="E32" s="46"/>
      <c r="G32" s="54"/>
      <c r="H32" s="54"/>
    </row>
    <row r="33" spans="1:8">
      <c r="B33" s="47"/>
      <c r="D33" s="47"/>
      <c r="E33" s="46"/>
      <c r="G33" s="54"/>
      <c r="H33" s="54"/>
    </row>
    <row r="34" spans="1:8">
      <c r="B34" s="47"/>
      <c r="D34" s="47"/>
      <c r="E34" s="46"/>
      <c r="G34" s="54"/>
      <c r="H34" s="54"/>
    </row>
    <row r="35" spans="1:8">
      <c r="B35" s="47"/>
      <c r="D35" s="47"/>
      <c r="E35" s="46"/>
      <c r="G35" s="54"/>
      <c r="H35" s="54"/>
    </row>
    <row r="36" spans="1:8">
      <c r="B36" s="47"/>
      <c r="D36" s="47"/>
      <c r="E36" s="46"/>
      <c r="G36" s="54"/>
      <c r="H36" s="54"/>
    </row>
    <row r="37" spans="1:8">
      <c r="A37" s="53"/>
      <c r="B37" s="49"/>
      <c r="C37" s="53"/>
      <c r="D37" s="49"/>
      <c r="E37" s="48"/>
      <c r="F37" s="53"/>
      <c r="G37" s="54"/>
      <c r="H37" s="54"/>
    </row>
    <row r="38" spans="1:8">
      <c r="B38"/>
    </row>
    <row r="39" spans="1:8">
      <c r="B39"/>
    </row>
    <row r="40" spans="1:8">
      <c r="B40"/>
    </row>
    <row r="41" spans="1:8">
      <c r="B41"/>
    </row>
    <row r="42" spans="1:8">
      <c r="B42"/>
    </row>
  </sheetData>
  <mergeCells count="7">
    <mergeCell ref="G7:H8"/>
    <mergeCell ref="A21:B22"/>
    <mergeCell ref="C2:D2"/>
    <mergeCell ref="C3:D4"/>
    <mergeCell ref="E3:F4"/>
    <mergeCell ref="A7:B8"/>
    <mergeCell ref="A2:B4"/>
  </mergeCells>
  <conditionalFormatting sqref="A2">
    <cfRule type="cellIs" dxfId="495" priority="1" operator="equal">
      <formula>"Informativa"</formula>
    </cfRule>
    <cfRule type="cellIs" dxfId="494" priority="2" operator="equal">
      <formula>"bAJA"</formula>
    </cfRule>
    <cfRule type="cellIs" dxfId="493" priority="3" operator="equal">
      <formula>"Media"</formula>
    </cfRule>
    <cfRule type="cellIs" dxfId="492" priority="4" operator="equal">
      <formula>"Alta"</formula>
    </cfRule>
  </conditionalFormatting>
  <hyperlinks>
    <hyperlink ref="G9" location="'Aplicación web 1'!A1" display="Aplicación web 1" xr:uid="{A7D63DF9-3FD1-4B8E-984E-3809543522E3}"/>
    <hyperlink ref="H9" location="'Aplicación web 2'!A1" display="Aplicación web 2" xr:uid="{209EF0DA-1CB3-458D-896D-4AC34CDB2D23}"/>
    <hyperlink ref="G10" location="'Aplicación web 3'!A1" display="Aplicación web 3" xr:uid="{AA12B7C0-2283-4A57-AC73-F8C5E048FC56}"/>
    <hyperlink ref="H10" location="'Aplicación web 4'!A1" display="Aplicación web 4" xr:uid="{6726AFBA-1A17-4696-90FB-9FF5CF3BE97A}"/>
    <hyperlink ref="G11" location="'Aplicación web 5'!A1" display="Aplicación web 5" xr:uid="{785694EE-FD39-4556-8EEE-30A9D42115AA}"/>
  </hyperlink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B34B6-C855-4E72-91FE-007756E73F40}">
  <sheetPr codeName="Hoja23"/>
  <dimension ref="A1:J49"/>
  <sheetViews>
    <sheetView showGridLines="0" zoomScale="55" zoomScaleNormal="55" workbookViewId="0">
      <pane ySplit="4" topLeftCell="A6" activePane="bottomLeft" state="frozen"/>
      <selection pane="bottomLeft" activeCell="C17" sqref="C17"/>
    </sheetView>
  </sheetViews>
  <sheetFormatPr defaultColWidth="11.42578125" defaultRowHeight="14.45"/>
  <cols>
    <col min="1" max="1" width="41.7109375" customWidth="1"/>
    <col min="2" max="2" width="22.85546875" customWidth="1"/>
    <col min="3" max="3" width="12.140625" bestFit="1" customWidth="1"/>
    <col min="4" max="4" width="36.140625" customWidth="1"/>
    <col min="5" max="5" width="33.5703125" bestFit="1" customWidth="1"/>
    <col min="6" max="6" width="39.140625" customWidth="1"/>
    <col min="7" max="7" width="15.140625" customWidth="1"/>
    <col min="9" max="9" width="24.28515625" style="59" bestFit="1" customWidth="1"/>
    <col min="10" max="10" width="24.28515625" customWidth="1"/>
  </cols>
  <sheetData>
    <row r="1" spans="1:10" ht="15" thickBot="1"/>
    <row r="2" spans="1:10" ht="39.950000000000003" customHeight="1" thickTop="1" thickBot="1">
      <c r="B2" s="85"/>
      <c r="C2" s="88" t="s">
        <v>0</v>
      </c>
      <c r="D2" s="76"/>
      <c r="E2" s="36"/>
      <c r="F2" s="20" t="str">
        <f>'Panel de Control'!F2</f>
        <v>V1.0</v>
      </c>
    </row>
    <row r="3" spans="1:10" ht="15" thickTop="1">
      <c r="A3" s="23"/>
      <c r="B3" s="86"/>
      <c r="C3" s="89" t="s">
        <v>2</v>
      </c>
      <c r="D3" s="77"/>
      <c r="E3" s="79"/>
      <c r="F3" s="80"/>
    </row>
    <row r="4" spans="1:10" ht="15" thickBot="1">
      <c r="A4" s="23"/>
      <c r="B4" s="87"/>
      <c r="C4" s="90"/>
      <c r="D4" s="78"/>
      <c r="E4" s="81"/>
      <c r="F4" s="82"/>
    </row>
    <row r="5" spans="1:10" ht="15" thickTop="1"/>
    <row r="7" spans="1:10">
      <c r="A7" t="s">
        <v>20</v>
      </c>
      <c r="B7" t="s">
        <v>21</v>
      </c>
      <c r="C7" t="s">
        <v>22</v>
      </c>
      <c r="D7" t="s">
        <v>23</v>
      </c>
      <c r="E7" t="s">
        <v>24</v>
      </c>
      <c r="F7" t="s">
        <v>25</v>
      </c>
      <c r="G7" t="s">
        <v>26</v>
      </c>
      <c r="H7" t="s">
        <v>27</v>
      </c>
      <c r="I7" s="59" t="s">
        <v>28</v>
      </c>
      <c r="J7" t="s">
        <v>29</v>
      </c>
    </row>
    <row r="8" spans="1:10">
      <c r="A8" t="str">
        <f>IF('Aplicación web 1'!A11="","",'Aplicación web 1'!A11)</f>
        <v>Alta</v>
      </c>
      <c r="B8" t="str">
        <f>IF('Aplicación web 1'!B11="","",'Aplicación web 1'!B11)</f>
        <v>Cross-Site Scripting</v>
      </c>
      <c r="C8" s="61">
        <f>IF('Aplicación web 1'!C11="","",'Aplicación web 1'!C11)</f>
        <v>44986</v>
      </c>
      <c r="D8" t="str">
        <f>IF('Aplicación web 1'!D11="","",'Aplicación web 1'!D11)</f>
        <v>Exposición de información</v>
      </c>
      <c r="E8" t="str">
        <f>IF('Aplicación web 1'!E11="","",'Aplicación web 1'!E11)</f>
        <v>Confidencialidad</v>
      </c>
      <c r="F8" t="str">
        <f>IF('Aplicación web 1'!F11="","",'Aplicación web 1'!F11)</f>
        <v/>
      </c>
      <c r="G8" t="str">
        <f>IF('Aplicación web 1'!G11="","",'Aplicación web 1'!G11)</f>
        <v/>
      </c>
      <c r="H8" t="str">
        <f>IF('Aplicación web 1'!H11="","",'Aplicación web 1'!H11)</f>
        <v/>
      </c>
      <c r="I8" s="59" t="str">
        <f>IF('Aplicación web 1'!I11="","",'Aplicación web 1'!I11)</f>
        <v/>
      </c>
      <c r="J8" t="str">
        <f>IF('Aplicación web 1'!J11="","",'Aplicación web 1'!J11)</f>
        <v/>
      </c>
    </row>
    <row r="9" spans="1:10">
      <c r="A9" t="str">
        <f>IF('Aplicación web 1'!A12="","",'Aplicación web 1'!A12)</f>
        <v>Alta</v>
      </c>
      <c r="B9" t="str">
        <f>IF('Aplicación web 1'!B12="","",'Aplicación web 1'!B12)</f>
        <v>Criptografía insuficiente</v>
      </c>
      <c r="C9" s="61">
        <f>IF('Aplicación web 1'!C12="","",'Aplicación web 1'!C12)</f>
        <v>44986</v>
      </c>
      <c r="D9" t="str">
        <f>IF('Aplicación web 1'!D12="","",'Aplicación web 1'!D12)</f>
        <v>Configuración</v>
      </c>
      <c r="E9" t="str">
        <f>IF('Aplicación web 1'!E12="","",'Aplicación web 1'!E12)</f>
        <v>Confidencialidad</v>
      </c>
      <c r="F9" t="str">
        <f>IF('Aplicación web 1'!F12="","",'Aplicación web 1'!F12)</f>
        <v/>
      </c>
      <c r="G9" t="str">
        <f>IF('Aplicación web 1'!G12="","",'Aplicación web 1'!G12)</f>
        <v/>
      </c>
      <c r="H9" t="str">
        <f>IF('Aplicación web 1'!H12="","",'Aplicación web 1'!H12)</f>
        <v/>
      </c>
      <c r="I9" s="59" t="str">
        <f>IF('Aplicación web 1'!I12="","",'Aplicación web 1'!I12)</f>
        <v/>
      </c>
      <c r="J9" t="str">
        <f>IF('Aplicación web 1'!J12="","",'Aplicación web 1'!J12)</f>
        <v/>
      </c>
    </row>
    <row r="10" spans="1:10">
      <c r="A10" t="str">
        <f>IF('Aplicación web 1'!A13="","",'Aplicación web 1'!A13)</f>
        <v>Media</v>
      </c>
      <c r="B10" t="str">
        <f>IF('Aplicación web 1'!B13="","",'Aplicación web 1'!B13)</f>
        <v>Configuración de Seguridad Incorrecta: Cabeceras mal configuradas</v>
      </c>
      <c r="C10" s="61">
        <f>IF('Aplicación web 1'!C13="","",'Aplicación web 1'!C13)</f>
        <v>44986</v>
      </c>
      <c r="D10" t="str">
        <f>IF('Aplicación web 1'!D13="","",'Aplicación web 1'!D13)</f>
        <v>Configuración</v>
      </c>
      <c r="E10" t="str">
        <f>IF('Aplicación web 1'!E13="","",'Aplicación web 1'!E13)</f>
        <v>Confidencialidad e Integridad</v>
      </c>
      <c r="F10" t="str">
        <f>IF('Aplicación web 1'!F13="","",'Aplicación web 1'!F13)</f>
        <v/>
      </c>
      <c r="G10" t="str">
        <f>IF('Aplicación web 1'!G13="","",'Aplicación web 1'!G13)</f>
        <v/>
      </c>
      <c r="H10" t="str">
        <f>IF('Aplicación web 1'!H13="","",'Aplicación web 1'!H13)</f>
        <v/>
      </c>
      <c r="I10" s="59" t="str">
        <f>IF('Aplicación web 1'!I13="","",'Aplicación web 1'!I13)</f>
        <v/>
      </c>
      <c r="J10" t="str">
        <f>IF('Aplicación web 1'!J13="","",'Aplicación web 1'!J13)</f>
        <v/>
      </c>
    </row>
    <row r="11" spans="1:10">
      <c r="A11" t="str">
        <f>IF('Aplicación web 1'!A14="","",'Aplicación web 1'!A14)</f>
        <v>Media</v>
      </c>
      <c r="B11" t="str">
        <f>IF('Aplicación web 1'!B14="","",'Aplicación web 1'!B14)</f>
        <v>Configuración de Seguridad Incorrecta: Cookies mal configuradas</v>
      </c>
      <c r="C11" s="61">
        <f>IF('Aplicación web 1'!C14="","",'Aplicación web 1'!C14)</f>
        <v>44986</v>
      </c>
      <c r="D11" t="str">
        <f>IF('Aplicación web 1'!D14="","",'Aplicación web 1'!D14)</f>
        <v>Configuración</v>
      </c>
      <c r="E11" t="str">
        <f>IF('Aplicación web 1'!E14="","",'Aplicación web 1'!E14)</f>
        <v>Confidencialidad e Integridad</v>
      </c>
      <c r="F11" t="str">
        <f>IF('Aplicación web 1'!F14="","",'Aplicación web 1'!F14)</f>
        <v/>
      </c>
      <c r="G11" t="str">
        <f>IF('Aplicación web 1'!G14="","",'Aplicación web 1'!G14)</f>
        <v/>
      </c>
      <c r="H11" t="str">
        <f>IF('Aplicación web 1'!H14="","",'Aplicación web 1'!H14)</f>
        <v/>
      </c>
      <c r="I11" s="59" t="str">
        <f>IF('Aplicación web 1'!I14="","",'Aplicación web 1'!I14)</f>
        <v/>
      </c>
      <c r="J11" t="str">
        <f>IF('Aplicación web 1'!J14="","",'Aplicación web 1'!J14)</f>
        <v/>
      </c>
    </row>
    <row r="12" spans="1:10">
      <c r="A12" t="str">
        <f>IF('Aplicación web 1'!A15="","",'Aplicación web 1'!A15)</f>
        <v>Media</v>
      </c>
      <c r="B12" t="str">
        <f>IF('Aplicación web 1'!B15="","",'Aplicación web 1'!B15)</f>
        <v>Clickjacking</v>
      </c>
      <c r="C12" s="61">
        <f>IF('Aplicación web 1'!C15="","",'Aplicación web 1'!C15)</f>
        <v>44986</v>
      </c>
      <c r="D12" t="str">
        <f>IF('Aplicación web 1'!D15="","",'Aplicación web 1'!D15)</f>
        <v>Configuración</v>
      </c>
      <c r="E12" t="str">
        <f>IF('Aplicación web 1'!E15="","",'Aplicación web 1'!E15)</f>
        <v>Confidencialidad e Integridad</v>
      </c>
      <c r="F12" t="str">
        <f>IF('Aplicación web 1'!F15="","",'Aplicación web 1'!F15)</f>
        <v/>
      </c>
      <c r="G12" t="str">
        <f>IF('Aplicación web 1'!G15="","",'Aplicación web 1'!G15)</f>
        <v/>
      </c>
      <c r="H12" t="str">
        <f>IF('Aplicación web 1'!H15="","",'Aplicación web 1'!H15)</f>
        <v/>
      </c>
      <c r="I12" s="59" t="str">
        <f>IF('Aplicación web 1'!I15="","",'Aplicación web 1'!I15)</f>
        <v/>
      </c>
      <c r="J12" t="str">
        <f>IF('Aplicación web 1'!J15="","",'Aplicación web 1'!J15)</f>
        <v/>
      </c>
    </row>
    <row r="13" spans="1:10">
      <c r="A13" t="str">
        <f>IF('Aplicación web 1'!A16="","",'Aplicación web 1'!A16)</f>
        <v>Baja</v>
      </c>
      <c r="B13" t="str">
        <f>IF('Aplicación web 1'!B16="","",'Aplicación web 1'!B16)</f>
        <v>Presencia de elementos tipo hidden</v>
      </c>
      <c r="C13" s="61">
        <f>IF('Aplicación web 1'!C16="","",'Aplicación web 1'!C16)</f>
        <v>44986</v>
      </c>
      <c r="D13" t="str">
        <f>IF('Aplicación web 1'!D16="","",'Aplicación web 1'!D16)</f>
        <v>Configuración</v>
      </c>
      <c r="E13" t="str">
        <f>IF('Aplicación web 1'!E16="","",'Aplicación web 1'!E16)</f>
        <v>Confidencialidad e Integridada</v>
      </c>
      <c r="F13" t="str">
        <f>IF('Aplicación web 1'!F16="","",'Aplicación web 1'!F16)</f>
        <v/>
      </c>
      <c r="G13" t="str">
        <f>IF('Aplicación web 1'!G16="","",'Aplicación web 1'!G16)</f>
        <v/>
      </c>
      <c r="H13" t="str">
        <f>IF('Aplicación web 1'!H16="","",'Aplicación web 1'!H16)</f>
        <v/>
      </c>
      <c r="I13" s="59" t="str">
        <f>IF('Aplicación web 1'!I16="","",'Aplicación web 1'!I16)</f>
        <v/>
      </c>
      <c r="J13" t="str">
        <f>IF('Aplicación web 1'!J16="","",'Aplicación web 1'!J16)</f>
        <v/>
      </c>
    </row>
    <row r="14" spans="1:10">
      <c r="A14" t="str">
        <f>IF('Aplicación web 1'!A17="","",'Aplicación web 1'!A17)</f>
        <v>Baja</v>
      </c>
      <c r="B14" t="str">
        <f>IF('Aplicación web 1'!B17="","",'Aplicación web 1'!B17)</f>
        <v>Exposición de datos sensibles: Metadatos de PDFs</v>
      </c>
      <c r="C14" s="61">
        <f>IF('Aplicación web 1'!C17="","",'Aplicación web 1'!C17)</f>
        <v>44986</v>
      </c>
      <c r="D14" t="str">
        <f>IF('Aplicación web 1'!D17="","",'Aplicación web 1'!D17)</f>
        <v>Configuración</v>
      </c>
      <c r="E14" t="str">
        <f>IF('Aplicación web 1'!E17="","",'Aplicación web 1'!E17)</f>
        <v>Confidencialidad e Integridad</v>
      </c>
      <c r="F14" t="str">
        <f>IF('Aplicación web 1'!F17="","",'Aplicación web 1'!F17)</f>
        <v/>
      </c>
      <c r="G14" t="str">
        <f>IF('Aplicación web 1'!G17="","",'Aplicación web 1'!G17)</f>
        <v/>
      </c>
      <c r="H14" t="str">
        <f>IF('Aplicación web 1'!H17="","",'Aplicación web 1'!H17)</f>
        <v/>
      </c>
      <c r="I14" s="59" t="str">
        <f>IF('Aplicación web 1'!I17="","",'Aplicación web 1'!I17)</f>
        <v/>
      </c>
      <c r="J14" t="str">
        <f>IF('Aplicación web 1'!J17="","",'Aplicación web 1'!J17)</f>
        <v/>
      </c>
    </row>
    <row r="15" spans="1:10">
      <c r="A15" s="53" t="str">
        <f>IF('Aplicación web 1'!A18="","",'Aplicación web 1'!A18)</f>
        <v>Informativa</v>
      </c>
      <c r="B15" s="53" t="str">
        <f>IF('Aplicación web 1'!B18="","",'Aplicación web 1'!B18)</f>
        <v>Insuficiente validación de datos de entrada</v>
      </c>
      <c r="C15" s="62">
        <f>IF('Aplicación web 1'!C18="","",'Aplicación web 1'!C18)</f>
        <v>44986</v>
      </c>
      <c r="D15" s="53" t="str">
        <f>IF('Aplicación web 1'!D18="","",'Aplicación web 1'!D18)</f>
        <v>Validación de datos de entrada</v>
      </c>
      <c r="E15" s="53" t="str">
        <f>IF('Aplicación web 1'!E18="","",'Aplicación web 1'!E18)</f>
        <v>N/A</v>
      </c>
      <c r="F15" s="53" t="str">
        <f>IF('Aplicación web 1'!F18="","",'Aplicación web 1'!F18)</f>
        <v/>
      </c>
      <c r="G15" s="53" t="str">
        <f>IF('Aplicación web 1'!G18="","",'Aplicación web 1'!G18)</f>
        <v/>
      </c>
      <c r="H15" s="53" t="str">
        <f>IF('Aplicación web 1'!H18="","",'Aplicación web 1'!H18)</f>
        <v/>
      </c>
      <c r="I15" s="60" t="str">
        <f>IF('Aplicación web 1'!I18="","",'Aplicación web 1'!I18)</f>
        <v/>
      </c>
      <c r="J15" s="53" t="str">
        <f>IF('Aplicación web 1'!J18="","",'Aplicación web 1'!J18)</f>
        <v/>
      </c>
    </row>
    <row r="16" spans="1:10">
      <c r="A16" t="str">
        <f>IF('Aplicación web 2'!A17="","",'Aplicación web 2'!A17)</f>
        <v>Media</v>
      </c>
      <c r="B16" t="str">
        <f>IF('Aplicación web 2'!B17="","",'Aplicación web 2'!B17)</f>
        <v>Cross-site scripting (XSS)</v>
      </c>
      <c r="C16" s="61">
        <f>IF('Aplicación web 2'!C17="","",'Aplicación web 2'!C17)</f>
        <v>45282</v>
      </c>
      <c r="D16" t="str">
        <f>IF('Aplicación web 2'!D17="","",'Aplicación web 2'!D17)</f>
        <v>Inyección</v>
      </c>
      <c r="E16" t="str">
        <f>IF('Aplicación web 2'!E17="","",'Aplicación web 2'!E17)</f>
        <v>Confidencialidad y Disponibilidad</v>
      </c>
      <c r="F16" t="str">
        <f>IF('Aplicación web 2'!F17="","",'Aplicación web 2'!F17)</f>
        <v>Aplicación web 1</v>
      </c>
      <c r="G16" t="str">
        <f>IF('Aplicación web 2'!G17="","",'Aplicación web 2'!G17)</f>
        <v/>
      </c>
      <c r="H16" t="str">
        <f>IF('Aplicación web 2'!H17="","",'Aplicación web 2'!H17)</f>
        <v>Pendiente</v>
      </c>
      <c r="I16" s="59" t="str">
        <f>IF('Aplicación web 2'!I17="","",'Aplicación web 2'!I17)</f>
        <v>2h</v>
      </c>
      <c r="J16" t="str">
        <f>IF('Aplicación web 2'!J17="","",'Aplicación web 2'!J17)</f>
        <v>Medio (3)</v>
      </c>
    </row>
    <row r="17" spans="1:10">
      <c r="A17" t="str">
        <f>IF('Aplicación web 2'!A18="","",'Aplicación web 2'!A18)</f>
        <v>Media</v>
      </c>
      <c r="B17" t="str">
        <f>IF('Aplicación web 2'!B18="","",'Aplicación web 2'!B18)</f>
        <v>Inyección de HTML</v>
      </c>
      <c r="C17" s="61">
        <f>IF('Aplicación web 2'!C18="","",'Aplicación web 2'!C18)</f>
        <v>45282</v>
      </c>
      <c r="D17" t="str">
        <f>IF('Aplicación web 2'!D18="","",'Aplicación web 2'!D18)</f>
        <v>Inyección</v>
      </c>
      <c r="E17" t="str">
        <f>IF('Aplicación web 2'!E18="","",'Aplicación web 2'!E18)</f>
        <v>Confidencialidad y Disponibilidad</v>
      </c>
      <c r="F17" t="str">
        <f>IF('Aplicación web 2'!F18="","",'Aplicación web 2'!F18)</f>
        <v>Aplicación web 1</v>
      </c>
      <c r="G17" t="str">
        <f>IF('Aplicación web 2'!G18="","",'Aplicación web 2'!G18)</f>
        <v/>
      </c>
      <c r="H17" t="str">
        <f>IF('Aplicación web 2'!H18="","",'Aplicación web 2'!H18)</f>
        <v>Pendiente</v>
      </c>
      <c r="I17" s="59" t="str">
        <f>IF('Aplicación web 2'!I18="","",'Aplicación web 2'!I18)</f>
        <v>2h</v>
      </c>
      <c r="J17" t="str">
        <f>IF('Aplicación web 2'!J18="","",'Aplicación web 2'!J18)</f>
        <v>Medio (3)</v>
      </c>
    </row>
    <row r="18" spans="1:10">
      <c r="A18" t="str">
        <f>IF('Aplicación web 2'!A12="","",'Aplicación web 2'!A12)</f>
        <v>Alta</v>
      </c>
      <c r="B18" t="str">
        <f>IF('Aplicación web 2'!B12="","",'Aplicación web 2'!B12)</f>
        <v>Enumeración de usuarios</v>
      </c>
      <c r="C18" s="61">
        <f>IF('Aplicación web 2'!C12="","",'Aplicación web 2'!C12)</f>
        <v>45282</v>
      </c>
      <c r="D18" t="str">
        <f>IF('Aplicación web 2'!D12="","",'Aplicación web 2'!D12)</f>
        <v>Exposición de información</v>
      </c>
      <c r="E18" t="str">
        <f>IF('Aplicación web 2'!E12="","",'Aplicación web 2'!E12)</f>
        <v>Confidencialidad e Integridad</v>
      </c>
      <c r="F18" t="str">
        <f>IF('Aplicación web 2'!F12="","",'Aplicación web 2'!F12)</f>
        <v>Aplicación web 1</v>
      </c>
      <c r="G18" t="str">
        <f>IF('Aplicación web 2'!G12="","",'Aplicación web 2'!G12)</f>
        <v/>
      </c>
      <c r="H18" t="str">
        <f>IF('Aplicación web 2'!H12="","",'Aplicación web 2'!H12)</f>
        <v>Resuelta</v>
      </c>
      <c r="I18" s="59" t="str">
        <f>IF('Aplicación web 2'!I12="","",'Aplicación web 2'!I12)</f>
        <v>2h</v>
      </c>
      <c r="J18" t="str">
        <f>IF('Aplicación web 2'!J12="","",'Aplicación web 2'!J12)</f>
        <v>Medio (3)</v>
      </c>
    </row>
    <row r="19" spans="1:10">
      <c r="A19" t="str">
        <f>IF('Aplicación web 2'!A11="","",'Aplicación web 2'!A11)</f>
        <v>Alta</v>
      </c>
      <c r="B19" t="str">
        <f>IF('Aplicación web 2'!B11="","",'Aplicación web 2'!B11)</f>
        <v>Subida arbitraria de ficheros, sin comprobación de código malicioso</v>
      </c>
      <c r="C19" s="61">
        <f>IF('Aplicación web 2'!C11="","",'Aplicación web 2'!C11)</f>
        <v>45282</v>
      </c>
      <c r="D19" t="str">
        <f>IF('Aplicación web 2'!D11="","",'Aplicación web 2'!D11)</f>
        <v>Inyección</v>
      </c>
      <c r="E19" t="str">
        <f>IF('Aplicación web 2'!E11="","",'Aplicación web 2'!E11)</f>
        <v>Confidencialidad, Integridad y Disponibilidad</v>
      </c>
      <c r="F19" t="str">
        <f>IF('Aplicación web 2'!F11="","",'Aplicación web 2'!F11)</f>
        <v>Aplicación web 1</v>
      </c>
      <c r="G19" t="str">
        <f>IF('Aplicación web 2'!G11="","",'Aplicación web 2'!G11)</f>
        <v/>
      </c>
      <c r="H19" t="str">
        <f>IF('Aplicación web 2'!H11="","",'Aplicación web 2'!H11)</f>
        <v>Pendiente</v>
      </c>
      <c r="I19" s="59" t="str">
        <f>IF('Aplicación web 2'!I11="","",'Aplicación web 2'!I11)</f>
        <v>3h</v>
      </c>
      <c r="J19" t="str">
        <f>IF('Aplicación web 2'!J11="","",'Aplicación web 2'!J11)</f>
        <v>Difícil (4)</v>
      </c>
    </row>
    <row r="20" spans="1:10">
      <c r="A20" t="str">
        <f>IF('Aplicación web 2'!A14="","",'Aplicación web 2'!A14)</f>
        <v>Alta</v>
      </c>
      <c r="B20" t="str">
        <f>IF('Aplicación web 2'!B14="","",'Aplicación web 2'!B14)</f>
        <v>Modificación de datos protegidos</v>
      </c>
      <c r="C20" s="61">
        <f>IF('Aplicación web 2'!C14="","",'Aplicación web 2'!C14)</f>
        <v>45282</v>
      </c>
      <c r="D20" t="str">
        <f>IF('Aplicación web 2'!D14="","",'Aplicación web 2'!D14)</f>
        <v>Fallas de Identificación y Autentificación</v>
      </c>
      <c r="E20" t="str">
        <f>IF('Aplicación web 2'!E14="","",'Aplicación web 2'!E14)</f>
        <v>Confidencialidad, Integridad y Disponibilidad</v>
      </c>
      <c r="F20" t="str">
        <f>IF('Aplicación web 2'!F14="","",'Aplicación web 2'!F14)</f>
        <v>Aplicación web 1</v>
      </c>
      <c r="G20" t="str">
        <f>IF('Aplicación web 2'!G14="","",'Aplicación web 2'!G14)</f>
        <v/>
      </c>
      <c r="H20" t="str">
        <f>IF('Aplicación web 2'!H14="","",'Aplicación web 2'!H14)</f>
        <v>Pendiente</v>
      </c>
      <c r="I20" s="59" t="str">
        <f>IF('Aplicación web 2'!I14="","",'Aplicación web 2'!I14)</f>
        <v>2h</v>
      </c>
      <c r="J20" t="str">
        <f>IF('Aplicación web 2'!J14="","",'Aplicación web 2'!J14)</f>
        <v>Medio (3)</v>
      </c>
    </row>
    <row r="21" spans="1:10">
      <c r="A21" t="str">
        <f>IF('Aplicación web 2'!A13="","",'Aplicación web 2'!A13)</f>
        <v>Alta</v>
      </c>
      <c r="B21" t="str">
        <f>IF('Aplicación web 2'!B13="","",'Aplicación web 2'!B13)</f>
        <v>Cambio de datos sensibles sin confirmación</v>
      </c>
      <c r="C21" s="61">
        <f>IF('Aplicación web 2'!C13="","",'Aplicación web 2'!C13)</f>
        <v>45282</v>
      </c>
      <c r="D21" t="str">
        <f>IF('Aplicación web 2'!D13="","",'Aplicación web 2'!D13)</f>
        <v>Diseño inseguro</v>
      </c>
      <c r="E21" t="str">
        <f>IF('Aplicación web 2'!E13="","",'Aplicación web 2'!E13)</f>
        <v>Confidencialidad, Integridad y Disponibilidad</v>
      </c>
      <c r="F21" t="str">
        <f>IF('Aplicación web 2'!F13="","",'Aplicación web 2'!F13)</f>
        <v>Aplicación web 1</v>
      </c>
      <c r="G21" t="str">
        <f>IF('Aplicación web 2'!G13="","",'Aplicación web 2'!G13)</f>
        <v/>
      </c>
      <c r="H21" t="str">
        <f>IF('Aplicación web 2'!H13="","",'Aplicación web 2'!H13)</f>
        <v>Pendiente</v>
      </c>
      <c r="I21" s="59" t="str">
        <f>IF('Aplicación web 2'!I13="","",'Aplicación web 2'!I13)</f>
        <v>2h</v>
      </c>
      <c r="J21" t="str">
        <f>IF('Aplicación web 2'!J13="","",'Aplicación web 2'!J13)</f>
        <v>Medio (3)</v>
      </c>
    </row>
    <row r="22" spans="1:10">
      <c r="A22" t="str">
        <f>IF('Aplicación web 2'!A19="","",'Aplicación web 2'!A19)</f>
        <v>Media</v>
      </c>
      <c r="B22" t="str">
        <f>IF('Aplicación web 2'!B19="","",'Aplicación web 2'!B19)</f>
        <v>Manejo de sesión indebido</v>
      </c>
      <c r="C22" s="61">
        <f>IF('Aplicación web 2'!C19="","",'Aplicación web 2'!C19)</f>
        <v>45282</v>
      </c>
      <c r="D22" t="str">
        <f>IF('Aplicación web 2'!D19="","",'Aplicación web 2'!D19)</f>
        <v>Manejo de sesión</v>
      </c>
      <c r="E22" t="str">
        <f>IF('Aplicación web 2'!E19="","",'Aplicación web 2'!E19)</f>
        <v>Confidencialidad e Integridad</v>
      </c>
      <c r="F22" t="str">
        <f>IF('Aplicación web 2'!F19="","",'Aplicación web 2'!F19)</f>
        <v>Aplicación web 1</v>
      </c>
      <c r="G22" t="str">
        <f>IF('Aplicación web 2'!G19="","",'Aplicación web 2'!G19)</f>
        <v/>
      </c>
      <c r="H22" t="str">
        <f>IF('Aplicación web 2'!H19="","",'Aplicación web 2'!H19)</f>
        <v>Pendiente</v>
      </c>
      <c r="I22" s="59" t="str">
        <f>IF('Aplicación web 2'!I19="","",'Aplicación web 2'!I19)</f>
        <v>2h</v>
      </c>
      <c r="J22" t="str">
        <f>IF('Aplicación web 2'!J19="","",'Aplicación web 2'!J19)</f>
        <v>Medio (3)</v>
      </c>
    </row>
    <row r="23" spans="1:10">
      <c r="A23" t="str">
        <f>IF('Aplicación web 2'!A20="","",'Aplicación web 2'!A20)</f>
        <v>Media</v>
      </c>
      <c r="B23" t="str">
        <f>IF('Aplicación web 2'!B20="","",'Aplicación web 2'!B20)</f>
        <v>Exposición del identificador de sesión en la URL</v>
      </c>
      <c r="C23" s="61">
        <f>IF('Aplicación web 2'!C20="","",'Aplicación web 2'!C20)</f>
        <v>45282</v>
      </c>
      <c r="D23" t="str">
        <f>IF('Aplicación web 2'!D20="","",'Aplicación web 2'!D20)</f>
        <v>Exposición de información</v>
      </c>
      <c r="E23" t="str">
        <f>IF('Aplicación web 2'!E20="","",'Aplicación web 2'!E20)</f>
        <v>Confidencialidad e Integridad</v>
      </c>
      <c r="F23" t="str">
        <f>IF('Aplicación web 2'!F20="","",'Aplicación web 2'!F20)</f>
        <v>Aplicación web 1</v>
      </c>
      <c r="G23" t="str">
        <f>IF('Aplicación web 2'!G20="","",'Aplicación web 2'!G20)</f>
        <v/>
      </c>
      <c r="H23" t="str">
        <f>IF('Aplicación web 2'!H20="","",'Aplicación web 2'!H20)</f>
        <v>Pendiente</v>
      </c>
      <c r="I23" s="59" t="str">
        <f>IF('Aplicación web 2'!I20="","",'Aplicación web 2'!I20)</f>
        <v>2h</v>
      </c>
      <c r="J23" t="str">
        <f>IF('Aplicación web 2'!J20="","",'Aplicación web 2'!J20)</f>
        <v>Medio (3)</v>
      </c>
    </row>
    <row r="24" spans="1:10">
      <c r="A24" t="str">
        <f>IF('Aplicación web 2'!A21="","",'Aplicación web 2'!A21)</f>
        <v>Media</v>
      </c>
      <c r="B24" t="str">
        <f>IF('Aplicación web 2'!B21="","",'Aplicación web 2'!B21)</f>
        <v>Incorrecto manejo de errores, exposición de información interna</v>
      </c>
      <c r="C24" s="61">
        <f>IF('Aplicación web 2'!C21="","",'Aplicación web 2'!C21)</f>
        <v>45282</v>
      </c>
      <c r="D24" t="str">
        <f>IF('Aplicación web 2'!D21="","",'Aplicación web 2'!D21)</f>
        <v>Diseño inseguro</v>
      </c>
      <c r="E24" t="str">
        <f>IF('Aplicación web 2'!E21="","",'Aplicación web 2'!E21)</f>
        <v>Confidencialidad</v>
      </c>
      <c r="F24" t="str">
        <f>IF('Aplicación web 2'!F21="","",'Aplicación web 2'!F21)</f>
        <v>Aplicación web 1</v>
      </c>
      <c r="G24" t="str">
        <f>IF('Aplicación web 2'!G21="","",'Aplicación web 2'!G21)</f>
        <v/>
      </c>
      <c r="H24" t="str">
        <f>IF('Aplicación web 2'!H21="","",'Aplicación web 2'!H21)</f>
        <v>Pendiente</v>
      </c>
      <c r="I24" s="59" t="str">
        <f>IF('Aplicación web 2'!I21="","",'Aplicación web 2'!I21)</f>
        <v>2h</v>
      </c>
      <c r="J24" t="str">
        <f>IF('Aplicación web 2'!J21="","",'Aplicación web 2'!J21)</f>
        <v>Medio (3)</v>
      </c>
    </row>
    <row r="25" spans="1:10">
      <c r="A25" t="str">
        <f>IF('Aplicación web 2'!A26="","",'Aplicación web 2'!A26)</f>
        <v>Media</v>
      </c>
      <c r="B25" t="str">
        <f>IF('Aplicación web 2'!B26="","",'Aplicación web 2'!B26)</f>
        <v>Método OPTIONS habilitado</v>
      </c>
      <c r="C25" s="61">
        <f>IF('Aplicación web 2'!C26="","",'Aplicación web 2'!C26)</f>
        <v>45282</v>
      </c>
      <c r="D25" t="str">
        <f>IF('Aplicación web 2'!D26="","",'Aplicación web 2'!D26)</f>
        <v>Configuracion de Seguridad Incorrecta</v>
      </c>
      <c r="E25" t="str">
        <f>IF('Aplicación web 2'!E26="","",'Aplicación web 2'!E26)</f>
        <v>Confidencialidad e Integridad</v>
      </c>
      <c r="F25" t="str">
        <f>IF('Aplicación web 2'!F26="","",'Aplicación web 2'!F26)</f>
        <v>Aplicación web 1</v>
      </c>
      <c r="G25" t="str">
        <f>IF('Aplicación web 2'!G26="","",'Aplicación web 2'!G26)</f>
        <v/>
      </c>
      <c r="H25" t="str">
        <f>IF('Aplicación web 2'!H26="","",'Aplicación web 2'!H26)</f>
        <v>Pendiente</v>
      </c>
      <c r="I25" s="59" t="str">
        <f>IF('Aplicación web 2'!I26="","",'Aplicación web 2'!I26)</f>
        <v>1h</v>
      </c>
      <c r="J25" t="str">
        <f>IF('Aplicación web 2'!J26="","",'Aplicación web 2'!J26)</f>
        <v>facil (2)</v>
      </c>
    </row>
    <row r="26" spans="1:10">
      <c r="A26" t="str">
        <f>IF('Aplicación web 2'!A22="","",'Aplicación web 2'!A22)</f>
        <v>Media</v>
      </c>
      <c r="B26" t="str">
        <f>IF('Aplicación web 2'!B22="","",'Aplicación web 2'!B22)</f>
        <v>Fichero robots.txt</v>
      </c>
      <c r="C26" s="61">
        <f>IF('Aplicación web 2'!C22="","",'Aplicación web 2'!C22)</f>
        <v>45282</v>
      </c>
      <c r="D26" t="str">
        <f>IF('Aplicación web 2'!D22="","",'Aplicación web 2'!D22)</f>
        <v>Configuracion de Seguridad Incorrecta</v>
      </c>
      <c r="E26" t="str">
        <f>IF('Aplicación web 2'!E22="","",'Aplicación web 2'!E22)</f>
        <v>Confidencialidad, Integridad y Disponibilidad</v>
      </c>
      <c r="F26" t="str">
        <f>IF('Aplicación web 2'!F22="","",'Aplicación web 2'!F22)</f>
        <v>Aplicación web 1</v>
      </c>
      <c r="G26" t="str">
        <f>IF('Aplicación web 2'!G22="","",'Aplicación web 2'!G22)</f>
        <v/>
      </c>
      <c r="H26" t="str">
        <f>IF('Aplicación web 2'!H22="","",'Aplicación web 2'!H22)</f>
        <v>Pendiente</v>
      </c>
      <c r="I26" s="59" t="str">
        <f>IF('Aplicación web 2'!I22="","",'Aplicación web 2'!I22)</f>
        <v>0.5h</v>
      </c>
      <c r="J26" t="str">
        <f>IF('Aplicación web 2'!J22="","",'Aplicación web 2'!J22)</f>
        <v>Muy fácil (1)</v>
      </c>
    </row>
    <row r="27" spans="1:10">
      <c r="A27" s="53" t="str">
        <f>IF('Aplicación web 2'!A23="","",'Aplicación web 2'!A23)</f>
        <v>Media</v>
      </c>
      <c r="B27" s="53" t="str">
        <f>IF('Aplicación web 2'!B23="","",'Aplicación web 2'!B23)</f>
        <v>Configuración de Seguridad incorreta: Cabeceras mal configurada</v>
      </c>
      <c r="C27" s="62">
        <f>IF('Aplicación web 2'!C23="","",'Aplicación web 2'!C23)</f>
        <v>45282</v>
      </c>
      <c r="D27" s="53" t="str">
        <f>IF('Aplicación web 2'!D23="","",'Aplicación web 2'!D23)</f>
        <v>Configuración</v>
      </c>
      <c r="E27" s="53" t="str">
        <f>IF('Aplicación web 2'!E23="","",'Aplicación web 2'!E23)</f>
        <v>Confidencialidad e Integridad</v>
      </c>
      <c r="F27" s="53" t="str">
        <f>IF('Aplicación web 2'!F23="","",'Aplicación web 2'!F23)</f>
        <v>Aplicación web 1</v>
      </c>
      <c r="G27" s="53" t="str">
        <f>IF('Aplicación web 2'!G23="","",'Aplicación web 2'!G23)</f>
        <v/>
      </c>
      <c r="H27" s="53" t="str">
        <f>IF('Aplicación web 2'!H23="","",'Aplicación web 2'!H23)</f>
        <v>Pendiente</v>
      </c>
      <c r="I27" s="60" t="str">
        <f>IF('Aplicación web 2'!I23="","",'Aplicación web 2'!I23)</f>
        <v>1h</v>
      </c>
      <c r="J27" s="53" t="str">
        <f>IF('Aplicación web 2'!J23="","",'Aplicación web 2'!J23)</f>
        <v>facil (2)</v>
      </c>
    </row>
    <row r="28" spans="1:10">
      <c r="A28" t="str">
        <f>IF('Aplicación web 3'!A11="","",'Aplicación web 3'!A11)</f>
        <v>Alta</v>
      </c>
      <c r="B28" t="str">
        <f>IF('Aplicación web 3'!B11="","",'Aplicación web 3'!B11)</f>
        <v>Cross-Site Scripting</v>
      </c>
      <c r="C28" s="61">
        <f>IF('Aplicación web 3'!C11="","",'Aplicación web 3'!C11)</f>
        <v>44986</v>
      </c>
      <c r="D28" t="str">
        <f>IF('Aplicación web 3'!D11="","",'Aplicación web 3'!D11)</f>
        <v>Exposición de información</v>
      </c>
      <c r="E28" t="str">
        <f>IF('Aplicación web 3'!E11="","",'Aplicación web 3'!E11)</f>
        <v>Confidencialidad</v>
      </c>
      <c r="F28" t="str">
        <f>IF('Aplicación web 3'!F11="","",'Aplicación web 3'!F11)</f>
        <v>Aplicación web 1</v>
      </c>
      <c r="G28" t="str">
        <f>IF('Aplicación web 3'!G11="","",'Aplicación web 3'!G11)</f>
        <v>CVE-2020-8589</v>
      </c>
      <c r="H28" t="str">
        <f>IF('Aplicación web 3'!H11="","",'Aplicación web 3'!H11)</f>
        <v>Pendiente</v>
      </c>
      <c r="I28" s="59" t="str">
        <f>IF('Aplicación web 3'!I11="","",'Aplicación web 3'!I11)</f>
        <v>2h</v>
      </c>
      <c r="J28" t="str">
        <f>IF('Aplicación web 3'!J11="","",'Aplicación web 3'!J11)</f>
        <v>Difícil (4)</v>
      </c>
    </row>
    <row r="29" spans="1:10">
      <c r="A29" t="str">
        <f>IF('Aplicación web 3'!A12="","",'Aplicación web 3'!A12)</f>
        <v/>
      </c>
      <c r="B29" t="str">
        <f>IF('Aplicación web 3'!B12="","",'Aplicación web 3'!B12)</f>
        <v/>
      </c>
      <c r="C29" s="61" t="str">
        <f>IF('Aplicación web 3'!C12="","",'Aplicación web 3'!C12)</f>
        <v/>
      </c>
      <c r="D29" t="str">
        <f>IF('Aplicación web 3'!D12="","",'Aplicación web 3'!D12)</f>
        <v/>
      </c>
      <c r="E29" t="str">
        <f>IF('Aplicación web 3'!E12="","",'Aplicación web 3'!E12)</f>
        <v/>
      </c>
      <c r="F29" t="str">
        <f>IF('Aplicación web 3'!F12="","",'Aplicación web 3'!F12)</f>
        <v/>
      </c>
      <c r="G29" t="str">
        <f>IF('Aplicación web 3'!G12="","",'Aplicación web 3'!G12)</f>
        <v/>
      </c>
      <c r="H29" t="str">
        <f>IF('Aplicación web 3'!H12="","",'Aplicación web 3'!H12)</f>
        <v/>
      </c>
      <c r="I29" s="59" t="str">
        <f>IF('Aplicación web 3'!I12="","",'Aplicación web 3'!I12)</f>
        <v/>
      </c>
      <c r="J29" t="str">
        <f>IF('Aplicación web 3'!J12="","",'Aplicación web 3'!J12)</f>
        <v/>
      </c>
    </row>
    <row r="30" spans="1:10">
      <c r="A30" t="str">
        <f>IF('Aplicación web 3'!A13="","",'Aplicación web 3'!A13)</f>
        <v/>
      </c>
      <c r="B30" t="str">
        <f>IF('Aplicación web 3'!B13="","",'Aplicación web 3'!B13)</f>
        <v/>
      </c>
      <c r="C30" s="61" t="str">
        <f>IF('Aplicación web 3'!C13="","",'Aplicación web 3'!C13)</f>
        <v/>
      </c>
      <c r="D30" t="str">
        <f>IF('Aplicación web 3'!D13="","",'Aplicación web 3'!D13)</f>
        <v/>
      </c>
      <c r="E30" t="str">
        <f>IF('Aplicación web 3'!E13="","",'Aplicación web 3'!E13)</f>
        <v/>
      </c>
      <c r="F30" t="str">
        <f>IF('Aplicación web 3'!F13="","",'Aplicación web 3'!F13)</f>
        <v/>
      </c>
      <c r="G30" t="str">
        <f>IF('Aplicación web 3'!G13="","",'Aplicación web 3'!G13)</f>
        <v/>
      </c>
      <c r="H30" t="str">
        <f>IF('Aplicación web 3'!H13="","",'Aplicación web 3'!H13)</f>
        <v/>
      </c>
      <c r="I30" s="59" t="str">
        <f>IF('Aplicación web 3'!I13="","",'Aplicación web 3'!I13)</f>
        <v/>
      </c>
      <c r="J30" t="str">
        <f>IF('Aplicación web 3'!J13="","",'Aplicación web 3'!J13)</f>
        <v/>
      </c>
    </row>
    <row r="31" spans="1:10">
      <c r="A31" t="str">
        <f>IF('Aplicación web 3'!A14="","",'Aplicación web 3'!A14)</f>
        <v/>
      </c>
      <c r="B31" t="str">
        <f>IF('Aplicación web 3'!B14="","",'Aplicación web 3'!B14)</f>
        <v/>
      </c>
      <c r="C31" s="61" t="str">
        <f>IF('Aplicación web 3'!C14="","",'Aplicación web 3'!C14)</f>
        <v/>
      </c>
      <c r="D31" t="str">
        <f>IF('Aplicación web 3'!D14="","",'Aplicación web 3'!D14)</f>
        <v/>
      </c>
      <c r="E31" t="str">
        <f>IF('Aplicación web 3'!E14="","",'Aplicación web 3'!E14)</f>
        <v/>
      </c>
      <c r="F31" t="str">
        <f>IF('Aplicación web 3'!F14="","",'Aplicación web 3'!F14)</f>
        <v/>
      </c>
      <c r="G31" t="str">
        <f>IF('Aplicación web 3'!G14="","",'Aplicación web 3'!G14)</f>
        <v/>
      </c>
      <c r="H31" t="str">
        <f>IF('Aplicación web 3'!H14="","",'Aplicación web 3'!H14)</f>
        <v/>
      </c>
      <c r="I31" s="59" t="str">
        <f>IF('Aplicación web 3'!I14="","",'Aplicación web 3'!I14)</f>
        <v/>
      </c>
      <c r="J31" t="str">
        <f>IF('Aplicación web 3'!J14="","",'Aplicación web 3'!J14)</f>
        <v/>
      </c>
    </row>
    <row r="32" spans="1:10">
      <c r="A32" t="str">
        <f>IF('Aplicación web 3'!A15="","",'Aplicación web 3'!A15)</f>
        <v/>
      </c>
      <c r="B32" t="str">
        <f>IF('Aplicación web 3'!B15="","",'Aplicación web 3'!B15)</f>
        <v/>
      </c>
      <c r="C32" s="61" t="str">
        <f>IF('Aplicación web 3'!C15="","",'Aplicación web 3'!C15)</f>
        <v/>
      </c>
      <c r="D32" t="str">
        <f>IF('Aplicación web 3'!D15="","",'Aplicación web 3'!D15)</f>
        <v/>
      </c>
      <c r="E32" t="str">
        <f>IF('Aplicación web 3'!E15="","",'Aplicación web 3'!E15)</f>
        <v/>
      </c>
      <c r="F32" t="str">
        <f>IF('Aplicación web 3'!F15="","",'Aplicación web 3'!F15)</f>
        <v/>
      </c>
      <c r="G32" t="str">
        <f>IF('Aplicación web 3'!G15="","",'Aplicación web 3'!G15)</f>
        <v/>
      </c>
      <c r="H32" t="str">
        <f>IF('Aplicación web 3'!H15="","",'Aplicación web 3'!H15)</f>
        <v/>
      </c>
      <c r="I32" s="59" t="str">
        <f>IF('Aplicación web 3'!I15="","",'Aplicación web 3'!I15)</f>
        <v/>
      </c>
      <c r="J32" t="str">
        <f>IF('Aplicación web 3'!J15="","",'Aplicación web 3'!J15)</f>
        <v/>
      </c>
    </row>
    <row r="33" spans="1:10">
      <c r="A33" t="str">
        <f>IF('Aplicación web 3'!A16="","",'Aplicación web 3'!A16)</f>
        <v/>
      </c>
      <c r="B33" t="str">
        <f>IF('Aplicación web 3'!B16="","",'Aplicación web 3'!B16)</f>
        <v/>
      </c>
      <c r="C33" s="61" t="str">
        <f>IF('Aplicación web 3'!C16="","",'Aplicación web 3'!C16)</f>
        <v/>
      </c>
      <c r="D33" t="str">
        <f>IF('Aplicación web 3'!D16="","",'Aplicación web 3'!D16)</f>
        <v/>
      </c>
      <c r="E33" t="str">
        <f>IF('Aplicación web 3'!E16="","",'Aplicación web 3'!E16)</f>
        <v/>
      </c>
      <c r="F33" t="str">
        <f>IF('Aplicación web 3'!F16="","",'Aplicación web 3'!F16)</f>
        <v/>
      </c>
      <c r="G33" t="str">
        <f>IF('Aplicación web 3'!G16="","",'Aplicación web 3'!G16)</f>
        <v/>
      </c>
      <c r="H33" t="str">
        <f>IF('Aplicación web 3'!H16="","",'Aplicación web 3'!H16)</f>
        <v>Resuelta</v>
      </c>
      <c r="I33" s="59" t="str">
        <f>IF('Aplicación web 3'!I16="","",'Aplicación web 3'!I16)</f>
        <v/>
      </c>
      <c r="J33" t="str">
        <f>IF('Aplicación web 3'!J16="","",'Aplicación web 3'!J16)</f>
        <v/>
      </c>
    </row>
    <row r="34" spans="1:10">
      <c r="A34" t="str">
        <f>IF('Aplicación web 3'!A17="","",'Aplicación web 3'!A17)</f>
        <v/>
      </c>
      <c r="B34" t="str">
        <f>IF('Aplicación web 3'!B17="","",'Aplicación web 3'!B17)</f>
        <v/>
      </c>
      <c r="C34" s="61" t="str">
        <f>IF('Aplicación web 3'!C17="","",'Aplicación web 3'!C17)</f>
        <v/>
      </c>
      <c r="D34" t="str">
        <f>IF('Aplicación web 3'!D17="","",'Aplicación web 3'!D17)</f>
        <v/>
      </c>
      <c r="E34" t="str">
        <f>IF('Aplicación web 3'!E17="","",'Aplicación web 3'!E17)</f>
        <v/>
      </c>
      <c r="F34" t="str">
        <f>IF('Aplicación web 3'!F17="","",'Aplicación web 3'!F17)</f>
        <v/>
      </c>
      <c r="G34" t="str">
        <f>IF('Aplicación web 3'!G17="","",'Aplicación web 3'!G17)</f>
        <v/>
      </c>
      <c r="H34" t="str">
        <f>IF('Aplicación web 3'!H17="","",'Aplicación web 3'!H17)</f>
        <v/>
      </c>
      <c r="I34" s="59" t="str">
        <f>IF('Aplicación web 3'!I17="","",'Aplicación web 3'!I17)</f>
        <v/>
      </c>
      <c r="J34" t="str">
        <f>IF('Aplicación web 3'!J17="","",'Aplicación web 3'!J17)</f>
        <v/>
      </c>
    </row>
    <row r="35" spans="1:10">
      <c r="A35" s="53" t="str">
        <f>IF('Aplicación web 3'!A18="","",'Aplicación web 3'!A18)</f>
        <v/>
      </c>
      <c r="B35" s="53" t="str">
        <f>IF('Aplicación web 3'!B18="","",'Aplicación web 3'!B18)</f>
        <v/>
      </c>
      <c r="C35" s="62" t="str">
        <f>IF('Aplicación web 3'!C18="","",'Aplicación web 3'!C18)</f>
        <v/>
      </c>
      <c r="D35" s="53" t="str">
        <f>IF('Aplicación web 3'!D18="","",'Aplicación web 3'!D18)</f>
        <v/>
      </c>
      <c r="E35" s="53" t="str">
        <f>IF('Aplicación web 3'!E18="","",'Aplicación web 3'!E18)</f>
        <v/>
      </c>
      <c r="F35" s="53" t="str">
        <f>IF('Aplicación web 3'!F18="","",'Aplicación web 3'!F18)</f>
        <v/>
      </c>
      <c r="G35" s="53" t="str">
        <f>IF('Aplicación web 3'!G18="","",'Aplicación web 3'!G18)</f>
        <v/>
      </c>
      <c r="H35" s="53" t="str">
        <f>IF('Aplicación web 3'!H18="","",'Aplicación web 3'!H18)</f>
        <v/>
      </c>
      <c r="I35" s="60" t="str">
        <f>IF('Aplicación web 3'!I18="","",'Aplicación web 3'!I18)</f>
        <v/>
      </c>
      <c r="J35" s="53" t="str">
        <f>IF('Aplicación web 3'!J18="","",'Aplicación web 3'!J18)</f>
        <v/>
      </c>
    </row>
    <row r="36" spans="1:10">
      <c r="A36" t="str">
        <f>IF('Aplicación web 4'!A11="","",'Aplicación web 4'!A11)</f>
        <v>Alta</v>
      </c>
      <c r="B36" t="str">
        <f>IF('Aplicación web 4'!B11="","",'Aplicación web 4'!B11)</f>
        <v>Cross-Site Scripting</v>
      </c>
      <c r="C36" s="61">
        <f>IF('Aplicación web 4'!C11="","",'Aplicación web 4'!C11)</f>
        <v>44986</v>
      </c>
      <c r="D36" t="str">
        <f>IF('Aplicación web 4'!D11="","",'Aplicación web 4'!D11)</f>
        <v>Exposición de información</v>
      </c>
      <c r="E36" t="str">
        <f>IF('Aplicación web 4'!E11="","",'Aplicación web 4'!E11)</f>
        <v>Confidencialidad</v>
      </c>
      <c r="F36" t="str">
        <f>IF('Aplicación web 4'!F11="","",'Aplicación web 4'!F11)</f>
        <v>Aplicación web 1</v>
      </c>
      <c r="G36" t="str">
        <f>IF('Aplicación web 4'!G11="","",'Aplicación web 4'!G11)</f>
        <v>CVE-2020-8589</v>
      </c>
      <c r="H36" t="str">
        <f>IF('Aplicación web 4'!H11="","",'Aplicación web 4'!H11)</f>
        <v>Pendiente</v>
      </c>
      <c r="I36" t="str">
        <f>IF('Aplicación web 4'!I11="","",'Aplicación web 4'!I11)</f>
        <v>2h</v>
      </c>
      <c r="J36" t="str">
        <f>IF('Aplicación web 4'!J11="","",'Aplicación web 4'!J11)</f>
        <v>Difícil (4)</v>
      </c>
    </row>
    <row r="37" spans="1:10">
      <c r="A37" t="str">
        <f>IF('Aplicación web 4'!A12="","",'Aplicación web 4'!A12)</f>
        <v/>
      </c>
      <c r="B37" t="str">
        <f>IF('Aplicación web 4'!B12="","",'Aplicación web 4'!B12)</f>
        <v/>
      </c>
      <c r="C37" s="61" t="str">
        <f>IF('Aplicación web 4'!C12="","",'Aplicación web 4'!C12)</f>
        <v/>
      </c>
      <c r="D37" t="str">
        <f>IF('Aplicación web 4'!D12="","",'Aplicación web 4'!D12)</f>
        <v/>
      </c>
      <c r="E37" t="str">
        <f>IF('Aplicación web 4'!E12="","",'Aplicación web 4'!E12)</f>
        <v/>
      </c>
      <c r="F37" t="str">
        <f>IF('Aplicación web 4'!F12="","",'Aplicación web 4'!F12)</f>
        <v/>
      </c>
      <c r="G37" t="str">
        <f>IF('Aplicación web 4'!G12="","",'Aplicación web 4'!G12)</f>
        <v/>
      </c>
      <c r="H37" t="str">
        <f>IF('Aplicación web 4'!H12="","",'Aplicación web 4'!H12)</f>
        <v/>
      </c>
      <c r="I37" t="str">
        <f>IF('Aplicación web 4'!I12="","",'Aplicación web 4'!I12)</f>
        <v/>
      </c>
      <c r="J37" t="str">
        <f>IF('Aplicación web 4'!J12="","",'Aplicación web 4'!J12)</f>
        <v/>
      </c>
    </row>
    <row r="38" spans="1:10">
      <c r="A38" t="str">
        <f>IF('Aplicación web 4'!A13="","",'Aplicación web 4'!A13)</f>
        <v/>
      </c>
      <c r="B38" t="str">
        <f>IF('Aplicación web 4'!B13="","",'Aplicación web 4'!B13)</f>
        <v/>
      </c>
      <c r="C38" s="61" t="str">
        <f>IF('Aplicación web 4'!C13="","",'Aplicación web 4'!C13)</f>
        <v/>
      </c>
      <c r="D38" t="str">
        <f>IF('Aplicación web 4'!D13="","",'Aplicación web 4'!D13)</f>
        <v/>
      </c>
      <c r="E38" t="str">
        <f>IF('Aplicación web 4'!E13="","",'Aplicación web 4'!E13)</f>
        <v/>
      </c>
      <c r="F38" t="str">
        <f>IF('Aplicación web 4'!F13="","",'Aplicación web 4'!F13)</f>
        <v/>
      </c>
      <c r="G38" t="str">
        <f>IF('Aplicación web 4'!G13="","",'Aplicación web 4'!G13)</f>
        <v/>
      </c>
      <c r="H38" t="str">
        <f>IF('Aplicación web 4'!H13="","",'Aplicación web 4'!H13)</f>
        <v/>
      </c>
      <c r="I38" t="str">
        <f>IF('Aplicación web 4'!I13="","",'Aplicación web 4'!I13)</f>
        <v/>
      </c>
      <c r="J38" t="str">
        <f>IF('Aplicación web 4'!J13="","",'Aplicación web 4'!J13)</f>
        <v/>
      </c>
    </row>
    <row r="39" spans="1:10">
      <c r="A39" t="str">
        <f>IF('Aplicación web 4'!A14="","",'Aplicación web 4'!A14)</f>
        <v/>
      </c>
      <c r="B39" t="str">
        <f>IF('Aplicación web 4'!B14="","",'Aplicación web 4'!B14)</f>
        <v/>
      </c>
      <c r="C39" s="61" t="str">
        <f>IF('Aplicación web 4'!C14="","",'Aplicación web 4'!C14)</f>
        <v/>
      </c>
      <c r="D39" t="str">
        <f>IF('Aplicación web 4'!D14="","",'Aplicación web 4'!D14)</f>
        <v/>
      </c>
      <c r="E39" t="str">
        <f>IF('Aplicación web 4'!E14="","",'Aplicación web 4'!E14)</f>
        <v/>
      </c>
      <c r="F39" t="str">
        <f>IF('Aplicación web 4'!F14="","",'Aplicación web 4'!F14)</f>
        <v/>
      </c>
      <c r="G39" t="str">
        <f>IF('Aplicación web 4'!G14="","",'Aplicación web 4'!G14)</f>
        <v/>
      </c>
      <c r="H39" t="str">
        <f>IF('Aplicación web 4'!H14="","",'Aplicación web 4'!H14)</f>
        <v/>
      </c>
      <c r="I39" t="str">
        <f>IF('Aplicación web 4'!I14="","",'Aplicación web 4'!I14)</f>
        <v/>
      </c>
      <c r="J39" t="str">
        <f>IF('Aplicación web 4'!J14="","",'Aplicación web 4'!J14)</f>
        <v/>
      </c>
    </row>
    <row r="40" spans="1:10">
      <c r="A40" t="str">
        <f>IF('Aplicación web 4'!A15="","",'Aplicación web 4'!A15)</f>
        <v/>
      </c>
      <c r="B40" t="str">
        <f>IF('Aplicación web 4'!B15="","",'Aplicación web 4'!B15)</f>
        <v/>
      </c>
      <c r="C40" s="61" t="str">
        <f>IF('Aplicación web 4'!C15="","",'Aplicación web 4'!C15)</f>
        <v/>
      </c>
      <c r="D40" t="str">
        <f>IF('Aplicación web 4'!D15="","",'Aplicación web 4'!D15)</f>
        <v/>
      </c>
      <c r="E40" t="str">
        <f>IF('Aplicación web 4'!E15="","",'Aplicación web 4'!E15)</f>
        <v/>
      </c>
      <c r="F40" t="str">
        <f>IF('Aplicación web 4'!F15="","",'Aplicación web 4'!F15)</f>
        <v/>
      </c>
      <c r="G40" t="str">
        <f>IF('Aplicación web 4'!G15="","",'Aplicación web 4'!G15)</f>
        <v/>
      </c>
      <c r="H40" t="str">
        <f>IF('Aplicación web 4'!H15="","",'Aplicación web 4'!H15)</f>
        <v/>
      </c>
      <c r="I40" t="str">
        <f>IF('Aplicación web 4'!I15="","",'Aplicación web 4'!I15)</f>
        <v/>
      </c>
      <c r="J40" t="str">
        <f>IF('Aplicación web 4'!J15="","",'Aplicación web 4'!J15)</f>
        <v/>
      </c>
    </row>
    <row r="41" spans="1:10">
      <c r="A41" s="53" t="str">
        <f>IF('Aplicación web 4'!A16="","",'Aplicación web 4'!A16)</f>
        <v/>
      </c>
      <c r="B41" s="53" t="str">
        <f>IF('Aplicación web 4'!B16="","",'Aplicación web 4'!B16)</f>
        <v/>
      </c>
      <c r="C41" s="62" t="str">
        <f>IF('Aplicación web 4'!C16="","",'Aplicación web 4'!C16)</f>
        <v/>
      </c>
      <c r="D41" s="53" t="str">
        <f>IF('Aplicación web 4'!D16="","",'Aplicación web 4'!D16)</f>
        <v/>
      </c>
      <c r="E41" s="53" t="str">
        <f>IF('Aplicación web 4'!E16="","",'Aplicación web 4'!E16)</f>
        <v/>
      </c>
      <c r="F41" s="53" t="str">
        <f>IF('Aplicación web 4'!F16="","",'Aplicación web 4'!F16)</f>
        <v/>
      </c>
      <c r="G41" s="53" t="str">
        <f>IF('Aplicación web 4'!G16="","",'Aplicación web 4'!G16)</f>
        <v/>
      </c>
      <c r="H41" s="53" t="str">
        <f>IF('Aplicación web 4'!H16="","",'Aplicación web 4'!H16)</f>
        <v/>
      </c>
      <c r="I41" s="53" t="str">
        <f>IF('Aplicación web 4'!I16="","",'Aplicación web 4'!I16)</f>
        <v/>
      </c>
      <c r="J41" s="53" t="str">
        <f>IF('Aplicación web 4'!J16="","",'Aplicación web 4'!J16)</f>
        <v/>
      </c>
    </row>
    <row r="42" spans="1:10">
      <c r="A42" t="str">
        <f>IF('Aplicación web 5'!A11="","",'Aplicación web 5'!A11)</f>
        <v>Alta</v>
      </c>
      <c r="B42" t="str">
        <f>IF('Aplicación web 5'!B11="","",'Aplicación web 5'!B11)</f>
        <v>Cross-Site Scripting</v>
      </c>
      <c r="C42" s="61">
        <f>IF('Aplicación web 5'!C11="","",'Aplicación web 5'!C11)</f>
        <v>44986</v>
      </c>
      <c r="D42" t="str">
        <f>IF('Aplicación web 5'!D11="","",'Aplicación web 5'!D11)</f>
        <v>Exposición de información</v>
      </c>
      <c r="E42" t="str">
        <f>IF('Aplicación web 5'!E11="","",'Aplicación web 5'!E11)</f>
        <v>Confidencialidad</v>
      </c>
      <c r="F42" t="str">
        <f>IF('Aplicación web 5'!F11="","",'Aplicación web 5'!F11)</f>
        <v>Aplicación web 1</v>
      </c>
      <c r="G42" t="str">
        <f>IF('Aplicación web 5'!G11="","",'Aplicación web 5'!G11)</f>
        <v>CVE-2020-8589</v>
      </c>
      <c r="H42" t="str">
        <f>IF('Aplicación web 5'!H11="","",'Aplicación web 5'!H11)</f>
        <v>Pendiente</v>
      </c>
      <c r="I42" t="str">
        <f>IF('Aplicación web 5'!I11="","",'Aplicación web 5'!I11)</f>
        <v>2h</v>
      </c>
      <c r="J42" t="str">
        <f>IF('Aplicación web 5'!J11="","",'Aplicación web 5'!J11)</f>
        <v>Difícil (4)</v>
      </c>
    </row>
    <row r="43" spans="1:10">
      <c r="A43" t="str">
        <f>IF('Aplicación web 5'!A12="","",'Aplicación web 5'!A12)</f>
        <v/>
      </c>
      <c r="B43" t="str">
        <f>IF('Aplicación web 5'!B12="","",'Aplicación web 5'!B12)</f>
        <v/>
      </c>
      <c r="C43" s="61" t="str">
        <f>IF('Aplicación web 5'!C12="","",'Aplicación web 5'!C12)</f>
        <v/>
      </c>
      <c r="D43" t="str">
        <f>IF('Aplicación web 5'!D12="","",'Aplicación web 5'!D12)</f>
        <v/>
      </c>
      <c r="E43" t="str">
        <f>IF('Aplicación web 5'!E12="","",'Aplicación web 5'!E12)</f>
        <v/>
      </c>
      <c r="F43" t="str">
        <f>IF('Aplicación web 5'!F12="","",'Aplicación web 5'!F12)</f>
        <v/>
      </c>
      <c r="G43" t="str">
        <f>IF('Aplicación web 5'!G12="","",'Aplicación web 5'!G12)</f>
        <v/>
      </c>
      <c r="H43" t="str">
        <f>IF('Aplicación web 5'!H12="","",'Aplicación web 5'!H12)</f>
        <v/>
      </c>
      <c r="I43" t="str">
        <f>IF('Aplicación web 5'!I12="","",'Aplicación web 5'!I12)</f>
        <v/>
      </c>
      <c r="J43" t="str">
        <f>IF('Aplicación web 5'!J12="","",'Aplicación web 5'!J12)</f>
        <v/>
      </c>
    </row>
    <row r="44" spans="1:10">
      <c r="A44" t="str">
        <f>IF('Aplicación web 5'!A13="","",'Aplicación web 5'!A13)</f>
        <v/>
      </c>
      <c r="B44" t="str">
        <f>IF('Aplicación web 5'!B13="","",'Aplicación web 5'!B13)</f>
        <v/>
      </c>
      <c r="C44" s="61" t="str">
        <f>IF('Aplicación web 5'!C13="","",'Aplicación web 5'!C13)</f>
        <v/>
      </c>
      <c r="D44" t="str">
        <f>IF('Aplicación web 5'!D13="","",'Aplicación web 5'!D13)</f>
        <v/>
      </c>
      <c r="E44" t="str">
        <f>IF('Aplicación web 5'!E13="","",'Aplicación web 5'!E13)</f>
        <v/>
      </c>
      <c r="F44" t="str">
        <f>IF('Aplicación web 5'!F13="","",'Aplicación web 5'!F13)</f>
        <v/>
      </c>
      <c r="G44" t="str">
        <f>IF('Aplicación web 5'!G13="","",'Aplicación web 5'!G13)</f>
        <v/>
      </c>
      <c r="H44" t="str">
        <f>IF('Aplicación web 5'!H13="","",'Aplicación web 5'!H13)</f>
        <v/>
      </c>
      <c r="I44" t="str">
        <f>IF('Aplicación web 5'!I13="","",'Aplicación web 5'!I13)</f>
        <v/>
      </c>
      <c r="J44" t="str">
        <f>IF('Aplicación web 5'!J13="","",'Aplicación web 5'!J13)</f>
        <v/>
      </c>
    </row>
    <row r="45" spans="1:10">
      <c r="A45" t="str">
        <f>IF('Aplicación web 5'!A14="","",'Aplicación web 5'!A14)</f>
        <v/>
      </c>
      <c r="B45" t="str">
        <f>IF('Aplicación web 5'!B14="","",'Aplicación web 5'!B14)</f>
        <v/>
      </c>
      <c r="C45" s="61" t="str">
        <f>IF('Aplicación web 5'!C14="","",'Aplicación web 5'!C14)</f>
        <v/>
      </c>
      <c r="D45" t="str">
        <f>IF('Aplicación web 5'!D14="","",'Aplicación web 5'!D14)</f>
        <v/>
      </c>
      <c r="E45" t="str">
        <f>IF('Aplicación web 5'!E14="","",'Aplicación web 5'!E14)</f>
        <v/>
      </c>
      <c r="F45" t="str">
        <f>IF('Aplicación web 5'!F14="","",'Aplicación web 5'!F14)</f>
        <v/>
      </c>
      <c r="G45" t="str">
        <f>IF('Aplicación web 5'!G14="","",'Aplicación web 5'!G14)</f>
        <v/>
      </c>
      <c r="H45" t="str">
        <f>IF('Aplicación web 5'!H14="","",'Aplicación web 5'!H14)</f>
        <v/>
      </c>
      <c r="I45" t="str">
        <f>IF('Aplicación web 5'!I14="","",'Aplicación web 5'!I14)</f>
        <v/>
      </c>
      <c r="J45" t="str">
        <f>IF('Aplicación web 5'!J14="","",'Aplicación web 5'!J14)</f>
        <v/>
      </c>
    </row>
    <row r="46" spans="1:10">
      <c r="A46" t="str">
        <f>IF('Aplicación web 5'!A15="","",'Aplicación web 5'!A15)</f>
        <v/>
      </c>
      <c r="B46" t="str">
        <f>IF('Aplicación web 5'!B15="","",'Aplicación web 5'!B15)</f>
        <v/>
      </c>
      <c r="C46" s="61" t="str">
        <f>IF('Aplicación web 5'!C15="","",'Aplicación web 5'!C15)</f>
        <v/>
      </c>
      <c r="D46" t="str">
        <f>IF('Aplicación web 5'!D15="","",'Aplicación web 5'!D15)</f>
        <v/>
      </c>
      <c r="E46" t="str">
        <f>IF('Aplicación web 5'!E15="","",'Aplicación web 5'!E15)</f>
        <v/>
      </c>
      <c r="F46" t="str">
        <f>IF('Aplicación web 5'!F15="","",'Aplicación web 5'!F15)</f>
        <v/>
      </c>
      <c r="G46" t="str">
        <f>IF('Aplicación web 5'!G15="","",'Aplicación web 5'!G15)</f>
        <v/>
      </c>
      <c r="H46" t="str">
        <f>IF('Aplicación web 5'!H15="","",'Aplicación web 5'!H15)</f>
        <v/>
      </c>
      <c r="I46" t="str">
        <f>IF('Aplicación web 5'!I15="","",'Aplicación web 5'!I15)</f>
        <v/>
      </c>
      <c r="J46" t="str">
        <f>IF('Aplicación web 5'!J15="","",'Aplicación web 5'!J15)</f>
        <v/>
      </c>
    </row>
    <row r="47" spans="1:10">
      <c r="A47" t="str">
        <f>IF('Aplicación web 5'!A16="","",'Aplicación web 5'!A16)</f>
        <v/>
      </c>
      <c r="B47" t="str">
        <f>IF('Aplicación web 5'!B16="","",'Aplicación web 5'!B16)</f>
        <v/>
      </c>
      <c r="C47" s="61" t="str">
        <f>IF('Aplicación web 5'!C16="","",'Aplicación web 5'!C16)</f>
        <v/>
      </c>
      <c r="D47" t="str">
        <f>IF('Aplicación web 5'!D16="","",'Aplicación web 5'!D16)</f>
        <v/>
      </c>
      <c r="E47" t="str">
        <f>IF('Aplicación web 5'!E16="","",'Aplicación web 5'!E16)</f>
        <v/>
      </c>
      <c r="F47" t="str">
        <f>IF('Aplicación web 5'!F16="","",'Aplicación web 5'!F16)</f>
        <v/>
      </c>
      <c r="G47" t="str">
        <f>IF('Aplicación web 5'!G16="","",'Aplicación web 5'!G16)</f>
        <v/>
      </c>
      <c r="H47" t="str">
        <f>IF('Aplicación web 5'!H16="","",'Aplicación web 5'!H16)</f>
        <v/>
      </c>
      <c r="I47" t="str">
        <f>IF('Aplicación web 5'!I16="","",'Aplicación web 5'!I16)</f>
        <v/>
      </c>
      <c r="J47" t="str">
        <f>IF('Aplicación web 5'!J16="","",'Aplicación web 5'!J16)</f>
        <v/>
      </c>
    </row>
    <row r="48" spans="1:10">
      <c r="A48" t="str">
        <f>IF('Aplicación web 5'!A17="","",'Aplicación web 5'!A17)</f>
        <v/>
      </c>
      <c r="B48" t="str">
        <f>IF('Aplicación web 5'!B17="","",'Aplicación web 5'!B17)</f>
        <v/>
      </c>
      <c r="C48" s="61" t="str">
        <f>IF('Aplicación web 5'!C17="","",'Aplicación web 5'!C17)</f>
        <v/>
      </c>
      <c r="D48" t="str">
        <f>IF('Aplicación web 5'!D17="","",'Aplicación web 5'!D17)</f>
        <v/>
      </c>
      <c r="E48" t="str">
        <f>IF('Aplicación web 5'!E17="","",'Aplicación web 5'!E17)</f>
        <v/>
      </c>
      <c r="F48" t="str">
        <f>IF('Aplicación web 5'!F17="","",'Aplicación web 5'!F17)</f>
        <v/>
      </c>
      <c r="G48" t="str">
        <f>IF('Aplicación web 5'!G17="","",'Aplicación web 5'!G17)</f>
        <v/>
      </c>
      <c r="H48" t="str">
        <f>IF('Aplicación web 5'!H17="","",'Aplicación web 5'!H17)</f>
        <v/>
      </c>
      <c r="I48" t="str">
        <f>IF('Aplicación web 5'!I17="","",'Aplicación web 5'!I17)</f>
        <v/>
      </c>
      <c r="J48" t="str">
        <f>IF('Aplicación web 5'!J17="","",'Aplicación web 5'!J17)</f>
        <v/>
      </c>
    </row>
    <row r="49" spans="1:10">
      <c r="A49" s="53" t="str">
        <f>IF('Aplicación web 5'!A18="","",'Aplicación web 5'!A18)</f>
        <v/>
      </c>
      <c r="B49" s="53" t="str">
        <f>IF('Aplicación web 5'!B18="","",'Aplicación web 5'!B18)</f>
        <v/>
      </c>
      <c r="C49" s="62" t="str">
        <f>IF('Aplicación web 5'!C18="","",'Aplicación web 5'!C18)</f>
        <v/>
      </c>
      <c r="D49" s="53" t="str">
        <f>IF('Aplicación web 5'!D18="","",'Aplicación web 5'!D18)</f>
        <v/>
      </c>
      <c r="E49" s="53" t="str">
        <f>IF('Aplicación web 5'!E18="","",'Aplicación web 5'!E18)</f>
        <v/>
      </c>
      <c r="F49" s="53" t="str">
        <f>IF('Aplicación web 5'!F18="","",'Aplicación web 5'!F18)</f>
        <v/>
      </c>
      <c r="G49" s="53" t="str">
        <f>IF('Aplicación web 5'!G18="","",'Aplicación web 5'!G18)</f>
        <v/>
      </c>
      <c r="H49" s="53" t="str">
        <f>IF('Aplicación web 5'!H18="","",'Aplicación web 5'!H18)</f>
        <v/>
      </c>
      <c r="I49" s="53" t="str">
        <f>IF('Aplicación web 5'!I18="","",'Aplicación web 5'!I18)</f>
        <v/>
      </c>
      <c r="J49" s="53" t="str">
        <f>IF('Aplicación web 5'!J18="","",'Aplicación web 5'!J18)</f>
        <v/>
      </c>
    </row>
  </sheetData>
  <mergeCells count="4">
    <mergeCell ref="B2:B4"/>
    <mergeCell ref="C2:D2"/>
    <mergeCell ref="C3:D4"/>
    <mergeCell ref="E3:F4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2"/>
  <sheetViews>
    <sheetView showGridLines="0" zoomScale="80" zoomScaleNormal="80" workbookViewId="0">
      <pane ySplit="4" topLeftCell="A9" activePane="bottomLeft" state="frozen"/>
      <selection pane="bottomLeft" activeCell="C9" sqref="C9"/>
    </sheetView>
  </sheetViews>
  <sheetFormatPr defaultColWidth="11.42578125" defaultRowHeight="14.45"/>
  <cols>
    <col min="1" max="1" width="41.7109375" customWidth="1"/>
    <col min="2" max="2" width="22.85546875" customWidth="1"/>
    <col min="3" max="3" width="32.85546875" customWidth="1"/>
    <col min="4" max="4" width="36.140625" customWidth="1"/>
    <col min="5" max="5" width="33.5703125" bestFit="1" customWidth="1"/>
    <col min="6" max="6" width="17.85546875" customWidth="1"/>
  </cols>
  <sheetData>
    <row r="1" spans="1:6" ht="15" thickBot="1"/>
    <row r="2" spans="1:6" ht="39.950000000000003" customHeight="1" thickTop="1" thickBot="1">
      <c r="A2" s="93" t="e" vm="1">
        <v>#VALUE!</v>
      </c>
      <c r="B2" s="85" t="e" vm="2">
        <v>#VALUE!</v>
      </c>
      <c r="C2" s="88" t="s">
        <v>0</v>
      </c>
      <c r="D2" s="76"/>
      <c r="E2" s="36"/>
      <c r="F2" s="20" t="str">
        <f>'Panel de Control'!F2</f>
        <v>V1.0</v>
      </c>
    </row>
    <row r="3" spans="1:6" ht="17.25" customHeight="1" thickTop="1">
      <c r="A3" s="93"/>
      <c r="B3" s="86"/>
      <c r="C3" s="89" t="s">
        <v>2</v>
      </c>
      <c r="D3" s="77"/>
      <c r="E3" s="79"/>
      <c r="F3" s="80"/>
    </row>
    <row r="4" spans="1:6" ht="15" thickBot="1">
      <c r="A4" s="93"/>
      <c r="B4" s="87"/>
      <c r="C4" s="90"/>
      <c r="D4" s="78"/>
      <c r="E4" s="81"/>
      <c r="F4" s="82"/>
    </row>
    <row r="5" spans="1:6" ht="15.6" thickTop="1" thickBot="1"/>
    <row r="6" spans="1:6" ht="24" customHeight="1">
      <c r="A6" s="91" t="s">
        <v>30</v>
      </c>
      <c r="B6" s="91"/>
      <c r="C6" s="91"/>
      <c r="D6" s="91"/>
      <c r="E6" s="92"/>
      <c r="F6" s="22"/>
    </row>
    <row r="7" spans="1:6" ht="21">
      <c r="A7" s="37" t="s">
        <v>31</v>
      </c>
      <c r="B7" s="37" t="s">
        <v>32</v>
      </c>
      <c r="C7" s="37" t="s">
        <v>33</v>
      </c>
      <c r="D7" s="37" t="s">
        <v>34</v>
      </c>
      <c r="E7" s="37" t="s">
        <v>35</v>
      </c>
      <c r="F7" s="37" t="s">
        <v>36</v>
      </c>
    </row>
    <row r="8" spans="1:6" ht="30" customHeight="1">
      <c r="A8" s="38" t="s">
        <v>37</v>
      </c>
      <c r="B8" s="39" t="s">
        <v>38</v>
      </c>
      <c r="C8" s="58" t="s">
        <v>39</v>
      </c>
      <c r="D8" s="21" t="s">
        <v>40</v>
      </c>
      <c r="E8" s="63" t="s">
        <v>41</v>
      </c>
      <c r="F8" s="32" t="s">
        <v>42</v>
      </c>
    </row>
    <row r="9" spans="1:6" ht="30" customHeight="1">
      <c r="A9" s="38"/>
      <c r="B9" s="39"/>
      <c r="C9" s="58"/>
      <c r="D9" s="21"/>
      <c r="E9" s="63"/>
      <c r="F9" s="33"/>
    </row>
    <row r="10" spans="1:6" ht="30" customHeight="1">
      <c r="A10" s="38"/>
      <c r="B10" s="39"/>
      <c r="C10" s="58"/>
      <c r="D10" s="21"/>
      <c r="E10" s="63"/>
      <c r="F10" s="33"/>
    </row>
    <row r="11" spans="1:6" ht="30" customHeight="1">
      <c r="A11" s="38"/>
      <c r="B11" s="39"/>
      <c r="C11" s="58"/>
      <c r="D11" s="21"/>
      <c r="E11" s="63"/>
      <c r="F11" s="33"/>
    </row>
    <row r="12" spans="1:6" ht="30" customHeight="1">
      <c r="A12" s="38"/>
      <c r="B12" s="39"/>
      <c r="C12" s="58"/>
      <c r="D12" s="21"/>
      <c r="E12" s="63"/>
      <c r="F12" s="33"/>
    </row>
  </sheetData>
  <mergeCells count="6">
    <mergeCell ref="A6:E6"/>
    <mergeCell ref="B2:B4"/>
    <mergeCell ref="C2:D2"/>
    <mergeCell ref="C3:D4"/>
    <mergeCell ref="E3:F4"/>
    <mergeCell ref="A2:A4"/>
  </mergeCells>
  <conditionalFormatting sqref="D8:D12">
    <cfRule type="cellIs" dxfId="489" priority="231" operator="equal">
      <formula>"Terminado"</formula>
    </cfRule>
    <cfRule type="cellIs" dxfId="488" priority="232" operator="equal">
      <formula>"Recibido"</formula>
    </cfRule>
    <cfRule type="cellIs" dxfId="487" priority="233" operator="equal">
      <formula>"Pedido"</formula>
    </cfRule>
    <cfRule type="cellIs" dxfId="486" priority="234" operator="equal">
      <formula>"Pendiente"</formula>
    </cfRule>
  </conditionalFormatting>
  <conditionalFormatting sqref="D8:D12">
    <cfRule type="cellIs" dxfId="485" priority="230" operator="equal">
      <formula>"En Proceso"</formula>
    </cfRule>
  </conditionalFormatting>
  <conditionalFormatting sqref="D8:D12">
    <cfRule type="cellIs" dxfId="484" priority="223" operator="equal">
      <formula>"Revisión"</formula>
    </cfRule>
  </conditionalFormatting>
  <conditionalFormatting sqref="D8">
    <cfRule type="cellIs" dxfId="483" priority="322" operator="equal">
      <formula>"Completado"</formula>
    </cfRule>
    <cfRule type="cellIs" dxfId="482" priority="323" operator="equal">
      <formula>"Completado"</formula>
    </cfRule>
    <cfRule type="cellIs" dxfId="481" priority="324" operator="equal">
      <formula>"Auditando"</formula>
    </cfRule>
    <cfRule type="cellIs" dxfId="480" priority="325" operator="equal">
      <formula>"Por auditar"</formula>
    </cfRule>
    <cfRule type="cellIs" dxfId="479" priority="326" operator="equal">
      <formula>"Por auditar"</formula>
    </cfRule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9">
    <cfRule type="cellIs" dxfId="478" priority="109" operator="equal">
      <formula>"Completado"</formula>
    </cfRule>
    <cfRule type="cellIs" dxfId="477" priority="110" operator="equal">
      <formula>"Completado"</formula>
    </cfRule>
    <cfRule type="cellIs" dxfId="476" priority="111" operator="equal">
      <formula>"Auditando"</formula>
    </cfRule>
    <cfRule type="cellIs" dxfId="475" priority="112" operator="equal">
      <formula>"Por auditar"</formula>
    </cfRule>
    <cfRule type="cellIs" dxfId="474" priority="113" operator="equal">
      <formula>"Por auditar"</formula>
    </cfRule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0">
    <cfRule type="cellIs" dxfId="473" priority="103" operator="equal">
      <formula>"Completado"</formula>
    </cfRule>
    <cfRule type="cellIs" dxfId="472" priority="104" operator="equal">
      <formula>"Completado"</formula>
    </cfRule>
    <cfRule type="cellIs" dxfId="471" priority="105" operator="equal">
      <formula>"Auditando"</formula>
    </cfRule>
    <cfRule type="cellIs" dxfId="470" priority="106" operator="equal">
      <formula>"Por auditar"</formula>
    </cfRule>
    <cfRule type="cellIs" dxfId="469" priority="107" operator="equal">
      <formula>"Por auditar"</formula>
    </cfRule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">
    <cfRule type="cellIs" dxfId="468" priority="97" operator="equal">
      <formula>"Completado"</formula>
    </cfRule>
    <cfRule type="cellIs" dxfId="467" priority="98" operator="equal">
      <formula>"Completado"</formula>
    </cfRule>
    <cfRule type="cellIs" dxfId="466" priority="99" operator="equal">
      <formula>"Auditando"</formula>
    </cfRule>
    <cfRule type="cellIs" dxfId="465" priority="100" operator="equal">
      <formula>"Por auditar"</formula>
    </cfRule>
    <cfRule type="cellIs" dxfId="464" priority="101" operator="equal">
      <formula>"Por auditar"</formula>
    </cfRule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2">
    <cfRule type="cellIs" dxfId="463" priority="91" operator="equal">
      <formula>"Completado"</formula>
    </cfRule>
    <cfRule type="cellIs" dxfId="462" priority="92" operator="equal">
      <formula>"Completado"</formula>
    </cfRule>
    <cfRule type="cellIs" dxfId="461" priority="93" operator="equal">
      <formula>"Auditando"</formula>
    </cfRule>
    <cfRule type="cellIs" dxfId="460" priority="94" operator="equal">
      <formula>"Por auditar"</formula>
    </cfRule>
    <cfRule type="cellIs" dxfId="459" priority="95" operator="equal">
      <formula>"Por auditar"</formula>
    </cfRule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9:D12">
    <cfRule type="cellIs" dxfId="458" priority="418" operator="equal">
      <formula>"Completado"</formula>
    </cfRule>
    <cfRule type="cellIs" dxfId="457" priority="419" operator="equal">
      <formula>"Completado"</formula>
    </cfRule>
    <cfRule type="cellIs" dxfId="456" priority="420" operator="equal">
      <formula>"Auditando"</formula>
    </cfRule>
    <cfRule type="cellIs" dxfId="455" priority="421" operator="equal">
      <formula>"Por auditar"</formula>
    </cfRule>
    <cfRule type="cellIs" dxfId="454" priority="422" operator="equal">
      <formula>"Por auditar"</formula>
    </cfRule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D8:D12" xr:uid="{00000000-0002-0000-0100-000000000000}">
      <formula1>"Por auditar,Auditando,Desarrollando informe,Revisión,Completado"</formula1>
    </dataValidation>
  </dataValidations>
  <hyperlinks>
    <hyperlink ref="E8" location="'Aplicación web 1'!A1" display="Enlace al recurso" xr:uid="{99822A6F-C175-460F-B936-F5CEED2FEE24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8047-5C61-4FC1-AA6B-C75FEA02A6F7}">
  <sheetPr codeName="Hoja3"/>
  <dimension ref="A1:M112"/>
  <sheetViews>
    <sheetView showGridLines="0" tabSelected="1" zoomScale="80" zoomScaleNormal="60" workbookViewId="0">
      <pane ySplit="4" topLeftCell="E10" activePane="bottomLeft" state="frozen"/>
      <selection pane="bottomLeft" activeCell="J18" sqref="F11:J18"/>
    </sheetView>
  </sheetViews>
  <sheetFormatPr defaultColWidth="11.42578125" defaultRowHeight="14.45"/>
  <cols>
    <col min="1" max="1" width="17.28515625" style="1" customWidth="1"/>
    <col min="2" max="2" width="33" style="1" bestFit="1" customWidth="1"/>
    <col min="3" max="3" width="22.85546875" style="1" customWidth="1"/>
    <col min="4" max="4" width="32.85546875" style="1" customWidth="1"/>
    <col min="5" max="5" width="36.140625" style="1" customWidth="1"/>
    <col min="6" max="6" width="27.85546875" style="1" customWidth="1"/>
    <col min="7" max="7" width="21.5703125" style="1" customWidth="1"/>
    <col min="8" max="8" width="22.140625" style="1" customWidth="1"/>
    <col min="9" max="9" width="21.5703125" style="1" customWidth="1"/>
    <col min="10" max="10" width="25.28515625" style="42" customWidth="1"/>
    <col min="11" max="12" width="11.42578125" style="1"/>
    <col min="13" max="13" width="10.85546875" customWidth="1"/>
  </cols>
  <sheetData>
    <row r="1" spans="1:13" ht="15" thickBot="1">
      <c r="A1" s="23"/>
      <c r="B1" s="23"/>
      <c r="C1" s="23"/>
      <c r="D1" s="23"/>
      <c r="E1" s="23"/>
      <c r="F1" s="23"/>
      <c r="G1" s="23"/>
      <c r="H1" s="23"/>
      <c r="I1" s="23"/>
      <c r="K1" s="23"/>
      <c r="L1" s="23"/>
    </row>
    <row r="2" spans="1:13" ht="39.950000000000003" customHeight="1" thickTop="1" thickBot="1">
      <c r="A2" s="93" t="e" vm="1">
        <v>#VALUE!</v>
      </c>
      <c r="B2" s="93" t="e" vm="1">
        <v>#VALUE!</v>
      </c>
      <c r="C2" s="85" t="e" vm="2">
        <v>#VALUE!</v>
      </c>
      <c r="D2" s="88" t="s">
        <v>0</v>
      </c>
      <c r="E2" s="76"/>
      <c r="F2" s="94" t="s">
        <v>43</v>
      </c>
      <c r="G2" s="94"/>
      <c r="H2" s="20" t="str">
        <f>'Panel de Control'!F2</f>
        <v>V1.0</v>
      </c>
      <c r="I2" s="23"/>
      <c r="K2" s="23"/>
      <c r="L2" s="23"/>
    </row>
    <row r="3" spans="1:13" ht="15.6" customHeight="1" thickTop="1">
      <c r="A3" s="93"/>
      <c r="B3" s="93"/>
      <c r="C3" s="86"/>
      <c r="D3" s="89" t="s">
        <v>2</v>
      </c>
      <c r="E3" s="77"/>
      <c r="F3" s="95"/>
      <c r="G3" s="79"/>
      <c r="H3" s="80"/>
      <c r="I3" s="23"/>
      <c r="K3" s="23"/>
      <c r="L3" s="23"/>
    </row>
    <row r="4" spans="1:13" ht="15" thickBot="1">
      <c r="A4" s="93"/>
      <c r="B4" s="93"/>
      <c r="C4" s="87"/>
      <c r="D4" s="90"/>
      <c r="E4" s="78"/>
      <c r="F4" s="96"/>
      <c r="G4" s="81"/>
      <c r="H4" s="82"/>
      <c r="I4" s="23"/>
      <c r="K4" s="23"/>
      <c r="L4" s="23"/>
    </row>
    <row r="5" spans="1:13" ht="15.6" thickTop="1" thickBot="1">
      <c r="A5" s="23"/>
      <c r="B5" s="23"/>
      <c r="C5" s="6"/>
      <c r="D5" s="7"/>
      <c r="E5" s="7"/>
      <c r="F5" s="5"/>
      <c r="G5" s="5"/>
      <c r="H5" s="5"/>
      <c r="I5" s="23"/>
      <c r="J5" s="43"/>
      <c r="K5" s="23"/>
      <c r="L5" s="23"/>
    </row>
    <row r="6" spans="1:13" ht="15.6" customHeight="1">
      <c r="A6" s="14"/>
      <c r="B6" s="15"/>
      <c r="C6" s="8" t="s">
        <v>44</v>
      </c>
      <c r="D6" s="11" t="s">
        <v>45</v>
      </c>
      <c r="E6" s="24" t="s">
        <v>12</v>
      </c>
      <c r="F6" s="25" t="s">
        <v>15</v>
      </c>
      <c r="G6" s="25" t="s">
        <v>13</v>
      </c>
      <c r="H6" s="26" t="s">
        <v>14</v>
      </c>
      <c r="I6" s="23"/>
      <c r="K6" s="23"/>
      <c r="L6" s="23"/>
    </row>
    <row r="7" spans="1:13">
      <c r="A7" s="23"/>
      <c r="B7" s="23"/>
      <c r="C7" s="23"/>
      <c r="D7" s="27" t="s">
        <v>46</v>
      </c>
      <c r="E7" s="17">
        <f>COUNTIF(A:A,"Alta")</f>
        <v>2</v>
      </c>
      <c r="F7" s="16">
        <f>COUNTIF(A:A,"Media")</f>
        <v>3</v>
      </c>
      <c r="G7" s="18">
        <f>COUNTIF(A:A,"Baja")</f>
        <v>2</v>
      </c>
      <c r="H7" s="19">
        <f>COUNTIF(A:A,"Informativa")</f>
        <v>1</v>
      </c>
      <c r="I7" s="23"/>
      <c r="K7" s="23"/>
      <c r="L7" s="23"/>
    </row>
    <row r="8" spans="1:13">
      <c r="A8" s="23"/>
      <c r="B8" s="23"/>
      <c r="C8" s="23"/>
      <c r="D8" s="27" t="s">
        <v>47</v>
      </c>
      <c r="E8" s="17">
        <f>COUNTIFS(A:A,"Alta",H:H,"Resuelta")</f>
        <v>0</v>
      </c>
      <c r="F8" s="16">
        <f>COUNTIFS(A:A,"Media",H:H,"Resuelta")</f>
        <v>0</v>
      </c>
      <c r="G8" s="18">
        <f>COUNTIFS(A:A,"Baja",H:H,"Resuelta")</f>
        <v>0</v>
      </c>
      <c r="H8" s="19">
        <f>COUNTIFS(A:A,"Informativa",H:H,"Resuelta")</f>
        <v>0</v>
      </c>
      <c r="I8" s="23"/>
      <c r="K8" s="23"/>
      <c r="L8" s="23"/>
    </row>
    <row r="9" spans="1:13">
      <c r="A9" s="23"/>
      <c r="B9" s="23"/>
      <c r="C9" s="23"/>
      <c r="D9" s="23"/>
      <c r="E9" s="23"/>
      <c r="F9" s="23"/>
      <c r="G9" s="23"/>
      <c r="H9" s="23"/>
      <c r="I9" s="23"/>
      <c r="K9" s="23"/>
      <c r="L9" s="23"/>
    </row>
    <row r="10" spans="1:13" ht="15" thickBot="1">
      <c r="A10" s="29" t="s">
        <v>20</v>
      </c>
      <c r="B10" s="30" t="s">
        <v>21</v>
      </c>
      <c r="C10" s="30" t="s">
        <v>22</v>
      </c>
      <c r="D10" s="31" t="s">
        <v>23</v>
      </c>
      <c r="E10" s="31" t="s">
        <v>24</v>
      </c>
      <c r="F10" s="31" t="s">
        <v>25</v>
      </c>
      <c r="G10" s="31" t="s">
        <v>26</v>
      </c>
      <c r="H10" s="31" t="s">
        <v>27</v>
      </c>
      <c r="I10" s="31" t="s">
        <v>28</v>
      </c>
      <c r="J10" s="41" t="s">
        <v>29</v>
      </c>
      <c r="K10" s="23"/>
      <c r="L10" s="23"/>
    </row>
    <row r="11" spans="1:13" ht="43.5" customHeight="1">
      <c r="A11" s="28" t="s">
        <v>12</v>
      </c>
      <c r="B11" s="4" t="s">
        <v>48</v>
      </c>
      <c r="C11" s="12">
        <v>44986</v>
      </c>
      <c r="D11" s="2" t="s">
        <v>49</v>
      </c>
      <c r="E11" s="2" t="s">
        <v>50</v>
      </c>
      <c r="F11" s="2"/>
      <c r="G11" s="2"/>
      <c r="H11" s="9"/>
      <c r="I11" s="2"/>
      <c r="J11" s="2"/>
      <c r="K11" s="23"/>
      <c r="L11" s="23"/>
    </row>
    <row r="12" spans="1:13" s="1" customFormat="1" ht="43.5" customHeight="1">
      <c r="A12" s="28" t="s">
        <v>12</v>
      </c>
      <c r="B12" s="10" t="s">
        <v>51</v>
      </c>
      <c r="C12" s="12">
        <v>44986</v>
      </c>
      <c r="D12" s="2" t="s">
        <v>52</v>
      </c>
      <c r="E12" s="2" t="s">
        <v>50</v>
      </c>
      <c r="F12" s="2"/>
      <c r="G12" s="2"/>
      <c r="H12" s="9"/>
      <c r="I12" s="2"/>
      <c r="J12" s="2"/>
      <c r="K12" s="23"/>
      <c r="L12" s="23"/>
      <c r="M12" s="23"/>
    </row>
    <row r="13" spans="1:13" s="1" customFormat="1" ht="43.5" customHeight="1">
      <c r="A13" s="28" t="s">
        <v>15</v>
      </c>
      <c r="B13" s="10" t="s">
        <v>53</v>
      </c>
      <c r="C13" s="12">
        <v>44986</v>
      </c>
      <c r="D13" s="2" t="s">
        <v>52</v>
      </c>
      <c r="E13" s="2" t="s">
        <v>54</v>
      </c>
      <c r="F13" s="2"/>
      <c r="G13" s="2"/>
      <c r="H13" s="9"/>
      <c r="I13" s="2"/>
      <c r="J13" s="2"/>
      <c r="K13" s="23"/>
      <c r="L13" s="23"/>
      <c r="M13" s="23"/>
    </row>
    <row r="14" spans="1:13" s="1" customFormat="1" ht="43.5" customHeight="1">
      <c r="A14" s="28" t="s">
        <v>15</v>
      </c>
      <c r="B14" s="3" t="s">
        <v>55</v>
      </c>
      <c r="C14" s="12">
        <v>44986</v>
      </c>
      <c r="D14" s="2" t="s">
        <v>52</v>
      </c>
      <c r="E14" s="2" t="s">
        <v>54</v>
      </c>
      <c r="F14" s="2"/>
      <c r="G14" s="2"/>
      <c r="H14" s="9"/>
      <c r="I14" s="2"/>
      <c r="J14" s="2"/>
      <c r="K14" s="23"/>
      <c r="L14" s="23"/>
      <c r="M14" s="23"/>
    </row>
    <row r="15" spans="1:13" s="1" customFormat="1" ht="43.5" customHeight="1">
      <c r="A15" s="35" t="s">
        <v>15</v>
      </c>
      <c r="B15" s="3" t="s">
        <v>56</v>
      </c>
      <c r="C15" s="12">
        <v>44986</v>
      </c>
      <c r="D15" s="2" t="s">
        <v>52</v>
      </c>
      <c r="E15" s="2" t="s">
        <v>54</v>
      </c>
      <c r="F15" s="2"/>
      <c r="G15" s="2"/>
      <c r="H15" s="9"/>
      <c r="I15" s="2"/>
      <c r="J15" s="2"/>
      <c r="K15" s="23"/>
      <c r="L15" s="23"/>
      <c r="M15" s="23"/>
    </row>
    <row r="16" spans="1:13" s="1" customFormat="1" ht="43.5" customHeight="1">
      <c r="A16" s="28" t="s">
        <v>13</v>
      </c>
      <c r="B16" s="3" t="s">
        <v>57</v>
      </c>
      <c r="C16" s="12">
        <v>44986</v>
      </c>
      <c r="D16" s="2" t="s">
        <v>52</v>
      </c>
      <c r="E16" s="2" t="s">
        <v>58</v>
      </c>
      <c r="F16" s="2"/>
      <c r="G16" s="2"/>
      <c r="H16" s="9"/>
      <c r="I16" s="2"/>
      <c r="J16" s="2"/>
      <c r="K16" s="23"/>
      <c r="L16" s="23"/>
      <c r="M16" s="23"/>
    </row>
    <row r="17" spans="1:13" s="1" customFormat="1" ht="43.5" customHeight="1">
      <c r="A17" s="28" t="s">
        <v>13</v>
      </c>
      <c r="B17" s="3" t="s">
        <v>59</v>
      </c>
      <c r="C17" s="12">
        <v>44986</v>
      </c>
      <c r="D17" s="2" t="s">
        <v>52</v>
      </c>
      <c r="E17" s="2" t="s">
        <v>54</v>
      </c>
      <c r="F17" s="2"/>
      <c r="G17" s="2"/>
      <c r="H17" s="9"/>
      <c r="I17" s="2"/>
      <c r="J17" s="2"/>
      <c r="K17" s="23"/>
      <c r="L17" s="23"/>
      <c r="M17" s="23"/>
    </row>
    <row r="18" spans="1:13" s="1" customFormat="1" ht="43.5" customHeight="1">
      <c r="A18" s="28" t="s">
        <v>14</v>
      </c>
      <c r="B18" s="3" t="s">
        <v>60</v>
      </c>
      <c r="C18" s="12">
        <v>44986</v>
      </c>
      <c r="D18" s="12" t="s">
        <v>61</v>
      </c>
      <c r="E18" s="2" t="s">
        <v>62</v>
      </c>
      <c r="F18" s="2"/>
      <c r="G18" s="2"/>
      <c r="H18" s="9"/>
      <c r="I18" s="2"/>
      <c r="J18" s="2"/>
      <c r="K18" s="23"/>
      <c r="L18" s="23"/>
      <c r="M18" s="23"/>
    </row>
    <row r="19" spans="1:13" s="1" customFormat="1" ht="21.6" thickTop="1">
      <c r="A19" s="13"/>
      <c r="B19" s="23"/>
      <c r="C19" s="23"/>
      <c r="D19" s="23"/>
      <c r="E19" s="23"/>
      <c r="F19" s="23"/>
      <c r="G19" s="23"/>
      <c r="H19" s="23"/>
      <c r="I19" s="23"/>
      <c r="J19" s="42"/>
      <c r="K19" s="23"/>
      <c r="L19" s="23"/>
      <c r="M19" s="23"/>
    </row>
    <row r="20" spans="1:13" s="1" customFormat="1" ht="13.9">
      <c r="A20" s="23"/>
      <c r="B20" s="23"/>
      <c r="C20" s="23"/>
      <c r="D20" s="23"/>
      <c r="E20" s="23"/>
      <c r="F20" s="23"/>
      <c r="G20" s="23"/>
      <c r="H20" s="23"/>
      <c r="I20" s="23"/>
      <c r="J20" s="42"/>
      <c r="K20" s="23"/>
      <c r="L20" s="23"/>
      <c r="M20" s="23"/>
    </row>
    <row r="21" spans="1:13" s="1" customFormat="1" ht="13.9">
      <c r="A21" s="23"/>
      <c r="B21" s="23"/>
      <c r="C21" s="23"/>
      <c r="D21" s="23"/>
      <c r="E21" s="23"/>
      <c r="F21" s="23"/>
      <c r="G21" s="23"/>
      <c r="H21" s="23"/>
      <c r="I21" s="23"/>
      <c r="J21" s="42"/>
      <c r="K21" s="23"/>
      <c r="L21" s="23"/>
      <c r="M21" s="23"/>
    </row>
    <row r="22" spans="1:13" s="1" customFormat="1" ht="43.5" customHeight="1">
      <c r="A22" s="23"/>
      <c r="B22" s="23"/>
      <c r="C22" s="23"/>
      <c r="D22" s="23"/>
      <c r="E22" s="23"/>
      <c r="F22" s="23"/>
      <c r="G22" s="23"/>
      <c r="H22" s="23"/>
      <c r="I22" s="23"/>
      <c r="J22" s="42"/>
      <c r="K22" s="23"/>
      <c r="L22" s="23"/>
      <c r="M22" s="23"/>
    </row>
    <row r="23" spans="1:13" s="1" customFormat="1" ht="43.5" customHeight="1">
      <c r="A23" s="23"/>
      <c r="B23" s="23"/>
      <c r="C23" s="23"/>
      <c r="D23" s="23"/>
      <c r="E23" s="23"/>
      <c r="F23" s="23"/>
      <c r="G23" s="23"/>
      <c r="H23" s="23"/>
      <c r="I23" s="23"/>
      <c r="J23" s="42"/>
      <c r="K23" s="23"/>
      <c r="L23" s="23"/>
      <c r="M23" s="23"/>
    </row>
    <row r="24" spans="1:13" s="1" customFormat="1" ht="43.5" customHeight="1">
      <c r="A24" s="23"/>
      <c r="B24" s="23"/>
      <c r="C24" s="23"/>
      <c r="D24" s="23"/>
      <c r="E24" s="23"/>
      <c r="F24" s="23"/>
      <c r="G24" s="23"/>
      <c r="H24" s="23"/>
      <c r="I24" s="23"/>
      <c r="J24" s="42"/>
      <c r="K24" s="23"/>
      <c r="L24" s="23"/>
      <c r="M24" s="23"/>
    </row>
    <row r="25" spans="1:13" s="1" customFormat="1" ht="43.5" customHeight="1">
      <c r="A25" s="23"/>
      <c r="B25" s="23"/>
      <c r="C25" s="23"/>
      <c r="D25" s="23"/>
      <c r="E25" s="23"/>
      <c r="F25" s="23"/>
      <c r="G25" s="23"/>
      <c r="H25" s="23"/>
      <c r="I25" s="23"/>
      <c r="J25" s="42"/>
      <c r="K25" s="23"/>
      <c r="L25" s="23"/>
      <c r="M25" s="23"/>
    </row>
    <row r="26" spans="1:13" s="1" customFormat="1" ht="62.1" customHeight="1">
      <c r="A26" s="23"/>
      <c r="B26" s="23"/>
      <c r="C26" s="23"/>
      <c r="D26" s="23"/>
      <c r="E26" s="23"/>
      <c r="F26" s="23"/>
      <c r="G26" s="23"/>
      <c r="H26" s="23"/>
      <c r="I26" s="23"/>
      <c r="J26" s="42"/>
      <c r="K26" s="23"/>
      <c r="L26" s="23"/>
      <c r="M26" s="23"/>
    </row>
    <row r="27" spans="1:13" s="1" customFormat="1" ht="62.1" customHeight="1">
      <c r="A27" s="23"/>
      <c r="B27" s="23"/>
      <c r="C27" s="23"/>
      <c r="D27" s="23"/>
      <c r="E27" s="23"/>
      <c r="F27" s="23"/>
      <c r="G27" s="23"/>
      <c r="H27" s="23"/>
      <c r="I27" s="23"/>
      <c r="J27" s="42"/>
      <c r="K27" s="23"/>
      <c r="L27" s="23"/>
      <c r="M27" s="23"/>
    </row>
    <row r="28" spans="1:13" s="1" customFormat="1" ht="62.1" customHeight="1">
      <c r="A28" s="23"/>
      <c r="B28" s="23"/>
      <c r="C28" s="23"/>
      <c r="D28" s="23"/>
      <c r="E28" s="23"/>
      <c r="F28" s="23"/>
      <c r="G28" s="23"/>
      <c r="H28" s="23"/>
      <c r="I28" s="23"/>
      <c r="J28" s="42"/>
      <c r="K28" s="23"/>
      <c r="L28" s="23"/>
      <c r="M28" s="23"/>
    </row>
    <row r="29" spans="1:13" s="1" customFormat="1" ht="62.1" customHeight="1">
      <c r="A29" s="23"/>
      <c r="B29" s="23"/>
      <c r="C29" s="23"/>
      <c r="D29" s="23"/>
      <c r="E29" s="23"/>
      <c r="F29" s="23"/>
      <c r="G29" s="23"/>
      <c r="H29" s="23"/>
      <c r="I29" s="23"/>
      <c r="J29" s="42"/>
      <c r="K29" s="23"/>
      <c r="L29" s="23"/>
      <c r="M29" s="23"/>
    </row>
    <row r="30" spans="1:13" s="1" customFormat="1" ht="62.1" customHeight="1">
      <c r="A30" s="23"/>
      <c r="B30" s="23"/>
      <c r="C30" s="23"/>
      <c r="D30" s="23"/>
      <c r="E30" s="23"/>
      <c r="F30" s="23"/>
      <c r="G30" s="23"/>
      <c r="H30" s="23"/>
      <c r="I30" s="23"/>
      <c r="J30" s="42"/>
      <c r="K30" s="23"/>
      <c r="L30" s="23"/>
      <c r="M30" s="23"/>
    </row>
    <row r="31" spans="1:13" s="1" customFormat="1" ht="62.1" customHeight="1">
      <c r="A31" s="23"/>
      <c r="B31" s="23"/>
      <c r="C31" s="23"/>
      <c r="D31" s="23"/>
      <c r="E31" s="23"/>
      <c r="F31" s="23"/>
      <c r="G31" s="23"/>
      <c r="H31" s="23"/>
      <c r="I31" s="23"/>
      <c r="J31" s="42"/>
      <c r="K31" s="23"/>
      <c r="L31" s="23"/>
      <c r="M31" s="23"/>
    </row>
    <row r="32" spans="1:13" s="1" customFormat="1" ht="62.1" customHeight="1">
      <c r="A32" s="23"/>
      <c r="B32" s="23"/>
      <c r="C32" s="23"/>
      <c r="D32" s="23"/>
      <c r="E32" s="23"/>
      <c r="F32" s="23"/>
      <c r="G32" s="23"/>
      <c r="H32" s="23"/>
      <c r="I32" s="23"/>
      <c r="J32" s="42"/>
      <c r="K32" s="23"/>
      <c r="L32" s="23"/>
      <c r="M32" s="23"/>
    </row>
    <row r="33" spans="1:13" s="1" customFormat="1" ht="43.5" customHeight="1">
      <c r="A33" s="23"/>
      <c r="B33" s="23"/>
      <c r="C33" s="23"/>
      <c r="D33" s="23"/>
      <c r="E33" s="23"/>
      <c r="F33" s="23"/>
      <c r="G33" s="23"/>
      <c r="H33" s="23"/>
      <c r="I33" s="23"/>
      <c r="J33" s="42"/>
      <c r="K33" s="23"/>
      <c r="L33" s="23"/>
      <c r="M33" s="23"/>
    </row>
    <row r="34" spans="1:13" s="1" customFormat="1" ht="13.9">
      <c r="A34" s="23"/>
      <c r="B34" s="23"/>
      <c r="C34" s="23"/>
      <c r="D34" s="23"/>
      <c r="E34" s="23"/>
      <c r="F34" s="23"/>
      <c r="G34" s="23"/>
      <c r="H34" s="23"/>
      <c r="I34" s="23"/>
      <c r="J34" s="42"/>
      <c r="K34" s="23"/>
      <c r="L34" s="23"/>
      <c r="M34" s="23"/>
    </row>
    <row r="35" spans="1:13" s="1" customFormat="1" ht="13.9">
      <c r="A35" s="23"/>
      <c r="B35" s="23"/>
      <c r="C35" s="23"/>
      <c r="D35" s="23"/>
      <c r="E35" s="23"/>
      <c r="F35" s="23"/>
      <c r="G35" s="23"/>
      <c r="H35" s="23"/>
      <c r="I35" s="23"/>
      <c r="J35" s="42"/>
      <c r="K35" s="23"/>
      <c r="L35" s="23"/>
      <c r="M35" s="23"/>
    </row>
    <row r="36" spans="1:13" s="1" customFormat="1" ht="15.6" customHeight="1">
      <c r="A36" s="23"/>
      <c r="B36" s="23"/>
      <c r="C36" s="23"/>
      <c r="D36" s="23"/>
      <c r="E36" s="23"/>
      <c r="F36" s="23"/>
      <c r="G36" s="23"/>
      <c r="H36" s="23"/>
      <c r="I36" s="23"/>
      <c r="J36" s="42"/>
      <c r="K36" s="23"/>
      <c r="L36" s="23"/>
      <c r="M36" s="23"/>
    </row>
    <row r="37" spans="1:13" s="1" customFormat="1" ht="13.9">
      <c r="A37" s="23"/>
      <c r="B37" s="23"/>
      <c r="C37" s="23"/>
      <c r="D37" s="23"/>
      <c r="E37" s="23"/>
      <c r="F37" s="23"/>
      <c r="G37" s="23"/>
      <c r="H37" s="23"/>
      <c r="I37" s="23"/>
      <c r="J37" s="42"/>
      <c r="K37" s="23"/>
      <c r="L37" s="23"/>
      <c r="M37" s="23"/>
    </row>
    <row r="38" spans="1:13" s="1" customFormat="1" ht="13.9">
      <c r="A38" s="23"/>
      <c r="B38" s="23"/>
      <c r="C38" s="23"/>
      <c r="D38" s="23"/>
      <c r="E38" s="23"/>
      <c r="F38" s="23"/>
      <c r="G38" s="23"/>
      <c r="H38" s="23"/>
      <c r="I38" s="23"/>
      <c r="J38" s="42"/>
      <c r="K38" s="23"/>
      <c r="L38" s="23"/>
      <c r="M38" s="23"/>
    </row>
    <row r="39" spans="1:13" s="1" customFormat="1" ht="13.9">
      <c r="A39" s="23"/>
      <c r="B39" s="23"/>
      <c r="C39" s="23"/>
      <c r="D39" s="23"/>
      <c r="E39" s="23"/>
      <c r="F39" s="23"/>
      <c r="G39" s="23"/>
      <c r="H39" s="23"/>
      <c r="I39" s="23"/>
      <c r="J39" s="42"/>
      <c r="K39" s="23"/>
      <c r="L39" s="23"/>
      <c r="M39" s="23"/>
    </row>
    <row r="40" spans="1:13" s="1" customFormat="1" ht="13.9">
      <c r="A40" s="23"/>
      <c r="B40" s="23"/>
      <c r="C40" s="23"/>
      <c r="D40" s="23"/>
      <c r="E40" s="23"/>
      <c r="F40" s="23"/>
      <c r="G40" s="23"/>
      <c r="H40" s="23"/>
      <c r="I40" s="23"/>
      <c r="J40" s="42"/>
      <c r="K40" s="23"/>
      <c r="L40" s="23"/>
      <c r="M40" s="23"/>
    </row>
    <row r="41" spans="1:13" s="1" customFormat="1" ht="32.1" customHeight="1">
      <c r="A41" s="23"/>
      <c r="B41" s="23"/>
      <c r="C41" s="23"/>
      <c r="D41" s="23"/>
      <c r="E41" s="23"/>
      <c r="F41" s="23"/>
      <c r="G41" s="23"/>
      <c r="H41" s="23"/>
      <c r="I41" s="23"/>
      <c r="J41" s="42"/>
      <c r="K41" s="23"/>
      <c r="L41" s="23"/>
      <c r="M41" s="23"/>
    </row>
    <row r="42" spans="1:13" s="1" customFormat="1" ht="50.1" customHeight="1">
      <c r="A42" s="23"/>
      <c r="B42" s="23"/>
      <c r="C42" s="23"/>
      <c r="D42" s="23"/>
      <c r="E42" s="23"/>
      <c r="F42" s="23"/>
      <c r="G42" s="23"/>
      <c r="H42" s="23"/>
      <c r="I42" s="23"/>
      <c r="J42" s="42"/>
      <c r="K42" s="23"/>
      <c r="L42" s="23"/>
      <c r="M42" s="23"/>
    </row>
    <row r="43" spans="1:13" s="1" customFormat="1" ht="50.1" customHeight="1">
      <c r="A43" s="23"/>
      <c r="B43" s="23"/>
      <c r="C43" s="23"/>
      <c r="D43" s="23"/>
      <c r="E43" s="23"/>
      <c r="F43" s="23"/>
      <c r="G43" s="23"/>
      <c r="H43" s="23"/>
      <c r="I43" s="23"/>
      <c r="J43" s="42"/>
      <c r="K43" s="23"/>
      <c r="L43" s="23"/>
      <c r="M43" s="23"/>
    </row>
    <row r="44" spans="1:13" s="1" customFormat="1" ht="50.1" customHeight="1">
      <c r="A44" s="23"/>
      <c r="B44" s="23"/>
      <c r="C44" s="23"/>
      <c r="D44" s="23"/>
      <c r="E44" s="23"/>
      <c r="F44" s="23"/>
      <c r="G44" s="23"/>
      <c r="H44" s="23"/>
      <c r="I44" s="23"/>
      <c r="J44" s="42"/>
      <c r="K44" s="23"/>
      <c r="L44" s="23"/>
      <c r="M44" s="23"/>
    </row>
    <row r="45" spans="1:13" s="1" customFormat="1" ht="50.1" customHeight="1">
      <c r="A45" s="23"/>
      <c r="B45" s="23"/>
      <c r="C45" s="23"/>
      <c r="D45" s="23"/>
      <c r="E45" s="23"/>
      <c r="F45" s="23"/>
      <c r="G45" s="23"/>
      <c r="H45" s="23"/>
      <c r="I45" s="23"/>
      <c r="J45" s="42"/>
      <c r="K45" s="23"/>
      <c r="L45" s="23"/>
      <c r="M45" s="23"/>
    </row>
    <row r="46" spans="1:13" s="1" customFormat="1" ht="50.1" customHeight="1">
      <c r="A46" s="23"/>
      <c r="B46" s="23"/>
      <c r="C46" s="23"/>
      <c r="D46" s="23"/>
      <c r="E46" s="23"/>
      <c r="F46" s="23"/>
      <c r="G46" s="23"/>
      <c r="H46" s="23"/>
      <c r="I46" s="23"/>
      <c r="J46" s="42"/>
      <c r="K46" s="23"/>
      <c r="L46" s="23"/>
      <c r="M46" s="23"/>
    </row>
    <row r="47" spans="1:13" s="1" customFormat="1" ht="50.1" customHeight="1">
      <c r="A47" s="23"/>
      <c r="B47" s="23"/>
      <c r="C47" s="23"/>
      <c r="D47" s="23"/>
      <c r="E47" s="23"/>
      <c r="F47" s="23"/>
      <c r="G47" s="23"/>
      <c r="H47" s="23"/>
      <c r="I47" s="23"/>
      <c r="J47" s="42"/>
      <c r="K47" s="23"/>
      <c r="L47" s="23"/>
      <c r="M47" s="23"/>
    </row>
    <row r="48" spans="1:13" s="1" customFormat="1" ht="50.1" customHeight="1">
      <c r="A48" s="23"/>
      <c r="B48" s="23"/>
      <c r="C48" s="23"/>
      <c r="D48" s="23"/>
      <c r="E48" s="23"/>
      <c r="F48" s="23"/>
      <c r="G48" s="23"/>
      <c r="H48" s="23"/>
      <c r="I48" s="23"/>
      <c r="J48" s="42"/>
      <c r="K48" s="23"/>
      <c r="L48" s="23"/>
      <c r="M48" s="23"/>
    </row>
    <row r="49" spans="1:13" s="1" customFormat="1" ht="13.9">
      <c r="A49" s="23"/>
      <c r="B49" s="23"/>
      <c r="C49" s="23"/>
      <c r="D49" s="23"/>
      <c r="E49" s="23"/>
      <c r="F49" s="23"/>
      <c r="G49" s="23"/>
      <c r="H49" s="23"/>
      <c r="I49" s="23"/>
      <c r="J49" s="42"/>
      <c r="K49" s="23"/>
      <c r="L49" s="23"/>
      <c r="M49" s="23"/>
    </row>
    <row r="50" spans="1:13" s="1" customFormat="1" ht="15.6" customHeight="1">
      <c r="A50" s="23"/>
      <c r="B50" s="23"/>
      <c r="C50" s="23"/>
      <c r="D50" s="23"/>
      <c r="E50" s="23"/>
      <c r="F50" s="23"/>
      <c r="G50" s="23"/>
      <c r="H50" s="23"/>
      <c r="I50" s="23"/>
      <c r="J50" s="42"/>
      <c r="K50" s="23"/>
      <c r="L50" s="23"/>
      <c r="M50" s="23"/>
    </row>
    <row r="51" spans="1:13" s="1" customFormat="1" ht="13.9">
      <c r="A51" s="23"/>
      <c r="B51" s="23"/>
      <c r="C51" s="23"/>
      <c r="D51" s="23"/>
      <c r="E51" s="23"/>
      <c r="F51" s="23"/>
      <c r="G51" s="23"/>
      <c r="H51" s="23"/>
      <c r="I51" s="23"/>
      <c r="J51" s="42"/>
      <c r="K51" s="23"/>
      <c r="L51" s="23"/>
      <c r="M51" s="23"/>
    </row>
    <row r="52" spans="1:13" s="1" customFormat="1" ht="13.9">
      <c r="A52" s="23"/>
      <c r="B52" s="23"/>
      <c r="C52" s="23"/>
      <c r="D52" s="23"/>
      <c r="E52" s="23"/>
      <c r="F52" s="23"/>
      <c r="G52" s="23"/>
      <c r="H52" s="23"/>
      <c r="I52" s="23"/>
      <c r="J52" s="42"/>
      <c r="K52" s="23"/>
      <c r="L52" s="23"/>
      <c r="M52" s="23"/>
    </row>
    <row r="53" spans="1:13" s="1" customFormat="1" ht="13.9">
      <c r="A53" s="23"/>
      <c r="B53" s="23"/>
      <c r="C53" s="23"/>
      <c r="D53" s="23"/>
      <c r="E53" s="23"/>
      <c r="F53" s="23"/>
      <c r="G53" s="23"/>
      <c r="H53" s="23"/>
      <c r="I53" s="23"/>
      <c r="J53" s="42"/>
      <c r="K53" s="23"/>
      <c r="L53" s="23"/>
      <c r="M53" s="23"/>
    </row>
    <row r="54" spans="1:13" s="1" customFormat="1" ht="13.9">
      <c r="A54" s="23"/>
      <c r="B54" s="23"/>
      <c r="C54" s="23"/>
      <c r="D54" s="23"/>
      <c r="E54" s="23"/>
      <c r="F54" s="23"/>
      <c r="G54" s="23"/>
      <c r="H54" s="23"/>
      <c r="I54" s="23"/>
      <c r="J54" s="42"/>
      <c r="K54" s="23"/>
      <c r="L54" s="23"/>
      <c r="M54" s="23"/>
    </row>
    <row r="55" spans="1:13" s="1" customFormat="1" ht="42.6" customHeight="1">
      <c r="A55" s="23"/>
      <c r="B55" s="23"/>
      <c r="C55" s="23"/>
      <c r="D55" s="23"/>
      <c r="E55" s="23"/>
      <c r="F55" s="23"/>
      <c r="G55" s="23"/>
      <c r="H55" s="23"/>
      <c r="I55" s="23"/>
      <c r="J55" s="42"/>
      <c r="K55" s="23"/>
      <c r="L55" s="23"/>
      <c r="M55" s="23"/>
    </row>
    <row r="56" spans="1:13" s="1" customFormat="1" ht="13.9">
      <c r="A56" s="23"/>
      <c r="B56" s="23"/>
      <c r="C56" s="23"/>
      <c r="D56" s="23"/>
      <c r="E56" s="23"/>
      <c r="F56" s="23"/>
      <c r="G56" s="23"/>
      <c r="H56" s="23"/>
      <c r="I56" s="23"/>
      <c r="J56" s="42"/>
      <c r="K56" s="23"/>
      <c r="L56" s="23"/>
      <c r="M56" s="23"/>
    </row>
    <row r="57" spans="1:13" s="1" customFormat="1" ht="13.9">
      <c r="A57" s="23"/>
      <c r="B57" s="23"/>
      <c r="C57" s="23"/>
      <c r="D57" s="23"/>
      <c r="E57" s="23"/>
      <c r="F57" s="23"/>
      <c r="G57" s="23"/>
      <c r="H57" s="23"/>
      <c r="I57" s="23"/>
      <c r="J57" s="42"/>
      <c r="K57" s="23"/>
      <c r="L57" s="23"/>
      <c r="M57" s="23"/>
    </row>
    <row r="58" spans="1:13" s="1" customFormat="1" ht="42.95" customHeight="1">
      <c r="A58" s="23"/>
      <c r="B58" s="23"/>
      <c r="C58" s="23"/>
      <c r="D58" s="23"/>
      <c r="E58" s="23"/>
      <c r="F58" s="23"/>
      <c r="G58" s="23"/>
      <c r="H58" s="23"/>
      <c r="I58" s="23"/>
      <c r="J58" s="42"/>
      <c r="K58" s="23"/>
      <c r="L58" s="23"/>
      <c r="M58" s="23"/>
    </row>
    <row r="59" spans="1:13" s="1" customFormat="1" ht="45.6" customHeight="1">
      <c r="A59" s="23"/>
      <c r="B59" s="23"/>
      <c r="C59" s="23"/>
      <c r="D59" s="23"/>
      <c r="E59" s="23"/>
      <c r="F59" s="23"/>
      <c r="G59" s="23"/>
      <c r="H59" s="23"/>
      <c r="I59" s="23"/>
      <c r="J59" s="42"/>
      <c r="K59" s="23"/>
      <c r="L59" s="23"/>
      <c r="M59" s="23"/>
    </row>
    <row r="60" spans="1:13" s="1" customFormat="1" ht="45.6" customHeight="1">
      <c r="A60" s="23"/>
      <c r="B60" s="23"/>
      <c r="C60" s="23"/>
      <c r="D60" s="23"/>
      <c r="E60" s="23"/>
      <c r="F60" s="23"/>
      <c r="G60" s="23"/>
      <c r="H60" s="23"/>
      <c r="I60" s="23"/>
      <c r="J60" s="42"/>
      <c r="K60" s="23"/>
      <c r="L60" s="23"/>
      <c r="M60" s="23"/>
    </row>
    <row r="61" spans="1:13" s="1" customFormat="1" ht="45.6" customHeight="1">
      <c r="A61" s="23"/>
      <c r="B61" s="23"/>
      <c r="C61" s="23"/>
      <c r="D61" s="23"/>
      <c r="E61" s="23"/>
      <c r="F61" s="23"/>
      <c r="G61" s="23"/>
      <c r="H61" s="23"/>
      <c r="I61" s="23"/>
      <c r="J61" s="42"/>
      <c r="K61" s="23"/>
      <c r="L61" s="23"/>
      <c r="M61" s="23"/>
    </row>
    <row r="62" spans="1:13" s="1" customFormat="1" ht="34.5" customHeight="1">
      <c r="A62" s="23"/>
      <c r="B62" s="23"/>
      <c r="C62" s="23"/>
      <c r="D62" s="23"/>
      <c r="E62" s="23"/>
      <c r="F62" s="23"/>
      <c r="G62" s="23"/>
      <c r="H62" s="23"/>
      <c r="I62" s="23"/>
      <c r="J62" s="42"/>
      <c r="K62" s="23"/>
      <c r="L62" s="23"/>
      <c r="M62" s="23"/>
    </row>
    <row r="63" spans="1:13" s="1" customFormat="1" ht="13.9">
      <c r="A63" s="23"/>
      <c r="B63" s="23"/>
      <c r="C63" s="23"/>
      <c r="D63" s="23"/>
      <c r="E63" s="23"/>
      <c r="F63" s="23"/>
      <c r="G63" s="23"/>
      <c r="H63" s="23"/>
      <c r="I63" s="23"/>
      <c r="J63" s="42"/>
      <c r="K63" s="23"/>
      <c r="L63" s="23"/>
      <c r="M63" s="23"/>
    </row>
    <row r="64" spans="1:13" s="1" customFormat="1" ht="13.9">
      <c r="A64" s="23"/>
      <c r="B64" s="23"/>
      <c r="C64" s="23"/>
      <c r="D64" s="23"/>
      <c r="E64" s="23"/>
      <c r="F64" s="23"/>
      <c r="G64" s="23"/>
      <c r="H64" s="23"/>
      <c r="I64" s="23"/>
      <c r="J64" s="42"/>
      <c r="K64" s="23"/>
      <c r="L64" s="23"/>
      <c r="M64" s="23"/>
    </row>
    <row r="65" spans="1:13" s="1" customFormat="1" ht="15.6" customHeight="1">
      <c r="A65" s="23"/>
      <c r="B65" s="23"/>
      <c r="C65" s="23"/>
      <c r="D65" s="23"/>
      <c r="E65" s="23"/>
      <c r="F65" s="23"/>
      <c r="G65" s="23"/>
      <c r="H65" s="23"/>
      <c r="I65" s="23"/>
      <c r="J65" s="42"/>
      <c r="K65" s="23"/>
      <c r="L65" s="23"/>
      <c r="M65" s="23"/>
    </row>
    <row r="66" spans="1:13" s="1" customFormat="1" ht="13.9">
      <c r="A66" s="23"/>
      <c r="B66" s="23"/>
      <c r="C66" s="23"/>
      <c r="D66" s="23"/>
      <c r="E66" s="23"/>
      <c r="F66" s="23"/>
      <c r="G66" s="23"/>
      <c r="H66" s="23"/>
      <c r="I66" s="23"/>
      <c r="J66" s="42"/>
      <c r="K66" s="23"/>
      <c r="L66" s="23"/>
      <c r="M66" s="23"/>
    </row>
    <row r="67" spans="1:13" s="1" customFormat="1" ht="13.9">
      <c r="A67" s="23"/>
      <c r="B67" s="23"/>
      <c r="C67" s="23"/>
      <c r="D67" s="23"/>
      <c r="E67" s="23"/>
      <c r="F67" s="23"/>
      <c r="G67" s="23"/>
      <c r="H67" s="23"/>
      <c r="I67" s="23"/>
      <c r="J67" s="42"/>
      <c r="K67" s="23"/>
      <c r="L67" s="23"/>
      <c r="M67" s="23"/>
    </row>
    <row r="68" spans="1:13" s="1" customFormat="1" ht="13.9">
      <c r="A68" s="23"/>
      <c r="B68" s="23"/>
      <c r="C68" s="23"/>
      <c r="D68" s="23"/>
      <c r="E68" s="23"/>
      <c r="F68" s="23"/>
      <c r="G68" s="23"/>
      <c r="H68" s="23"/>
      <c r="I68" s="23"/>
      <c r="J68" s="42"/>
      <c r="K68" s="23"/>
      <c r="L68" s="23"/>
      <c r="M68" s="23"/>
    </row>
    <row r="69" spans="1:13" s="1" customFormat="1" ht="13.9">
      <c r="A69" s="23"/>
      <c r="B69" s="23"/>
      <c r="C69" s="23"/>
      <c r="D69" s="23"/>
      <c r="E69" s="23"/>
      <c r="F69" s="23"/>
      <c r="G69" s="23"/>
      <c r="H69" s="23"/>
      <c r="I69" s="23"/>
      <c r="J69" s="42"/>
      <c r="K69" s="23"/>
      <c r="L69" s="23"/>
      <c r="M69" s="23"/>
    </row>
    <row r="70" spans="1:13" s="1" customFormat="1" ht="13.9">
      <c r="A70" s="23"/>
      <c r="B70" s="23"/>
      <c r="C70" s="23"/>
      <c r="D70" s="23"/>
      <c r="E70" s="23"/>
      <c r="F70" s="23"/>
      <c r="G70" s="23"/>
      <c r="H70" s="23"/>
      <c r="I70" s="23"/>
      <c r="J70" s="42"/>
      <c r="K70" s="23"/>
      <c r="L70" s="23"/>
      <c r="M70" s="23"/>
    </row>
    <row r="71" spans="1:13" s="1" customFormat="1" ht="38.450000000000003" customHeight="1">
      <c r="A71" s="23"/>
      <c r="B71" s="23"/>
      <c r="C71" s="23"/>
      <c r="D71" s="23"/>
      <c r="E71" s="23"/>
      <c r="F71" s="23"/>
      <c r="G71" s="23"/>
      <c r="H71" s="23"/>
      <c r="I71" s="23"/>
      <c r="J71" s="42"/>
      <c r="K71" s="23"/>
      <c r="L71" s="23"/>
      <c r="M71" s="23"/>
    </row>
    <row r="72" spans="1:13" s="1" customFormat="1" ht="38.450000000000003" customHeight="1">
      <c r="A72" s="23"/>
      <c r="B72" s="23"/>
      <c r="C72" s="23"/>
      <c r="D72" s="23"/>
      <c r="E72" s="23"/>
      <c r="F72" s="23"/>
      <c r="G72" s="23"/>
      <c r="H72" s="23"/>
      <c r="I72" s="23"/>
      <c r="J72" s="42"/>
      <c r="K72" s="23"/>
      <c r="L72" s="23"/>
      <c r="M72" s="23"/>
    </row>
    <row r="73" spans="1:13" s="1" customFormat="1" ht="38.450000000000003" customHeight="1">
      <c r="A73" s="23"/>
      <c r="B73" s="23"/>
      <c r="C73" s="23"/>
      <c r="D73" s="23"/>
      <c r="E73" s="23"/>
      <c r="F73" s="23"/>
      <c r="G73" s="23"/>
      <c r="H73" s="23"/>
      <c r="I73" s="23"/>
      <c r="J73" s="42"/>
      <c r="K73" s="23"/>
      <c r="L73" s="23"/>
      <c r="M73" s="23"/>
    </row>
    <row r="74" spans="1:13" s="1" customFormat="1" ht="38.450000000000003" customHeight="1">
      <c r="A74" s="23"/>
      <c r="B74" s="23"/>
      <c r="C74" s="23"/>
      <c r="D74" s="23"/>
      <c r="E74" s="23"/>
      <c r="F74" s="23"/>
      <c r="G74" s="23"/>
      <c r="H74" s="23"/>
      <c r="I74" s="23"/>
      <c r="J74" s="42"/>
      <c r="K74" s="23"/>
      <c r="L74" s="23"/>
      <c r="M74" s="23"/>
    </row>
    <row r="75" spans="1:13" s="1" customFormat="1" ht="38.450000000000003" customHeight="1">
      <c r="A75" s="23"/>
      <c r="B75" s="23"/>
      <c r="C75" s="23"/>
      <c r="D75" s="23"/>
      <c r="E75" s="23"/>
      <c r="F75" s="23"/>
      <c r="G75" s="23"/>
      <c r="H75" s="23"/>
      <c r="I75" s="23"/>
      <c r="J75" s="42"/>
      <c r="K75" s="23"/>
      <c r="L75" s="23"/>
      <c r="M75" s="23"/>
    </row>
    <row r="76" spans="1:13" s="1" customFormat="1" ht="38.450000000000003" customHeight="1">
      <c r="A76" s="23"/>
      <c r="B76" s="23"/>
      <c r="C76" s="23"/>
      <c r="D76" s="23"/>
      <c r="E76" s="23"/>
      <c r="F76" s="23"/>
      <c r="G76" s="23"/>
      <c r="H76" s="23"/>
      <c r="I76" s="23"/>
      <c r="J76" s="42"/>
      <c r="K76" s="23"/>
      <c r="L76" s="23"/>
      <c r="M76" s="23"/>
    </row>
    <row r="77" spans="1:13" s="1" customFormat="1" ht="38.450000000000003" customHeight="1">
      <c r="A77" s="23"/>
      <c r="B77" s="23"/>
      <c r="C77" s="23"/>
      <c r="D77" s="23"/>
      <c r="E77" s="23"/>
      <c r="F77" s="23"/>
      <c r="G77" s="23"/>
      <c r="H77" s="23"/>
      <c r="I77" s="23"/>
      <c r="J77" s="42"/>
      <c r="K77" s="23"/>
      <c r="L77" s="23"/>
      <c r="M77" s="23"/>
    </row>
    <row r="78" spans="1:13" s="1" customFormat="1" ht="13.9">
      <c r="A78" s="23"/>
      <c r="B78" s="23"/>
      <c r="C78" s="23"/>
      <c r="D78" s="23"/>
      <c r="E78" s="23"/>
      <c r="F78" s="23"/>
      <c r="G78" s="23"/>
      <c r="H78" s="23"/>
      <c r="I78" s="23"/>
      <c r="J78" s="42"/>
      <c r="K78" s="23"/>
      <c r="L78" s="23"/>
      <c r="M78" s="23"/>
    </row>
    <row r="79" spans="1:13" s="1" customFormat="1" ht="13.9">
      <c r="A79" s="23"/>
      <c r="B79" s="23"/>
      <c r="C79" s="23"/>
      <c r="D79" s="23"/>
      <c r="E79" s="23"/>
      <c r="F79" s="23"/>
      <c r="G79" s="23"/>
      <c r="H79" s="23"/>
      <c r="I79" s="23"/>
      <c r="J79" s="42"/>
      <c r="K79" s="23"/>
      <c r="L79" s="23"/>
      <c r="M79" s="23"/>
    </row>
    <row r="80" spans="1:13" s="1" customFormat="1" ht="15.6" customHeight="1">
      <c r="A80" s="23"/>
      <c r="B80" s="23"/>
      <c r="C80" s="23"/>
      <c r="D80" s="23"/>
      <c r="E80" s="23"/>
      <c r="F80" s="23"/>
      <c r="G80" s="23"/>
      <c r="H80" s="23"/>
      <c r="I80" s="23"/>
      <c r="J80" s="42"/>
      <c r="K80" s="23"/>
      <c r="L80" s="23"/>
      <c r="M80" s="23"/>
    </row>
    <row r="81" spans="1:13" s="1" customFormat="1" ht="13.9">
      <c r="A81" s="23"/>
      <c r="B81" s="23"/>
      <c r="C81" s="23"/>
      <c r="D81" s="23"/>
      <c r="E81" s="23"/>
      <c r="F81" s="23"/>
      <c r="G81" s="23"/>
      <c r="H81" s="23"/>
      <c r="I81" s="23"/>
      <c r="J81" s="42"/>
      <c r="K81" s="23"/>
      <c r="L81" s="23"/>
      <c r="M81" s="23"/>
    </row>
    <row r="82" spans="1:13" s="1" customFormat="1" ht="13.9">
      <c r="A82" s="23"/>
      <c r="B82" s="23"/>
      <c r="C82" s="23"/>
      <c r="D82" s="23"/>
      <c r="E82" s="23"/>
      <c r="F82" s="23"/>
      <c r="G82" s="23"/>
      <c r="H82" s="23"/>
      <c r="I82" s="23"/>
      <c r="J82" s="42"/>
      <c r="K82" s="23"/>
      <c r="L82" s="23"/>
      <c r="M82" s="23"/>
    </row>
    <row r="83" spans="1:13" s="1" customFormat="1" ht="13.9">
      <c r="A83" s="23"/>
      <c r="B83" s="23"/>
      <c r="C83" s="23"/>
      <c r="D83" s="23"/>
      <c r="E83" s="23"/>
      <c r="F83" s="23"/>
      <c r="G83" s="23"/>
      <c r="H83" s="23"/>
      <c r="I83" s="23"/>
      <c r="J83" s="42"/>
      <c r="K83" s="23"/>
      <c r="L83" s="23"/>
      <c r="M83" s="23"/>
    </row>
    <row r="84" spans="1:13" s="1" customFormat="1" ht="13.9">
      <c r="A84" s="23"/>
      <c r="B84" s="23"/>
      <c r="C84" s="23"/>
      <c r="D84" s="23"/>
      <c r="E84" s="23"/>
      <c r="F84" s="23"/>
      <c r="G84" s="23"/>
      <c r="H84" s="23"/>
      <c r="I84" s="23"/>
      <c r="J84" s="42"/>
      <c r="K84" s="23"/>
      <c r="L84" s="23"/>
      <c r="M84" s="23"/>
    </row>
    <row r="85" spans="1:13" s="1" customFormat="1" ht="42" customHeight="1">
      <c r="A85" s="23"/>
      <c r="B85" s="23"/>
      <c r="C85" s="23"/>
      <c r="D85" s="23"/>
      <c r="E85" s="23"/>
      <c r="F85" s="23"/>
      <c r="G85" s="23"/>
      <c r="H85" s="23"/>
      <c r="I85" s="23"/>
      <c r="J85" s="42"/>
      <c r="K85" s="23"/>
      <c r="L85" s="23"/>
      <c r="M85" s="23"/>
    </row>
    <row r="86" spans="1:13" s="1" customFormat="1" ht="42" customHeight="1">
      <c r="A86" s="23"/>
      <c r="B86" s="23"/>
      <c r="C86" s="23"/>
      <c r="D86" s="23"/>
      <c r="E86" s="23"/>
      <c r="F86" s="23"/>
      <c r="G86" s="23"/>
      <c r="H86" s="23"/>
      <c r="I86" s="23"/>
      <c r="J86" s="42"/>
      <c r="K86" s="23"/>
      <c r="L86" s="23"/>
      <c r="M86" s="23"/>
    </row>
    <row r="87" spans="1:13" s="1" customFormat="1" ht="42" customHeight="1">
      <c r="A87" s="23"/>
      <c r="B87" s="23"/>
      <c r="C87" s="23"/>
      <c r="D87" s="23"/>
      <c r="E87" s="23"/>
      <c r="F87" s="23"/>
      <c r="G87" s="23"/>
      <c r="H87" s="23"/>
      <c r="I87" s="23"/>
      <c r="J87" s="42"/>
      <c r="K87" s="23"/>
      <c r="L87" s="23"/>
      <c r="M87" s="23"/>
    </row>
    <row r="88" spans="1:13" s="1" customFormat="1" ht="42" customHeight="1">
      <c r="A88" s="23"/>
      <c r="B88" s="23"/>
      <c r="C88" s="23"/>
      <c r="D88" s="23"/>
      <c r="E88" s="23"/>
      <c r="F88" s="23"/>
      <c r="G88" s="23"/>
      <c r="H88" s="23"/>
      <c r="I88" s="23"/>
      <c r="J88" s="42"/>
      <c r="K88" s="23"/>
      <c r="L88" s="23"/>
      <c r="M88" s="23"/>
    </row>
    <row r="89" spans="1:13" s="1" customFormat="1" ht="42" customHeight="1">
      <c r="A89" s="23"/>
      <c r="B89" s="23"/>
      <c r="C89" s="23"/>
      <c r="D89" s="23"/>
      <c r="E89" s="23"/>
      <c r="F89" s="23"/>
      <c r="G89" s="23"/>
      <c r="H89" s="23"/>
      <c r="I89" s="23"/>
      <c r="J89" s="42"/>
      <c r="K89" s="23"/>
      <c r="L89" s="23"/>
      <c r="M89" s="23"/>
    </row>
    <row r="90" spans="1:13" s="1" customFormat="1" ht="42" customHeight="1">
      <c r="A90" s="23"/>
      <c r="B90" s="23"/>
      <c r="C90" s="23"/>
      <c r="D90" s="23"/>
      <c r="E90" s="23"/>
      <c r="F90" s="23"/>
      <c r="G90" s="23"/>
      <c r="H90" s="23"/>
      <c r="I90" s="23"/>
      <c r="J90" s="42"/>
      <c r="K90" s="23"/>
      <c r="L90" s="23"/>
      <c r="M90" s="23"/>
    </row>
    <row r="91" spans="1:13" s="1" customFormat="1" ht="42" customHeight="1">
      <c r="A91" s="23"/>
      <c r="B91" s="23"/>
      <c r="C91" s="23"/>
      <c r="D91" s="23"/>
      <c r="E91" s="23"/>
      <c r="F91" s="23"/>
      <c r="G91" s="23"/>
      <c r="H91" s="23"/>
      <c r="I91" s="23"/>
      <c r="J91" s="42"/>
      <c r="K91" s="23"/>
      <c r="L91" s="23"/>
      <c r="M91" s="23"/>
    </row>
    <row r="92" spans="1:13" s="1" customFormat="1" ht="42" customHeight="1">
      <c r="A92" s="23"/>
      <c r="B92" s="23"/>
      <c r="C92" s="23"/>
      <c r="D92" s="23"/>
      <c r="E92" s="23"/>
      <c r="F92" s="23"/>
      <c r="G92" s="23"/>
      <c r="H92" s="23"/>
      <c r="I92" s="23"/>
      <c r="J92" s="42"/>
      <c r="K92" s="23"/>
      <c r="L92" s="23"/>
      <c r="M92" s="23"/>
    </row>
    <row r="93" spans="1:13" s="1" customFormat="1" ht="13.9">
      <c r="A93" s="23"/>
      <c r="B93" s="23"/>
      <c r="C93" s="23"/>
      <c r="D93" s="23"/>
      <c r="E93" s="23"/>
      <c r="F93" s="23"/>
      <c r="G93" s="23"/>
      <c r="H93" s="23"/>
      <c r="I93" s="23"/>
      <c r="J93" s="42"/>
      <c r="K93" s="23"/>
      <c r="L93" s="23"/>
      <c r="M93" s="23"/>
    </row>
    <row r="94" spans="1:13" s="1" customFormat="1" ht="13.9">
      <c r="A94" s="23"/>
      <c r="B94" s="23"/>
      <c r="C94" s="23"/>
      <c r="D94" s="23"/>
      <c r="E94" s="23"/>
      <c r="F94" s="23"/>
      <c r="G94" s="23"/>
      <c r="H94" s="23"/>
      <c r="I94" s="23"/>
      <c r="J94" s="42"/>
      <c r="K94" s="23"/>
      <c r="L94" s="23"/>
      <c r="M94" s="23"/>
    </row>
    <row r="95" spans="1:13" s="1" customFormat="1" ht="13.9">
      <c r="A95" s="23"/>
      <c r="B95" s="23"/>
      <c r="C95" s="23"/>
      <c r="D95" s="23"/>
      <c r="E95" s="23"/>
      <c r="F95" s="23"/>
      <c r="G95" s="23"/>
      <c r="H95" s="23"/>
      <c r="I95" s="23"/>
      <c r="J95" s="42"/>
      <c r="K95" s="23"/>
      <c r="L95" s="23"/>
      <c r="M95" s="23"/>
    </row>
    <row r="96" spans="1:13" s="1" customFormat="1" ht="13.9">
      <c r="A96" s="23"/>
      <c r="B96" s="23"/>
      <c r="C96" s="23"/>
      <c r="D96" s="23"/>
      <c r="E96" s="23"/>
      <c r="F96" s="23"/>
      <c r="G96" s="23"/>
      <c r="H96" s="23"/>
      <c r="I96" s="23"/>
      <c r="J96" s="42"/>
      <c r="K96" s="23"/>
      <c r="L96" s="23"/>
      <c r="M96" s="23"/>
    </row>
    <row r="97" spans="1:13" s="1" customFormat="1" ht="13.9">
      <c r="A97" s="23"/>
      <c r="B97" s="23"/>
      <c r="C97" s="23"/>
      <c r="D97" s="23"/>
      <c r="E97" s="23"/>
      <c r="F97" s="23"/>
      <c r="G97" s="23"/>
      <c r="H97" s="23"/>
      <c r="I97" s="23"/>
      <c r="J97" s="42"/>
      <c r="K97" s="23"/>
      <c r="L97" s="23"/>
      <c r="M97" s="23"/>
    </row>
    <row r="98" spans="1:13" s="1" customFormat="1" ht="13.9">
      <c r="A98" s="23"/>
      <c r="B98" s="23"/>
      <c r="C98" s="23"/>
      <c r="D98" s="23"/>
      <c r="E98" s="23"/>
      <c r="F98" s="23"/>
      <c r="G98" s="23"/>
      <c r="H98" s="23"/>
      <c r="I98" s="23"/>
      <c r="J98" s="42"/>
      <c r="K98" s="23"/>
      <c r="L98" s="23"/>
      <c r="M98" s="23"/>
    </row>
    <row r="99" spans="1:13" s="1" customFormat="1" ht="13.9">
      <c r="A99" s="23"/>
      <c r="B99" s="23"/>
      <c r="C99" s="23"/>
      <c r="D99" s="23"/>
      <c r="E99" s="23"/>
      <c r="F99" s="23"/>
      <c r="G99" s="23"/>
      <c r="H99" s="23"/>
      <c r="I99" s="23"/>
      <c r="J99" s="42"/>
      <c r="K99" s="23"/>
      <c r="L99" s="23"/>
      <c r="M99" s="23"/>
    </row>
    <row r="100" spans="1:13" s="1" customFormat="1" ht="51.6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42"/>
      <c r="K100" s="23"/>
      <c r="L100" s="23"/>
      <c r="M100" s="23"/>
    </row>
    <row r="101" spans="1:13" s="1" customFormat="1" ht="44.1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42"/>
      <c r="K101" s="23"/>
      <c r="L101" s="23"/>
      <c r="M101" s="23"/>
    </row>
    <row r="102" spans="1:13" s="1" customFormat="1" ht="39.950000000000003" customHeight="1">
      <c r="A102" s="23"/>
      <c r="B102" s="23"/>
      <c r="C102" s="23"/>
      <c r="D102" s="23"/>
      <c r="E102" s="23"/>
      <c r="F102" s="23"/>
      <c r="G102" s="23"/>
      <c r="H102" s="23"/>
      <c r="I102" s="23"/>
      <c r="J102" s="42"/>
      <c r="K102" s="23"/>
      <c r="L102" s="23"/>
      <c r="M102" s="23"/>
    </row>
    <row r="103" spans="1:13" s="1" customFormat="1" ht="13.9">
      <c r="A103" s="23"/>
      <c r="B103" s="23"/>
      <c r="C103" s="23"/>
      <c r="D103" s="23"/>
      <c r="E103" s="23"/>
      <c r="F103" s="23"/>
      <c r="G103" s="23"/>
      <c r="H103" s="23"/>
      <c r="I103" s="23"/>
      <c r="J103" s="42"/>
      <c r="K103" s="23"/>
      <c r="L103" s="23"/>
      <c r="M103" s="23"/>
    </row>
    <row r="104" spans="1:13" s="1" customFormat="1" ht="13.9">
      <c r="A104" s="23"/>
      <c r="B104" s="23"/>
      <c r="C104" s="23"/>
      <c r="D104" s="23"/>
      <c r="E104" s="23"/>
      <c r="F104" s="23"/>
      <c r="G104" s="23"/>
      <c r="H104" s="23"/>
      <c r="I104" s="23"/>
      <c r="J104" s="42"/>
      <c r="K104" s="23"/>
      <c r="L104" s="23"/>
      <c r="M104" s="23"/>
    </row>
    <row r="105" spans="1:13" s="1" customFormat="1" ht="13.9">
      <c r="A105" s="23"/>
      <c r="B105" s="23"/>
      <c r="C105" s="23"/>
      <c r="D105" s="23"/>
      <c r="E105" s="23"/>
      <c r="F105" s="23"/>
      <c r="G105" s="23"/>
      <c r="H105" s="23"/>
      <c r="I105" s="23"/>
      <c r="J105" s="42"/>
      <c r="K105" s="23"/>
      <c r="L105" s="23"/>
      <c r="M105" s="23"/>
    </row>
    <row r="106" spans="1:13" s="1" customFormat="1" ht="13.9">
      <c r="A106" s="23"/>
      <c r="B106" s="23"/>
      <c r="C106" s="23"/>
      <c r="D106" s="23"/>
      <c r="E106" s="23"/>
      <c r="F106" s="23"/>
      <c r="G106" s="23"/>
      <c r="H106" s="23"/>
      <c r="I106" s="23"/>
      <c r="J106" s="42"/>
      <c r="K106" s="23"/>
      <c r="L106" s="23"/>
      <c r="M106" s="23"/>
    </row>
    <row r="107" spans="1:13">
      <c r="A107" s="23"/>
      <c r="B107" s="23"/>
      <c r="C107" s="23"/>
      <c r="D107" s="23"/>
      <c r="E107" s="23"/>
      <c r="F107" s="23"/>
      <c r="G107" s="23"/>
      <c r="H107" s="23"/>
      <c r="I107" s="23"/>
      <c r="K107" s="23"/>
      <c r="L107" s="23"/>
    </row>
    <row r="108" spans="1:13">
      <c r="A108" s="23"/>
      <c r="B108" s="23"/>
      <c r="C108" s="23"/>
      <c r="D108" s="23"/>
      <c r="E108" s="23"/>
      <c r="F108" s="23"/>
      <c r="G108" s="23"/>
      <c r="H108" s="23"/>
      <c r="I108" s="23"/>
      <c r="K108" s="23"/>
      <c r="L108" s="23"/>
    </row>
    <row r="109" spans="1:13">
      <c r="A109" s="23"/>
      <c r="B109" s="23"/>
      <c r="C109" s="23"/>
      <c r="D109" s="23"/>
      <c r="E109" s="23"/>
      <c r="F109" s="23"/>
      <c r="G109" s="23"/>
      <c r="H109" s="23"/>
      <c r="I109" s="23"/>
      <c r="K109" s="23"/>
      <c r="L109" s="23"/>
    </row>
    <row r="110" spans="1:13">
      <c r="A110" s="23"/>
      <c r="B110" s="23"/>
      <c r="C110" s="23"/>
      <c r="D110" s="23"/>
      <c r="E110" s="23"/>
      <c r="F110" s="23"/>
      <c r="G110" s="23"/>
      <c r="H110" s="23"/>
      <c r="I110" s="23"/>
      <c r="K110" s="23"/>
      <c r="L110" s="23"/>
    </row>
    <row r="111" spans="1:13">
      <c r="A111" s="23"/>
      <c r="B111" s="23"/>
      <c r="C111" s="23"/>
      <c r="D111" s="23"/>
      <c r="E111" s="23"/>
      <c r="F111" s="23"/>
      <c r="G111" s="23"/>
      <c r="H111" s="23"/>
      <c r="I111" s="23"/>
      <c r="K111" s="23"/>
      <c r="L111" s="23"/>
    </row>
    <row r="112" spans="1:13">
      <c r="A112" s="23"/>
      <c r="B112" s="23"/>
      <c r="C112" s="23"/>
      <c r="D112" s="23"/>
      <c r="E112" s="23"/>
      <c r="F112" s="23"/>
      <c r="G112" s="23"/>
      <c r="H112" s="23"/>
      <c r="I112" s="23"/>
      <c r="K112" s="23"/>
      <c r="L112" s="23"/>
    </row>
  </sheetData>
  <mergeCells count="7">
    <mergeCell ref="A2:A4"/>
    <mergeCell ref="B2:B4"/>
    <mergeCell ref="C2:C4"/>
    <mergeCell ref="D2:E2"/>
    <mergeCell ref="F2:G2"/>
    <mergeCell ref="D3:E4"/>
    <mergeCell ref="F3:H4"/>
  </mergeCells>
  <conditionalFormatting sqref="A1 A19:A1048576 A5:A10">
    <cfRule type="cellIs" dxfId="444" priority="146" operator="equal">
      <formula>"Informativa"</formula>
    </cfRule>
    <cfRule type="cellIs" dxfId="443" priority="147" operator="equal">
      <formula>"bAJA"</formula>
    </cfRule>
    <cfRule type="cellIs" dxfId="442" priority="148" operator="equal">
      <formula>"Media"</formula>
    </cfRule>
    <cfRule type="cellIs" dxfId="441" priority="149" operator="equal">
      <formula>"Alta"</formula>
    </cfRule>
  </conditionalFormatting>
  <conditionalFormatting sqref="A18">
    <cfRule type="cellIs" dxfId="440" priority="90" operator="equal">
      <formula>"Informativa"</formula>
    </cfRule>
    <cfRule type="cellIs" dxfId="439" priority="91" operator="equal">
      <formula>"bAJA"</formula>
    </cfRule>
    <cfRule type="cellIs" dxfId="438" priority="92" operator="equal">
      <formula>"Media"</formula>
    </cfRule>
    <cfRule type="cellIs" dxfId="437" priority="93" operator="equal">
      <formula>"Alta"</formula>
    </cfRule>
  </conditionalFormatting>
  <conditionalFormatting sqref="A17">
    <cfRule type="cellIs" dxfId="436" priority="86" operator="equal">
      <formula>"Informativa"</formula>
    </cfRule>
    <cfRule type="cellIs" dxfId="435" priority="87" operator="equal">
      <formula>"bAJA"</formula>
    </cfRule>
    <cfRule type="cellIs" dxfId="434" priority="88" operator="equal">
      <formula>"Media"</formula>
    </cfRule>
    <cfRule type="cellIs" dxfId="433" priority="89" operator="equal">
      <formula>"Alta"</formula>
    </cfRule>
  </conditionalFormatting>
  <conditionalFormatting sqref="A16">
    <cfRule type="cellIs" dxfId="432" priority="82" operator="equal">
      <formula>"Informativa"</formula>
    </cfRule>
    <cfRule type="cellIs" dxfId="431" priority="83" operator="equal">
      <formula>"bAJA"</formula>
    </cfRule>
    <cfRule type="cellIs" dxfId="430" priority="84" operator="equal">
      <formula>"Media"</formula>
    </cfRule>
    <cfRule type="cellIs" dxfId="429" priority="85" operator="equal">
      <formula>"Alta"</formula>
    </cfRule>
  </conditionalFormatting>
  <conditionalFormatting sqref="A14:A15">
    <cfRule type="cellIs" dxfId="428" priority="78" operator="equal">
      <formula>"Informativa"</formula>
    </cfRule>
    <cfRule type="cellIs" dxfId="427" priority="79" operator="equal">
      <formula>"bAJA"</formula>
    </cfRule>
    <cfRule type="cellIs" dxfId="426" priority="80" operator="equal">
      <formula>"Media"</formula>
    </cfRule>
    <cfRule type="cellIs" dxfId="425" priority="81" operator="equal">
      <formula>"Alta"</formula>
    </cfRule>
  </conditionalFormatting>
  <conditionalFormatting sqref="A13">
    <cfRule type="cellIs" dxfId="424" priority="74" operator="equal">
      <formula>"Informativa"</formula>
    </cfRule>
    <cfRule type="cellIs" dxfId="423" priority="75" operator="equal">
      <formula>"bAJA"</formula>
    </cfRule>
    <cfRule type="cellIs" dxfId="422" priority="76" operator="equal">
      <formula>"Media"</formula>
    </cfRule>
    <cfRule type="cellIs" dxfId="421" priority="77" operator="equal">
      <formula>"Alta"</formula>
    </cfRule>
  </conditionalFormatting>
  <conditionalFormatting sqref="A12">
    <cfRule type="cellIs" dxfId="420" priority="70" operator="equal">
      <formula>"Informativa"</formula>
    </cfRule>
    <cfRule type="cellIs" dxfId="419" priority="71" operator="equal">
      <formula>"bAJA"</formula>
    </cfRule>
    <cfRule type="cellIs" dxfId="418" priority="72" operator="equal">
      <formula>"Media"</formula>
    </cfRule>
    <cfRule type="cellIs" dxfId="417" priority="73" operator="equal">
      <formula>"Alta"</formula>
    </cfRule>
  </conditionalFormatting>
  <conditionalFormatting sqref="A11">
    <cfRule type="cellIs" dxfId="416" priority="66" operator="equal">
      <formula>"Informativa"</formula>
    </cfRule>
    <cfRule type="cellIs" dxfId="415" priority="67" operator="equal">
      <formula>"bAJA"</formula>
    </cfRule>
    <cfRule type="cellIs" dxfId="414" priority="68" operator="equal">
      <formula>"Media"</formula>
    </cfRule>
    <cfRule type="cellIs" dxfId="413" priority="69" operator="equal">
      <formula>"Alta"</formula>
    </cfRule>
  </conditionalFormatting>
  <conditionalFormatting sqref="H11">
    <cfRule type="cellIs" dxfId="412" priority="62" operator="equal">
      <formula>"Terminado"</formula>
    </cfRule>
    <cfRule type="cellIs" dxfId="411" priority="63" operator="equal">
      <formula>"Recibido"</formula>
    </cfRule>
    <cfRule type="cellIs" dxfId="410" priority="64" operator="equal">
      <formula>"Pedido"</formula>
    </cfRule>
    <cfRule type="cellIs" dxfId="409" priority="65" operator="equal">
      <formula>"Pendiente"</formula>
    </cfRule>
  </conditionalFormatting>
  <conditionalFormatting sqref="H11">
    <cfRule type="cellIs" dxfId="408" priority="61" operator="equal">
      <formula>"En Proceso"</formula>
    </cfRule>
  </conditionalFormatting>
  <conditionalFormatting sqref="H12">
    <cfRule type="cellIs" dxfId="407" priority="27" operator="equal">
      <formula>"Terminado"</formula>
    </cfRule>
    <cfRule type="cellIs" dxfId="406" priority="28" operator="equal">
      <formula>"Recibido"</formula>
    </cfRule>
    <cfRule type="cellIs" dxfId="405" priority="29" operator="equal">
      <formula>"Pedido"</formula>
    </cfRule>
    <cfRule type="cellIs" dxfId="404" priority="30" operator="equal">
      <formula>"Pendiente"</formula>
    </cfRule>
  </conditionalFormatting>
  <conditionalFormatting sqref="H12">
    <cfRule type="cellIs" dxfId="403" priority="26" operator="equal">
      <formula>"En Proceso"</formula>
    </cfRule>
  </conditionalFormatting>
  <conditionalFormatting sqref="H18">
    <cfRule type="cellIs" dxfId="402" priority="37" operator="equal">
      <formula>"Terminado"</formula>
    </cfRule>
    <cfRule type="cellIs" dxfId="401" priority="38" operator="equal">
      <formula>"Recibido"</formula>
    </cfRule>
    <cfRule type="cellIs" dxfId="400" priority="39" operator="equal">
      <formula>"Pedido"</formula>
    </cfRule>
    <cfRule type="cellIs" dxfId="399" priority="40" operator="equal">
      <formula>"Pendiente"</formula>
    </cfRule>
  </conditionalFormatting>
  <conditionalFormatting sqref="H18">
    <cfRule type="cellIs" dxfId="398" priority="36" operator="equal">
      <formula>"En Proceso"</formula>
    </cfRule>
  </conditionalFormatting>
  <conditionalFormatting sqref="H13">
    <cfRule type="cellIs" dxfId="397" priority="22" operator="equal">
      <formula>"Terminado"</formula>
    </cfRule>
    <cfRule type="cellIs" dxfId="396" priority="23" operator="equal">
      <formula>"Recibido"</formula>
    </cfRule>
    <cfRule type="cellIs" dxfId="395" priority="24" operator="equal">
      <formula>"Pedido"</formula>
    </cfRule>
    <cfRule type="cellIs" dxfId="394" priority="25" operator="equal">
      <formula>"Pendiente"</formula>
    </cfRule>
  </conditionalFormatting>
  <conditionalFormatting sqref="H13">
    <cfRule type="cellIs" dxfId="393" priority="21" operator="equal">
      <formula>"En Proceso"</formula>
    </cfRule>
  </conditionalFormatting>
  <conditionalFormatting sqref="H14">
    <cfRule type="cellIs" dxfId="392" priority="17" operator="equal">
      <formula>"Terminado"</formula>
    </cfRule>
    <cfRule type="cellIs" dxfId="391" priority="18" operator="equal">
      <formula>"Recibido"</formula>
    </cfRule>
    <cfRule type="cellIs" dxfId="390" priority="19" operator="equal">
      <formula>"Pedido"</formula>
    </cfRule>
    <cfRule type="cellIs" dxfId="389" priority="20" operator="equal">
      <formula>"Pendiente"</formula>
    </cfRule>
  </conditionalFormatting>
  <conditionalFormatting sqref="H14">
    <cfRule type="cellIs" dxfId="388" priority="16" operator="equal">
      <formula>"En Proceso"</formula>
    </cfRule>
  </conditionalFormatting>
  <conditionalFormatting sqref="H15">
    <cfRule type="cellIs" dxfId="387" priority="12" operator="equal">
      <formula>"Terminado"</formula>
    </cfRule>
    <cfRule type="cellIs" dxfId="386" priority="13" operator="equal">
      <formula>"Recibido"</formula>
    </cfRule>
    <cfRule type="cellIs" dxfId="385" priority="14" operator="equal">
      <formula>"Pedido"</formula>
    </cfRule>
    <cfRule type="cellIs" dxfId="384" priority="15" operator="equal">
      <formula>"Pendiente"</formula>
    </cfRule>
  </conditionalFormatting>
  <conditionalFormatting sqref="H15">
    <cfRule type="cellIs" dxfId="383" priority="11" operator="equal">
      <formula>"En Proceso"</formula>
    </cfRule>
  </conditionalFormatting>
  <conditionalFormatting sqref="H16">
    <cfRule type="cellIs" dxfId="382" priority="7" operator="equal">
      <formula>"Terminado"</formula>
    </cfRule>
    <cfRule type="cellIs" dxfId="381" priority="8" operator="equal">
      <formula>"Recibido"</formula>
    </cfRule>
    <cfRule type="cellIs" dxfId="380" priority="9" operator="equal">
      <formula>"Pedido"</formula>
    </cfRule>
    <cfRule type="cellIs" dxfId="379" priority="10" operator="equal">
      <formula>"Pendiente"</formula>
    </cfRule>
  </conditionalFormatting>
  <conditionalFormatting sqref="H16">
    <cfRule type="cellIs" dxfId="378" priority="6" operator="equal">
      <formula>"En Proceso"</formula>
    </cfRule>
  </conditionalFormatting>
  <conditionalFormatting sqref="H17">
    <cfRule type="cellIs" dxfId="377" priority="2" operator="equal">
      <formula>"Terminado"</formula>
    </cfRule>
    <cfRule type="cellIs" dxfId="376" priority="3" operator="equal">
      <formula>"Recibido"</formula>
    </cfRule>
    <cfRule type="cellIs" dxfId="375" priority="4" operator="equal">
      <formula>"Pedido"</formula>
    </cfRule>
    <cfRule type="cellIs" dxfId="374" priority="5" operator="equal">
      <formula>"Pendiente"</formula>
    </cfRule>
  </conditionalFormatting>
  <conditionalFormatting sqref="H17">
    <cfRule type="cellIs" dxfId="373" priority="1" operator="equal">
      <formula>"En Proceso"</formula>
    </cfRule>
  </conditionalFormatting>
  <dataValidations count="3">
    <dataValidation type="list" allowBlank="1" showInputMessage="1" showErrorMessage="1" sqref="H11:H18" xr:uid="{80D220DB-27F5-4D3A-8F92-EF1738075121}">
      <formula1>"Pendiente,Resuelta"</formula1>
    </dataValidation>
    <dataValidation type="list" allowBlank="1" showInputMessage="1" showErrorMessage="1" sqref="A11:A18" xr:uid="{37AE39F1-1EA6-4ED4-9F1A-69AB59D723AE}">
      <formula1>"Alta,Media,Baja,Informativa"</formula1>
    </dataValidation>
    <dataValidation type="list" allowBlank="1" showInputMessage="1" showErrorMessage="1" sqref="J1:J1048576" xr:uid="{12DA4848-650C-4B57-B9E8-2B603316A876}">
      <formula1>"Muy fácil (1), facil (2), Medio (3), Difícil (4),Muy difícil (5)"</formula1>
    </dataValidation>
  </dataValidations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E9BB-911E-450C-97FF-F320ED19B8B3}">
  <sheetPr codeName="Hoja4"/>
  <dimension ref="A1:J130"/>
  <sheetViews>
    <sheetView showGridLines="0" zoomScale="55" zoomScaleNormal="55" workbookViewId="0">
      <pane ySplit="4" topLeftCell="E5" activePane="bottomLeft" state="frozen"/>
      <selection pane="bottomLeft" activeCell="F2" sqref="F2:G2"/>
    </sheetView>
  </sheetViews>
  <sheetFormatPr defaultColWidth="11.42578125" defaultRowHeight="14.45"/>
  <cols>
    <col min="1" max="1" width="17.28515625" style="1" customWidth="1"/>
    <col min="2" max="2" width="33" style="1" bestFit="1" customWidth="1"/>
    <col min="3" max="3" width="22.85546875" style="1" customWidth="1"/>
    <col min="4" max="4" width="32.85546875" style="1" customWidth="1"/>
    <col min="5" max="5" width="36.140625" style="1" customWidth="1"/>
    <col min="6" max="6" width="27.85546875" style="1" customWidth="1"/>
    <col min="7" max="7" width="21.5703125" style="1" customWidth="1"/>
    <col min="8" max="8" width="22.140625" style="1" customWidth="1"/>
    <col min="9" max="9" width="13.7109375" style="1" bestFit="1" customWidth="1"/>
    <col min="10" max="10" width="25.28515625" style="42" customWidth="1"/>
    <col min="11" max="11" width="10.85546875" customWidth="1"/>
  </cols>
  <sheetData>
    <row r="1" spans="1:10" ht="15" thickBot="1">
      <c r="A1" s="23"/>
      <c r="B1" s="23"/>
      <c r="C1" s="23"/>
      <c r="D1" s="23"/>
      <c r="E1" s="23"/>
      <c r="F1" s="23"/>
      <c r="G1" s="23"/>
      <c r="H1" s="23"/>
      <c r="I1" s="23"/>
    </row>
    <row r="2" spans="1:10" ht="39.950000000000003" customHeight="1" thickTop="1" thickBot="1">
      <c r="A2" s="83" t="e" vm="1">
        <v>#VALUE!</v>
      </c>
      <c r="B2" s="84"/>
      <c r="C2" s="85" t="e" vm="2">
        <v>#VALUE!</v>
      </c>
      <c r="D2" s="88" t="s">
        <v>0</v>
      </c>
      <c r="E2" s="76"/>
      <c r="F2" s="94" t="s">
        <v>43</v>
      </c>
      <c r="G2" s="94"/>
      <c r="H2" s="20" t="str">
        <f>'Panel de Control'!F2</f>
        <v>V1.0</v>
      </c>
      <c r="I2" s="23"/>
    </row>
    <row r="3" spans="1:10" ht="15.6" customHeight="1" thickTop="1">
      <c r="A3" s="83"/>
      <c r="B3" s="84"/>
      <c r="C3" s="86"/>
      <c r="D3" s="89" t="s">
        <v>2</v>
      </c>
      <c r="E3" s="77"/>
      <c r="F3" s="95"/>
      <c r="G3" s="79"/>
      <c r="H3" s="80"/>
      <c r="I3" s="23"/>
    </row>
    <row r="4" spans="1:10" ht="15" thickBot="1">
      <c r="A4" s="83"/>
      <c r="B4" s="84"/>
      <c r="C4" s="87"/>
      <c r="D4" s="90"/>
      <c r="E4" s="78"/>
      <c r="F4" s="96"/>
      <c r="G4" s="81"/>
      <c r="H4" s="82"/>
      <c r="I4" s="23"/>
    </row>
    <row r="5" spans="1:10" ht="15.6" thickTop="1" thickBot="1">
      <c r="A5" s="23"/>
      <c r="B5" s="23"/>
      <c r="C5" s="6"/>
      <c r="D5" s="7"/>
      <c r="E5" s="7"/>
      <c r="F5" s="5"/>
      <c r="G5" s="5"/>
      <c r="H5" s="5"/>
      <c r="I5" s="23"/>
      <c r="J5" s="43"/>
    </row>
    <row r="6" spans="1:10" ht="15.6" customHeight="1">
      <c r="A6" s="14"/>
      <c r="B6" s="15"/>
      <c r="C6" s="8" t="s">
        <v>44</v>
      </c>
      <c r="D6" s="11" t="s">
        <v>45</v>
      </c>
      <c r="E6" s="24" t="s">
        <v>12</v>
      </c>
      <c r="F6" s="25" t="s">
        <v>15</v>
      </c>
      <c r="G6" s="25" t="s">
        <v>13</v>
      </c>
      <c r="H6" s="26" t="s">
        <v>14</v>
      </c>
      <c r="I6" s="23"/>
    </row>
    <row r="7" spans="1:10">
      <c r="A7" s="23"/>
      <c r="B7" s="23"/>
      <c r="C7" s="23"/>
      <c r="D7" s="27" t="s">
        <v>46</v>
      </c>
      <c r="E7" s="17">
        <f>COUNTIF(A:A,"Alta")</f>
        <v>4</v>
      </c>
      <c r="F7" s="16">
        <f>COUNTIF(A:A,"Media")</f>
        <v>12</v>
      </c>
      <c r="G7" s="18">
        <f>COUNTIF(A:A,"Baja")</f>
        <v>0</v>
      </c>
      <c r="H7" s="19">
        <f>COUNTIF(A:A,"Informativa")</f>
        <v>0</v>
      </c>
      <c r="I7" s="23"/>
    </row>
    <row r="8" spans="1:10">
      <c r="A8" s="23"/>
      <c r="B8" s="23"/>
      <c r="C8" s="23"/>
      <c r="D8" s="27" t="s">
        <v>47</v>
      </c>
      <c r="E8" s="17">
        <f>COUNTIFS(A:A,"Alta",H:H,"Resuelta")</f>
        <v>1</v>
      </c>
      <c r="F8" s="16">
        <f>COUNTIFS(A:A,"Media",H:H,"Resuelta")</f>
        <v>0</v>
      </c>
      <c r="G8" s="18">
        <f>COUNTIFS(A:A,"Baja",H:H,"Resuelta")</f>
        <v>0</v>
      </c>
      <c r="H8" s="19">
        <f>COUNTIFS(A:A,"Informativa",H:H,"Resuelta")</f>
        <v>0</v>
      </c>
      <c r="I8" s="23"/>
    </row>
    <row r="9" spans="1:10">
      <c r="A9" s="23"/>
      <c r="B9" s="23"/>
      <c r="C9" s="23"/>
      <c r="D9" s="23"/>
      <c r="E9" s="23"/>
      <c r="F9" s="23"/>
      <c r="G9" s="23"/>
      <c r="H9" s="23"/>
      <c r="I9" s="23"/>
    </row>
    <row r="10" spans="1:10" ht="25.15">
      <c r="A10" s="29" t="s">
        <v>20</v>
      </c>
      <c r="B10" s="30" t="s">
        <v>21</v>
      </c>
      <c r="C10" s="30" t="s">
        <v>22</v>
      </c>
      <c r="D10" s="31" t="s">
        <v>23</v>
      </c>
      <c r="E10" s="31" t="s">
        <v>24</v>
      </c>
      <c r="F10" s="31" t="s">
        <v>25</v>
      </c>
      <c r="G10" s="31" t="s">
        <v>26</v>
      </c>
      <c r="H10" s="31" t="s">
        <v>27</v>
      </c>
      <c r="I10" s="31" t="s">
        <v>28</v>
      </c>
      <c r="J10" s="41" t="s">
        <v>29</v>
      </c>
    </row>
    <row r="11" spans="1:10" s="1" customFormat="1" ht="43.5" customHeight="1">
      <c r="A11" s="28" t="s">
        <v>12</v>
      </c>
      <c r="B11" s="10" t="s">
        <v>63</v>
      </c>
      <c r="C11" s="12">
        <v>45282</v>
      </c>
      <c r="D11" s="2" t="s">
        <v>64</v>
      </c>
      <c r="E11" s="2" t="s">
        <v>65</v>
      </c>
      <c r="F11" s="2" t="s">
        <v>5</v>
      </c>
      <c r="G11" s="2"/>
      <c r="H11" s="9" t="s">
        <v>19</v>
      </c>
      <c r="I11" s="2" t="s">
        <v>66</v>
      </c>
      <c r="J11" s="2" t="s">
        <v>67</v>
      </c>
    </row>
    <row r="12" spans="1:10" s="1" customFormat="1" ht="43.5" customHeight="1">
      <c r="A12" s="28" t="s">
        <v>12</v>
      </c>
      <c r="B12" s="4" t="s">
        <v>68</v>
      </c>
      <c r="C12" s="12">
        <v>45282</v>
      </c>
      <c r="D12" s="2" t="s">
        <v>49</v>
      </c>
      <c r="E12" s="2" t="s">
        <v>54</v>
      </c>
      <c r="F12" s="2" t="s">
        <v>5</v>
      </c>
      <c r="G12" s="2"/>
      <c r="H12" s="9" t="s">
        <v>69</v>
      </c>
      <c r="I12" s="2" t="s">
        <v>70</v>
      </c>
      <c r="J12" s="2" t="s">
        <v>71</v>
      </c>
    </row>
    <row r="13" spans="1:10" s="1" customFormat="1" ht="43.5" customHeight="1">
      <c r="A13" s="28" t="s">
        <v>12</v>
      </c>
      <c r="B13" s="3" t="s">
        <v>72</v>
      </c>
      <c r="C13" s="12">
        <v>45282</v>
      </c>
      <c r="D13" s="2" t="s">
        <v>73</v>
      </c>
      <c r="E13" s="2" t="s">
        <v>65</v>
      </c>
      <c r="F13" s="2" t="s">
        <v>5</v>
      </c>
      <c r="G13" s="2"/>
      <c r="H13" s="9" t="s">
        <v>19</v>
      </c>
      <c r="I13" s="2" t="s">
        <v>70</v>
      </c>
      <c r="J13" s="2" t="s">
        <v>71</v>
      </c>
    </row>
    <row r="14" spans="1:10" s="1" customFormat="1" ht="43.5" customHeight="1">
      <c r="A14" s="28" t="s">
        <v>12</v>
      </c>
      <c r="B14" s="10" t="s">
        <v>74</v>
      </c>
      <c r="C14" s="12">
        <v>45282</v>
      </c>
      <c r="D14" s="2" t="s">
        <v>75</v>
      </c>
      <c r="E14" s="2" t="s">
        <v>65</v>
      </c>
      <c r="F14" s="2" t="s">
        <v>5</v>
      </c>
      <c r="G14" s="2"/>
      <c r="H14" s="9" t="s">
        <v>19</v>
      </c>
      <c r="I14" s="2" t="s">
        <v>70</v>
      </c>
      <c r="J14" s="2" t="s">
        <v>71</v>
      </c>
    </row>
    <row r="15" spans="1:10" s="1" customFormat="1" ht="43.5" customHeight="1">
      <c r="A15" s="28" t="s">
        <v>15</v>
      </c>
      <c r="B15" s="66" t="s">
        <v>76</v>
      </c>
      <c r="C15" s="65">
        <v>45282</v>
      </c>
      <c r="D15" s="64" t="s">
        <v>77</v>
      </c>
      <c r="E15" s="64" t="s">
        <v>54</v>
      </c>
      <c r="F15" s="64" t="s">
        <v>5</v>
      </c>
      <c r="G15" s="64"/>
      <c r="H15" s="9" t="s">
        <v>19</v>
      </c>
      <c r="I15" s="64" t="s">
        <v>70</v>
      </c>
      <c r="J15" s="64" t="s">
        <v>78</v>
      </c>
    </row>
    <row r="16" spans="1:10" s="1" customFormat="1" ht="43.5" customHeight="1" thickTop="1" thickBot="1">
      <c r="A16" s="28" t="s">
        <v>15</v>
      </c>
      <c r="B16" s="3" t="s">
        <v>79</v>
      </c>
      <c r="C16" s="12">
        <v>45282</v>
      </c>
      <c r="D16" s="2" t="s">
        <v>80</v>
      </c>
      <c r="E16" s="2" t="s">
        <v>54</v>
      </c>
      <c r="F16" s="2" t="s">
        <v>5</v>
      </c>
      <c r="G16" s="2"/>
      <c r="H16" s="9" t="s">
        <v>19</v>
      </c>
      <c r="I16" s="2" t="s">
        <v>70</v>
      </c>
      <c r="J16" s="2" t="s">
        <v>71</v>
      </c>
    </row>
    <row r="17" spans="1:10" ht="43.5" customHeight="1">
      <c r="A17" s="28" t="s">
        <v>15</v>
      </c>
      <c r="B17" s="4" t="s">
        <v>81</v>
      </c>
      <c r="C17" s="12">
        <v>45282</v>
      </c>
      <c r="D17" s="2" t="s">
        <v>64</v>
      </c>
      <c r="E17" s="2" t="s">
        <v>82</v>
      </c>
      <c r="F17" s="2" t="s">
        <v>5</v>
      </c>
      <c r="G17" s="2"/>
      <c r="H17" s="9" t="s">
        <v>19</v>
      </c>
      <c r="I17" s="2" t="s">
        <v>70</v>
      </c>
      <c r="J17" s="2" t="s">
        <v>71</v>
      </c>
    </row>
    <row r="18" spans="1:10" s="1" customFormat="1" ht="43.5" customHeight="1">
      <c r="A18" s="28" t="s">
        <v>15</v>
      </c>
      <c r="B18" s="4" t="s">
        <v>83</v>
      </c>
      <c r="C18" s="12">
        <v>45282</v>
      </c>
      <c r="D18" s="2" t="s">
        <v>64</v>
      </c>
      <c r="E18" s="2" t="s">
        <v>82</v>
      </c>
      <c r="F18" s="2" t="s">
        <v>5</v>
      </c>
      <c r="G18" s="2"/>
      <c r="H18" s="9" t="s">
        <v>19</v>
      </c>
      <c r="I18" s="2" t="s">
        <v>70</v>
      </c>
      <c r="J18" s="2" t="s">
        <v>71</v>
      </c>
    </row>
    <row r="19" spans="1:10" s="1" customFormat="1" ht="43.5" customHeight="1">
      <c r="A19" s="35" t="s">
        <v>15</v>
      </c>
      <c r="B19" s="3" t="s">
        <v>84</v>
      </c>
      <c r="C19" s="12">
        <v>45282</v>
      </c>
      <c r="D19" s="2" t="s">
        <v>85</v>
      </c>
      <c r="E19" s="2" t="s">
        <v>54</v>
      </c>
      <c r="F19" s="2" t="s">
        <v>5</v>
      </c>
      <c r="G19" s="2"/>
      <c r="H19" s="9" t="s">
        <v>19</v>
      </c>
      <c r="I19" s="2" t="s">
        <v>70</v>
      </c>
      <c r="J19" s="2" t="s">
        <v>71</v>
      </c>
    </row>
    <row r="20" spans="1:10" s="1" customFormat="1" ht="43.5" customHeight="1">
      <c r="A20" s="28" t="s">
        <v>15</v>
      </c>
      <c r="B20" s="3" t="s">
        <v>86</v>
      </c>
      <c r="C20" s="12">
        <v>45282</v>
      </c>
      <c r="D20" s="2" t="s">
        <v>49</v>
      </c>
      <c r="E20" s="2" t="s">
        <v>54</v>
      </c>
      <c r="F20" s="2" t="s">
        <v>5</v>
      </c>
      <c r="G20" s="2"/>
      <c r="H20" s="9" t="s">
        <v>19</v>
      </c>
      <c r="I20" s="2" t="s">
        <v>70</v>
      </c>
      <c r="J20" s="2" t="s">
        <v>71</v>
      </c>
    </row>
    <row r="21" spans="1:10" s="1" customFormat="1" ht="43.5" customHeight="1">
      <c r="A21" s="28" t="s">
        <v>15</v>
      </c>
      <c r="B21" s="3" t="s">
        <v>87</v>
      </c>
      <c r="C21" s="12">
        <v>45282</v>
      </c>
      <c r="D21" s="2" t="s">
        <v>73</v>
      </c>
      <c r="E21" s="2" t="s">
        <v>50</v>
      </c>
      <c r="F21" s="2" t="s">
        <v>5</v>
      </c>
      <c r="G21" s="2"/>
      <c r="H21" s="9" t="s">
        <v>19</v>
      </c>
      <c r="I21" s="2" t="s">
        <v>70</v>
      </c>
      <c r="J21" s="2" t="s">
        <v>71</v>
      </c>
    </row>
    <row r="22" spans="1:10" s="1" customFormat="1" ht="43.5" customHeight="1">
      <c r="A22" s="28" t="s">
        <v>15</v>
      </c>
      <c r="B22" s="3" t="s">
        <v>88</v>
      </c>
      <c r="C22" s="12">
        <v>45282</v>
      </c>
      <c r="D22" s="2" t="s">
        <v>80</v>
      </c>
      <c r="E22" s="2" t="s">
        <v>65</v>
      </c>
      <c r="F22" s="2" t="s">
        <v>5</v>
      </c>
      <c r="G22" s="2"/>
      <c r="H22" s="9" t="s">
        <v>19</v>
      </c>
      <c r="I22" s="2" t="s">
        <v>89</v>
      </c>
      <c r="J22" s="2" t="s">
        <v>90</v>
      </c>
    </row>
    <row r="23" spans="1:10" s="1" customFormat="1" ht="43.5" customHeight="1">
      <c r="A23" s="28" t="s">
        <v>15</v>
      </c>
      <c r="B23" s="3" t="s">
        <v>91</v>
      </c>
      <c r="C23" s="12">
        <v>45282</v>
      </c>
      <c r="D23" s="2" t="s">
        <v>52</v>
      </c>
      <c r="E23" s="2" t="s">
        <v>54</v>
      </c>
      <c r="F23" s="2" t="s">
        <v>5</v>
      </c>
      <c r="G23" s="2"/>
      <c r="H23" s="9" t="s">
        <v>19</v>
      </c>
      <c r="I23" s="34" t="s">
        <v>92</v>
      </c>
      <c r="J23" s="2" t="s">
        <v>78</v>
      </c>
    </row>
    <row r="24" spans="1:10" s="1" customFormat="1" ht="43.5" customHeight="1">
      <c r="A24" s="28" t="s">
        <v>15</v>
      </c>
      <c r="B24" s="3" t="s">
        <v>93</v>
      </c>
      <c r="C24" s="12">
        <v>45282</v>
      </c>
      <c r="D24" s="2" t="s">
        <v>73</v>
      </c>
      <c r="E24" s="2" t="s">
        <v>94</v>
      </c>
      <c r="F24" s="2" t="s">
        <v>5</v>
      </c>
      <c r="G24" s="2"/>
      <c r="H24" s="9" t="s">
        <v>19</v>
      </c>
      <c r="I24" s="34" t="s">
        <v>92</v>
      </c>
      <c r="J24" s="2" t="s">
        <v>71</v>
      </c>
    </row>
    <row r="25" spans="1:10" s="1" customFormat="1" ht="43.5" customHeight="1">
      <c r="A25" s="28" t="s">
        <v>15</v>
      </c>
      <c r="B25" s="66" t="s">
        <v>91</v>
      </c>
      <c r="C25" s="65">
        <v>45282</v>
      </c>
      <c r="D25" s="64" t="s">
        <v>80</v>
      </c>
      <c r="E25" s="64" t="s">
        <v>50</v>
      </c>
      <c r="F25" s="64" t="s">
        <v>5</v>
      </c>
      <c r="G25" s="64"/>
      <c r="H25" s="9" t="s">
        <v>19</v>
      </c>
      <c r="I25" s="67" t="s">
        <v>92</v>
      </c>
      <c r="J25" s="64" t="s">
        <v>78</v>
      </c>
    </row>
    <row r="26" spans="1:10" s="1" customFormat="1" ht="43.5" customHeight="1">
      <c r="A26" s="28" t="s">
        <v>15</v>
      </c>
      <c r="B26" s="3" t="s">
        <v>95</v>
      </c>
      <c r="C26" s="12">
        <v>45282</v>
      </c>
      <c r="D26" s="2" t="s">
        <v>80</v>
      </c>
      <c r="E26" s="2" t="s">
        <v>54</v>
      </c>
      <c r="F26" s="2" t="s">
        <v>5</v>
      </c>
      <c r="G26" s="2"/>
      <c r="H26" s="9" t="s">
        <v>19</v>
      </c>
      <c r="I26" s="2" t="s">
        <v>92</v>
      </c>
      <c r="J26" s="2" t="s">
        <v>78</v>
      </c>
    </row>
    <row r="27" spans="1:10" s="1" customFormat="1" ht="13.9">
      <c r="A27" s="23"/>
      <c r="B27" s="23"/>
      <c r="C27" s="23"/>
      <c r="D27" s="23"/>
      <c r="E27" s="23"/>
      <c r="F27" s="23"/>
      <c r="G27" s="23"/>
      <c r="H27" s="23"/>
      <c r="I27" s="23"/>
      <c r="J27" s="42"/>
    </row>
    <row r="28" spans="1:10" s="1" customFormat="1" ht="13.9">
      <c r="A28" s="23"/>
      <c r="B28" s="23"/>
      <c r="C28" s="23"/>
      <c r="D28" s="23"/>
      <c r="E28" s="23"/>
      <c r="F28" s="23"/>
      <c r="G28" s="23"/>
      <c r="H28" s="23"/>
      <c r="I28" s="23"/>
      <c r="J28" s="42"/>
    </row>
    <row r="29" spans="1:10" s="1" customFormat="1" ht="43.5" customHeight="1">
      <c r="A29" s="23"/>
      <c r="B29" s="23"/>
      <c r="C29" s="23"/>
      <c r="D29" s="23"/>
      <c r="E29" s="23"/>
      <c r="F29" s="23"/>
      <c r="G29" s="23"/>
      <c r="H29" s="23"/>
      <c r="I29" s="23"/>
      <c r="J29" s="42"/>
    </row>
    <row r="30" spans="1:10" s="1" customFormat="1" ht="43.5" customHeight="1">
      <c r="A30" s="23"/>
      <c r="B30" s="23"/>
      <c r="C30" s="23"/>
      <c r="D30" s="23"/>
      <c r="E30" s="23"/>
      <c r="F30" s="23"/>
      <c r="G30" s="23"/>
      <c r="H30" s="23"/>
      <c r="I30" s="23"/>
      <c r="J30" s="42"/>
    </row>
    <row r="31" spans="1:10" s="1" customFormat="1" ht="43.5" customHeight="1">
      <c r="A31" s="23"/>
      <c r="B31" s="23"/>
      <c r="C31" s="23"/>
      <c r="D31" s="23"/>
      <c r="E31" s="23"/>
      <c r="F31" s="23"/>
      <c r="G31" s="23"/>
      <c r="H31" s="23"/>
      <c r="I31" s="23"/>
      <c r="J31" s="42"/>
    </row>
    <row r="32" spans="1:10" s="1" customFormat="1" ht="43.5" customHeight="1">
      <c r="A32" s="23"/>
      <c r="B32" s="23"/>
      <c r="C32" s="23"/>
      <c r="D32" s="23"/>
      <c r="E32" s="23"/>
      <c r="F32" s="23"/>
      <c r="G32" s="23"/>
      <c r="H32" s="23"/>
      <c r="I32" s="23"/>
      <c r="J32" s="42"/>
    </row>
    <row r="33" spans="1:10" s="1" customFormat="1" ht="62.1" customHeight="1">
      <c r="A33" s="23"/>
      <c r="B33" s="23"/>
      <c r="C33" s="23"/>
      <c r="D33" s="23"/>
      <c r="E33" s="23"/>
      <c r="F33" s="23"/>
      <c r="G33" s="23"/>
      <c r="H33" s="23"/>
      <c r="I33" s="23"/>
      <c r="J33" s="42"/>
    </row>
    <row r="34" spans="1:10" s="1" customFormat="1" ht="62.1" customHeight="1">
      <c r="A34" s="23"/>
      <c r="B34" s="23"/>
      <c r="C34" s="23"/>
      <c r="D34" s="23"/>
      <c r="E34" s="23"/>
      <c r="F34" s="23"/>
      <c r="G34" s="23"/>
      <c r="H34" s="23"/>
      <c r="I34" s="23"/>
      <c r="J34" s="42"/>
    </row>
    <row r="35" spans="1:10" s="1" customFormat="1" ht="62.1" customHeight="1">
      <c r="A35" s="23"/>
      <c r="B35" s="23"/>
      <c r="C35" s="23"/>
      <c r="D35" s="23"/>
      <c r="E35" s="23"/>
      <c r="F35" s="23"/>
      <c r="G35" s="23"/>
      <c r="H35" s="23"/>
      <c r="I35" s="23"/>
      <c r="J35" s="42"/>
    </row>
    <row r="36" spans="1:10" s="1" customFormat="1" ht="62.1" customHeight="1">
      <c r="A36" s="23"/>
      <c r="B36" s="23"/>
      <c r="C36" s="23"/>
      <c r="D36" s="23"/>
      <c r="E36" s="23"/>
      <c r="F36" s="23"/>
      <c r="G36" s="23"/>
      <c r="H36" s="23"/>
      <c r="I36" s="23"/>
      <c r="J36" s="42"/>
    </row>
    <row r="37" spans="1:10" s="1" customFormat="1" ht="62.1" customHeight="1">
      <c r="A37" s="23"/>
      <c r="B37" s="23"/>
      <c r="C37" s="23"/>
      <c r="D37" s="23"/>
      <c r="E37" s="23"/>
      <c r="F37" s="23"/>
      <c r="G37" s="23"/>
      <c r="H37" s="23"/>
      <c r="I37" s="23"/>
      <c r="J37" s="42"/>
    </row>
    <row r="38" spans="1:10" s="1" customFormat="1" ht="62.1" customHeight="1">
      <c r="A38" s="23"/>
      <c r="B38" s="23"/>
      <c r="C38" s="23"/>
      <c r="D38" s="23"/>
      <c r="E38" s="23"/>
      <c r="F38" s="23"/>
      <c r="G38" s="23"/>
      <c r="H38" s="23"/>
      <c r="I38" s="23"/>
      <c r="J38" s="42"/>
    </row>
    <row r="39" spans="1:10" s="1" customFormat="1" ht="62.1" customHeight="1">
      <c r="A39" s="23"/>
      <c r="B39" s="23"/>
      <c r="C39" s="23"/>
      <c r="D39" s="23"/>
      <c r="E39" s="23"/>
      <c r="F39" s="23"/>
      <c r="G39" s="23"/>
      <c r="H39" s="23"/>
      <c r="I39" s="23"/>
      <c r="J39" s="42"/>
    </row>
    <row r="40" spans="1:10" s="1" customFormat="1" ht="43.5" customHeight="1">
      <c r="A40" s="23"/>
      <c r="B40" s="23"/>
      <c r="C40" s="23"/>
      <c r="D40" s="23"/>
      <c r="E40" s="23"/>
      <c r="F40" s="23"/>
      <c r="G40" s="23"/>
      <c r="H40" s="23"/>
      <c r="I40" s="23"/>
      <c r="J40" s="42"/>
    </row>
    <row r="41" spans="1:10" s="1" customFormat="1" ht="13.9">
      <c r="A41" s="23"/>
      <c r="B41" s="23"/>
      <c r="C41" s="23"/>
      <c r="D41" s="23"/>
      <c r="E41" s="23"/>
      <c r="F41" s="23"/>
      <c r="G41" s="23"/>
      <c r="H41" s="23"/>
      <c r="I41" s="23"/>
      <c r="J41" s="42"/>
    </row>
    <row r="42" spans="1:10" s="1" customFormat="1" ht="13.9">
      <c r="A42" s="23"/>
      <c r="B42" s="23"/>
      <c r="C42" s="23"/>
      <c r="D42" s="23"/>
      <c r="E42" s="23"/>
      <c r="F42" s="23"/>
      <c r="G42" s="23"/>
      <c r="H42" s="23"/>
      <c r="I42" s="23"/>
      <c r="J42" s="42"/>
    </row>
    <row r="43" spans="1:10" s="1" customFormat="1" ht="15.6" customHeight="1">
      <c r="A43" s="23"/>
      <c r="B43" s="23"/>
      <c r="C43" s="23"/>
      <c r="D43" s="23"/>
      <c r="E43" s="23"/>
      <c r="F43" s="23"/>
      <c r="G43" s="23"/>
      <c r="H43" s="23"/>
      <c r="I43" s="23"/>
      <c r="J43" s="42"/>
    </row>
    <row r="44" spans="1:10" s="1" customFormat="1" ht="13.9">
      <c r="A44" s="23"/>
      <c r="B44" s="23"/>
      <c r="C44" s="23"/>
      <c r="D44" s="23"/>
      <c r="E44" s="23"/>
      <c r="F44" s="23"/>
      <c r="G44" s="23"/>
      <c r="H44" s="23"/>
      <c r="I44" s="23"/>
      <c r="J44" s="42"/>
    </row>
    <row r="45" spans="1:10" s="1" customFormat="1" ht="13.9">
      <c r="A45" s="23"/>
      <c r="B45" s="23"/>
      <c r="C45" s="23"/>
      <c r="D45" s="23"/>
      <c r="E45" s="23"/>
      <c r="F45" s="23"/>
      <c r="G45" s="23"/>
      <c r="H45" s="23"/>
      <c r="I45" s="23"/>
      <c r="J45" s="42"/>
    </row>
    <row r="46" spans="1:10" s="1" customFormat="1" ht="13.9">
      <c r="A46" s="23"/>
      <c r="B46" s="23"/>
      <c r="C46" s="23"/>
      <c r="D46" s="23"/>
      <c r="E46" s="23"/>
      <c r="F46" s="23"/>
      <c r="G46" s="23"/>
      <c r="H46" s="23"/>
      <c r="I46" s="23"/>
      <c r="J46" s="42"/>
    </row>
    <row r="47" spans="1:10" s="1" customFormat="1" ht="13.9">
      <c r="A47" s="23"/>
      <c r="B47" s="23"/>
      <c r="C47" s="23"/>
      <c r="D47" s="23"/>
      <c r="E47" s="23"/>
      <c r="F47" s="23"/>
      <c r="G47" s="23"/>
      <c r="H47" s="23"/>
      <c r="I47" s="23"/>
      <c r="J47" s="42"/>
    </row>
    <row r="48" spans="1:10" s="1" customFormat="1" ht="32.1" customHeight="1">
      <c r="A48" s="23"/>
      <c r="B48" s="23"/>
      <c r="C48" s="23"/>
      <c r="D48" s="23"/>
      <c r="E48" s="23"/>
      <c r="F48" s="23"/>
      <c r="G48" s="23"/>
      <c r="H48" s="23"/>
      <c r="I48" s="23"/>
      <c r="J48" s="42"/>
    </row>
    <row r="49" spans="1:10" s="1" customFormat="1" ht="50.1" customHeight="1">
      <c r="A49" s="23"/>
      <c r="B49" s="23"/>
      <c r="C49" s="23"/>
      <c r="D49" s="23"/>
      <c r="E49" s="23"/>
      <c r="F49" s="23"/>
      <c r="G49" s="23"/>
      <c r="H49" s="23"/>
      <c r="I49" s="23"/>
      <c r="J49" s="42"/>
    </row>
    <row r="50" spans="1:10" s="1" customFormat="1" ht="50.1" customHeight="1">
      <c r="A50" s="23"/>
      <c r="B50" s="23"/>
      <c r="C50" s="23"/>
      <c r="D50" s="23"/>
      <c r="E50" s="23"/>
      <c r="F50" s="23"/>
      <c r="G50" s="23"/>
      <c r="H50" s="23"/>
      <c r="I50" s="23"/>
      <c r="J50" s="42"/>
    </row>
    <row r="51" spans="1:10" s="1" customFormat="1" ht="50.1" customHeight="1">
      <c r="A51" s="23"/>
      <c r="B51" s="23"/>
      <c r="C51" s="23"/>
      <c r="D51" s="23"/>
      <c r="E51" s="23"/>
      <c r="F51" s="23"/>
      <c r="G51" s="23"/>
      <c r="H51" s="23"/>
      <c r="I51" s="23"/>
      <c r="J51" s="42"/>
    </row>
    <row r="52" spans="1:10" s="1" customFormat="1" ht="50.1" customHeight="1">
      <c r="A52" s="23"/>
      <c r="B52" s="23"/>
      <c r="C52" s="23"/>
      <c r="D52" s="23"/>
      <c r="E52" s="23"/>
      <c r="F52" s="23"/>
      <c r="G52" s="23"/>
      <c r="H52" s="23"/>
      <c r="I52" s="23"/>
      <c r="J52" s="42"/>
    </row>
    <row r="53" spans="1:10" s="1" customFormat="1" ht="50.1" customHeight="1">
      <c r="A53" s="23"/>
      <c r="B53" s="23"/>
      <c r="C53" s="23"/>
      <c r="D53" s="23"/>
      <c r="E53" s="23"/>
      <c r="F53" s="23"/>
      <c r="G53" s="23"/>
      <c r="H53" s="23"/>
      <c r="I53" s="23"/>
      <c r="J53" s="42"/>
    </row>
    <row r="54" spans="1:10" s="1" customFormat="1" ht="50.1" customHeight="1">
      <c r="A54" s="23"/>
      <c r="B54" s="23"/>
      <c r="C54" s="23"/>
      <c r="D54" s="23"/>
      <c r="E54" s="23"/>
      <c r="F54" s="23"/>
      <c r="G54" s="23"/>
      <c r="H54" s="23"/>
      <c r="I54" s="23"/>
      <c r="J54" s="42"/>
    </row>
    <row r="55" spans="1:10" s="1" customFormat="1" ht="50.1" customHeight="1">
      <c r="A55" s="23"/>
      <c r="B55" s="23"/>
      <c r="C55" s="23"/>
      <c r="D55" s="23"/>
      <c r="E55" s="23"/>
      <c r="F55" s="23"/>
      <c r="G55" s="23"/>
      <c r="H55" s="23"/>
      <c r="I55" s="23"/>
      <c r="J55" s="42"/>
    </row>
    <row r="56" spans="1:10" s="1" customFormat="1" ht="13.9">
      <c r="A56" s="23"/>
      <c r="B56" s="23"/>
      <c r="C56" s="23"/>
      <c r="D56" s="23"/>
      <c r="E56" s="23"/>
      <c r="F56" s="23"/>
      <c r="G56" s="23"/>
      <c r="H56" s="23"/>
      <c r="I56" s="23"/>
      <c r="J56" s="42"/>
    </row>
    <row r="57" spans="1:10" s="1" customFormat="1" ht="15.6" customHeight="1">
      <c r="A57" s="23"/>
      <c r="B57" s="23"/>
      <c r="C57" s="23"/>
      <c r="D57" s="23"/>
      <c r="E57" s="23"/>
      <c r="F57" s="23"/>
      <c r="G57" s="23"/>
      <c r="H57" s="23"/>
      <c r="I57" s="23"/>
      <c r="J57" s="42"/>
    </row>
    <row r="58" spans="1:10" s="1" customFormat="1" ht="13.9">
      <c r="A58" s="23"/>
      <c r="B58" s="23"/>
      <c r="C58" s="23"/>
      <c r="D58" s="23"/>
      <c r="E58" s="23"/>
      <c r="F58" s="23"/>
      <c r="G58" s="23"/>
      <c r="H58" s="23"/>
      <c r="I58" s="23"/>
      <c r="J58" s="42"/>
    </row>
    <row r="59" spans="1:10" s="1" customFormat="1" ht="13.9">
      <c r="A59" s="23"/>
      <c r="B59" s="23"/>
      <c r="C59" s="23"/>
      <c r="D59" s="23"/>
      <c r="E59" s="23"/>
      <c r="F59" s="23"/>
      <c r="G59" s="23"/>
      <c r="H59" s="23"/>
      <c r="I59" s="23"/>
      <c r="J59" s="42"/>
    </row>
    <row r="60" spans="1:10" s="1" customFormat="1" ht="13.9">
      <c r="A60" s="23"/>
      <c r="B60" s="23"/>
      <c r="C60" s="23"/>
      <c r="D60" s="23"/>
      <c r="E60" s="23"/>
      <c r="F60" s="23"/>
      <c r="G60" s="23"/>
      <c r="H60" s="23"/>
      <c r="I60" s="23"/>
      <c r="J60" s="42"/>
    </row>
    <row r="61" spans="1:10" s="1" customFormat="1" ht="13.9">
      <c r="A61" s="23"/>
      <c r="B61" s="23"/>
      <c r="C61" s="23"/>
      <c r="D61" s="23"/>
      <c r="E61" s="23"/>
      <c r="F61" s="23"/>
      <c r="G61" s="23"/>
      <c r="H61" s="23"/>
      <c r="I61" s="23"/>
      <c r="J61" s="42"/>
    </row>
    <row r="62" spans="1:10" s="1" customFormat="1" ht="42.6" customHeight="1">
      <c r="A62" s="23"/>
      <c r="B62" s="23"/>
      <c r="C62" s="23"/>
      <c r="D62" s="23"/>
      <c r="E62" s="23"/>
      <c r="F62" s="23"/>
      <c r="G62" s="23"/>
      <c r="H62" s="23"/>
      <c r="I62" s="23"/>
      <c r="J62" s="42"/>
    </row>
    <row r="63" spans="1:10" s="1" customFormat="1" ht="13.9">
      <c r="A63" s="23"/>
      <c r="B63" s="23"/>
      <c r="C63" s="23"/>
      <c r="D63" s="23"/>
      <c r="E63" s="23"/>
      <c r="F63" s="23"/>
      <c r="G63" s="23"/>
      <c r="H63" s="23"/>
      <c r="I63" s="23"/>
      <c r="J63" s="42"/>
    </row>
    <row r="64" spans="1:10" s="1" customFormat="1" ht="13.9">
      <c r="A64" s="23"/>
      <c r="B64" s="23"/>
      <c r="C64" s="23"/>
      <c r="D64" s="23"/>
      <c r="E64" s="23"/>
      <c r="F64" s="23"/>
      <c r="G64" s="23"/>
      <c r="H64" s="23"/>
      <c r="I64" s="23"/>
      <c r="J64" s="42"/>
    </row>
    <row r="65" spans="1:10" s="1" customFormat="1" ht="42.95" customHeight="1">
      <c r="A65" s="23"/>
      <c r="B65" s="23"/>
      <c r="C65" s="23"/>
      <c r="D65" s="23"/>
      <c r="E65" s="23"/>
      <c r="F65" s="23"/>
      <c r="G65" s="23"/>
      <c r="H65" s="23"/>
      <c r="I65" s="23"/>
      <c r="J65" s="42"/>
    </row>
    <row r="66" spans="1:10" s="1" customFormat="1" ht="45.6" customHeight="1">
      <c r="A66" s="23"/>
      <c r="B66" s="23"/>
      <c r="C66" s="23"/>
      <c r="D66" s="23"/>
      <c r="E66" s="23"/>
      <c r="F66" s="23"/>
      <c r="G66" s="23"/>
      <c r="H66" s="23"/>
      <c r="I66" s="23"/>
      <c r="J66" s="42"/>
    </row>
    <row r="67" spans="1:10" s="1" customFormat="1" ht="45.6" customHeight="1">
      <c r="A67" s="23"/>
      <c r="B67" s="23"/>
      <c r="C67" s="23"/>
      <c r="D67" s="23"/>
      <c r="E67" s="23"/>
      <c r="F67" s="23"/>
      <c r="G67" s="23"/>
      <c r="H67" s="23"/>
      <c r="I67" s="23"/>
      <c r="J67" s="42"/>
    </row>
    <row r="68" spans="1:10" s="1" customFormat="1" ht="45.6" customHeight="1">
      <c r="A68" s="23"/>
      <c r="B68" s="23"/>
      <c r="C68" s="23"/>
      <c r="D68" s="23"/>
      <c r="E68" s="23"/>
      <c r="F68" s="23"/>
      <c r="G68" s="23"/>
      <c r="H68" s="23"/>
      <c r="I68" s="23"/>
      <c r="J68" s="42"/>
    </row>
    <row r="69" spans="1:10" s="1" customFormat="1" ht="34.5" customHeight="1">
      <c r="A69" s="23"/>
      <c r="B69" s="23"/>
      <c r="C69" s="23"/>
      <c r="D69" s="23"/>
      <c r="E69" s="23"/>
      <c r="F69" s="23"/>
      <c r="G69" s="23"/>
      <c r="H69" s="23"/>
      <c r="I69" s="23"/>
      <c r="J69" s="42"/>
    </row>
    <row r="70" spans="1:10" s="1" customFormat="1" ht="13.9">
      <c r="A70" s="23"/>
      <c r="B70" s="23"/>
      <c r="C70" s="23"/>
      <c r="D70" s="23"/>
      <c r="E70" s="23"/>
      <c r="F70" s="23"/>
      <c r="G70" s="23"/>
      <c r="H70" s="23"/>
      <c r="I70" s="23"/>
      <c r="J70" s="42"/>
    </row>
    <row r="71" spans="1:10" s="1" customFormat="1" ht="13.9">
      <c r="A71" s="23"/>
      <c r="B71" s="23"/>
      <c r="C71" s="23"/>
      <c r="D71" s="23"/>
      <c r="E71" s="23"/>
      <c r="F71" s="23"/>
      <c r="G71" s="23"/>
      <c r="H71" s="23"/>
      <c r="I71" s="23"/>
      <c r="J71" s="42"/>
    </row>
    <row r="72" spans="1:10" s="1" customFormat="1" ht="15.6" customHeight="1">
      <c r="A72" s="23"/>
      <c r="B72" s="23"/>
      <c r="C72" s="23"/>
      <c r="D72" s="23"/>
      <c r="E72" s="23"/>
      <c r="F72" s="23"/>
      <c r="G72" s="23"/>
      <c r="H72" s="23"/>
      <c r="I72" s="23"/>
      <c r="J72" s="42"/>
    </row>
    <row r="73" spans="1:10" s="1" customFormat="1" ht="13.9">
      <c r="A73" s="23"/>
      <c r="B73" s="23"/>
      <c r="C73" s="23"/>
      <c r="D73" s="23"/>
      <c r="E73" s="23"/>
      <c r="F73" s="23"/>
      <c r="G73" s="23"/>
      <c r="H73" s="23"/>
      <c r="I73" s="23"/>
      <c r="J73" s="42"/>
    </row>
    <row r="74" spans="1:10" s="1" customFormat="1" ht="13.9">
      <c r="A74" s="23"/>
      <c r="B74" s="23"/>
      <c r="C74" s="23"/>
      <c r="D74" s="23"/>
      <c r="E74" s="23"/>
      <c r="F74" s="23"/>
      <c r="G74" s="23"/>
      <c r="H74" s="23"/>
      <c r="I74" s="23"/>
      <c r="J74" s="42"/>
    </row>
    <row r="75" spans="1:10" s="1" customFormat="1" ht="13.9">
      <c r="A75" s="23"/>
      <c r="B75" s="23"/>
      <c r="C75" s="23"/>
      <c r="D75" s="23"/>
      <c r="E75" s="23"/>
      <c r="F75" s="23"/>
      <c r="G75" s="23"/>
      <c r="H75" s="23"/>
      <c r="I75" s="23"/>
      <c r="J75" s="42"/>
    </row>
    <row r="76" spans="1:10" s="1" customFormat="1" ht="13.9">
      <c r="A76" s="23"/>
      <c r="B76" s="23"/>
      <c r="C76" s="23"/>
      <c r="D76" s="23"/>
      <c r="E76" s="23"/>
      <c r="F76" s="23"/>
      <c r="G76" s="23"/>
      <c r="H76" s="23"/>
      <c r="I76" s="23"/>
      <c r="J76" s="42"/>
    </row>
    <row r="77" spans="1:10" s="1" customFormat="1" ht="13.9">
      <c r="A77" s="23"/>
      <c r="B77" s="23"/>
      <c r="C77" s="23"/>
      <c r="D77" s="23"/>
      <c r="E77" s="23"/>
      <c r="F77" s="23"/>
      <c r="G77" s="23"/>
      <c r="H77" s="23"/>
      <c r="I77" s="23"/>
      <c r="J77" s="42"/>
    </row>
    <row r="78" spans="1:10" s="1" customFormat="1" ht="38.450000000000003" customHeight="1">
      <c r="A78" s="23"/>
      <c r="B78" s="23"/>
      <c r="C78" s="23"/>
      <c r="D78" s="23"/>
      <c r="E78" s="23"/>
      <c r="F78" s="23"/>
      <c r="G78" s="23"/>
      <c r="H78" s="23"/>
      <c r="I78" s="23"/>
      <c r="J78" s="42"/>
    </row>
    <row r="79" spans="1:10" s="1" customFormat="1" ht="38.450000000000003" customHeight="1">
      <c r="A79" s="23"/>
      <c r="B79" s="23"/>
      <c r="C79" s="23"/>
      <c r="D79" s="23"/>
      <c r="E79" s="23"/>
      <c r="F79" s="23"/>
      <c r="G79" s="23"/>
      <c r="H79" s="23"/>
      <c r="I79" s="23"/>
      <c r="J79" s="42"/>
    </row>
    <row r="80" spans="1:10" s="1" customFormat="1" ht="38.450000000000003" customHeight="1">
      <c r="A80" s="23"/>
      <c r="B80" s="23"/>
      <c r="C80" s="23"/>
      <c r="D80" s="23"/>
      <c r="E80" s="23"/>
      <c r="F80" s="23"/>
      <c r="G80" s="23"/>
      <c r="H80" s="23"/>
      <c r="I80" s="23"/>
      <c r="J80" s="42"/>
    </row>
    <row r="81" spans="1:10" s="1" customFormat="1" ht="38.450000000000003" customHeight="1">
      <c r="A81" s="23"/>
      <c r="B81" s="23"/>
      <c r="C81" s="23"/>
      <c r="D81" s="23"/>
      <c r="E81" s="23"/>
      <c r="F81" s="23"/>
      <c r="G81" s="23"/>
      <c r="H81" s="23"/>
      <c r="I81" s="23"/>
      <c r="J81" s="42"/>
    </row>
    <row r="82" spans="1:10" s="1" customFormat="1" ht="38.450000000000003" customHeight="1">
      <c r="A82" s="23"/>
      <c r="B82" s="23"/>
      <c r="C82" s="23"/>
      <c r="D82" s="23"/>
      <c r="E82" s="23"/>
      <c r="F82" s="23"/>
      <c r="G82" s="23"/>
      <c r="H82" s="23"/>
      <c r="I82" s="23"/>
      <c r="J82" s="42"/>
    </row>
    <row r="83" spans="1:10" s="1" customFormat="1" ht="38.450000000000003" customHeight="1">
      <c r="A83" s="23"/>
      <c r="B83" s="23"/>
      <c r="C83" s="23"/>
      <c r="D83" s="23"/>
      <c r="E83" s="23"/>
      <c r="F83" s="23"/>
      <c r="G83" s="23"/>
      <c r="H83" s="23"/>
      <c r="I83" s="23"/>
      <c r="J83" s="42"/>
    </row>
    <row r="84" spans="1:10" s="1" customFormat="1" ht="38.450000000000003" customHeight="1">
      <c r="A84" s="23"/>
      <c r="B84" s="23"/>
      <c r="C84" s="23"/>
      <c r="D84" s="23"/>
      <c r="E84" s="23"/>
      <c r="F84" s="23"/>
      <c r="G84" s="23"/>
      <c r="H84" s="23"/>
      <c r="I84" s="23"/>
      <c r="J84" s="42"/>
    </row>
    <row r="85" spans="1:10" s="1" customFormat="1" ht="13.9">
      <c r="A85" s="23"/>
      <c r="B85" s="23"/>
      <c r="C85" s="23"/>
      <c r="D85" s="23"/>
      <c r="E85" s="23"/>
      <c r="F85" s="23"/>
      <c r="G85" s="23"/>
      <c r="H85" s="23"/>
      <c r="I85" s="23"/>
      <c r="J85" s="42"/>
    </row>
    <row r="86" spans="1:10" s="1" customFormat="1" ht="13.9">
      <c r="A86" s="23"/>
      <c r="B86" s="23"/>
      <c r="C86" s="23"/>
      <c r="D86" s="23"/>
      <c r="E86" s="23"/>
      <c r="F86" s="23"/>
      <c r="G86" s="23"/>
      <c r="H86" s="23"/>
      <c r="I86" s="23"/>
      <c r="J86" s="42"/>
    </row>
    <row r="87" spans="1:10" s="1" customFormat="1" ht="15.6" customHeight="1">
      <c r="A87" s="23"/>
      <c r="B87" s="23"/>
      <c r="C87" s="23"/>
      <c r="D87" s="23"/>
      <c r="E87" s="23"/>
      <c r="F87" s="23"/>
      <c r="G87" s="23"/>
      <c r="H87" s="23"/>
      <c r="I87" s="23"/>
      <c r="J87" s="42"/>
    </row>
    <row r="88" spans="1:10" s="1" customFormat="1" ht="13.9">
      <c r="A88" s="23"/>
      <c r="B88" s="23"/>
      <c r="C88" s="23"/>
      <c r="D88" s="23"/>
      <c r="E88" s="23"/>
      <c r="F88" s="23"/>
      <c r="G88" s="23"/>
      <c r="H88" s="23"/>
      <c r="I88" s="23"/>
      <c r="J88" s="42"/>
    </row>
    <row r="89" spans="1:10" s="1" customFormat="1" ht="13.9">
      <c r="A89" s="23"/>
      <c r="B89" s="23"/>
      <c r="C89" s="23"/>
      <c r="D89" s="23"/>
      <c r="E89" s="23"/>
      <c r="F89" s="23"/>
      <c r="G89" s="23"/>
      <c r="H89" s="23"/>
      <c r="I89" s="23"/>
      <c r="J89" s="42"/>
    </row>
    <row r="90" spans="1:10" s="1" customFormat="1" ht="13.9">
      <c r="A90" s="23"/>
      <c r="B90" s="23"/>
      <c r="C90" s="23"/>
      <c r="D90" s="23"/>
      <c r="E90" s="23"/>
      <c r="F90" s="23"/>
      <c r="G90" s="23"/>
      <c r="H90" s="23"/>
      <c r="I90" s="23"/>
      <c r="J90" s="42"/>
    </row>
    <row r="91" spans="1:10" s="1" customFormat="1" ht="13.9">
      <c r="A91" s="23"/>
      <c r="B91" s="23"/>
      <c r="C91" s="23"/>
      <c r="D91" s="23"/>
      <c r="E91" s="23"/>
      <c r="F91" s="23"/>
      <c r="G91" s="23"/>
      <c r="H91" s="23"/>
      <c r="I91" s="23"/>
      <c r="J91" s="42"/>
    </row>
    <row r="92" spans="1:10" s="1" customFormat="1" ht="42" customHeight="1">
      <c r="A92" s="23"/>
      <c r="B92" s="23"/>
      <c r="C92" s="23"/>
      <c r="D92" s="23"/>
      <c r="E92" s="23"/>
      <c r="F92" s="23"/>
      <c r="G92" s="23"/>
      <c r="H92" s="23"/>
      <c r="I92" s="23"/>
      <c r="J92" s="42"/>
    </row>
    <row r="93" spans="1:10" s="1" customFormat="1" ht="42" customHeight="1">
      <c r="A93" s="23"/>
      <c r="B93" s="23"/>
      <c r="C93" s="23"/>
      <c r="D93" s="23"/>
      <c r="E93" s="23"/>
      <c r="F93" s="23"/>
      <c r="G93" s="23"/>
      <c r="H93" s="23"/>
      <c r="I93" s="23"/>
      <c r="J93" s="42"/>
    </row>
    <row r="94" spans="1:10" s="1" customFormat="1" ht="42" customHeight="1">
      <c r="A94" s="23"/>
      <c r="B94" s="23"/>
      <c r="C94" s="23"/>
      <c r="D94" s="23"/>
      <c r="E94" s="23"/>
      <c r="F94" s="23"/>
      <c r="G94" s="23"/>
      <c r="H94" s="23"/>
      <c r="I94" s="23"/>
      <c r="J94" s="42"/>
    </row>
    <row r="95" spans="1:10" s="1" customFormat="1" ht="42" customHeight="1">
      <c r="A95" s="23"/>
      <c r="B95" s="23"/>
      <c r="C95" s="23"/>
      <c r="D95" s="23"/>
      <c r="E95" s="23"/>
      <c r="F95" s="23"/>
      <c r="G95" s="23"/>
      <c r="H95" s="23"/>
      <c r="I95" s="23"/>
      <c r="J95" s="42"/>
    </row>
    <row r="96" spans="1:10" s="1" customFormat="1" ht="42" customHeight="1">
      <c r="A96" s="23"/>
      <c r="B96" s="23"/>
      <c r="C96" s="23"/>
      <c r="D96" s="23"/>
      <c r="E96" s="23"/>
      <c r="F96" s="23"/>
      <c r="G96" s="23"/>
      <c r="H96" s="23"/>
      <c r="I96" s="23"/>
      <c r="J96" s="42"/>
    </row>
    <row r="97" spans="1:10" s="1" customFormat="1" ht="42" customHeight="1">
      <c r="A97" s="23"/>
      <c r="B97" s="23"/>
      <c r="C97" s="23"/>
      <c r="D97" s="23"/>
      <c r="E97" s="23"/>
      <c r="F97" s="23"/>
      <c r="G97" s="23"/>
      <c r="H97" s="23"/>
      <c r="I97" s="23"/>
      <c r="J97" s="42"/>
    </row>
    <row r="98" spans="1:10" s="1" customFormat="1" ht="42" customHeight="1">
      <c r="A98" s="23"/>
      <c r="B98" s="23"/>
      <c r="C98" s="23"/>
      <c r="D98" s="23"/>
      <c r="E98" s="23"/>
      <c r="F98" s="23"/>
      <c r="G98" s="23"/>
      <c r="H98" s="23"/>
      <c r="I98" s="23"/>
      <c r="J98" s="42"/>
    </row>
    <row r="99" spans="1:10" s="1" customFormat="1" ht="42" customHeight="1">
      <c r="A99" s="23"/>
      <c r="B99" s="23"/>
      <c r="C99" s="23"/>
      <c r="D99" s="23"/>
      <c r="E99" s="23"/>
      <c r="F99" s="23"/>
      <c r="G99" s="23"/>
      <c r="H99" s="23"/>
      <c r="I99" s="23"/>
      <c r="J99" s="42"/>
    </row>
    <row r="100" spans="1:10" s="1" customFormat="1" ht="13.9">
      <c r="A100" s="23"/>
      <c r="B100" s="23"/>
      <c r="C100" s="23"/>
      <c r="D100" s="23"/>
      <c r="E100" s="23"/>
      <c r="F100" s="23"/>
      <c r="G100" s="23"/>
      <c r="H100" s="23"/>
      <c r="I100" s="23"/>
      <c r="J100" s="42"/>
    </row>
    <row r="101" spans="1:10" s="1" customFormat="1" ht="13.9">
      <c r="A101" s="23"/>
      <c r="B101" s="23"/>
      <c r="C101" s="23"/>
      <c r="D101" s="23"/>
      <c r="E101" s="23"/>
      <c r="F101" s="23"/>
      <c r="G101" s="23"/>
      <c r="H101" s="23"/>
      <c r="I101" s="23"/>
      <c r="J101" s="42"/>
    </row>
    <row r="102" spans="1:10" s="1" customFormat="1" ht="13.9">
      <c r="A102" s="23"/>
      <c r="B102" s="23"/>
      <c r="C102" s="23"/>
      <c r="D102" s="23"/>
      <c r="E102" s="23"/>
      <c r="F102" s="23"/>
      <c r="G102" s="23"/>
      <c r="H102" s="23"/>
      <c r="I102" s="23"/>
      <c r="J102" s="42"/>
    </row>
    <row r="103" spans="1:10" s="1" customFormat="1" ht="13.9">
      <c r="A103" s="23"/>
      <c r="B103" s="23"/>
      <c r="C103" s="23"/>
      <c r="D103" s="23"/>
      <c r="E103" s="23"/>
      <c r="F103" s="23"/>
      <c r="G103" s="23"/>
      <c r="H103" s="23"/>
      <c r="I103" s="23"/>
      <c r="J103" s="42"/>
    </row>
    <row r="104" spans="1:10" s="1" customFormat="1" ht="13.9">
      <c r="A104" s="23"/>
      <c r="B104" s="23"/>
      <c r="C104" s="23"/>
      <c r="D104" s="23"/>
      <c r="E104" s="23"/>
      <c r="F104" s="23"/>
      <c r="G104" s="23"/>
      <c r="H104" s="23"/>
      <c r="I104" s="23"/>
      <c r="J104" s="42"/>
    </row>
    <row r="105" spans="1:10" s="1" customFormat="1" ht="13.9">
      <c r="A105" s="23"/>
      <c r="B105" s="23"/>
      <c r="C105" s="23"/>
      <c r="D105" s="23"/>
      <c r="E105" s="23"/>
      <c r="F105" s="23"/>
      <c r="G105" s="23"/>
      <c r="H105" s="23"/>
      <c r="I105" s="23"/>
      <c r="J105" s="42"/>
    </row>
    <row r="106" spans="1:10" s="1" customFormat="1" ht="13.9">
      <c r="A106" s="23"/>
      <c r="B106" s="23"/>
      <c r="C106" s="23"/>
      <c r="D106" s="23"/>
      <c r="E106" s="23"/>
      <c r="F106" s="23"/>
      <c r="G106" s="23"/>
      <c r="H106" s="23"/>
      <c r="I106" s="23"/>
      <c r="J106" s="42"/>
    </row>
    <row r="107" spans="1:10" s="1" customFormat="1" ht="51.6" customHeight="1">
      <c r="A107" s="23"/>
      <c r="B107" s="23"/>
      <c r="C107" s="23"/>
      <c r="D107" s="23"/>
      <c r="E107" s="23"/>
      <c r="F107" s="23"/>
      <c r="G107" s="23"/>
      <c r="H107" s="23"/>
      <c r="I107" s="23"/>
      <c r="J107" s="42"/>
    </row>
    <row r="108" spans="1:10" s="1" customFormat="1" ht="44.1" customHeight="1">
      <c r="A108" s="23"/>
      <c r="B108" s="23"/>
      <c r="C108" s="23"/>
      <c r="D108" s="23"/>
      <c r="E108" s="23"/>
      <c r="F108" s="23"/>
      <c r="G108" s="23"/>
      <c r="H108" s="23"/>
      <c r="I108" s="23"/>
      <c r="J108" s="42"/>
    </row>
    <row r="109" spans="1:10" s="1" customFormat="1" ht="39.950000000000003" customHeight="1">
      <c r="A109" s="23"/>
      <c r="B109" s="23"/>
      <c r="C109" s="23"/>
      <c r="D109" s="23"/>
      <c r="E109" s="23"/>
      <c r="F109" s="23"/>
      <c r="G109" s="23"/>
      <c r="H109" s="23"/>
      <c r="I109" s="23"/>
      <c r="J109" s="42"/>
    </row>
    <row r="110" spans="1:10" s="1" customFormat="1" ht="13.9">
      <c r="A110" s="23"/>
      <c r="B110" s="23"/>
      <c r="C110" s="23"/>
      <c r="D110" s="23"/>
      <c r="E110" s="23"/>
      <c r="F110" s="23"/>
      <c r="G110" s="23"/>
      <c r="H110" s="23"/>
      <c r="I110" s="23"/>
      <c r="J110" s="42"/>
    </row>
    <row r="111" spans="1:10" s="1" customFormat="1" ht="13.9">
      <c r="A111" s="23"/>
      <c r="B111" s="23"/>
      <c r="C111" s="23"/>
      <c r="D111" s="23"/>
      <c r="E111" s="23"/>
      <c r="F111" s="23"/>
      <c r="G111" s="23"/>
      <c r="H111" s="23"/>
      <c r="I111" s="23"/>
      <c r="J111" s="42"/>
    </row>
    <row r="112" spans="1:10" s="1" customFormat="1" ht="13.9">
      <c r="A112" s="23"/>
      <c r="B112" s="23"/>
      <c r="C112" s="23"/>
      <c r="D112" s="23"/>
      <c r="E112" s="23"/>
      <c r="F112" s="23"/>
      <c r="G112" s="23"/>
      <c r="H112" s="23"/>
      <c r="I112" s="23"/>
      <c r="J112" s="42"/>
    </row>
    <row r="113" spans="1:10" s="1" customFormat="1" ht="13.9">
      <c r="A113" s="23"/>
      <c r="B113" s="23"/>
      <c r="C113" s="23"/>
      <c r="D113" s="23"/>
      <c r="E113" s="23"/>
      <c r="F113" s="23"/>
      <c r="G113" s="23"/>
      <c r="H113" s="23"/>
      <c r="I113" s="23"/>
      <c r="J113" s="42"/>
    </row>
    <row r="114" spans="1:10">
      <c r="A114" s="23"/>
      <c r="B114" s="23"/>
      <c r="C114" s="23"/>
      <c r="D114" s="23"/>
      <c r="E114" s="23"/>
      <c r="F114" s="23"/>
      <c r="G114" s="23"/>
      <c r="H114" s="23"/>
      <c r="I114" s="23"/>
    </row>
    <row r="115" spans="1:10">
      <c r="A115" s="23"/>
      <c r="B115" s="23"/>
      <c r="C115" s="23"/>
      <c r="D115" s="23"/>
      <c r="E115" s="23"/>
      <c r="F115" s="23"/>
      <c r="G115" s="23"/>
      <c r="H115" s="23"/>
      <c r="I115" s="23"/>
    </row>
    <row r="116" spans="1:10">
      <c r="A116" s="23"/>
      <c r="B116" s="23"/>
      <c r="C116" s="23"/>
      <c r="D116" s="23"/>
      <c r="E116" s="23"/>
      <c r="F116" s="23"/>
      <c r="G116" s="23"/>
      <c r="H116" s="23"/>
      <c r="I116" s="23"/>
    </row>
    <row r="117" spans="1:10">
      <c r="A117" s="23"/>
      <c r="B117" s="23"/>
      <c r="C117" s="23"/>
      <c r="D117" s="23"/>
      <c r="E117" s="23"/>
      <c r="F117" s="23"/>
      <c r="G117" s="23"/>
      <c r="H117" s="23"/>
      <c r="I117" s="23"/>
    </row>
    <row r="118" spans="1:10">
      <c r="A118" s="23"/>
      <c r="B118" s="23"/>
      <c r="C118" s="23"/>
      <c r="D118" s="23"/>
      <c r="E118" s="23"/>
      <c r="F118" s="23"/>
      <c r="G118" s="23"/>
      <c r="H118" s="23"/>
      <c r="I118" s="23"/>
    </row>
    <row r="119" spans="1:10">
      <c r="A119" s="23"/>
      <c r="B119" s="23"/>
      <c r="C119" s="23"/>
      <c r="D119" s="23"/>
      <c r="E119" s="23"/>
      <c r="F119" s="23"/>
      <c r="G119" s="23"/>
      <c r="H119" s="23"/>
      <c r="I119" s="23"/>
    </row>
    <row r="120" spans="1:10">
      <c r="A120" s="23"/>
      <c r="B120" s="23"/>
      <c r="C120" s="23"/>
      <c r="D120" s="23"/>
      <c r="E120" s="23"/>
      <c r="F120" s="23"/>
      <c r="G120" s="23"/>
      <c r="H120" s="23"/>
      <c r="I120" s="23"/>
    </row>
    <row r="121" spans="1:10">
      <c r="A121" s="23"/>
      <c r="B121" s="23"/>
      <c r="C121" s="23"/>
      <c r="D121" s="23"/>
      <c r="E121" s="23"/>
      <c r="F121" s="23"/>
      <c r="G121" s="23"/>
      <c r="H121" s="23"/>
      <c r="I121" s="23"/>
    </row>
    <row r="122" spans="1:10">
      <c r="A122" s="23"/>
      <c r="B122" s="23"/>
      <c r="C122" s="23"/>
      <c r="D122" s="23"/>
      <c r="E122" s="23"/>
      <c r="F122" s="23"/>
      <c r="G122" s="23"/>
      <c r="H122" s="23"/>
      <c r="I122" s="23"/>
    </row>
    <row r="123" spans="1:10">
      <c r="A123" s="23"/>
      <c r="B123" s="23"/>
      <c r="C123" s="23"/>
      <c r="D123" s="23"/>
      <c r="E123" s="23"/>
      <c r="F123" s="23"/>
      <c r="G123" s="23"/>
      <c r="H123" s="23"/>
      <c r="I123" s="23"/>
    </row>
    <row r="124" spans="1:10">
      <c r="A124" s="23"/>
      <c r="B124" s="23"/>
      <c r="C124" s="23"/>
      <c r="D124" s="23"/>
      <c r="E124" s="23"/>
      <c r="F124" s="23"/>
      <c r="G124" s="23"/>
      <c r="H124" s="23"/>
      <c r="I124" s="23"/>
    </row>
    <row r="125" spans="1:10">
      <c r="A125" s="23"/>
      <c r="B125" s="23"/>
      <c r="C125" s="23"/>
      <c r="D125" s="23"/>
      <c r="E125" s="23"/>
      <c r="F125" s="23"/>
      <c r="G125" s="23"/>
      <c r="H125" s="23"/>
      <c r="I125" s="23"/>
    </row>
    <row r="126" spans="1:10">
      <c r="A126" s="23"/>
      <c r="B126" s="23"/>
      <c r="C126" s="23"/>
      <c r="D126" s="23"/>
      <c r="E126" s="23"/>
      <c r="F126" s="23"/>
      <c r="G126" s="23"/>
      <c r="H126" s="23"/>
      <c r="I126" s="23"/>
    </row>
    <row r="127" spans="1:10">
      <c r="A127" s="23"/>
      <c r="B127" s="23"/>
      <c r="C127" s="23"/>
      <c r="D127" s="23"/>
      <c r="E127" s="23"/>
      <c r="F127" s="23"/>
      <c r="G127" s="23"/>
      <c r="H127" s="23"/>
      <c r="I127" s="23"/>
    </row>
    <row r="128" spans="1:10">
      <c r="A128" s="23"/>
      <c r="B128" s="23"/>
      <c r="C128" s="23"/>
      <c r="D128" s="23"/>
      <c r="E128" s="23"/>
      <c r="F128" s="23"/>
      <c r="G128" s="23"/>
      <c r="H128" s="23"/>
      <c r="I128" s="23"/>
    </row>
    <row r="129" spans="1:9">
      <c r="A129" s="23"/>
      <c r="B129" s="23"/>
      <c r="C129" s="23"/>
      <c r="D129" s="23"/>
      <c r="E129" s="23"/>
      <c r="F129" s="23"/>
      <c r="G129" s="23"/>
      <c r="H129" s="23"/>
      <c r="I129" s="23"/>
    </row>
    <row r="130" spans="1:9">
      <c r="A130" s="23"/>
      <c r="B130" s="23"/>
      <c r="C130" s="23"/>
      <c r="D130" s="23"/>
      <c r="E130" s="23"/>
      <c r="F130" s="23"/>
      <c r="G130" s="23"/>
      <c r="H130" s="23"/>
      <c r="I130" s="23"/>
    </row>
  </sheetData>
  <mergeCells count="6">
    <mergeCell ref="A2:B4"/>
    <mergeCell ref="C2:C4"/>
    <mergeCell ref="D2:E2"/>
    <mergeCell ref="F2:G2"/>
    <mergeCell ref="D3:E4"/>
    <mergeCell ref="F3:H4"/>
  </mergeCells>
  <phoneticPr fontId="30" type="noConversion"/>
  <conditionalFormatting sqref="A27:A1048576 A19 A5:A16">
    <cfRule type="cellIs" dxfId="359" priority="266" operator="equal">
      <formula>"Informativa"</formula>
    </cfRule>
    <cfRule type="cellIs" dxfId="358" priority="267" operator="equal">
      <formula>"bAJA"</formula>
    </cfRule>
    <cfRule type="cellIs" dxfId="357" priority="268" operator="equal">
      <formula>"Media"</formula>
    </cfRule>
    <cfRule type="cellIs" dxfId="356" priority="269" operator="equal">
      <formula>"Alta"</formula>
    </cfRule>
  </conditionalFormatting>
  <conditionalFormatting sqref="A23:A24">
    <cfRule type="cellIs" dxfId="355" priority="222" operator="equal">
      <formula>"Informativa"</formula>
    </cfRule>
    <cfRule type="cellIs" dxfId="354" priority="223" operator="equal">
      <formula>"bAJA"</formula>
    </cfRule>
    <cfRule type="cellIs" dxfId="353" priority="224" operator="equal">
      <formula>"Media"</formula>
    </cfRule>
    <cfRule type="cellIs" dxfId="352" priority="225" operator="equal">
      <formula>"Alta"</formula>
    </cfRule>
  </conditionalFormatting>
  <conditionalFormatting sqref="A26">
    <cfRule type="cellIs" dxfId="351" priority="214" operator="equal">
      <formula>"Informativa"</formula>
    </cfRule>
    <cfRule type="cellIs" dxfId="350" priority="215" operator="equal">
      <formula>"bAJA"</formula>
    </cfRule>
    <cfRule type="cellIs" dxfId="349" priority="216" operator="equal">
      <formula>"Media"</formula>
    </cfRule>
    <cfRule type="cellIs" dxfId="348" priority="217" operator="equal">
      <formula>"Alta"</formula>
    </cfRule>
  </conditionalFormatting>
  <conditionalFormatting sqref="A20">
    <cfRule type="cellIs" dxfId="347" priority="202" operator="equal">
      <formula>"Informativa"</formula>
    </cfRule>
    <cfRule type="cellIs" dxfId="346" priority="203" operator="equal">
      <formula>"bAJA"</formula>
    </cfRule>
    <cfRule type="cellIs" dxfId="345" priority="204" operator="equal">
      <formula>"Media"</formula>
    </cfRule>
    <cfRule type="cellIs" dxfId="344" priority="205" operator="equal">
      <formula>"Alta"</formula>
    </cfRule>
  </conditionalFormatting>
  <conditionalFormatting sqref="A11:A16">
    <cfRule type="cellIs" dxfId="343" priority="186" operator="equal">
      <formula>"Informativa"</formula>
    </cfRule>
    <cfRule type="cellIs" dxfId="342" priority="187" operator="equal">
      <formula>"bAJA"</formula>
    </cfRule>
    <cfRule type="cellIs" dxfId="341" priority="188" operator="equal">
      <formula>"Media"</formula>
    </cfRule>
    <cfRule type="cellIs" dxfId="340" priority="189" operator="equal">
      <formula>"Alta"</formula>
    </cfRule>
  </conditionalFormatting>
  <conditionalFormatting sqref="A22">
    <cfRule type="cellIs" dxfId="339" priority="218" operator="equal">
      <formula>"Informativa"</formula>
    </cfRule>
    <cfRule type="cellIs" dxfId="338" priority="219" operator="equal">
      <formula>"bAJA"</formula>
    </cfRule>
    <cfRule type="cellIs" dxfId="337" priority="220" operator="equal">
      <formula>"Media"</formula>
    </cfRule>
    <cfRule type="cellIs" dxfId="336" priority="221" operator="equal">
      <formula>"Alta"</formula>
    </cfRule>
  </conditionalFormatting>
  <conditionalFormatting sqref="A21:A22">
    <cfRule type="cellIs" dxfId="335" priority="206" operator="equal">
      <formula>"Informativa"</formula>
    </cfRule>
    <cfRule type="cellIs" dxfId="334" priority="207" operator="equal">
      <formula>"bAJA"</formula>
    </cfRule>
    <cfRule type="cellIs" dxfId="333" priority="208" operator="equal">
      <formula>"Media"</formula>
    </cfRule>
    <cfRule type="cellIs" dxfId="332" priority="209" operator="equal">
      <formula>"Alta"</formula>
    </cfRule>
  </conditionalFormatting>
  <conditionalFormatting sqref="A12:A16">
    <cfRule type="cellIs" dxfId="331" priority="182" operator="equal">
      <formula>"Informativa"</formula>
    </cfRule>
    <cfRule type="cellIs" dxfId="330" priority="183" operator="equal">
      <formula>"bAJA"</formula>
    </cfRule>
    <cfRule type="cellIs" dxfId="329" priority="184" operator="equal">
      <formula>"Media"</formula>
    </cfRule>
    <cfRule type="cellIs" dxfId="328" priority="185" operator="equal">
      <formula>"Alta"</formula>
    </cfRule>
  </conditionalFormatting>
  <conditionalFormatting sqref="A18">
    <cfRule type="cellIs" dxfId="327" priority="178" operator="equal">
      <formula>"Informativa"</formula>
    </cfRule>
    <cfRule type="cellIs" dxfId="326" priority="179" operator="equal">
      <formula>"bAJA"</formula>
    </cfRule>
    <cfRule type="cellIs" dxfId="325" priority="180" operator="equal">
      <formula>"Media"</formula>
    </cfRule>
    <cfRule type="cellIs" dxfId="324" priority="181" operator="equal">
      <formula>"Alta"</formula>
    </cfRule>
  </conditionalFormatting>
  <conditionalFormatting sqref="A1:A2">
    <cfRule type="cellIs" dxfId="323" priority="158" operator="equal">
      <formula>"Informativa"</formula>
    </cfRule>
    <cfRule type="cellIs" dxfId="322" priority="159" operator="equal">
      <formula>"bAJA"</formula>
    </cfRule>
    <cfRule type="cellIs" dxfId="321" priority="160" operator="equal">
      <formula>"Media"</formula>
    </cfRule>
    <cfRule type="cellIs" dxfId="320" priority="161" operator="equal">
      <formula>"Alta"</formula>
    </cfRule>
  </conditionalFormatting>
  <conditionalFormatting sqref="A14:A16">
    <cfRule type="cellIs" dxfId="319" priority="95" operator="equal">
      <formula>"Informativa"</formula>
    </cfRule>
    <cfRule type="cellIs" dxfId="318" priority="96" operator="equal">
      <formula>"bAJA"</formula>
    </cfRule>
    <cfRule type="cellIs" dxfId="317" priority="97" operator="equal">
      <formula>"Media"</formula>
    </cfRule>
    <cfRule type="cellIs" dxfId="316" priority="98" operator="equal">
      <formula>"Alta"</formula>
    </cfRule>
  </conditionalFormatting>
  <conditionalFormatting sqref="A17">
    <cfRule type="cellIs" dxfId="315" priority="76" operator="equal">
      <formula>"Informativa"</formula>
    </cfRule>
    <cfRule type="cellIs" dxfId="314" priority="77" operator="equal">
      <formula>"bAJA"</formula>
    </cfRule>
    <cfRule type="cellIs" dxfId="313" priority="78" operator="equal">
      <formula>"Media"</formula>
    </cfRule>
    <cfRule type="cellIs" dxfId="312" priority="79" operator="equal">
      <formula>"Alta"</formula>
    </cfRule>
  </conditionalFormatting>
  <conditionalFormatting sqref="H16:H26">
    <cfRule type="cellIs" dxfId="311" priority="72" operator="equal">
      <formula>"Terminado"</formula>
    </cfRule>
    <cfRule type="cellIs" dxfId="310" priority="73" operator="equal">
      <formula>"Recibido"</formula>
    </cfRule>
    <cfRule type="cellIs" dxfId="309" priority="74" operator="equal">
      <formula>"Pedido"</formula>
    </cfRule>
    <cfRule type="cellIs" dxfId="308" priority="75" operator="equal">
      <formula>"Pendiente"</formula>
    </cfRule>
  </conditionalFormatting>
  <conditionalFormatting sqref="H16:H26">
    <cfRule type="cellIs" dxfId="307" priority="71" operator="equal">
      <formula>"En Proceso"</formula>
    </cfRule>
  </conditionalFormatting>
  <conditionalFormatting sqref="A24">
    <cfRule type="cellIs" dxfId="306" priority="67" operator="equal">
      <formula>"Informativa"</formula>
    </cfRule>
    <cfRule type="cellIs" dxfId="305" priority="68" operator="equal">
      <formula>"bAJA"</formula>
    </cfRule>
    <cfRule type="cellIs" dxfId="304" priority="69" operator="equal">
      <formula>"Media"</formula>
    </cfRule>
    <cfRule type="cellIs" dxfId="303" priority="70" operator="equal">
      <formula>"Alta"</formula>
    </cfRule>
  </conditionalFormatting>
  <conditionalFormatting sqref="A16">
    <cfRule type="cellIs" dxfId="302" priority="49" operator="equal">
      <formula>"Informativa"</formula>
    </cfRule>
    <cfRule type="cellIs" dxfId="301" priority="50" operator="equal">
      <formula>"bAJA"</formula>
    </cfRule>
    <cfRule type="cellIs" dxfId="300" priority="51" operator="equal">
      <formula>"Media"</formula>
    </cfRule>
    <cfRule type="cellIs" dxfId="299" priority="52" operator="equal">
      <formula>"Alta"</formula>
    </cfRule>
  </conditionalFormatting>
  <conditionalFormatting sqref="A25">
    <cfRule type="cellIs" dxfId="298" priority="40" operator="equal">
      <formula>"Informativa"</formula>
    </cfRule>
    <cfRule type="cellIs" dxfId="297" priority="41" operator="equal">
      <formula>"bAJA"</formula>
    </cfRule>
    <cfRule type="cellIs" dxfId="296" priority="42" operator="equal">
      <formula>"Media"</formula>
    </cfRule>
    <cfRule type="cellIs" dxfId="295" priority="43" operator="equal">
      <formula>"Alta"</formula>
    </cfRule>
  </conditionalFormatting>
  <conditionalFormatting sqref="A15:A16">
    <cfRule type="cellIs" dxfId="294" priority="31" operator="equal">
      <formula>"Informativa"</formula>
    </cfRule>
    <cfRule type="cellIs" dxfId="293" priority="32" operator="equal">
      <formula>"bAJA"</formula>
    </cfRule>
    <cfRule type="cellIs" dxfId="292" priority="33" operator="equal">
      <formula>"Media"</formula>
    </cfRule>
    <cfRule type="cellIs" dxfId="291" priority="34" operator="equal">
      <formula>"Alta"</formula>
    </cfRule>
  </conditionalFormatting>
  <conditionalFormatting sqref="H11">
    <cfRule type="cellIs" dxfId="290" priority="22" operator="equal">
      <formula>"Terminado"</formula>
    </cfRule>
    <cfRule type="cellIs" dxfId="289" priority="23" operator="equal">
      <formula>"Recibido"</formula>
    </cfRule>
    <cfRule type="cellIs" dxfId="288" priority="24" operator="equal">
      <formula>"Pedido"</formula>
    </cfRule>
    <cfRule type="cellIs" dxfId="287" priority="25" operator="equal">
      <formula>"Pendiente"</formula>
    </cfRule>
  </conditionalFormatting>
  <conditionalFormatting sqref="H11">
    <cfRule type="cellIs" dxfId="286" priority="21" operator="equal">
      <formula>"En Proceso"</formula>
    </cfRule>
  </conditionalFormatting>
  <conditionalFormatting sqref="H12">
    <cfRule type="cellIs" dxfId="285" priority="17" operator="equal">
      <formula>"Terminado"</formula>
    </cfRule>
    <cfRule type="cellIs" dxfId="284" priority="18" operator="equal">
      <formula>"Recibido"</formula>
    </cfRule>
    <cfRule type="cellIs" dxfId="283" priority="19" operator="equal">
      <formula>"Pedido"</formula>
    </cfRule>
    <cfRule type="cellIs" dxfId="282" priority="20" operator="equal">
      <formula>"Pendiente"</formula>
    </cfRule>
  </conditionalFormatting>
  <conditionalFormatting sqref="H12">
    <cfRule type="cellIs" dxfId="281" priority="16" operator="equal">
      <formula>"En Proceso"</formula>
    </cfRule>
  </conditionalFormatting>
  <conditionalFormatting sqref="H13">
    <cfRule type="cellIs" dxfId="280" priority="12" operator="equal">
      <formula>"Terminado"</formula>
    </cfRule>
    <cfRule type="cellIs" dxfId="279" priority="13" operator="equal">
      <formula>"Recibido"</formula>
    </cfRule>
    <cfRule type="cellIs" dxfId="278" priority="14" operator="equal">
      <formula>"Pedido"</formula>
    </cfRule>
    <cfRule type="cellIs" dxfId="277" priority="15" operator="equal">
      <formula>"Pendiente"</formula>
    </cfRule>
  </conditionalFormatting>
  <conditionalFormatting sqref="H13">
    <cfRule type="cellIs" dxfId="276" priority="11" operator="equal">
      <formula>"En Proceso"</formula>
    </cfRule>
  </conditionalFormatting>
  <conditionalFormatting sqref="H14">
    <cfRule type="cellIs" dxfId="275" priority="7" operator="equal">
      <formula>"Terminado"</formula>
    </cfRule>
    <cfRule type="cellIs" dxfId="274" priority="8" operator="equal">
      <formula>"Recibido"</formula>
    </cfRule>
    <cfRule type="cellIs" dxfId="273" priority="9" operator="equal">
      <formula>"Pedido"</formula>
    </cfRule>
    <cfRule type="cellIs" dxfId="272" priority="10" operator="equal">
      <formula>"Pendiente"</formula>
    </cfRule>
  </conditionalFormatting>
  <conditionalFormatting sqref="H14">
    <cfRule type="cellIs" dxfId="271" priority="6" operator="equal">
      <formula>"En Proceso"</formula>
    </cfRule>
  </conditionalFormatting>
  <conditionalFormatting sqref="H15">
    <cfRule type="cellIs" dxfId="270" priority="2" operator="equal">
      <formula>"Terminado"</formula>
    </cfRule>
    <cfRule type="cellIs" dxfId="269" priority="3" operator="equal">
      <formula>"Recibido"</formula>
    </cfRule>
    <cfRule type="cellIs" dxfId="268" priority="4" operator="equal">
      <formula>"Pedido"</formula>
    </cfRule>
    <cfRule type="cellIs" dxfId="267" priority="5" operator="equal">
      <formula>"Pendiente"</formula>
    </cfRule>
  </conditionalFormatting>
  <conditionalFormatting sqref="H15">
    <cfRule type="cellIs" dxfId="266" priority="1" operator="equal">
      <formula>"En Proceso"</formula>
    </cfRule>
  </conditionalFormatting>
  <dataValidations count="3">
    <dataValidation type="list" allowBlank="1" showInputMessage="1" showErrorMessage="1" sqref="H11:H26" xr:uid="{77FE5BD2-6E8C-443D-88B2-A097B08AC8E9}">
      <formula1>"Pendiente,Resuelta"</formula1>
    </dataValidation>
    <dataValidation type="list" allowBlank="1" showInputMessage="1" showErrorMessage="1" sqref="A11:A26" xr:uid="{5EAA9311-ABC0-4D07-BDF0-363DA7039131}">
      <formula1>"Alta,Media,Baja,Informativa"</formula1>
    </dataValidation>
    <dataValidation type="list" allowBlank="1" showInputMessage="1" showErrorMessage="1" sqref="J11:J26" xr:uid="{6254F7F1-AA6E-4D6C-B805-F93B47D8CF81}">
      <formula1>"Muy fácil (1), facil (2), Medio (3), Difícil (4),Muy difícil (5)"</formula1>
    </dataValidation>
  </dataValidations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740F1-F9DF-4843-81BB-8425564BAC38}">
  <sheetPr codeName="Hoja5"/>
  <dimension ref="A1:J111"/>
  <sheetViews>
    <sheetView showGridLines="0" zoomScale="60" zoomScaleNormal="60" workbookViewId="0">
      <pane ySplit="4" topLeftCell="E5" activePane="bottomLeft" state="frozen"/>
      <selection pane="bottomLeft" activeCell="F2" sqref="F2:G2"/>
    </sheetView>
  </sheetViews>
  <sheetFormatPr defaultColWidth="11.42578125" defaultRowHeight="14.45"/>
  <cols>
    <col min="1" max="1" width="17.28515625" style="1" customWidth="1"/>
    <col min="2" max="2" width="33" style="1" bestFit="1" customWidth="1"/>
    <col min="3" max="3" width="22.85546875" style="1" customWidth="1"/>
    <col min="4" max="4" width="32.85546875" style="1" customWidth="1"/>
    <col min="5" max="5" width="36.140625" style="1" customWidth="1"/>
    <col min="6" max="6" width="27.85546875" style="1" customWidth="1"/>
    <col min="7" max="7" width="21.5703125" style="1" customWidth="1"/>
    <col min="8" max="8" width="22.140625" style="1" customWidth="1"/>
    <col min="9" max="9" width="11.42578125" style="1"/>
    <col min="10" max="10" width="25.28515625" style="42" customWidth="1"/>
    <col min="11" max="11" width="10.85546875" customWidth="1"/>
  </cols>
  <sheetData>
    <row r="1" spans="1:10" ht="15" thickBot="1">
      <c r="A1" s="23"/>
      <c r="B1" s="23"/>
      <c r="C1" s="23"/>
      <c r="D1" s="23"/>
      <c r="E1" s="23"/>
      <c r="F1" s="23"/>
      <c r="G1" s="23"/>
      <c r="H1" s="23"/>
      <c r="I1" s="23"/>
    </row>
    <row r="2" spans="1:10" ht="39.950000000000003" customHeight="1" thickTop="1" thickBot="1">
      <c r="A2" s="93" t="e" vm="1">
        <v>#VALUE!</v>
      </c>
      <c r="B2" s="93" t="e" vm="1">
        <v>#VALUE!</v>
      </c>
      <c r="C2" s="85" t="e" vm="2">
        <v>#VALUE!</v>
      </c>
      <c r="D2" s="88" t="s">
        <v>0</v>
      </c>
      <c r="E2" s="76"/>
      <c r="F2" s="94" t="s">
        <v>43</v>
      </c>
      <c r="G2" s="94"/>
      <c r="H2" s="20" t="str">
        <f>'Panel de Control'!F2</f>
        <v>V1.0</v>
      </c>
      <c r="I2" s="23"/>
    </row>
    <row r="3" spans="1:10" ht="15.6" customHeight="1" thickTop="1">
      <c r="A3" s="93"/>
      <c r="B3" s="93"/>
      <c r="C3" s="86"/>
      <c r="D3" s="89" t="s">
        <v>2</v>
      </c>
      <c r="E3" s="77"/>
      <c r="F3" s="95"/>
      <c r="G3" s="79"/>
      <c r="H3" s="80"/>
      <c r="I3" s="23"/>
    </row>
    <row r="4" spans="1:10" ht="16.5" customHeight="1" thickBot="1">
      <c r="A4" s="93"/>
      <c r="B4" s="93"/>
      <c r="C4" s="87"/>
      <c r="D4" s="90"/>
      <c r="E4" s="78"/>
      <c r="F4" s="96"/>
      <c r="G4" s="81"/>
      <c r="H4" s="82"/>
      <c r="I4" s="23"/>
    </row>
    <row r="5" spans="1:10" ht="15.6" thickTop="1" thickBot="1">
      <c r="A5" s="23"/>
      <c r="B5" s="23"/>
      <c r="C5" s="6"/>
      <c r="D5" s="7"/>
      <c r="E5" s="7"/>
      <c r="F5" s="5"/>
      <c r="G5" s="5"/>
      <c r="H5" s="5"/>
      <c r="I5" s="23"/>
      <c r="J5" s="43"/>
    </row>
    <row r="6" spans="1:10" ht="15.6" customHeight="1">
      <c r="A6" s="14"/>
      <c r="B6" s="15"/>
      <c r="C6" s="8" t="s">
        <v>44</v>
      </c>
      <c r="D6" s="11" t="s">
        <v>45</v>
      </c>
      <c r="E6" s="24" t="s">
        <v>12</v>
      </c>
      <c r="F6" s="25" t="s">
        <v>15</v>
      </c>
      <c r="G6" s="25" t="s">
        <v>13</v>
      </c>
      <c r="H6" s="26" t="s">
        <v>14</v>
      </c>
      <c r="I6" s="23"/>
    </row>
    <row r="7" spans="1:10">
      <c r="A7" s="23"/>
      <c r="B7" s="23"/>
      <c r="C7" s="23"/>
      <c r="D7" s="27" t="s">
        <v>46</v>
      </c>
      <c r="E7" s="17">
        <f>COUNTIF(A:A,"Alta")</f>
        <v>1</v>
      </c>
      <c r="F7" s="16">
        <f>COUNTIF(A:A,"Media")</f>
        <v>0</v>
      </c>
      <c r="G7" s="18">
        <f>COUNTIF(A:A,"Baja")</f>
        <v>0</v>
      </c>
      <c r="H7" s="19">
        <f>COUNTIF(A:A,"Informativa")</f>
        <v>0</v>
      </c>
      <c r="I7" s="23"/>
    </row>
    <row r="8" spans="1:10">
      <c r="A8" s="23"/>
      <c r="B8" s="23"/>
      <c r="C8" s="23"/>
      <c r="D8" s="27" t="s">
        <v>47</v>
      </c>
      <c r="E8" s="17">
        <f>COUNTIFS(A:A,"Alta",H:H,"Resuelta")</f>
        <v>0</v>
      </c>
      <c r="F8" s="16">
        <f>COUNTIFS(A:A,"Media",H:H,"Resuelta")</f>
        <v>0</v>
      </c>
      <c r="G8" s="18">
        <f>COUNTIFS(A:A,"Baja",H:H,"Resuelta")</f>
        <v>0</v>
      </c>
      <c r="H8" s="19">
        <f>COUNTIFS(A:A,"Informativa",H:H,"Resuelta")</f>
        <v>0</v>
      </c>
      <c r="I8" s="23"/>
    </row>
    <row r="9" spans="1:10">
      <c r="A9" s="23"/>
      <c r="B9" s="23"/>
      <c r="C9" s="23"/>
      <c r="D9" s="23"/>
      <c r="E9" s="23"/>
      <c r="F9" s="23"/>
      <c r="G9" s="23"/>
      <c r="H9" s="23"/>
      <c r="I9" s="23"/>
    </row>
    <row r="10" spans="1:10" ht="25.9" thickBot="1">
      <c r="A10" s="29" t="s">
        <v>20</v>
      </c>
      <c r="B10" s="30" t="s">
        <v>21</v>
      </c>
      <c r="C10" s="30" t="s">
        <v>22</v>
      </c>
      <c r="D10" s="31" t="s">
        <v>23</v>
      </c>
      <c r="E10" s="31" t="s">
        <v>24</v>
      </c>
      <c r="F10" s="31" t="s">
        <v>25</v>
      </c>
      <c r="G10" s="31" t="s">
        <v>26</v>
      </c>
      <c r="H10" s="31" t="s">
        <v>27</v>
      </c>
      <c r="I10" s="40" t="s">
        <v>28</v>
      </c>
      <c r="J10" s="41" t="s">
        <v>29</v>
      </c>
    </row>
    <row r="11" spans="1:10" s="1" customFormat="1" ht="43.5" customHeight="1" thickTop="1" thickBot="1">
      <c r="A11" s="28" t="s">
        <v>12</v>
      </c>
      <c r="B11" s="4" t="s">
        <v>48</v>
      </c>
      <c r="C11" s="12">
        <v>44986</v>
      </c>
      <c r="D11" s="2" t="s">
        <v>49</v>
      </c>
      <c r="E11" s="2" t="s">
        <v>50</v>
      </c>
      <c r="F11" s="2" t="s">
        <v>5</v>
      </c>
      <c r="G11" s="2" t="s">
        <v>96</v>
      </c>
      <c r="H11" s="9" t="s">
        <v>19</v>
      </c>
      <c r="I11" s="2" t="s">
        <v>70</v>
      </c>
      <c r="J11" s="2" t="s">
        <v>67</v>
      </c>
    </row>
    <row r="12" spans="1:10" s="1" customFormat="1" ht="43.5" customHeight="1" thickTop="1" thickBot="1">
      <c r="A12" s="28"/>
      <c r="B12" s="10"/>
      <c r="C12" s="12"/>
      <c r="D12" s="2"/>
      <c r="E12" s="2"/>
      <c r="F12" s="2"/>
      <c r="G12" s="2"/>
      <c r="H12" s="9"/>
      <c r="I12" s="2"/>
      <c r="J12" s="2"/>
    </row>
    <row r="13" spans="1:10" s="1" customFormat="1" ht="43.5" customHeight="1" thickTop="1" thickBot="1">
      <c r="A13" s="28"/>
      <c r="B13" s="10"/>
      <c r="C13" s="12"/>
      <c r="D13" s="2"/>
      <c r="E13" s="2"/>
      <c r="F13" s="2"/>
      <c r="G13" s="2"/>
      <c r="H13" s="9"/>
      <c r="I13" s="2"/>
      <c r="J13" s="2"/>
    </row>
    <row r="14" spans="1:10" s="1" customFormat="1" ht="43.5" customHeight="1" thickTop="1" thickBot="1">
      <c r="A14" s="28"/>
      <c r="B14" s="10"/>
      <c r="C14" s="12"/>
      <c r="D14" s="2"/>
      <c r="E14" s="2"/>
      <c r="F14" s="2"/>
      <c r="G14" s="2"/>
      <c r="H14" s="9"/>
      <c r="I14" s="2"/>
      <c r="J14" s="2"/>
    </row>
    <row r="15" spans="1:10" s="1" customFormat="1" ht="43.5" customHeight="1" thickTop="1" thickBot="1">
      <c r="A15" s="28"/>
      <c r="B15" s="3"/>
      <c r="C15" s="12"/>
      <c r="D15" s="2"/>
      <c r="E15" s="2"/>
      <c r="F15" s="2"/>
      <c r="G15" s="2"/>
      <c r="H15" s="9"/>
      <c r="I15" s="2"/>
      <c r="J15" s="2"/>
    </row>
    <row r="16" spans="1:10" s="1" customFormat="1" ht="43.5" customHeight="1" thickTop="1" thickBot="1">
      <c r="A16" s="35"/>
      <c r="B16" s="3"/>
      <c r="C16" s="12"/>
      <c r="D16" s="2"/>
      <c r="E16" s="2"/>
      <c r="F16" s="2"/>
      <c r="G16" s="2"/>
      <c r="H16" s="9" t="s">
        <v>69</v>
      </c>
      <c r="I16" s="2"/>
      <c r="J16" s="2"/>
    </row>
    <row r="17" spans="1:10" s="1" customFormat="1" ht="43.5" customHeight="1" thickTop="1" thickBot="1">
      <c r="A17" s="28"/>
      <c r="B17" s="3"/>
      <c r="C17" s="12"/>
      <c r="D17" s="2"/>
      <c r="E17" s="2"/>
      <c r="F17" s="2"/>
      <c r="G17" s="2"/>
      <c r="H17" s="9"/>
      <c r="I17" s="2"/>
      <c r="J17" s="2"/>
    </row>
    <row r="18" spans="1:10" s="1" customFormat="1" ht="43.5" customHeight="1" thickTop="1" thickBot="1">
      <c r="A18" s="28"/>
      <c r="B18" s="3"/>
      <c r="C18" s="12"/>
      <c r="D18" s="2"/>
      <c r="E18" s="2"/>
      <c r="F18" s="2"/>
      <c r="G18" s="2"/>
      <c r="H18" s="9"/>
      <c r="I18" s="34"/>
      <c r="J18" s="2"/>
    </row>
    <row r="19" spans="1:10" s="1" customFormat="1" ht="15.6" customHeight="1" thickTop="1">
      <c r="A19" s="23"/>
      <c r="B19" s="23"/>
      <c r="C19" s="23"/>
      <c r="D19" s="23"/>
      <c r="E19" s="23"/>
      <c r="F19" s="23"/>
      <c r="G19" s="23"/>
      <c r="H19" s="23"/>
      <c r="I19" s="23"/>
      <c r="J19" s="42"/>
    </row>
    <row r="20" spans="1:10" s="1" customFormat="1" ht="13.9">
      <c r="A20" s="23"/>
      <c r="B20" s="23"/>
      <c r="C20" s="23"/>
      <c r="D20" s="23"/>
      <c r="E20" s="23"/>
      <c r="F20" s="23"/>
      <c r="G20" s="23"/>
      <c r="H20" s="23"/>
      <c r="I20" s="23"/>
      <c r="J20" s="42"/>
    </row>
    <row r="21" spans="1:10" s="1" customFormat="1" ht="13.9">
      <c r="A21" s="23"/>
      <c r="B21" s="23"/>
      <c r="C21" s="23"/>
      <c r="D21" s="23"/>
      <c r="E21" s="23"/>
      <c r="F21" s="23"/>
      <c r="G21" s="23"/>
      <c r="H21" s="23"/>
      <c r="I21" s="23"/>
      <c r="J21" s="42"/>
    </row>
    <row r="22" spans="1:10" s="1" customFormat="1" ht="21">
      <c r="A22" s="13"/>
      <c r="B22" s="23"/>
      <c r="C22" s="23"/>
      <c r="D22" s="23"/>
      <c r="E22" s="23"/>
      <c r="F22" s="23"/>
      <c r="G22" s="23"/>
      <c r="H22" s="23"/>
      <c r="I22" s="23"/>
      <c r="J22" s="42"/>
    </row>
    <row r="23" spans="1:10" s="1" customFormat="1" ht="13.9">
      <c r="A23" s="23"/>
      <c r="B23" s="23"/>
      <c r="C23" s="23"/>
      <c r="D23" s="23"/>
      <c r="E23" s="23"/>
      <c r="F23" s="23"/>
      <c r="G23" s="23"/>
      <c r="H23" s="23"/>
      <c r="I23" s="23"/>
      <c r="J23" s="42"/>
    </row>
    <row r="24" spans="1:10" s="1" customFormat="1" ht="13.9">
      <c r="A24" s="23"/>
      <c r="B24" s="23"/>
      <c r="C24" s="23"/>
      <c r="D24" s="23"/>
      <c r="E24" s="23"/>
      <c r="F24" s="23"/>
      <c r="G24" s="23"/>
      <c r="H24" s="23"/>
      <c r="I24" s="23"/>
      <c r="J24" s="42"/>
    </row>
    <row r="25" spans="1:10" s="1" customFormat="1" ht="43.5" customHeight="1">
      <c r="A25" s="23"/>
      <c r="B25" s="23"/>
      <c r="C25" s="23"/>
      <c r="D25" s="23"/>
      <c r="E25" s="23"/>
      <c r="F25" s="23"/>
      <c r="G25" s="23"/>
      <c r="H25" s="23"/>
      <c r="I25" s="23"/>
      <c r="J25" s="42"/>
    </row>
    <row r="26" spans="1:10" s="1" customFormat="1" ht="43.5" customHeight="1">
      <c r="A26" s="23"/>
      <c r="B26" s="23"/>
      <c r="C26" s="23"/>
      <c r="D26" s="23"/>
      <c r="E26" s="23"/>
      <c r="F26" s="23"/>
      <c r="G26" s="23"/>
      <c r="H26" s="23"/>
      <c r="I26" s="23"/>
      <c r="J26" s="42"/>
    </row>
    <row r="27" spans="1:10" s="1" customFormat="1" ht="43.5" customHeight="1">
      <c r="A27" s="23"/>
      <c r="B27" s="23"/>
      <c r="C27" s="23"/>
      <c r="D27" s="23"/>
      <c r="E27" s="23"/>
      <c r="F27" s="23"/>
      <c r="G27" s="23"/>
      <c r="H27" s="23"/>
      <c r="I27" s="23"/>
      <c r="J27" s="42"/>
    </row>
    <row r="28" spans="1:10" s="1" customFormat="1" ht="43.5" customHeight="1">
      <c r="A28" s="23"/>
      <c r="B28" s="23"/>
      <c r="C28" s="23"/>
      <c r="D28" s="23"/>
      <c r="E28" s="23"/>
      <c r="F28" s="23"/>
      <c r="G28" s="23"/>
      <c r="H28" s="23"/>
      <c r="I28" s="23"/>
      <c r="J28" s="42"/>
    </row>
    <row r="29" spans="1:10" s="1" customFormat="1" ht="62.1" customHeight="1">
      <c r="A29" s="23"/>
      <c r="B29" s="23"/>
      <c r="C29" s="23"/>
      <c r="D29" s="23"/>
      <c r="E29" s="23"/>
      <c r="F29" s="23"/>
      <c r="G29" s="23"/>
      <c r="H29" s="23"/>
      <c r="I29" s="23"/>
      <c r="J29" s="42"/>
    </row>
    <row r="30" spans="1:10" s="1" customFormat="1" ht="62.1" customHeight="1">
      <c r="A30" s="23"/>
      <c r="B30" s="23"/>
      <c r="C30" s="23"/>
      <c r="D30" s="23"/>
      <c r="E30" s="23"/>
      <c r="F30" s="23"/>
      <c r="G30" s="23"/>
      <c r="H30" s="23"/>
      <c r="I30" s="23"/>
      <c r="J30" s="42"/>
    </row>
    <row r="31" spans="1:10" s="1" customFormat="1" ht="62.1" customHeight="1">
      <c r="A31" s="23"/>
      <c r="B31" s="23"/>
      <c r="C31" s="23"/>
      <c r="D31" s="23"/>
      <c r="E31" s="23"/>
      <c r="F31" s="23"/>
      <c r="G31" s="23"/>
      <c r="H31" s="23"/>
      <c r="I31" s="23"/>
      <c r="J31" s="42"/>
    </row>
    <row r="32" spans="1:10" s="1" customFormat="1" ht="62.1" customHeight="1">
      <c r="A32" s="23"/>
      <c r="B32" s="23"/>
      <c r="C32" s="23"/>
      <c r="D32" s="23"/>
      <c r="E32" s="23"/>
      <c r="F32" s="23"/>
      <c r="G32" s="23"/>
      <c r="H32" s="23"/>
      <c r="I32" s="23"/>
      <c r="J32" s="42"/>
    </row>
    <row r="33" spans="1:10" s="1" customFormat="1" ht="62.1" customHeight="1">
      <c r="A33" s="23"/>
      <c r="B33" s="23"/>
      <c r="C33" s="23"/>
      <c r="D33" s="23"/>
      <c r="E33" s="23"/>
      <c r="F33" s="23"/>
      <c r="G33" s="23"/>
      <c r="H33" s="23"/>
      <c r="I33" s="23"/>
      <c r="J33" s="42"/>
    </row>
    <row r="34" spans="1:10" s="1" customFormat="1" ht="62.1" customHeight="1">
      <c r="A34" s="23"/>
      <c r="B34" s="23"/>
      <c r="C34" s="23"/>
      <c r="D34" s="23"/>
      <c r="E34" s="23"/>
      <c r="F34" s="23"/>
      <c r="G34" s="23"/>
      <c r="H34" s="23"/>
      <c r="I34" s="23"/>
      <c r="J34" s="42"/>
    </row>
    <row r="35" spans="1:10" s="1" customFormat="1" ht="62.1" customHeight="1">
      <c r="A35" s="23"/>
      <c r="B35" s="23"/>
      <c r="C35" s="23"/>
      <c r="D35" s="23"/>
      <c r="E35" s="23"/>
      <c r="F35" s="23"/>
      <c r="G35" s="23"/>
      <c r="H35" s="23"/>
      <c r="I35" s="23"/>
      <c r="J35" s="42"/>
    </row>
    <row r="36" spans="1:10" s="1" customFormat="1" ht="43.5" customHeight="1">
      <c r="A36" s="23"/>
      <c r="B36" s="23"/>
      <c r="C36" s="23"/>
      <c r="D36" s="23"/>
      <c r="E36" s="23"/>
      <c r="F36" s="23"/>
      <c r="G36" s="23"/>
      <c r="H36" s="23"/>
      <c r="I36" s="23"/>
      <c r="J36" s="42"/>
    </row>
    <row r="37" spans="1:10" s="1" customFormat="1" ht="13.9">
      <c r="A37" s="23"/>
      <c r="B37" s="23"/>
      <c r="C37" s="23"/>
      <c r="D37" s="23"/>
      <c r="E37" s="23"/>
      <c r="F37" s="23"/>
      <c r="G37" s="23"/>
      <c r="H37" s="23"/>
      <c r="I37" s="23"/>
      <c r="J37" s="42"/>
    </row>
    <row r="38" spans="1:10" s="1" customFormat="1" ht="13.9">
      <c r="A38" s="23"/>
      <c r="B38" s="23"/>
      <c r="C38" s="23"/>
      <c r="D38" s="23"/>
      <c r="E38" s="23"/>
      <c r="F38" s="23"/>
      <c r="G38" s="23"/>
      <c r="H38" s="23"/>
      <c r="I38" s="23"/>
      <c r="J38" s="42"/>
    </row>
    <row r="39" spans="1:10" s="1" customFormat="1" ht="15.6" customHeight="1">
      <c r="A39" s="23"/>
      <c r="B39" s="23"/>
      <c r="C39" s="23"/>
      <c r="D39" s="23"/>
      <c r="E39" s="23"/>
      <c r="F39" s="23"/>
      <c r="G39" s="23"/>
      <c r="H39" s="23"/>
      <c r="I39" s="23"/>
      <c r="J39" s="42"/>
    </row>
    <row r="40" spans="1:10" s="1" customFormat="1" ht="13.9">
      <c r="A40" s="23"/>
      <c r="B40" s="23"/>
      <c r="C40" s="23"/>
      <c r="D40" s="23"/>
      <c r="E40" s="23"/>
      <c r="F40" s="23"/>
      <c r="G40" s="23"/>
      <c r="H40" s="23"/>
      <c r="I40" s="23"/>
      <c r="J40" s="42"/>
    </row>
    <row r="41" spans="1:10" s="1" customFormat="1" ht="13.9">
      <c r="A41" s="23"/>
      <c r="B41" s="23"/>
      <c r="C41" s="23"/>
      <c r="D41" s="23"/>
      <c r="E41" s="23"/>
      <c r="F41" s="23"/>
      <c r="G41" s="23"/>
      <c r="H41" s="23"/>
      <c r="I41" s="23"/>
      <c r="J41" s="42"/>
    </row>
    <row r="42" spans="1:10" s="1" customFormat="1" ht="13.9">
      <c r="A42" s="23"/>
      <c r="B42" s="23"/>
      <c r="C42" s="23"/>
      <c r="D42" s="23"/>
      <c r="E42" s="23"/>
      <c r="F42" s="23"/>
      <c r="G42" s="23"/>
      <c r="H42" s="23"/>
      <c r="I42" s="23"/>
      <c r="J42" s="42"/>
    </row>
    <row r="43" spans="1:10" s="1" customFormat="1" ht="13.9">
      <c r="A43" s="23"/>
      <c r="B43" s="23"/>
      <c r="C43" s="23"/>
      <c r="D43" s="23"/>
      <c r="E43" s="23"/>
      <c r="F43" s="23"/>
      <c r="G43" s="23"/>
      <c r="H43" s="23"/>
      <c r="I43" s="23"/>
      <c r="J43" s="42"/>
    </row>
    <row r="44" spans="1:10" s="1" customFormat="1" ht="32.1" customHeight="1">
      <c r="A44" s="23"/>
      <c r="B44" s="23"/>
      <c r="C44" s="23"/>
      <c r="D44" s="23"/>
      <c r="E44" s="23"/>
      <c r="F44" s="23"/>
      <c r="G44" s="23"/>
      <c r="H44" s="23"/>
      <c r="I44" s="23"/>
      <c r="J44" s="42"/>
    </row>
    <row r="45" spans="1:10" s="1" customFormat="1" ht="50.1" customHeight="1">
      <c r="A45" s="23"/>
      <c r="B45" s="23"/>
      <c r="C45" s="23"/>
      <c r="D45" s="23"/>
      <c r="E45" s="23"/>
      <c r="F45" s="23"/>
      <c r="G45" s="23"/>
      <c r="H45" s="23"/>
      <c r="I45" s="23"/>
      <c r="J45" s="42"/>
    </row>
    <row r="46" spans="1:10" s="1" customFormat="1" ht="50.1" customHeight="1">
      <c r="A46" s="23"/>
      <c r="B46" s="23"/>
      <c r="C46" s="23"/>
      <c r="D46" s="23"/>
      <c r="E46" s="23"/>
      <c r="F46" s="23"/>
      <c r="G46" s="23"/>
      <c r="H46" s="23"/>
      <c r="I46" s="23"/>
      <c r="J46" s="42"/>
    </row>
    <row r="47" spans="1:10" s="1" customFormat="1" ht="50.1" customHeight="1">
      <c r="A47" s="23"/>
      <c r="B47" s="23"/>
      <c r="C47" s="23"/>
      <c r="D47" s="23"/>
      <c r="E47" s="23"/>
      <c r="F47" s="23"/>
      <c r="G47" s="23"/>
      <c r="H47" s="23"/>
      <c r="I47" s="23"/>
      <c r="J47" s="42"/>
    </row>
    <row r="48" spans="1:10" s="1" customFormat="1" ht="50.1" customHeight="1">
      <c r="A48" s="23"/>
      <c r="B48" s="23"/>
      <c r="C48" s="23"/>
      <c r="D48" s="23"/>
      <c r="E48" s="23"/>
      <c r="F48" s="23"/>
      <c r="G48" s="23"/>
      <c r="H48" s="23"/>
      <c r="I48" s="23"/>
      <c r="J48" s="42"/>
    </row>
    <row r="49" spans="1:10" s="1" customFormat="1" ht="50.1" customHeight="1">
      <c r="A49" s="23"/>
      <c r="B49" s="23"/>
      <c r="C49" s="23"/>
      <c r="D49" s="23"/>
      <c r="E49" s="23"/>
      <c r="F49" s="23"/>
      <c r="G49" s="23"/>
      <c r="H49" s="23"/>
      <c r="I49" s="23"/>
      <c r="J49" s="42"/>
    </row>
    <row r="50" spans="1:10" s="1" customFormat="1" ht="50.1" customHeight="1">
      <c r="A50" s="23"/>
      <c r="B50" s="23"/>
      <c r="C50" s="23"/>
      <c r="D50" s="23"/>
      <c r="E50" s="23"/>
      <c r="F50" s="23"/>
      <c r="G50" s="23"/>
      <c r="H50" s="23"/>
      <c r="I50" s="23"/>
      <c r="J50" s="42"/>
    </row>
    <row r="51" spans="1:10" s="1" customFormat="1" ht="50.1" customHeight="1">
      <c r="A51" s="23"/>
      <c r="B51" s="23"/>
      <c r="C51" s="23"/>
      <c r="D51" s="23"/>
      <c r="E51" s="23"/>
      <c r="F51" s="23"/>
      <c r="G51" s="23"/>
      <c r="H51" s="23"/>
      <c r="I51" s="23"/>
      <c r="J51" s="42"/>
    </row>
    <row r="52" spans="1:10" s="1" customFormat="1" ht="13.9">
      <c r="A52" s="23"/>
      <c r="B52" s="23"/>
      <c r="C52" s="23"/>
      <c r="D52" s="23"/>
      <c r="E52" s="23"/>
      <c r="F52" s="23"/>
      <c r="G52" s="23"/>
      <c r="H52" s="23"/>
      <c r="I52" s="23"/>
      <c r="J52" s="42"/>
    </row>
    <row r="53" spans="1:10" s="1" customFormat="1" ht="15.6" customHeight="1">
      <c r="A53" s="23"/>
      <c r="B53" s="23"/>
      <c r="C53" s="23"/>
      <c r="D53" s="23"/>
      <c r="E53" s="23"/>
      <c r="F53" s="23"/>
      <c r="G53" s="23"/>
      <c r="H53" s="23"/>
      <c r="I53" s="23"/>
      <c r="J53" s="42"/>
    </row>
    <row r="54" spans="1:10" s="1" customFormat="1" ht="13.9">
      <c r="A54" s="23"/>
      <c r="B54" s="23"/>
      <c r="C54" s="23"/>
      <c r="D54" s="23"/>
      <c r="E54" s="23"/>
      <c r="F54" s="23"/>
      <c r="G54" s="23"/>
      <c r="H54" s="23"/>
      <c r="I54" s="23"/>
      <c r="J54" s="42"/>
    </row>
    <row r="55" spans="1:10" s="1" customFormat="1" ht="13.9">
      <c r="A55" s="23"/>
      <c r="B55" s="23"/>
      <c r="C55" s="23"/>
      <c r="D55" s="23"/>
      <c r="E55" s="23"/>
      <c r="F55" s="23"/>
      <c r="G55" s="23"/>
      <c r="H55" s="23"/>
      <c r="I55" s="23"/>
      <c r="J55" s="42"/>
    </row>
    <row r="56" spans="1:10" s="1" customFormat="1" ht="13.9">
      <c r="A56" s="23"/>
      <c r="B56" s="23"/>
      <c r="C56" s="23"/>
      <c r="D56" s="23"/>
      <c r="E56" s="23"/>
      <c r="F56" s="23"/>
      <c r="G56" s="23"/>
      <c r="H56" s="23"/>
      <c r="I56" s="23"/>
      <c r="J56" s="42"/>
    </row>
    <row r="57" spans="1:10" s="1" customFormat="1" ht="13.9">
      <c r="A57" s="23"/>
      <c r="B57" s="23"/>
      <c r="C57" s="23"/>
      <c r="D57" s="23"/>
      <c r="E57" s="23"/>
      <c r="F57" s="23"/>
      <c r="G57" s="23"/>
      <c r="H57" s="23"/>
      <c r="I57" s="23"/>
      <c r="J57" s="42"/>
    </row>
    <row r="58" spans="1:10" s="1" customFormat="1" ht="42.6" customHeight="1">
      <c r="A58" s="23"/>
      <c r="B58" s="23"/>
      <c r="C58" s="23"/>
      <c r="D58" s="23"/>
      <c r="E58" s="23"/>
      <c r="F58" s="23"/>
      <c r="G58" s="23"/>
      <c r="H58" s="23"/>
      <c r="I58" s="23"/>
      <c r="J58" s="42"/>
    </row>
    <row r="59" spans="1:10" s="1" customFormat="1" ht="13.9">
      <c r="A59" s="23"/>
      <c r="B59" s="23"/>
      <c r="C59" s="23"/>
      <c r="D59" s="23"/>
      <c r="E59" s="23"/>
      <c r="F59" s="23"/>
      <c r="G59" s="23"/>
      <c r="H59" s="23"/>
      <c r="I59" s="23"/>
      <c r="J59" s="42"/>
    </row>
    <row r="60" spans="1:10" s="1" customFormat="1" ht="13.9">
      <c r="A60" s="23"/>
      <c r="B60" s="23"/>
      <c r="C60" s="23"/>
      <c r="D60" s="23"/>
      <c r="E60" s="23"/>
      <c r="F60" s="23"/>
      <c r="G60" s="23"/>
      <c r="H60" s="23"/>
      <c r="I60" s="23"/>
      <c r="J60" s="42"/>
    </row>
    <row r="61" spans="1:10" s="1" customFormat="1" ht="42.95" customHeight="1">
      <c r="A61" s="23"/>
      <c r="B61" s="23"/>
      <c r="C61" s="23"/>
      <c r="D61" s="23"/>
      <c r="E61" s="23"/>
      <c r="F61" s="23"/>
      <c r="G61" s="23"/>
      <c r="H61" s="23"/>
      <c r="I61" s="23"/>
      <c r="J61" s="42"/>
    </row>
    <row r="62" spans="1:10" s="1" customFormat="1" ht="45.6" customHeight="1">
      <c r="A62" s="23"/>
      <c r="B62" s="23"/>
      <c r="C62" s="23"/>
      <c r="D62" s="23"/>
      <c r="E62" s="23"/>
      <c r="F62" s="23"/>
      <c r="G62" s="23"/>
      <c r="H62" s="23"/>
      <c r="I62" s="23"/>
      <c r="J62" s="42"/>
    </row>
    <row r="63" spans="1:10" s="1" customFormat="1" ht="45.6" customHeight="1">
      <c r="A63" s="23"/>
      <c r="B63" s="23"/>
      <c r="C63" s="23"/>
      <c r="D63" s="23"/>
      <c r="E63" s="23"/>
      <c r="F63" s="23"/>
      <c r="G63" s="23"/>
      <c r="H63" s="23"/>
      <c r="I63" s="23"/>
      <c r="J63" s="42"/>
    </row>
    <row r="64" spans="1:10" s="1" customFormat="1" ht="45.6" customHeight="1">
      <c r="A64" s="23"/>
      <c r="B64" s="23"/>
      <c r="C64" s="23"/>
      <c r="D64" s="23"/>
      <c r="E64" s="23"/>
      <c r="F64" s="23"/>
      <c r="G64" s="23"/>
      <c r="H64" s="23"/>
      <c r="I64" s="23"/>
      <c r="J64" s="42"/>
    </row>
    <row r="65" spans="1:10" s="1" customFormat="1" ht="34.5" customHeight="1">
      <c r="A65" s="23"/>
      <c r="B65" s="23"/>
      <c r="C65" s="23"/>
      <c r="D65" s="23"/>
      <c r="E65" s="23"/>
      <c r="F65" s="23"/>
      <c r="G65" s="23"/>
      <c r="H65" s="23"/>
      <c r="I65" s="23"/>
      <c r="J65" s="42"/>
    </row>
    <row r="66" spans="1:10" s="1" customFormat="1" ht="13.9">
      <c r="A66" s="23"/>
      <c r="B66" s="23"/>
      <c r="C66" s="23"/>
      <c r="D66" s="23"/>
      <c r="E66" s="23"/>
      <c r="F66" s="23"/>
      <c r="G66" s="23"/>
      <c r="H66" s="23"/>
      <c r="I66" s="23"/>
      <c r="J66" s="42"/>
    </row>
    <row r="67" spans="1:10" s="1" customFormat="1" ht="13.9">
      <c r="A67" s="23"/>
      <c r="B67" s="23"/>
      <c r="C67" s="23"/>
      <c r="D67" s="23"/>
      <c r="E67" s="23"/>
      <c r="F67" s="23"/>
      <c r="G67" s="23"/>
      <c r="H67" s="23"/>
      <c r="I67" s="23"/>
      <c r="J67" s="42"/>
    </row>
    <row r="68" spans="1:10" s="1" customFormat="1" ht="15.6" customHeight="1">
      <c r="A68" s="23"/>
      <c r="B68" s="23"/>
      <c r="C68" s="23"/>
      <c r="D68" s="23"/>
      <c r="E68" s="23"/>
      <c r="F68" s="23"/>
      <c r="G68" s="23"/>
      <c r="H68" s="23"/>
      <c r="I68" s="23"/>
      <c r="J68" s="42"/>
    </row>
    <row r="69" spans="1:10" s="1" customFormat="1" ht="13.9">
      <c r="A69" s="23"/>
      <c r="B69" s="23"/>
      <c r="C69" s="23"/>
      <c r="D69" s="23"/>
      <c r="E69" s="23"/>
      <c r="F69" s="23"/>
      <c r="G69" s="23"/>
      <c r="H69" s="23"/>
      <c r="I69" s="23"/>
      <c r="J69" s="42"/>
    </row>
    <row r="70" spans="1:10" s="1" customFormat="1" ht="13.9">
      <c r="A70" s="23"/>
      <c r="B70" s="23"/>
      <c r="C70" s="23"/>
      <c r="D70" s="23"/>
      <c r="E70" s="23"/>
      <c r="F70" s="23"/>
      <c r="G70" s="23"/>
      <c r="H70" s="23"/>
      <c r="I70" s="23"/>
      <c r="J70" s="42"/>
    </row>
    <row r="71" spans="1:10" s="1" customFormat="1" ht="13.9">
      <c r="A71" s="23"/>
      <c r="B71" s="23"/>
      <c r="C71" s="23"/>
      <c r="D71" s="23"/>
      <c r="E71" s="23"/>
      <c r="F71" s="23"/>
      <c r="G71" s="23"/>
      <c r="H71" s="23"/>
      <c r="I71" s="23"/>
      <c r="J71" s="42"/>
    </row>
    <row r="72" spans="1:10" s="1" customFormat="1" ht="13.9">
      <c r="A72" s="23"/>
      <c r="B72" s="23"/>
      <c r="C72" s="23"/>
      <c r="D72" s="23"/>
      <c r="E72" s="23"/>
      <c r="F72" s="23"/>
      <c r="G72" s="23"/>
      <c r="H72" s="23"/>
      <c r="I72" s="23"/>
      <c r="J72" s="42"/>
    </row>
    <row r="73" spans="1:10" s="1" customFormat="1" ht="13.9">
      <c r="A73" s="23"/>
      <c r="B73" s="23"/>
      <c r="C73" s="23"/>
      <c r="D73" s="23"/>
      <c r="E73" s="23"/>
      <c r="F73" s="23"/>
      <c r="G73" s="23"/>
      <c r="H73" s="23"/>
      <c r="I73" s="23"/>
      <c r="J73" s="42"/>
    </row>
    <row r="74" spans="1:10" s="1" customFormat="1" ht="38.450000000000003" customHeight="1">
      <c r="A74" s="23"/>
      <c r="B74" s="23"/>
      <c r="C74" s="23"/>
      <c r="D74" s="23"/>
      <c r="E74" s="23"/>
      <c r="F74" s="23"/>
      <c r="G74" s="23"/>
      <c r="H74" s="23"/>
      <c r="I74" s="23"/>
      <c r="J74" s="42"/>
    </row>
    <row r="75" spans="1:10" s="1" customFormat="1" ht="38.450000000000003" customHeight="1">
      <c r="A75" s="23"/>
      <c r="B75" s="23"/>
      <c r="C75" s="23"/>
      <c r="D75" s="23"/>
      <c r="E75" s="23"/>
      <c r="F75" s="23"/>
      <c r="G75" s="23"/>
      <c r="H75" s="23"/>
      <c r="I75" s="23"/>
      <c r="J75" s="42"/>
    </row>
    <row r="76" spans="1:10" s="1" customFormat="1" ht="38.450000000000003" customHeight="1">
      <c r="A76" s="23"/>
      <c r="B76" s="23"/>
      <c r="C76" s="23"/>
      <c r="D76" s="23"/>
      <c r="E76" s="23"/>
      <c r="F76" s="23"/>
      <c r="G76" s="23"/>
      <c r="H76" s="23"/>
      <c r="I76" s="23"/>
      <c r="J76" s="42"/>
    </row>
    <row r="77" spans="1:10" s="1" customFormat="1" ht="38.450000000000003" customHeight="1">
      <c r="A77" s="23"/>
      <c r="B77" s="23"/>
      <c r="C77" s="23"/>
      <c r="D77" s="23"/>
      <c r="E77" s="23"/>
      <c r="F77" s="23"/>
      <c r="G77" s="23"/>
      <c r="H77" s="23"/>
      <c r="I77" s="23"/>
      <c r="J77" s="42"/>
    </row>
    <row r="78" spans="1:10" s="1" customFormat="1" ht="38.450000000000003" customHeight="1">
      <c r="A78" s="23"/>
      <c r="B78" s="23"/>
      <c r="C78" s="23"/>
      <c r="D78" s="23"/>
      <c r="E78" s="23"/>
      <c r="F78" s="23"/>
      <c r="G78" s="23"/>
      <c r="H78" s="23"/>
      <c r="I78" s="23"/>
      <c r="J78" s="42"/>
    </row>
    <row r="79" spans="1:10" s="1" customFormat="1" ht="38.450000000000003" customHeight="1">
      <c r="A79" s="23"/>
      <c r="B79" s="23"/>
      <c r="C79" s="23"/>
      <c r="D79" s="23"/>
      <c r="E79" s="23"/>
      <c r="F79" s="23"/>
      <c r="G79" s="23"/>
      <c r="H79" s="23"/>
      <c r="I79" s="23"/>
      <c r="J79" s="42"/>
    </row>
    <row r="80" spans="1:10" s="1" customFormat="1" ht="38.450000000000003" customHeight="1">
      <c r="A80" s="23"/>
      <c r="B80" s="23"/>
      <c r="C80" s="23"/>
      <c r="D80" s="23"/>
      <c r="E80" s="23"/>
      <c r="F80" s="23"/>
      <c r="G80" s="23"/>
      <c r="H80" s="23"/>
      <c r="I80" s="23"/>
      <c r="J80" s="42"/>
    </row>
    <row r="81" spans="1:10" s="1" customFormat="1" ht="13.9">
      <c r="A81" s="23"/>
      <c r="B81" s="23"/>
      <c r="C81" s="23"/>
      <c r="D81" s="23"/>
      <c r="E81" s="23"/>
      <c r="F81" s="23"/>
      <c r="G81" s="23"/>
      <c r="H81" s="23"/>
      <c r="I81" s="23"/>
      <c r="J81" s="42"/>
    </row>
    <row r="82" spans="1:10" s="1" customFormat="1" ht="13.9">
      <c r="A82" s="23"/>
      <c r="B82" s="23"/>
      <c r="C82" s="23"/>
      <c r="D82" s="23"/>
      <c r="E82" s="23"/>
      <c r="F82" s="23"/>
      <c r="G82" s="23"/>
      <c r="H82" s="23"/>
      <c r="I82" s="23"/>
      <c r="J82" s="42"/>
    </row>
    <row r="83" spans="1:10" s="1" customFormat="1" ht="15.6" customHeight="1">
      <c r="A83" s="23"/>
      <c r="B83" s="23"/>
      <c r="C83" s="23"/>
      <c r="D83" s="23"/>
      <c r="E83" s="23"/>
      <c r="F83" s="23"/>
      <c r="G83" s="23"/>
      <c r="H83" s="23"/>
      <c r="I83" s="23"/>
      <c r="J83" s="42"/>
    </row>
    <row r="84" spans="1:10" s="1" customFormat="1" ht="13.9">
      <c r="A84" s="23"/>
      <c r="B84" s="23"/>
      <c r="C84" s="23"/>
      <c r="D84" s="23"/>
      <c r="E84" s="23"/>
      <c r="F84" s="23"/>
      <c r="G84" s="23"/>
      <c r="H84" s="23"/>
      <c r="I84" s="23"/>
      <c r="J84" s="42"/>
    </row>
    <row r="85" spans="1:10" s="1" customFormat="1" ht="13.9">
      <c r="A85" s="23"/>
      <c r="B85" s="23"/>
      <c r="C85" s="23"/>
      <c r="D85" s="23"/>
      <c r="E85" s="23"/>
      <c r="F85" s="23"/>
      <c r="G85" s="23"/>
      <c r="H85" s="23"/>
      <c r="I85" s="23"/>
      <c r="J85" s="42"/>
    </row>
    <row r="86" spans="1:10" s="1" customFormat="1" ht="13.9">
      <c r="A86" s="23"/>
      <c r="B86" s="23"/>
      <c r="C86" s="23"/>
      <c r="D86" s="23"/>
      <c r="E86" s="23"/>
      <c r="F86" s="23"/>
      <c r="G86" s="23"/>
      <c r="H86" s="23"/>
      <c r="I86" s="23"/>
      <c r="J86" s="42"/>
    </row>
    <row r="87" spans="1:10" s="1" customFormat="1" ht="13.9">
      <c r="A87" s="23"/>
      <c r="B87" s="23"/>
      <c r="C87" s="23"/>
      <c r="D87" s="23"/>
      <c r="E87" s="23"/>
      <c r="F87" s="23"/>
      <c r="G87" s="23"/>
      <c r="H87" s="23"/>
      <c r="I87" s="23"/>
      <c r="J87" s="42"/>
    </row>
    <row r="88" spans="1:10" s="1" customFormat="1" ht="42" customHeight="1">
      <c r="A88" s="23"/>
      <c r="B88" s="23"/>
      <c r="C88" s="23"/>
      <c r="D88" s="23"/>
      <c r="E88" s="23"/>
      <c r="F88" s="23"/>
      <c r="G88" s="23"/>
      <c r="H88" s="23"/>
      <c r="I88" s="23"/>
      <c r="J88" s="42"/>
    </row>
    <row r="89" spans="1:10" s="1" customFormat="1" ht="42" customHeight="1">
      <c r="A89" s="23"/>
      <c r="B89" s="23"/>
      <c r="C89" s="23"/>
      <c r="D89" s="23"/>
      <c r="E89" s="23"/>
      <c r="F89" s="23"/>
      <c r="G89" s="23"/>
      <c r="H89" s="23"/>
      <c r="I89" s="23"/>
      <c r="J89" s="42"/>
    </row>
    <row r="90" spans="1:10" s="1" customFormat="1" ht="42" customHeight="1">
      <c r="A90" s="23"/>
      <c r="B90" s="23"/>
      <c r="C90" s="23"/>
      <c r="D90" s="23"/>
      <c r="E90" s="23"/>
      <c r="F90" s="23"/>
      <c r="G90" s="23"/>
      <c r="H90" s="23"/>
      <c r="I90" s="23"/>
      <c r="J90" s="42"/>
    </row>
    <row r="91" spans="1:10" s="1" customFormat="1" ht="42" customHeight="1">
      <c r="A91" s="23"/>
      <c r="B91" s="23"/>
      <c r="C91" s="23"/>
      <c r="D91" s="23"/>
      <c r="E91" s="23"/>
      <c r="F91" s="23"/>
      <c r="G91" s="23"/>
      <c r="H91" s="23"/>
      <c r="I91" s="23"/>
      <c r="J91" s="42"/>
    </row>
    <row r="92" spans="1:10" s="1" customFormat="1" ht="42" customHeight="1">
      <c r="A92" s="23"/>
      <c r="B92" s="23"/>
      <c r="C92" s="23"/>
      <c r="D92" s="23"/>
      <c r="E92" s="23"/>
      <c r="F92" s="23"/>
      <c r="G92" s="23"/>
      <c r="H92" s="23"/>
      <c r="I92" s="23"/>
      <c r="J92" s="42"/>
    </row>
    <row r="93" spans="1:10" s="1" customFormat="1" ht="42" customHeight="1">
      <c r="A93" s="23"/>
      <c r="B93" s="23"/>
      <c r="C93" s="23"/>
      <c r="D93" s="23"/>
      <c r="E93" s="23"/>
      <c r="F93" s="23"/>
      <c r="G93" s="23"/>
      <c r="H93" s="23"/>
      <c r="I93" s="23"/>
      <c r="J93" s="42"/>
    </row>
    <row r="94" spans="1:10" s="1" customFormat="1" ht="42" customHeight="1">
      <c r="A94" s="23"/>
      <c r="B94" s="23"/>
      <c r="C94" s="23"/>
      <c r="D94" s="23"/>
      <c r="E94" s="23"/>
      <c r="F94" s="23"/>
      <c r="G94" s="23"/>
      <c r="H94" s="23"/>
      <c r="I94" s="23"/>
      <c r="J94" s="42"/>
    </row>
    <row r="95" spans="1:10" s="1" customFormat="1" ht="42" customHeight="1">
      <c r="A95" s="23"/>
      <c r="B95" s="23"/>
      <c r="C95" s="23"/>
      <c r="D95" s="23"/>
      <c r="E95" s="23"/>
      <c r="F95" s="23"/>
      <c r="G95" s="23"/>
      <c r="H95" s="23"/>
      <c r="I95" s="23"/>
      <c r="J95" s="42"/>
    </row>
    <row r="96" spans="1:10" s="1" customFormat="1" ht="13.9">
      <c r="A96" s="23"/>
      <c r="B96" s="23"/>
      <c r="C96" s="23"/>
      <c r="D96" s="23"/>
      <c r="E96" s="23"/>
      <c r="F96" s="23"/>
      <c r="G96" s="23"/>
      <c r="H96" s="23"/>
      <c r="I96" s="23"/>
      <c r="J96" s="42"/>
    </row>
    <row r="97" spans="1:10" s="1" customFormat="1" ht="13.9">
      <c r="A97" s="23"/>
      <c r="B97" s="23"/>
      <c r="C97" s="23"/>
      <c r="D97" s="23"/>
      <c r="E97" s="23"/>
      <c r="F97" s="23"/>
      <c r="G97" s="23"/>
      <c r="H97" s="23"/>
      <c r="I97" s="23"/>
      <c r="J97" s="42"/>
    </row>
    <row r="98" spans="1:10" s="1" customFormat="1" ht="13.9">
      <c r="A98" s="23"/>
      <c r="B98" s="23"/>
      <c r="C98" s="23"/>
      <c r="D98" s="23"/>
      <c r="E98" s="23"/>
      <c r="F98" s="23"/>
      <c r="G98" s="23"/>
      <c r="H98" s="23"/>
      <c r="I98" s="23"/>
      <c r="J98" s="42"/>
    </row>
    <row r="99" spans="1:10" s="1" customFormat="1" ht="13.9">
      <c r="A99" s="23"/>
      <c r="B99" s="23"/>
      <c r="C99" s="23"/>
      <c r="D99" s="23"/>
      <c r="E99" s="23"/>
      <c r="F99" s="23"/>
      <c r="G99" s="23"/>
      <c r="H99" s="23"/>
      <c r="I99" s="23"/>
      <c r="J99" s="42"/>
    </row>
    <row r="100" spans="1:10" s="1" customFormat="1" ht="13.9">
      <c r="A100" s="23"/>
      <c r="B100" s="23"/>
      <c r="C100" s="23"/>
      <c r="D100" s="23"/>
      <c r="E100" s="23"/>
      <c r="F100" s="23"/>
      <c r="G100" s="23"/>
      <c r="H100" s="23"/>
      <c r="I100" s="23"/>
      <c r="J100" s="42"/>
    </row>
    <row r="101" spans="1:10" s="1" customFormat="1" ht="13.9">
      <c r="A101" s="23"/>
      <c r="B101" s="23"/>
      <c r="C101" s="23"/>
      <c r="D101" s="23"/>
      <c r="E101" s="23"/>
      <c r="F101" s="23"/>
      <c r="G101" s="23"/>
      <c r="H101" s="23"/>
      <c r="I101" s="23"/>
      <c r="J101" s="42"/>
    </row>
    <row r="102" spans="1:10" s="1" customFormat="1" ht="13.9">
      <c r="A102" s="23"/>
      <c r="B102" s="23"/>
      <c r="C102" s="23"/>
      <c r="D102" s="23"/>
      <c r="E102" s="23"/>
      <c r="F102" s="23"/>
      <c r="G102" s="23"/>
      <c r="H102" s="23"/>
      <c r="I102" s="23"/>
      <c r="J102" s="42"/>
    </row>
    <row r="103" spans="1:10" s="1" customFormat="1" ht="51.6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42"/>
    </row>
    <row r="104" spans="1:10" s="1" customFormat="1" ht="44.1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42"/>
    </row>
    <row r="105" spans="1:10" s="1" customFormat="1" ht="39.950000000000003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42"/>
    </row>
    <row r="106" spans="1:10" s="1" customFormat="1" ht="13.9">
      <c r="A106" s="23"/>
      <c r="B106" s="23"/>
      <c r="C106" s="23"/>
      <c r="D106" s="23"/>
      <c r="E106" s="23"/>
      <c r="F106" s="23"/>
      <c r="G106" s="23"/>
      <c r="H106" s="23"/>
      <c r="I106" s="23"/>
      <c r="J106" s="42"/>
    </row>
    <row r="107" spans="1:10" s="1" customFormat="1" ht="13.9">
      <c r="A107" s="23"/>
      <c r="B107" s="23"/>
      <c r="C107" s="23"/>
      <c r="D107" s="23"/>
      <c r="E107" s="23"/>
      <c r="F107" s="23"/>
      <c r="G107" s="23"/>
      <c r="H107" s="23"/>
      <c r="I107" s="23"/>
      <c r="J107" s="42"/>
    </row>
    <row r="108" spans="1:10" s="1" customFormat="1" ht="13.9">
      <c r="A108" s="23"/>
      <c r="B108" s="23"/>
      <c r="C108" s="23"/>
      <c r="D108" s="23"/>
      <c r="E108" s="23"/>
      <c r="F108" s="23"/>
      <c r="G108" s="23"/>
      <c r="H108" s="23"/>
      <c r="I108" s="23"/>
      <c r="J108" s="42"/>
    </row>
    <row r="109" spans="1:10" s="1" customFormat="1" ht="13.9">
      <c r="A109" s="23"/>
      <c r="B109" s="23"/>
      <c r="C109" s="23"/>
      <c r="D109" s="23"/>
      <c r="E109" s="23"/>
      <c r="F109" s="23"/>
      <c r="G109" s="23"/>
      <c r="H109" s="23"/>
      <c r="I109" s="23"/>
      <c r="J109" s="42"/>
    </row>
    <row r="110" spans="1:10">
      <c r="A110" s="23"/>
      <c r="B110" s="23"/>
      <c r="C110" s="23"/>
      <c r="D110" s="23"/>
      <c r="E110" s="23"/>
      <c r="F110" s="23"/>
      <c r="G110" s="23"/>
      <c r="H110" s="23"/>
      <c r="I110" s="23"/>
    </row>
    <row r="111" spans="1:10">
      <c r="A111" s="23"/>
      <c r="B111" s="23"/>
      <c r="C111" s="23"/>
      <c r="D111" s="23"/>
      <c r="E111" s="23"/>
      <c r="F111" s="23"/>
      <c r="G111" s="23"/>
      <c r="H111" s="23"/>
      <c r="I111" s="23"/>
    </row>
  </sheetData>
  <mergeCells count="7">
    <mergeCell ref="A2:A4"/>
    <mergeCell ref="B2:B4"/>
    <mergeCell ref="C2:C4"/>
    <mergeCell ref="D2:E2"/>
    <mergeCell ref="F2:G2"/>
    <mergeCell ref="D3:E4"/>
    <mergeCell ref="F3:H4"/>
  </mergeCells>
  <conditionalFormatting sqref="A5:A10 A19:A1048576">
    <cfRule type="cellIs" dxfId="252" priority="141" operator="equal">
      <formula>"Informativa"</formula>
    </cfRule>
    <cfRule type="cellIs" dxfId="251" priority="142" operator="equal">
      <formula>"bAJA"</formula>
    </cfRule>
    <cfRule type="cellIs" dxfId="250" priority="143" operator="equal">
      <formula>"Media"</formula>
    </cfRule>
    <cfRule type="cellIs" dxfId="249" priority="144" operator="equal">
      <formula>"Alta"</formula>
    </cfRule>
  </conditionalFormatting>
  <conditionalFormatting sqref="A12">
    <cfRule type="cellIs" dxfId="248" priority="133" operator="equal">
      <formula>"Informativa"</formula>
    </cfRule>
    <cfRule type="cellIs" dxfId="247" priority="134" operator="equal">
      <formula>"bAJA"</formula>
    </cfRule>
    <cfRule type="cellIs" dxfId="246" priority="135" operator="equal">
      <formula>"Media"</formula>
    </cfRule>
    <cfRule type="cellIs" dxfId="245" priority="136" operator="equal">
      <formula>"Alta"</formula>
    </cfRule>
  </conditionalFormatting>
  <conditionalFormatting sqref="A13">
    <cfRule type="cellIs" dxfId="244" priority="129" operator="equal">
      <formula>"Informativa"</formula>
    </cfRule>
    <cfRule type="cellIs" dxfId="243" priority="130" operator="equal">
      <formula>"bAJA"</formula>
    </cfRule>
    <cfRule type="cellIs" dxfId="242" priority="131" operator="equal">
      <formula>"Media"</formula>
    </cfRule>
    <cfRule type="cellIs" dxfId="241" priority="132" operator="equal">
      <formula>"Alta"</formula>
    </cfRule>
  </conditionalFormatting>
  <conditionalFormatting sqref="A18">
    <cfRule type="cellIs" dxfId="240" priority="89" operator="equal">
      <formula>"Informativa"</formula>
    </cfRule>
    <cfRule type="cellIs" dxfId="239" priority="90" operator="equal">
      <formula>"bAJA"</formula>
    </cfRule>
    <cfRule type="cellIs" dxfId="238" priority="91" operator="equal">
      <formula>"Media"</formula>
    </cfRule>
    <cfRule type="cellIs" dxfId="237" priority="92" operator="equal">
      <formula>"Alta"</formula>
    </cfRule>
  </conditionalFormatting>
  <conditionalFormatting sqref="A1">
    <cfRule type="cellIs" dxfId="236" priority="77" operator="equal">
      <formula>"Informativa"</formula>
    </cfRule>
    <cfRule type="cellIs" dxfId="235" priority="78" operator="equal">
      <formula>"bAJA"</formula>
    </cfRule>
    <cfRule type="cellIs" dxfId="234" priority="79" operator="equal">
      <formula>"Media"</formula>
    </cfRule>
    <cfRule type="cellIs" dxfId="233" priority="80" operator="equal">
      <formula>"Alta"</formula>
    </cfRule>
  </conditionalFormatting>
  <conditionalFormatting sqref="H12">
    <cfRule type="cellIs" dxfId="232" priority="73" operator="equal">
      <formula>"Terminado"</formula>
    </cfRule>
    <cfRule type="cellIs" dxfId="231" priority="74" operator="equal">
      <formula>"Recibido"</formula>
    </cfRule>
    <cfRule type="cellIs" dxfId="230" priority="75" operator="equal">
      <formula>"Pedido"</formula>
    </cfRule>
    <cfRule type="cellIs" dxfId="229" priority="76" operator="equal">
      <formula>"Pendiente"</formula>
    </cfRule>
  </conditionalFormatting>
  <conditionalFormatting sqref="H12">
    <cfRule type="cellIs" dxfId="228" priority="72" operator="equal">
      <formula>"En Proceso"</formula>
    </cfRule>
  </conditionalFormatting>
  <conditionalFormatting sqref="H13">
    <cfRule type="cellIs" dxfId="227" priority="68" operator="equal">
      <formula>"Terminado"</formula>
    </cfRule>
    <cfRule type="cellIs" dxfId="226" priority="69" operator="equal">
      <formula>"Recibido"</formula>
    </cfRule>
    <cfRule type="cellIs" dxfId="225" priority="70" operator="equal">
      <formula>"Pedido"</formula>
    </cfRule>
    <cfRule type="cellIs" dxfId="224" priority="71" operator="equal">
      <formula>"Pendiente"</formula>
    </cfRule>
  </conditionalFormatting>
  <conditionalFormatting sqref="H13">
    <cfRule type="cellIs" dxfId="223" priority="67" operator="equal">
      <formula>"En Proceso"</formula>
    </cfRule>
  </conditionalFormatting>
  <conditionalFormatting sqref="H14">
    <cfRule type="cellIs" dxfId="222" priority="21" operator="equal">
      <formula>"Terminado"</formula>
    </cfRule>
    <cfRule type="cellIs" dxfId="221" priority="22" operator="equal">
      <formula>"Recibido"</formula>
    </cfRule>
    <cfRule type="cellIs" dxfId="220" priority="23" operator="equal">
      <formula>"Pedido"</formula>
    </cfRule>
    <cfRule type="cellIs" dxfId="219" priority="24" operator="equal">
      <formula>"Pendiente"</formula>
    </cfRule>
  </conditionalFormatting>
  <conditionalFormatting sqref="H14">
    <cfRule type="cellIs" dxfId="218" priority="20" operator="equal">
      <formula>"En Proceso"</formula>
    </cfRule>
  </conditionalFormatting>
  <conditionalFormatting sqref="H15">
    <cfRule type="cellIs" dxfId="217" priority="16" operator="equal">
      <formula>"Terminado"</formula>
    </cfRule>
    <cfRule type="cellIs" dxfId="216" priority="17" operator="equal">
      <formula>"Recibido"</formula>
    </cfRule>
    <cfRule type="cellIs" dxfId="215" priority="18" operator="equal">
      <formula>"Pedido"</formula>
    </cfRule>
    <cfRule type="cellIs" dxfId="214" priority="19" operator="equal">
      <formula>"Pendiente"</formula>
    </cfRule>
  </conditionalFormatting>
  <conditionalFormatting sqref="H15">
    <cfRule type="cellIs" dxfId="213" priority="15" operator="equal">
      <formula>"En Proceso"</formula>
    </cfRule>
  </conditionalFormatting>
  <conditionalFormatting sqref="H18">
    <cfRule type="cellIs" dxfId="212" priority="43" operator="equal">
      <formula>"Terminado"</formula>
    </cfRule>
    <cfRule type="cellIs" dxfId="211" priority="44" operator="equal">
      <formula>"Recibido"</formula>
    </cfRule>
    <cfRule type="cellIs" dxfId="210" priority="45" operator="equal">
      <formula>"Pedido"</formula>
    </cfRule>
    <cfRule type="cellIs" dxfId="209" priority="46" operator="equal">
      <formula>"Pendiente"</formula>
    </cfRule>
  </conditionalFormatting>
  <conditionalFormatting sqref="H18">
    <cfRule type="cellIs" dxfId="208" priority="42" operator="equal">
      <formula>"En Proceso"</formula>
    </cfRule>
  </conditionalFormatting>
  <conditionalFormatting sqref="A17">
    <cfRule type="cellIs" dxfId="207" priority="38" operator="equal">
      <formula>"Informativa"</formula>
    </cfRule>
    <cfRule type="cellIs" dxfId="206" priority="39" operator="equal">
      <formula>"bAJA"</formula>
    </cfRule>
    <cfRule type="cellIs" dxfId="205" priority="40" operator="equal">
      <formula>"Media"</formula>
    </cfRule>
    <cfRule type="cellIs" dxfId="204" priority="41" operator="equal">
      <formula>"Alta"</formula>
    </cfRule>
  </conditionalFormatting>
  <conditionalFormatting sqref="H17">
    <cfRule type="cellIs" dxfId="203" priority="34" operator="equal">
      <formula>"Terminado"</formula>
    </cfRule>
    <cfRule type="cellIs" dxfId="202" priority="35" operator="equal">
      <formula>"Recibido"</formula>
    </cfRule>
    <cfRule type="cellIs" dxfId="201" priority="36" operator="equal">
      <formula>"Pedido"</formula>
    </cfRule>
    <cfRule type="cellIs" dxfId="200" priority="37" operator="equal">
      <formula>"Pendiente"</formula>
    </cfRule>
  </conditionalFormatting>
  <conditionalFormatting sqref="H17">
    <cfRule type="cellIs" dxfId="199" priority="33" operator="equal">
      <formula>"En Proceso"</formula>
    </cfRule>
  </conditionalFormatting>
  <conditionalFormatting sqref="A15:A16">
    <cfRule type="cellIs" dxfId="198" priority="29" operator="equal">
      <formula>"Informativa"</formula>
    </cfRule>
    <cfRule type="cellIs" dxfId="197" priority="30" operator="equal">
      <formula>"bAJA"</formula>
    </cfRule>
    <cfRule type="cellIs" dxfId="196" priority="31" operator="equal">
      <formula>"Media"</formula>
    </cfRule>
    <cfRule type="cellIs" dxfId="195" priority="32" operator="equal">
      <formula>"Alta"</formula>
    </cfRule>
  </conditionalFormatting>
  <conditionalFormatting sqref="A14">
    <cfRule type="cellIs" dxfId="194" priority="25" operator="equal">
      <formula>"Informativa"</formula>
    </cfRule>
    <cfRule type="cellIs" dxfId="193" priority="26" operator="equal">
      <formula>"bAJA"</formula>
    </cfRule>
    <cfRule type="cellIs" dxfId="192" priority="27" operator="equal">
      <formula>"Media"</formula>
    </cfRule>
    <cfRule type="cellIs" dxfId="191" priority="28" operator="equal">
      <formula>"Alta"</formula>
    </cfRule>
  </conditionalFormatting>
  <conditionalFormatting sqref="H16">
    <cfRule type="cellIs" dxfId="190" priority="11" operator="equal">
      <formula>"Terminado"</formula>
    </cfRule>
    <cfRule type="cellIs" dxfId="189" priority="12" operator="equal">
      <formula>"Recibido"</formula>
    </cfRule>
    <cfRule type="cellIs" dxfId="188" priority="13" operator="equal">
      <formula>"Pedido"</formula>
    </cfRule>
    <cfRule type="cellIs" dxfId="187" priority="14" operator="equal">
      <formula>"Pendiente"</formula>
    </cfRule>
  </conditionalFormatting>
  <conditionalFormatting sqref="H16">
    <cfRule type="cellIs" dxfId="186" priority="10" operator="equal">
      <formula>"En Proceso"</formula>
    </cfRule>
  </conditionalFormatting>
  <conditionalFormatting sqref="A11">
    <cfRule type="cellIs" dxfId="185" priority="6" operator="equal">
      <formula>"Informativa"</formula>
    </cfRule>
    <cfRule type="cellIs" dxfId="184" priority="7" operator="equal">
      <formula>"bAJA"</formula>
    </cfRule>
    <cfRule type="cellIs" dxfId="183" priority="8" operator="equal">
      <formula>"Media"</formula>
    </cfRule>
    <cfRule type="cellIs" dxfId="182" priority="9" operator="equal">
      <formula>"Alta"</formula>
    </cfRule>
  </conditionalFormatting>
  <conditionalFormatting sqref="H11">
    <cfRule type="cellIs" dxfId="181" priority="2" operator="equal">
      <formula>"Terminado"</formula>
    </cfRule>
    <cfRule type="cellIs" dxfId="180" priority="3" operator="equal">
      <formula>"Recibido"</formula>
    </cfRule>
    <cfRule type="cellIs" dxfId="179" priority="4" operator="equal">
      <formula>"Pedido"</formula>
    </cfRule>
    <cfRule type="cellIs" dxfId="178" priority="5" operator="equal">
      <formula>"Pendiente"</formula>
    </cfRule>
  </conditionalFormatting>
  <conditionalFormatting sqref="H11">
    <cfRule type="cellIs" dxfId="177" priority="1" operator="equal">
      <formula>"En Proceso"</formula>
    </cfRule>
  </conditionalFormatting>
  <dataValidations count="3">
    <dataValidation type="list" allowBlank="1" showInputMessage="1" showErrorMessage="1" sqref="H11:H18" xr:uid="{895A137A-C7D9-4D1F-9E0D-F5638245FB11}">
      <formula1>"Pendiente,Resuelta"</formula1>
    </dataValidation>
    <dataValidation type="list" allowBlank="1" showInputMessage="1" showErrorMessage="1" sqref="A11:A18" xr:uid="{3946DE94-F9B4-41F7-9D32-9C95D2852F4F}">
      <formula1>"Alta,Media,Baja,Informativa"</formula1>
    </dataValidation>
    <dataValidation type="list" allowBlank="1" showInputMessage="1" showErrorMessage="1" sqref="J11:J18" xr:uid="{8155C0AD-5FBA-4815-B028-B4A926C42BC5}">
      <formula1>"Muy fácil (1), facil (2), Medio (3), Difícil (4),Muy difícil (5)"</formula1>
    </dataValidation>
  </dataValidations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8999A-7934-4DAC-BBC0-99431C1E5677}">
  <sheetPr codeName="Hoja6"/>
  <dimension ref="A1:J109"/>
  <sheetViews>
    <sheetView showGridLines="0" zoomScale="55" zoomScaleNormal="55" workbookViewId="0">
      <pane ySplit="4" topLeftCell="E5" activePane="bottomLeft" state="frozen"/>
      <selection pane="bottomLeft" activeCell="F2" sqref="F2:G2"/>
    </sheetView>
  </sheetViews>
  <sheetFormatPr defaultColWidth="11.42578125" defaultRowHeight="14.45"/>
  <cols>
    <col min="1" max="1" width="17.28515625" style="1" customWidth="1"/>
    <col min="2" max="2" width="33" style="1" bestFit="1" customWidth="1"/>
    <col min="3" max="3" width="22.85546875" style="1" customWidth="1"/>
    <col min="4" max="4" width="32.85546875" style="1" customWidth="1"/>
    <col min="5" max="5" width="36.140625" style="1" customWidth="1"/>
    <col min="6" max="6" width="27.85546875" style="1" customWidth="1"/>
    <col min="7" max="7" width="21.5703125" style="1" customWidth="1"/>
    <col min="8" max="8" width="22.140625" style="1" customWidth="1"/>
    <col min="9" max="9" width="11.42578125" style="1"/>
    <col min="10" max="10" width="25.28515625" style="42" customWidth="1"/>
    <col min="11" max="11" width="10.85546875" customWidth="1"/>
  </cols>
  <sheetData>
    <row r="1" spans="1:10" ht="15" thickBot="1">
      <c r="A1" s="23"/>
      <c r="B1" s="23"/>
      <c r="C1" s="23"/>
      <c r="D1" s="23"/>
      <c r="E1" s="23"/>
      <c r="F1" s="23"/>
      <c r="G1" s="23"/>
      <c r="H1" s="23"/>
      <c r="I1" s="23"/>
    </row>
    <row r="2" spans="1:10" ht="39.950000000000003" customHeight="1" thickTop="1" thickBot="1">
      <c r="A2" s="93" t="e" vm="1">
        <v>#VALUE!</v>
      </c>
      <c r="B2" s="93" t="e" vm="1">
        <v>#VALUE!</v>
      </c>
      <c r="C2" s="85" t="e" vm="2">
        <v>#VALUE!</v>
      </c>
      <c r="D2" s="88" t="s">
        <v>0</v>
      </c>
      <c r="E2" s="76"/>
      <c r="F2" s="94" t="s">
        <v>43</v>
      </c>
      <c r="G2" s="94"/>
      <c r="H2" s="20" t="str">
        <f>'Panel de Control'!F2</f>
        <v>V1.0</v>
      </c>
      <c r="I2" s="23"/>
    </row>
    <row r="3" spans="1:10" ht="15.6" customHeight="1" thickTop="1">
      <c r="A3" s="93"/>
      <c r="B3" s="93"/>
      <c r="C3" s="86"/>
      <c r="D3" s="89" t="s">
        <v>2</v>
      </c>
      <c r="E3" s="77"/>
      <c r="F3" s="95"/>
      <c r="G3" s="79"/>
      <c r="H3" s="80"/>
      <c r="I3" s="23"/>
    </row>
    <row r="4" spans="1:10" ht="16.5" customHeight="1" thickBot="1">
      <c r="A4" s="93"/>
      <c r="B4" s="93"/>
      <c r="C4" s="87"/>
      <c r="D4" s="90"/>
      <c r="E4" s="78"/>
      <c r="F4" s="96"/>
      <c r="G4" s="81"/>
      <c r="H4" s="82"/>
      <c r="I4" s="23"/>
    </row>
    <row r="5" spans="1:10" ht="15.6" thickTop="1" thickBot="1">
      <c r="A5" s="23"/>
      <c r="B5" s="23"/>
      <c r="C5" s="6"/>
      <c r="D5" s="7"/>
      <c r="E5" s="7"/>
      <c r="F5" s="5"/>
      <c r="G5" s="5"/>
      <c r="H5" s="5"/>
      <c r="I5" s="23"/>
      <c r="J5" s="43"/>
    </row>
    <row r="6" spans="1:10" ht="15.6" customHeight="1" thickTop="1" thickBot="1">
      <c r="A6" s="14"/>
      <c r="B6" s="15"/>
      <c r="C6" s="8" t="s">
        <v>44</v>
      </c>
      <c r="D6" s="11" t="s">
        <v>45</v>
      </c>
      <c r="E6" s="24" t="s">
        <v>12</v>
      </c>
      <c r="F6" s="25" t="s">
        <v>15</v>
      </c>
      <c r="G6" s="25" t="s">
        <v>13</v>
      </c>
      <c r="H6" s="26" t="s">
        <v>14</v>
      </c>
      <c r="I6" s="23"/>
    </row>
    <row r="7" spans="1:10" ht="15.6" thickTop="1" thickBot="1">
      <c r="A7" s="23"/>
      <c r="B7" s="23"/>
      <c r="C7" s="23"/>
      <c r="D7" s="27" t="s">
        <v>46</v>
      </c>
      <c r="E7" s="17">
        <f>COUNTIF(A:A,"Alta")</f>
        <v>1</v>
      </c>
      <c r="F7" s="16">
        <f>COUNTIF(A:A,"Media")</f>
        <v>0</v>
      </c>
      <c r="G7" s="18">
        <f>COUNTIF(A:A,"Baja")</f>
        <v>0</v>
      </c>
      <c r="H7" s="19">
        <f>COUNTIF(A:A,"Informativa")</f>
        <v>0</v>
      </c>
      <c r="I7" s="23"/>
    </row>
    <row r="8" spans="1:10" ht="15.6" thickTop="1" thickBot="1">
      <c r="A8" s="23"/>
      <c r="B8" s="23"/>
      <c r="C8" s="23"/>
      <c r="D8" s="27" t="s">
        <v>47</v>
      </c>
      <c r="E8" s="17">
        <f>COUNTIFS(A:A,"Alta",H:H,"Resuelta")</f>
        <v>0</v>
      </c>
      <c r="F8" s="16">
        <f>COUNTIFS(A:A,"Media",H:H,"Resuelta")</f>
        <v>0</v>
      </c>
      <c r="G8" s="18">
        <f>COUNTIFS(A:A,"Baja",H:H,"Resuelta")</f>
        <v>0</v>
      </c>
      <c r="H8" s="19">
        <f>COUNTIFS(A:A,"Informativa",H:H,"Resuelta")</f>
        <v>0</v>
      </c>
      <c r="I8" s="23"/>
    </row>
    <row r="9" spans="1:10" ht="15.6" thickTop="1" thickBot="1">
      <c r="A9" s="23"/>
      <c r="B9" s="23"/>
      <c r="C9" s="23"/>
      <c r="D9" s="23"/>
      <c r="E9" s="23"/>
      <c r="F9" s="23"/>
      <c r="G9" s="23"/>
      <c r="H9" s="23"/>
      <c r="I9" s="23"/>
    </row>
    <row r="10" spans="1:10" ht="25.9" thickBot="1">
      <c r="A10" s="29" t="s">
        <v>20</v>
      </c>
      <c r="B10" s="30" t="s">
        <v>21</v>
      </c>
      <c r="C10" s="30" t="s">
        <v>22</v>
      </c>
      <c r="D10" s="31" t="s">
        <v>23</v>
      </c>
      <c r="E10" s="31" t="s">
        <v>24</v>
      </c>
      <c r="F10" s="31" t="s">
        <v>25</v>
      </c>
      <c r="G10" s="31" t="s">
        <v>26</v>
      </c>
      <c r="H10" s="31" t="s">
        <v>27</v>
      </c>
      <c r="I10" s="40" t="s">
        <v>28</v>
      </c>
      <c r="J10" s="41" t="s">
        <v>29</v>
      </c>
    </row>
    <row r="11" spans="1:10" s="1" customFormat="1" ht="43.5" customHeight="1" thickTop="1" thickBot="1">
      <c r="A11" s="28" t="s">
        <v>12</v>
      </c>
      <c r="B11" s="4" t="s">
        <v>48</v>
      </c>
      <c r="C11" s="12">
        <v>44986</v>
      </c>
      <c r="D11" s="2" t="s">
        <v>49</v>
      </c>
      <c r="E11" s="2" t="s">
        <v>50</v>
      </c>
      <c r="F11" s="2" t="s">
        <v>5</v>
      </c>
      <c r="G11" s="2" t="s">
        <v>96</v>
      </c>
      <c r="H11" s="9" t="s">
        <v>19</v>
      </c>
      <c r="I11" s="2" t="s">
        <v>70</v>
      </c>
      <c r="J11" s="2" t="s">
        <v>67</v>
      </c>
    </row>
    <row r="12" spans="1:10" s="1" customFormat="1" ht="43.5" customHeight="1" thickTop="1" thickBot="1">
      <c r="A12" s="28"/>
      <c r="B12" s="10"/>
      <c r="C12" s="12"/>
      <c r="D12" s="2"/>
      <c r="E12" s="2"/>
      <c r="F12" s="2"/>
      <c r="G12" s="2"/>
      <c r="H12" s="9"/>
      <c r="I12" s="2"/>
      <c r="J12" s="2"/>
    </row>
    <row r="13" spans="1:10" s="1" customFormat="1" ht="43.5" customHeight="1" thickTop="1" thickBot="1">
      <c r="A13" s="28"/>
      <c r="B13" s="10"/>
      <c r="C13" s="12"/>
      <c r="D13" s="2"/>
      <c r="E13" s="2"/>
      <c r="F13" s="2"/>
      <c r="G13" s="2"/>
      <c r="H13" s="9"/>
      <c r="I13" s="2"/>
      <c r="J13" s="2"/>
    </row>
    <row r="14" spans="1:10" s="1" customFormat="1" ht="43.5" customHeight="1" thickTop="1" thickBot="1">
      <c r="A14" s="28"/>
      <c r="B14" s="3"/>
      <c r="C14" s="12"/>
      <c r="D14" s="2"/>
      <c r="E14" s="2"/>
      <c r="F14" s="2"/>
      <c r="G14" s="2"/>
      <c r="H14" s="9"/>
      <c r="I14" s="2"/>
      <c r="J14" s="2"/>
    </row>
    <row r="15" spans="1:10" s="1" customFormat="1" ht="43.5" customHeight="1" thickTop="1" thickBot="1">
      <c r="A15" s="28"/>
      <c r="B15" s="3"/>
      <c r="C15" s="12"/>
      <c r="D15" s="2"/>
      <c r="E15" s="2"/>
      <c r="F15" s="2"/>
      <c r="G15" s="2"/>
      <c r="H15" s="9"/>
      <c r="I15" s="2"/>
      <c r="J15" s="2"/>
    </row>
    <row r="16" spans="1:10" s="1" customFormat="1" ht="43.5" customHeight="1" thickTop="1" thickBot="1">
      <c r="A16" s="28"/>
      <c r="B16" s="3"/>
      <c r="C16" s="12"/>
      <c r="D16" s="2"/>
      <c r="E16" s="2"/>
      <c r="F16" s="2"/>
      <c r="G16" s="2"/>
      <c r="H16" s="9"/>
      <c r="I16" s="2"/>
      <c r="J16" s="2"/>
    </row>
    <row r="17" spans="1:10" s="1" customFormat="1" thickTop="1">
      <c r="A17" s="23"/>
      <c r="B17" s="23"/>
      <c r="C17" s="23"/>
      <c r="D17" s="23"/>
      <c r="E17" s="23"/>
      <c r="F17" s="23"/>
      <c r="G17" s="23"/>
      <c r="H17" s="23"/>
      <c r="I17" s="23"/>
      <c r="J17" s="42"/>
    </row>
    <row r="18" spans="1:10" s="1" customFormat="1" ht="13.9">
      <c r="A18" s="23"/>
      <c r="B18" s="23"/>
      <c r="C18" s="23"/>
      <c r="D18" s="23"/>
      <c r="E18" s="23"/>
      <c r="F18" s="23"/>
      <c r="G18" s="23"/>
      <c r="H18" s="23"/>
      <c r="I18" s="23"/>
      <c r="J18" s="42"/>
    </row>
    <row r="19" spans="1:10" s="1" customFormat="1" ht="13.9">
      <c r="A19" s="23"/>
      <c r="B19" s="23"/>
      <c r="C19" s="23"/>
      <c r="D19" s="23"/>
      <c r="E19" s="23"/>
      <c r="F19" s="23"/>
      <c r="G19" s="23"/>
      <c r="H19" s="23"/>
      <c r="I19" s="23"/>
      <c r="J19" s="42"/>
    </row>
    <row r="20" spans="1:10" s="1" customFormat="1" ht="21">
      <c r="A20" s="13"/>
      <c r="B20" s="23"/>
      <c r="C20" s="23"/>
      <c r="D20" s="23"/>
      <c r="E20" s="23"/>
      <c r="F20" s="23"/>
      <c r="G20" s="23"/>
      <c r="H20" s="23"/>
      <c r="I20" s="23"/>
      <c r="J20" s="42"/>
    </row>
    <row r="21" spans="1:10" s="1" customFormat="1" ht="43.5" customHeight="1">
      <c r="A21" s="23"/>
      <c r="B21" s="23"/>
      <c r="C21" s="23"/>
      <c r="D21" s="23"/>
      <c r="E21" s="23"/>
      <c r="F21" s="23"/>
      <c r="G21" s="23"/>
      <c r="H21" s="23"/>
      <c r="I21" s="23"/>
      <c r="J21" s="42"/>
    </row>
    <row r="22" spans="1:10" s="1" customFormat="1" ht="43.5" customHeight="1">
      <c r="A22" s="23"/>
      <c r="B22" s="23"/>
      <c r="C22" s="23"/>
      <c r="D22" s="23"/>
      <c r="E22" s="23"/>
      <c r="F22" s="23"/>
      <c r="G22" s="23"/>
      <c r="H22" s="23"/>
      <c r="I22" s="23"/>
      <c r="J22" s="42"/>
    </row>
    <row r="23" spans="1:10" s="1" customFormat="1" ht="43.5" customHeight="1">
      <c r="A23" s="23"/>
      <c r="B23" s="23"/>
      <c r="C23" s="23"/>
      <c r="D23" s="23"/>
      <c r="E23" s="23"/>
      <c r="F23" s="23"/>
      <c r="G23" s="23"/>
      <c r="H23" s="23"/>
      <c r="I23" s="23"/>
      <c r="J23" s="42"/>
    </row>
    <row r="24" spans="1:10" s="1" customFormat="1" ht="43.5" customHeight="1">
      <c r="A24" s="23"/>
      <c r="B24" s="23"/>
      <c r="C24" s="23"/>
      <c r="D24" s="23"/>
      <c r="E24" s="23"/>
      <c r="F24" s="23"/>
      <c r="G24" s="23"/>
      <c r="H24" s="23"/>
      <c r="I24" s="23"/>
      <c r="J24" s="42"/>
    </row>
    <row r="25" spans="1:10" s="1" customFormat="1" ht="62.1" customHeight="1">
      <c r="A25" s="23"/>
      <c r="B25" s="23"/>
      <c r="C25" s="23"/>
      <c r="D25" s="23"/>
      <c r="E25" s="23"/>
      <c r="F25" s="23"/>
      <c r="G25" s="23"/>
      <c r="H25" s="23"/>
      <c r="I25" s="23"/>
      <c r="J25" s="42"/>
    </row>
    <row r="26" spans="1:10" s="1" customFormat="1" ht="62.1" customHeight="1">
      <c r="A26" s="23"/>
      <c r="B26" s="23"/>
      <c r="C26" s="23"/>
      <c r="D26" s="23"/>
      <c r="E26" s="23"/>
      <c r="F26" s="23"/>
      <c r="G26" s="23"/>
      <c r="H26" s="23"/>
      <c r="I26" s="23"/>
      <c r="J26" s="42"/>
    </row>
    <row r="27" spans="1:10" s="1" customFormat="1" ht="62.1" customHeight="1">
      <c r="A27" s="23"/>
      <c r="B27" s="23"/>
      <c r="C27" s="23"/>
      <c r="D27" s="23"/>
      <c r="E27" s="23"/>
      <c r="F27" s="23"/>
      <c r="G27" s="23"/>
      <c r="H27" s="23"/>
      <c r="I27" s="23"/>
      <c r="J27" s="42"/>
    </row>
    <row r="28" spans="1:10" s="1" customFormat="1" ht="62.1" customHeight="1">
      <c r="A28" s="23"/>
      <c r="B28" s="23"/>
      <c r="C28" s="23"/>
      <c r="D28" s="23"/>
      <c r="E28" s="23"/>
      <c r="F28" s="23"/>
      <c r="G28" s="23"/>
      <c r="H28" s="23"/>
      <c r="I28" s="23"/>
      <c r="J28" s="42"/>
    </row>
    <row r="29" spans="1:10" s="1" customFormat="1" ht="62.1" customHeight="1">
      <c r="A29" s="23"/>
      <c r="B29" s="23"/>
      <c r="C29" s="23"/>
      <c r="D29" s="23"/>
      <c r="E29" s="23"/>
      <c r="F29" s="23"/>
      <c r="G29" s="23"/>
      <c r="H29" s="23"/>
      <c r="I29" s="23"/>
      <c r="J29" s="42"/>
    </row>
    <row r="30" spans="1:10" s="1" customFormat="1" ht="62.1" customHeight="1">
      <c r="A30" s="23"/>
      <c r="B30" s="23"/>
      <c r="C30" s="23"/>
      <c r="D30" s="23"/>
      <c r="E30" s="23"/>
      <c r="F30" s="23"/>
      <c r="G30" s="23"/>
      <c r="H30" s="23"/>
      <c r="I30" s="23"/>
      <c r="J30" s="42"/>
    </row>
    <row r="31" spans="1:10" s="1" customFormat="1" ht="62.1" customHeight="1">
      <c r="A31" s="23"/>
      <c r="B31" s="23"/>
      <c r="C31" s="23"/>
      <c r="D31" s="23"/>
      <c r="E31" s="23"/>
      <c r="F31" s="23"/>
      <c r="G31" s="23"/>
      <c r="H31" s="23"/>
      <c r="I31" s="23"/>
      <c r="J31" s="42"/>
    </row>
    <row r="32" spans="1:10" s="1" customFormat="1" ht="43.5" customHeight="1">
      <c r="A32" s="23"/>
      <c r="B32" s="23"/>
      <c r="C32" s="23"/>
      <c r="D32" s="23"/>
      <c r="E32" s="23"/>
      <c r="F32" s="23"/>
      <c r="G32" s="23"/>
      <c r="H32" s="23"/>
      <c r="I32" s="23"/>
      <c r="J32" s="42"/>
    </row>
    <row r="33" spans="1:10" s="1" customFormat="1" ht="13.9">
      <c r="A33" s="23"/>
      <c r="B33" s="23"/>
      <c r="C33" s="23"/>
      <c r="D33" s="23"/>
      <c r="E33" s="23"/>
      <c r="F33" s="23"/>
      <c r="G33" s="23"/>
      <c r="H33" s="23"/>
      <c r="I33" s="23"/>
      <c r="J33" s="42"/>
    </row>
    <row r="34" spans="1:10" s="1" customFormat="1" ht="13.9">
      <c r="A34" s="23"/>
      <c r="B34" s="23"/>
      <c r="C34" s="23"/>
      <c r="D34" s="23"/>
      <c r="E34" s="23"/>
      <c r="F34" s="23"/>
      <c r="G34" s="23"/>
      <c r="H34" s="23"/>
      <c r="I34" s="23"/>
      <c r="J34" s="42"/>
    </row>
    <row r="35" spans="1:10" s="1" customFormat="1" ht="15.6" customHeight="1">
      <c r="A35" s="23"/>
      <c r="B35" s="23"/>
      <c r="C35" s="23"/>
      <c r="D35" s="23"/>
      <c r="E35" s="23"/>
      <c r="F35" s="23"/>
      <c r="G35" s="23"/>
      <c r="H35" s="23"/>
      <c r="I35" s="23"/>
      <c r="J35" s="42"/>
    </row>
    <row r="36" spans="1:10" s="1" customFormat="1" ht="13.9">
      <c r="A36" s="23"/>
      <c r="B36" s="23"/>
      <c r="C36" s="23"/>
      <c r="D36" s="23"/>
      <c r="E36" s="23"/>
      <c r="F36" s="23"/>
      <c r="G36" s="23"/>
      <c r="H36" s="23"/>
      <c r="I36" s="23"/>
      <c r="J36" s="42"/>
    </row>
    <row r="37" spans="1:10" s="1" customFormat="1" ht="13.9">
      <c r="A37" s="23"/>
      <c r="B37" s="23"/>
      <c r="C37" s="23"/>
      <c r="D37" s="23"/>
      <c r="E37" s="23"/>
      <c r="F37" s="23"/>
      <c r="G37" s="23"/>
      <c r="H37" s="23"/>
      <c r="I37" s="23"/>
      <c r="J37" s="42"/>
    </row>
    <row r="38" spans="1:10" s="1" customFormat="1" ht="13.9">
      <c r="A38" s="23"/>
      <c r="B38" s="23"/>
      <c r="C38" s="23"/>
      <c r="D38" s="23"/>
      <c r="E38" s="23"/>
      <c r="F38" s="23"/>
      <c r="G38" s="23"/>
      <c r="H38" s="23"/>
      <c r="I38" s="23"/>
      <c r="J38" s="42"/>
    </row>
    <row r="39" spans="1:10" s="1" customFormat="1" ht="13.9">
      <c r="A39" s="23"/>
      <c r="B39" s="23"/>
      <c r="C39" s="23"/>
      <c r="D39" s="23"/>
      <c r="E39" s="23"/>
      <c r="F39" s="23"/>
      <c r="G39" s="23"/>
      <c r="H39" s="23"/>
      <c r="I39" s="23"/>
      <c r="J39" s="42"/>
    </row>
    <row r="40" spans="1:10" s="1" customFormat="1" ht="32.1" customHeight="1">
      <c r="A40" s="23"/>
      <c r="B40" s="23"/>
      <c r="C40" s="23"/>
      <c r="D40" s="23"/>
      <c r="E40" s="23"/>
      <c r="F40" s="23"/>
      <c r="G40" s="23"/>
      <c r="H40" s="23"/>
      <c r="I40" s="23"/>
      <c r="J40" s="42"/>
    </row>
    <row r="41" spans="1:10" s="1" customFormat="1" ht="50.1" customHeight="1">
      <c r="A41" s="23"/>
      <c r="B41" s="23"/>
      <c r="C41" s="23"/>
      <c r="D41" s="23"/>
      <c r="E41" s="23"/>
      <c r="F41" s="23"/>
      <c r="G41" s="23"/>
      <c r="H41" s="23"/>
      <c r="I41" s="23"/>
      <c r="J41" s="42"/>
    </row>
    <row r="42" spans="1:10" s="1" customFormat="1" ht="50.1" customHeight="1">
      <c r="A42" s="23"/>
      <c r="B42" s="23"/>
      <c r="C42" s="23"/>
      <c r="D42" s="23"/>
      <c r="E42" s="23"/>
      <c r="F42" s="23"/>
      <c r="G42" s="23"/>
      <c r="H42" s="23"/>
      <c r="I42" s="23"/>
      <c r="J42" s="42"/>
    </row>
    <row r="43" spans="1:10" s="1" customFormat="1" ht="50.1" customHeight="1">
      <c r="A43" s="23"/>
      <c r="B43" s="23"/>
      <c r="C43" s="23"/>
      <c r="D43" s="23"/>
      <c r="E43" s="23"/>
      <c r="F43" s="23"/>
      <c r="G43" s="23"/>
      <c r="H43" s="23"/>
      <c r="I43" s="23"/>
      <c r="J43" s="42"/>
    </row>
    <row r="44" spans="1:10" s="1" customFormat="1" ht="50.1" customHeight="1">
      <c r="A44" s="23"/>
      <c r="B44" s="23"/>
      <c r="C44" s="23"/>
      <c r="D44" s="23"/>
      <c r="E44" s="23"/>
      <c r="F44" s="23"/>
      <c r="G44" s="23"/>
      <c r="H44" s="23"/>
      <c r="I44" s="23"/>
      <c r="J44" s="42"/>
    </row>
    <row r="45" spans="1:10" s="1" customFormat="1" ht="50.1" customHeight="1">
      <c r="A45" s="23"/>
      <c r="B45" s="23"/>
      <c r="C45" s="23"/>
      <c r="D45" s="23"/>
      <c r="E45" s="23"/>
      <c r="F45" s="23"/>
      <c r="G45" s="23"/>
      <c r="H45" s="23"/>
      <c r="I45" s="23"/>
      <c r="J45" s="42"/>
    </row>
    <row r="46" spans="1:10" s="1" customFormat="1" ht="50.1" customHeight="1">
      <c r="A46" s="23"/>
      <c r="B46" s="23"/>
      <c r="C46" s="23"/>
      <c r="D46" s="23"/>
      <c r="E46" s="23"/>
      <c r="F46" s="23"/>
      <c r="G46" s="23"/>
      <c r="H46" s="23"/>
      <c r="I46" s="23"/>
      <c r="J46" s="42"/>
    </row>
    <row r="47" spans="1:10" s="1" customFormat="1" ht="50.1" customHeight="1">
      <c r="A47" s="23"/>
      <c r="B47" s="23"/>
      <c r="C47" s="23"/>
      <c r="D47" s="23"/>
      <c r="E47" s="23"/>
      <c r="F47" s="23"/>
      <c r="G47" s="23"/>
      <c r="H47" s="23"/>
      <c r="I47" s="23"/>
      <c r="J47" s="42"/>
    </row>
    <row r="48" spans="1:10" s="1" customFormat="1" ht="13.9">
      <c r="A48" s="23"/>
      <c r="B48" s="23"/>
      <c r="C48" s="23"/>
      <c r="D48" s="23"/>
      <c r="E48" s="23"/>
      <c r="F48" s="23"/>
      <c r="G48" s="23"/>
      <c r="H48" s="23"/>
      <c r="I48" s="23"/>
      <c r="J48" s="42"/>
    </row>
    <row r="49" spans="1:10" s="1" customFormat="1" ht="15.6" customHeight="1">
      <c r="A49" s="23"/>
      <c r="B49" s="23"/>
      <c r="C49" s="23"/>
      <c r="D49" s="23"/>
      <c r="E49" s="23"/>
      <c r="F49" s="23"/>
      <c r="G49" s="23"/>
      <c r="H49" s="23"/>
      <c r="I49" s="23"/>
      <c r="J49" s="42"/>
    </row>
    <row r="50" spans="1:10" s="1" customFormat="1" ht="13.9">
      <c r="A50" s="23"/>
      <c r="B50" s="23"/>
      <c r="C50" s="23"/>
      <c r="D50" s="23"/>
      <c r="E50" s="23"/>
      <c r="F50" s="23"/>
      <c r="G50" s="23"/>
      <c r="H50" s="23"/>
      <c r="I50" s="23"/>
      <c r="J50" s="42"/>
    </row>
    <row r="51" spans="1:10" s="1" customFormat="1" ht="13.9">
      <c r="A51" s="23"/>
      <c r="B51" s="23"/>
      <c r="C51" s="23"/>
      <c r="D51" s="23"/>
      <c r="E51" s="23"/>
      <c r="F51" s="23"/>
      <c r="G51" s="23"/>
      <c r="H51" s="23"/>
      <c r="I51" s="23"/>
      <c r="J51" s="42"/>
    </row>
    <row r="52" spans="1:10" s="1" customFormat="1" ht="13.9">
      <c r="A52" s="23"/>
      <c r="B52" s="23"/>
      <c r="C52" s="23"/>
      <c r="D52" s="23"/>
      <c r="E52" s="23"/>
      <c r="F52" s="23"/>
      <c r="G52" s="23"/>
      <c r="H52" s="23"/>
      <c r="I52" s="23"/>
      <c r="J52" s="42"/>
    </row>
    <row r="53" spans="1:10" s="1" customFormat="1" ht="13.9">
      <c r="A53" s="23"/>
      <c r="B53" s="23"/>
      <c r="C53" s="23"/>
      <c r="D53" s="23"/>
      <c r="E53" s="23"/>
      <c r="F53" s="23"/>
      <c r="G53" s="23"/>
      <c r="H53" s="23"/>
      <c r="I53" s="23"/>
      <c r="J53" s="42"/>
    </row>
    <row r="54" spans="1:10" s="1" customFormat="1" ht="42.6" customHeight="1">
      <c r="A54" s="23"/>
      <c r="B54" s="23"/>
      <c r="C54" s="23"/>
      <c r="D54" s="23"/>
      <c r="E54" s="23"/>
      <c r="F54" s="23"/>
      <c r="G54" s="23"/>
      <c r="H54" s="23"/>
      <c r="I54" s="23"/>
      <c r="J54" s="42"/>
    </row>
    <row r="55" spans="1:10" s="1" customFormat="1" ht="13.9">
      <c r="A55" s="23"/>
      <c r="B55" s="23"/>
      <c r="C55" s="23"/>
      <c r="D55" s="23"/>
      <c r="E55" s="23"/>
      <c r="F55" s="23"/>
      <c r="G55" s="23"/>
      <c r="H55" s="23"/>
      <c r="I55" s="23"/>
      <c r="J55" s="42"/>
    </row>
    <row r="56" spans="1:10" s="1" customFormat="1" ht="13.9">
      <c r="A56" s="23"/>
      <c r="B56" s="23"/>
      <c r="C56" s="23"/>
      <c r="D56" s="23"/>
      <c r="E56" s="23"/>
      <c r="F56" s="23"/>
      <c r="G56" s="23"/>
      <c r="H56" s="23"/>
      <c r="I56" s="23"/>
      <c r="J56" s="42"/>
    </row>
    <row r="57" spans="1:10" s="1" customFormat="1" ht="42.95" customHeight="1">
      <c r="A57" s="23"/>
      <c r="B57" s="23"/>
      <c r="C57" s="23"/>
      <c r="D57" s="23"/>
      <c r="E57" s="23"/>
      <c r="F57" s="23"/>
      <c r="G57" s="23"/>
      <c r="H57" s="23"/>
      <c r="I57" s="23"/>
      <c r="J57" s="42"/>
    </row>
    <row r="58" spans="1:10" s="1" customFormat="1" ht="45.6" customHeight="1">
      <c r="A58" s="23"/>
      <c r="B58" s="23"/>
      <c r="C58" s="23"/>
      <c r="D58" s="23"/>
      <c r="E58" s="23"/>
      <c r="F58" s="23"/>
      <c r="G58" s="23"/>
      <c r="H58" s="23"/>
      <c r="I58" s="23"/>
      <c r="J58" s="42"/>
    </row>
    <row r="59" spans="1:10" s="1" customFormat="1" ht="45.6" customHeight="1">
      <c r="A59" s="23"/>
      <c r="B59" s="23"/>
      <c r="C59" s="23"/>
      <c r="D59" s="23"/>
      <c r="E59" s="23"/>
      <c r="F59" s="23"/>
      <c r="G59" s="23"/>
      <c r="H59" s="23"/>
      <c r="I59" s="23"/>
      <c r="J59" s="42"/>
    </row>
    <row r="60" spans="1:10" s="1" customFormat="1" ht="45.6" customHeight="1">
      <c r="A60" s="23"/>
      <c r="B60" s="23"/>
      <c r="C60" s="23"/>
      <c r="D60" s="23"/>
      <c r="E60" s="23"/>
      <c r="F60" s="23"/>
      <c r="G60" s="23"/>
      <c r="H60" s="23"/>
      <c r="I60" s="23"/>
      <c r="J60" s="42"/>
    </row>
    <row r="61" spans="1:10" s="1" customFormat="1" ht="34.5" customHeight="1">
      <c r="A61" s="23"/>
      <c r="B61" s="23"/>
      <c r="C61" s="23"/>
      <c r="D61" s="23"/>
      <c r="E61" s="23"/>
      <c r="F61" s="23"/>
      <c r="G61" s="23"/>
      <c r="H61" s="23"/>
      <c r="I61" s="23"/>
      <c r="J61" s="42"/>
    </row>
    <row r="62" spans="1:10" s="1" customFormat="1" ht="13.9">
      <c r="A62" s="23"/>
      <c r="B62" s="23"/>
      <c r="C62" s="23"/>
      <c r="D62" s="23"/>
      <c r="E62" s="23"/>
      <c r="F62" s="23"/>
      <c r="G62" s="23"/>
      <c r="H62" s="23"/>
      <c r="I62" s="23"/>
      <c r="J62" s="42"/>
    </row>
    <row r="63" spans="1:10" s="1" customFormat="1" ht="13.9">
      <c r="A63" s="23"/>
      <c r="B63" s="23"/>
      <c r="C63" s="23"/>
      <c r="D63" s="23"/>
      <c r="E63" s="23"/>
      <c r="F63" s="23"/>
      <c r="G63" s="23"/>
      <c r="H63" s="23"/>
      <c r="I63" s="23"/>
      <c r="J63" s="42"/>
    </row>
    <row r="64" spans="1:10" s="1" customFormat="1" ht="15.6" customHeight="1">
      <c r="A64" s="23"/>
      <c r="B64" s="23"/>
      <c r="C64" s="23"/>
      <c r="D64" s="23"/>
      <c r="E64" s="23"/>
      <c r="F64" s="23"/>
      <c r="G64" s="23"/>
      <c r="H64" s="23"/>
      <c r="I64" s="23"/>
      <c r="J64" s="42"/>
    </row>
    <row r="65" spans="1:10" s="1" customFormat="1" ht="13.9">
      <c r="A65" s="23"/>
      <c r="B65" s="23"/>
      <c r="C65" s="23"/>
      <c r="D65" s="23"/>
      <c r="E65" s="23"/>
      <c r="F65" s="23"/>
      <c r="G65" s="23"/>
      <c r="H65" s="23"/>
      <c r="I65" s="23"/>
      <c r="J65" s="42"/>
    </row>
    <row r="66" spans="1:10" s="1" customFormat="1" ht="13.9">
      <c r="A66" s="23"/>
      <c r="B66" s="23"/>
      <c r="C66" s="23"/>
      <c r="D66" s="23"/>
      <c r="E66" s="23"/>
      <c r="F66" s="23"/>
      <c r="G66" s="23"/>
      <c r="H66" s="23"/>
      <c r="I66" s="23"/>
      <c r="J66" s="42"/>
    </row>
    <row r="67" spans="1:10" s="1" customFormat="1" ht="13.9">
      <c r="A67" s="23"/>
      <c r="B67" s="23"/>
      <c r="C67" s="23"/>
      <c r="D67" s="23"/>
      <c r="E67" s="23"/>
      <c r="F67" s="23"/>
      <c r="G67" s="23"/>
      <c r="H67" s="23"/>
      <c r="I67" s="23"/>
      <c r="J67" s="42"/>
    </row>
    <row r="68" spans="1:10" s="1" customFormat="1" ht="13.9">
      <c r="A68" s="23"/>
      <c r="B68" s="23"/>
      <c r="C68" s="23"/>
      <c r="D68" s="23"/>
      <c r="E68" s="23"/>
      <c r="F68" s="23"/>
      <c r="G68" s="23"/>
      <c r="H68" s="23"/>
      <c r="I68" s="23"/>
      <c r="J68" s="42"/>
    </row>
    <row r="69" spans="1:10" s="1" customFormat="1" ht="13.9">
      <c r="A69" s="23"/>
      <c r="B69" s="23"/>
      <c r="C69" s="23"/>
      <c r="D69" s="23"/>
      <c r="E69" s="23"/>
      <c r="F69" s="23"/>
      <c r="G69" s="23"/>
      <c r="H69" s="23"/>
      <c r="I69" s="23"/>
      <c r="J69" s="42"/>
    </row>
    <row r="70" spans="1:10" s="1" customFormat="1" ht="38.450000000000003" customHeight="1">
      <c r="A70" s="23"/>
      <c r="B70" s="23"/>
      <c r="C70" s="23"/>
      <c r="D70" s="23"/>
      <c r="E70" s="23"/>
      <c r="F70" s="23"/>
      <c r="G70" s="23"/>
      <c r="H70" s="23"/>
      <c r="I70" s="23"/>
      <c r="J70" s="42"/>
    </row>
    <row r="71" spans="1:10" s="1" customFormat="1" ht="38.450000000000003" customHeight="1">
      <c r="A71" s="23"/>
      <c r="B71" s="23"/>
      <c r="C71" s="23"/>
      <c r="D71" s="23"/>
      <c r="E71" s="23"/>
      <c r="F71" s="23"/>
      <c r="G71" s="23"/>
      <c r="H71" s="23"/>
      <c r="I71" s="23"/>
      <c r="J71" s="42"/>
    </row>
    <row r="72" spans="1:10" s="1" customFormat="1" ht="38.450000000000003" customHeight="1">
      <c r="A72" s="23"/>
      <c r="B72" s="23"/>
      <c r="C72" s="23"/>
      <c r="D72" s="23"/>
      <c r="E72" s="23"/>
      <c r="F72" s="23"/>
      <c r="G72" s="23"/>
      <c r="H72" s="23"/>
      <c r="I72" s="23"/>
      <c r="J72" s="42"/>
    </row>
    <row r="73" spans="1:10" s="1" customFormat="1" ht="38.450000000000003" customHeight="1">
      <c r="A73" s="23"/>
      <c r="B73" s="23"/>
      <c r="C73" s="23"/>
      <c r="D73" s="23"/>
      <c r="E73" s="23"/>
      <c r="F73" s="23"/>
      <c r="G73" s="23"/>
      <c r="H73" s="23"/>
      <c r="I73" s="23"/>
      <c r="J73" s="42"/>
    </row>
    <row r="74" spans="1:10" s="1" customFormat="1" ht="38.450000000000003" customHeight="1">
      <c r="A74" s="23"/>
      <c r="B74" s="23"/>
      <c r="C74" s="23"/>
      <c r="D74" s="23"/>
      <c r="E74" s="23"/>
      <c r="F74" s="23"/>
      <c r="G74" s="23"/>
      <c r="H74" s="23"/>
      <c r="I74" s="23"/>
      <c r="J74" s="42"/>
    </row>
    <row r="75" spans="1:10" s="1" customFormat="1" ht="38.450000000000003" customHeight="1">
      <c r="A75" s="23"/>
      <c r="B75" s="23"/>
      <c r="C75" s="23"/>
      <c r="D75" s="23"/>
      <c r="E75" s="23"/>
      <c r="F75" s="23"/>
      <c r="G75" s="23"/>
      <c r="H75" s="23"/>
      <c r="I75" s="23"/>
      <c r="J75" s="42"/>
    </row>
    <row r="76" spans="1:10" s="1" customFormat="1" ht="38.450000000000003" customHeight="1">
      <c r="A76" s="23"/>
      <c r="B76" s="23"/>
      <c r="C76" s="23"/>
      <c r="D76" s="23"/>
      <c r="E76" s="23"/>
      <c r="F76" s="23"/>
      <c r="G76" s="23"/>
      <c r="H76" s="23"/>
      <c r="I76" s="23"/>
      <c r="J76" s="42"/>
    </row>
    <row r="77" spans="1:10" s="1" customFormat="1" ht="13.9">
      <c r="A77" s="23"/>
      <c r="B77" s="23"/>
      <c r="C77" s="23"/>
      <c r="D77" s="23"/>
      <c r="E77" s="23"/>
      <c r="F77" s="23"/>
      <c r="G77" s="23"/>
      <c r="H77" s="23"/>
      <c r="I77" s="23"/>
      <c r="J77" s="42"/>
    </row>
    <row r="78" spans="1:10" s="1" customFormat="1" ht="13.9">
      <c r="A78" s="23"/>
      <c r="B78" s="23"/>
      <c r="C78" s="23"/>
      <c r="D78" s="23"/>
      <c r="E78" s="23"/>
      <c r="F78" s="23"/>
      <c r="G78" s="23"/>
      <c r="H78" s="23"/>
      <c r="I78" s="23"/>
      <c r="J78" s="42"/>
    </row>
    <row r="79" spans="1:10" s="1" customFormat="1" ht="15.6" customHeight="1">
      <c r="A79" s="23"/>
      <c r="B79" s="23"/>
      <c r="C79" s="23"/>
      <c r="D79" s="23"/>
      <c r="E79" s="23"/>
      <c r="F79" s="23"/>
      <c r="G79" s="23"/>
      <c r="H79" s="23"/>
      <c r="I79" s="23"/>
      <c r="J79" s="42"/>
    </row>
    <row r="80" spans="1:10" s="1" customFormat="1" ht="13.9">
      <c r="A80" s="23"/>
      <c r="B80" s="23"/>
      <c r="C80" s="23"/>
      <c r="D80" s="23"/>
      <c r="E80" s="23"/>
      <c r="F80" s="23"/>
      <c r="G80" s="23"/>
      <c r="H80" s="23"/>
      <c r="I80" s="23"/>
      <c r="J80" s="42"/>
    </row>
    <row r="81" spans="1:10" s="1" customFormat="1" ht="13.9">
      <c r="A81" s="23"/>
      <c r="B81" s="23"/>
      <c r="C81" s="23"/>
      <c r="D81" s="23"/>
      <c r="E81" s="23"/>
      <c r="F81" s="23"/>
      <c r="G81" s="23"/>
      <c r="H81" s="23"/>
      <c r="I81" s="23"/>
      <c r="J81" s="42"/>
    </row>
    <row r="82" spans="1:10" s="1" customFormat="1" ht="13.9">
      <c r="A82" s="23"/>
      <c r="B82" s="23"/>
      <c r="C82" s="23"/>
      <c r="D82" s="23"/>
      <c r="E82" s="23"/>
      <c r="F82" s="23"/>
      <c r="G82" s="23"/>
      <c r="H82" s="23"/>
      <c r="I82" s="23"/>
      <c r="J82" s="42"/>
    </row>
    <row r="83" spans="1:10" s="1" customFormat="1" ht="13.9">
      <c r="A83" s="23"/>
      <c r="B83" s="23"/>
      <c r="C83" s="23"/>
      <c r="D83" s="23"/>
      <c r="E83" s="23"/>
      <c r="F83" s="23"/>
      <c r="G83" s="23"/>
      <c r="H83" s="23"/>
      <c r="I83" s="23"/>
      <c r="J83" s="42"/>
    </row>
    <row r="84" spans="1:10" s="1" customFormat="1" ht="42" customHeight="1">
      <c r="A84" s="23"/>
      <c r="B84" s="23"/>
      <c r="C84" s="23"/>
      <c r="D84" s="23"/>
      <c r="E84" s="23"/>
      <c r="F84" s="23"/>
      <c r="G84" s="23"/>
      <c r="H84" s="23"/>
      <c r="I84" s="23"/>
      <c r="J84" s="42"/>
    </row>
    <row r="85" spans="1:10" s="1" customFormat="1" ht="42" customHeight="1">
      <c r="A85" s="23"/>
      <c r="B85" s="23"/>
      <c r="C85" s="23"/>
      <c r="D85" s="23"/>
      <c r="E85" s="23"/>
      <c r="F85" s="23"/>
      <c r="G85" s="23"/>
      <c r="H85" s="23"/>
      <c r="I85" s="23"/>
      <c r="J85" s="42"/>
    </row>
    <row r="86" spans="1:10" s="1" customFormat="1" ht="42" customHeight="1">
      <c r="A86" s="23"/>
      <c r="B86" s="23"/>
      <c r="C86" s="23"/>
      <c r="D86" s="23"/>
      <c r="E86" s="23"/>
      <c r="F86" s="23"/>
      <c r="G86" s="23"/>
      <c r="H86" s="23"/>
      <c r="I86" s="23"/>
      <c r="J86" s="42"/>
    </row>
    <row r="87" spans="1:10" s="1" customFormat="1" ht="42" customHeight="1">
      <c r="A87" s="23"/>
      <c r="B87" s="23"/>
      <c r="C87" s="23"/>
      <c r="D87" s="23"/>
      <c r="E87" s="23"/>
      <c r="F87" s="23"/>
      <c r="G87" s="23"/>
      <c r="H87" s="23"/>
      <c r="I87" s="23"/>
      <c r="J87" s="42"/>
    </row>
    <row r="88" spans="1:10" s="1" customFormat="1" ht="42" customHeight="1">
      <c r="A88" s="23"/>
      <c r="B88" s="23"/>
      <c r="C88" s="23"/>
      <c r="D88" s="23"/>
      <c r="E88" s="23"/>
      <c r="F88" s="23"/>
      <c r="G88" s="23"/>
      <c r="H88" s="23"/>
      <c r="I88" s="23"/>
      <c r="J88" s="42"/>
    </row>
    <row r="89" spans="1:10" s="1" customFormat="1" ht="42" customHeight="1">
      <c r="A89" s="23"/>
      <c r="B89" s="23"/>
      <c r="C89" s="23"/>
      <c r="D89" s="23"/>
      <c r="E89" s="23"/>
      <c r="F89" s="23"/>
      <c r="G89" s="23"/>
      <c r="H89" s="23"/>
      <c r="I89" s="23"/>
      <c r="J89" s="42"/>
    </row>
    <row r="90" spans="1:10" s="1" customFormat="1" ht="42" customHeight="1">
      <c r="A90" s="23"/>
      <c r="B90" s="23"/>
      <c r="C90" s="23"/>
      <c r="D90" s="23"/>
      <c r="E90" s="23"/>
      <c r="F90" s="23"/>
      <c r="G90" s="23"/>
      <c r="H90" s="23"/>
      <c r="I90" s="23"/>
      <c r="J90" s="42"/>
    </row>
    <row r="91" spans="1:10" s="1" customFormat="1" ht="42" customHeight="1">
      <c r="A91" s="23"/>
      <c r="B91" s="23"/>
      <c r="C91" s="23"/>
      <c r="D91" s="23"/>
      <c r="E91" s="23"/>
      <c r="F91" s="23"/>
      <c r="G91" s="23"/>
      <c r="H91" s="23"/>
      <c r="I91" s="23"/>
      <c r="J91" s="42"/>
    </row>
    <row r="92" spans="1:10" s="1" customFormat="1" ht="13.9">
      <c r="A92" s="23"/>
      <c r="B92" s="23"/>
      <c r="C92" s="23"/>
      <c r="D92" s="23"/>
      <c r="E92" s="23"/>
      <c r="F92" s="23"/>
      <c r="G92" s="23"/>
      <c r="H92" s="23"/>
      <c r="I92" s="23"/>
      <c r="J92" s="42"/>
    </row>
    <row r="93" spans="1:10" s="1" customFormat="1" ht="13.9">
      <c r="A93" s="23"/>
      <c r="B93" s="23"/>
      <c r="C93" s="23"/>
      <c r="D93" s="23"/>
      <c r="E93" s="23"/>
      <c r="F93" s="23"/>
      <c r="G93" s="23"/>
      <c r="H93" s="23"/>
      <c r="I93" s="23"/>
      <c r="J93" s="42"/>
    </row>
    <row r="94" spans="1:10" s="1" customFormat="1" ht="13.9">
      <c r="A94" s="23"/>
      <c r="B94" s="23"/>
      <c r="C94" s="23"/>
      <c r="D94" s="23"/>
      <c r="E94" s="23"/>
      <c r="F94" s="23"/>
      <c r="G94" s="23"/>
      <c r="H94" s="23"/>
      <c r="I94" s="23"/>
      <c r="J94" s="42"/>
    </row>
    <row r="95" spans="1:10" s="1" customFormat="1" ht="13.9">
      <c r="A95" s="23"/>
      <c r="B95" s="23"/>
      <c r="C95" s="23"/>
      <c r="D95" s="23"/>
      <c r="E95" s="23"/>
      <c r="F95" s="23"/>
      <c r="G95" s="23"/>
      <c r="H95" s="23"/>
      <c r="I95" s="23"/>
      <c r="J95" s="42"/>
    </row>
    <row r="96" spans="1:10" s="1" customFormat="1" ht="13.9">
      <c r="A96" s="23"/>
      <c r="B96" s="23"/>
      <c r="C96" s="23"/>
      <c r="D96" s="23"/>
      <c r="E96" s="23"/>
      <c r="F96" s="23"/>
      <c r="G96" s="23"/>
      <c r="H96" s="23"/>
      <c r="I96" s="23"/>
      <c r="J96" s="42"/>
    </row>
    <row r="97" spans="1:10" s="1" customFormat="1" ht="13.9">
      <c r="A97" s="23"/>
      <c r="B97" s="23"/>
      <c r="C97" s="23"/>
      <c r="D97" s="23"/>
      <c r="E97" s="23"/>
      <c r="F97" s="23"/>
      <c r="G97" s="23"/>
      <c r="H97" s="23"/>
      <c r="I97" s="23"/>
      <c r="J97" s="42"/>
    </row>
    <row r="98" spans="1:10" s="1" customFormat="1" ht="13.9">
      <c r="A98" s="23"/>
      <c r="B98" s="23"/>
      <c r="C98" s="23"/>
      <c r="D98" s="23"/>
      <c r="E98" s="23"/>
      <c r="F98" s="23"/>
      <c r="G98" s="23"/>
      <c r="H98" s="23"/>
      <c r="I98" s="23"/>
      <c r="J98" s="42"/>
    </row>
    <row r="99" spans="1:10" s="1" customFormat="1" ht="51.6" customHeight="1">
      <c r="A99" s="23"/>
      <c r="B99" s="23"/>
      <c r="C99" s="23"/>
      <c r="D99" s="23"/>
      <c r="E99" s="23"/>
      <c r="F99" s="23"/>
      <c r="G99" s="23"/>
      <c r="H99" s="23"/>
      <c r="I99" s="23"/>
      <c r="J99" s="42"/>
    </row>
    <row r="100" spans="1:10" s="1" customFormat="1" ht="44.1" customHeight="1">
      <c r="A100" s="23"/>
      <c r="B100" s="23"/>
      <c r="C100" s="23"/>
      <c r="D100" s="23"/>
      <c r="E100" s="23"/>
      <c r="F100" s="23"/>
      <c r="G100" s="23"/>
      <c r="H100" s="23"/>
      <c r="I100" s="23"/>
      <c r="J100" s="42"/>
    </row>
    <row r="101" spans="1:10" s="1" customFormat="1" ht="39.950000000000003" customHeight="1">
      <c r="A101" s="23"/>
      <c r="B101" s="23"/>
      <c r="C101" s="23"/>
      <c r="D101" s="23"/>
      <c r="E101" s="23"/>
      <c r="F101" s="23"/>
      <c r="G101" s="23"/>
      <c r="H101" s="23"/>
      <c r="I101" s="23"/>
      <c r="J101" s="42"/>
    </row>
    <row r="102" spans="1:10" s="1" customFormat="1" ht="13.9">
      <c r="A102" s="23"/>
      <c r="B102" s="23"/>
      <c r="C102" s="23"/>
      <c r="D102" s="23"/>
      <c r="E102" s="23"/>
      <c r="F102" s="23"/>
      <c r="G102" s="23"/>
      <c r="H102" s="23"/>
      <c r="I102" s="23"/>
      <c r="J102" s="42"/>
    </row>
    <row r="103" spans="1:10" s="1" customFormat="1" ht="13.9">
      <c r="A103" s="23"/>
      <c r="B103" s="23"/>
      <c r="C103" s="23"/>
      <c r="D103" s="23"/>
      <c r="E103" s="23"/>
      <c r="F103" s="23"/>
      <c r="G103" s="23"/>
      <c r="H103" s="23"/>
      <c r="I103" s="23"/>
      <c r="J103" s="42"/>
    </row>
    <row r="104" spans="1:10" s="1" customFormat="1" ht="13.9">
      <c r="A104" s="23"/>
      <c r="B104" s="23"/>
      <c r="C104" s="23"/>
      <c r="D104" s="23"/>
      <c r="E104" s="23"/>
      <c r="F104" s="23"/>
      <c r="G104" s="23"/>
      <c r="H104" s="23"/>
      <c r="I104" s="23"/>
      <c r="J104" s="42"/>
    </row>
    <row r="105" spans="1:10" s="1" customFormat="1" ht="13.9">
      <c r="A105" s="23"/>
      <c r="B105" s="23"/>
      <c r="C105" s="23"/>
      <c r="D105" s="23"/>
      <c r="E105" s="23"/>
      <c r="F105" s="23"/>
      <c r="G105" s="23"/>
      <c r="H105" s="23"/>
      <c r="I105" s="23"/>
      <c r="J105" s="42"/>
    </row>
    <row r="106" spans="1:10">
      <c r="A106" s="23"/>
      <c r="B106" s="23"/>
      <c r="C106" s="23"/>
      <c r="D106" s="23"/>
      <c r="E106" s="23"/>
      <c r="F106" s="23"/>
      <c r="G106" s="23"/>
      <c r="H106" s="23"/>
      <c r="I106" s="23"/>
    </row>
    <row r="107" spans="1:10">
      <c r="A107" s="23"/>
      <c r="B107" s="23"/>
      <c r="C107" s="23"/>
      <c r="D107" s="23"/>
      <c r="E107" s="23"/>
      <c r="F107" s="23"/>
      <c r="G107" s="23"/>
      <c r="H107" s="23"/>
      <c r="I107" s="23"/>
    </row>
    <row r="108" spans="1:10">
      <c r="A108" s="23"/>
      <c r="B108" s="23"/>
      <c r="C108" s="23"/>
      <c r="D108" s="23"/>
      <c r="E108" s="23"/>
      <c r="F108" s="23"/>
      <c r="G108" s="23"/>
      <c r="H108" s="23"/>
      <c r="I108" s="23"/>
    </row>
    <row r="109" spans="1:10">
      <c r="A109" s="23"/>
      <c r="B109" s="23"/>
      <c r="C109" s="23"/>
      <c r="D109" s="23"/>
      <c r="E109" s="23"/>
      <c r="F109" s="23"/>
      <c r="G109" s="23"/>
      <c r="H109" s="23"/>
      <c r="I109" s="23"/>
    </row>
  </sheetData>
  <mergeCells count="7">
    <mergeCell ref="A2:A4"/>
    <mergeCell ref="B2:B4"/>
    <mergeCell ref="C2:C4"/>
    <mergeCell ref="D2:E2"/>
    <mergeCell ref="F2:G2"/>
    <mergeCell ref="D3:E4"/>
    <mergeCell ref="F3:H4"/>
  </mergeCells>
  <conditionalFormatting sqref="A5:A10 A17:A1048576">
    <cfRule type="cellIs" dxfId="163" priority="108" operator="equal">
      <formula>"Informativa"</formula>
    </cfRule>
    <cfRule type="cellIs" dxfId="162" priority="109" operator="equal">
      <formula>"bAJA"</formula>
    </cfRule>
    <cfRule type="cellIs" dxfId="161" priority="110" operator="equal">
      <formula>"Media"</formula>
    </cfRule>
    <cfRule type="cellIs" dxfId="160" priority="111" operator="equal">
      <formula>"Alta"</formula>
    </cfRule>
  </conditionalFormatting>
  <conditionalFormatting sqref="A12">
    <cfRule type="cellIs" dxfId="159" priority="100" operator="equal">
      <formula>"Informativa"</formula>
    </cfRule>
    <cfRule type="cellIs" dxfId="158" priority="101" operator="equal">
      <formula>"bAJA"</formula>
    </cfRule>
    <cfRule type="cellIs" dxfId="157" priority="102" operator="equal">
      <formula>"Media"</formula>
    </cfRule>
    <cfRule type="cellIs" dxfId="156" priority="103" operator="equal">
      <formula>"Alta"</formula>
    </cfRule>
  </conditionalFormatting>
  <conditionalFormatting sqref="A16">
    <cfRule type="cellIs" dxfId="155" priority="84" operator="equal">
      <formula>"Informativa"</formula>
    </cfRule>
    <cfRule type="cellIs" dxfId="154" priority="85" operator="equal">
      <formula>"bAJA"</formula>
    </cfRule>
    <cfRule type="cellIs" dxfId="153" priority="86" operator="equal">
      <formula>"Media"</formula>
    </cfRule>
    <cfRule type="cellIs" dxfId="152" priority="87" operator="equal">
      <formula>"Alta"</formula>
    </cfRule>
  </conditionalFormatting>
  <conditionalFormatting sqref="A1">
    <cfRule type="cellIs" dxfId="151" priority="72" operator="equal">
      <formula>"Informativa"</formula>
    </cfRule>
    <cfRule type="cellIs" dxfId="150" priority="73" operator="equal">
      <formula>"bAJA"</formula>
    </cfRule>
    <cfRule type="cellIs" dxfId="149" priority="74" operator="equal">
      <formula>"Media"</formula>
    </cfRule>
    <cfRule type="cellIs" dxfId="148" priority="75" operator="equal">
      <formula>"Alta"</formula>
    </cfRule>
  </conditionalFormatting>
  <conditionalFormatting sqref="H12">
    <cfRule type="cellIs" dxfId="147" priority="68" operator="equal">
      <formula>"Terminado"</formula>
    </cfRule>
    <cfRule type="cellIs" dxfId="146" priority="69" operator="equal">
      <formula>"Recibido"</formula>
    </cfRule>
    <cfRule type="cellIs" dxfId="145" priority="70" operator="equal">
      <formula>"Pedido"</formula>
    </cfRule>
    <cfRule type="cellIs" dxfId="144" priority="71" operator="equal">
      <formula>"Pendiente"</formula>
    </cfRule>
  </conditionalFormatting>
  <conditionalFormatting sqref="H12">
    <cfRule type="cellIs" dxfId="143" priority="67" operator="equal">
      <formula>"En Proceso"</formula>
    </cfRule>
  </conditionalFormatting>
  <conditionalFormatting sqref="H16">
    <cfRule type="cellIs" dxfId="142" priority="48" operator="equal">
      <formula>"Terminado"</formula>
    </cfRule>
    <cfRule type="cellIs" dxfId="141" priority="49" operator="equal">
      <formula>"Recibido"</formula>
    </cfRule>
    <cfRule type="cellIs" dxfId="140" priority="50" operator="equal">
      <formula>"Pedido"</formula>
    </cfRule>
    <cfRule type="cellIs" dxfId="139" priority="51" operator="equal">
      <formula>"Pendiente"</formula>
    </cfRule>
  </conditionalFormatting>
  <conditionalFormatting sqref="H16">
    <cfRule type="cellIs" dxfId="138" priority="47" operator="equal">
      <formula>"En Proceso"</formula>
    </cfRule>
  </conditionalFormatting>
  <conditionalFormatting sqref="A14">
    <cfRule type="cellIs" dxfId="137" priority="33" operator="equal">
      <formula>"Informativa"</formula>
    </cfRule>
    <cfRule type="cellIs" dxfId="136" priority="34" operator="equal">
      <formula>"bAJA"</formula>
    </cfRule>
    <cfRule type="cellIs" dxfId="135" priority="35" operator="equal">
      <formula>"Media"</formula>
    </cfRule>
    <cfRule type="cellIs" dxfId="134" priority="36" operator="equal">
      <formula>"Alta"</formula>
    </cfRule>
  </conditionalFormatting>
  <conditionalFormatting sqref="H14">
    <cfRule type="cellIs" dxfId="133" priority="29" operator="equal">
      <formula>"Terminado"</formula>
    </cfRule>
    <cfRule type="cellIs" dxfId="132" priority="30" operator="equal">
      <formula>"Recibido"</formula>
    </cfRule>
    <cfRule type="cellIs" dxfId="131" priority="31" operator="equal">
      <formula>"Pedido"</formula>
    </cfRule>
    <cfRule type="cellIs" dxfId="130" priority="32" operator="equal">
      <formula>"Pendiente"</formula>
    </cfRule>
  </conditionalFormatting>
  <conditionalFormatting sqref="H14">
    <cfRule type="cellIs" dxfId="129" priority="28" operator="equal">
      <formula>"En Proceso"</formula>
    </cfRule>
  </conditionalFormatting>
  <conditionalFormatting sqref="A15">
    <cfRule type="cellIs" dxfId="128" priority="24" operator="equal">
      <formula>"Informativa"</formula>
    </cfRule>
    <cfRule type="cellIs" dxfId="127" priority="25" operator="equal">
      <formula>"bAJA"</formula>
    </cfRule>
    <cfRule type="cellIs" dxfId="126" priority="26" operator="equal">
      <formula>"Media"</formula>
    </cfRule>
    <cfRule type="cellIs" dxfId="125" priority="27" operator="equal">
      <formula>"Alta"</formula>
    </cfRule>
  </conditionalFormatting>
  <conditionalFormatting sqref="H15">
    <cfRule type="cellIs" dxfId="124" priority="20" operator="equal">
      <formula>"Terminado"</formula>
    </cfRule>
    <cfRule type="cellIs" dxfId="123" priority="21" operator="equal">
      <formula>"Recibido"</formula>
    </cfRule>
    <cfRule type="cellIs" dxfId="122" priority="22" operator="equal">
      <formula>"Pedido"</formula>
    </cfRule>
    <cfRule type="cellIs" dxfId="121" priority="23" operator="equal">
      <formula>"Pendiente"</formula>
    </cfRule>
  </conditionalFormatting>
  <conditionalFormatting sqref="H15">
    <cfRule type="cellIs" dxfId="120" priority="19" operator="equal">
      <formula>"En Proceso"</formula>
    </cfRule>
  </conditionalFormatting>
  <conditionalFormatting sqref="H13">
    <cfRule type="cellIs" dxfId="119" priority="11" operator="equal">
      <formula>"Terminado"</formula>
    </cfRule>
    <cfRule type="cellIs" dxfId="118" priority="12" operator="equal">
      <formula>"Recibido"</formula>
    </cfRule>
    <cfRule type="cellIs" dxfId="117" priority="13" operator="equal">
      <formula>"Pedido"</formula>
    </cfRule>
    <cfRule type="cellIs" dxfId="116" priority="14" operator="equal">
      <formula>"Pendiente"</formula>
    </cfRule>
  </conditionalFormatting>
  <conditionalFormatting sqref="H13">
    <cfRule type="cellIs" dxfId="115" priority="10" operator="equal">
      <formula>"En Proceso"</formula>
    </cfRule>
  </conditionalFormatting>
  <conditionalFormatting sqref="A13">
    <cfRule type="cellIs" dxfId="114" priority="15" operator="equal">
      <formula>"Informativa"</formula>
    </cfRule>
    <cfRule type="cellIs" dxfId="113" priority="16" operator="equal">
      <formula>"bAJA"</formula>
    </cfRule>
    <cfRule type="cellIs" dxfId="112" priority="17" operator="equal">
      <formula>"Media"</formula>
    </cfRule>
    <cfRule type="cellIs" dxfId="111" priority="18" operator="equal">
      <formula>"Alta"</formula>
    </cfRule>
  </conditionalFormatting>
  <conditionalFormatting sqref="A11">
    <cfRule type="cellIs" dxfId="110" priority="6" operator="equal">
      <formula>"Informativa"</formula>
    </cfRule>
    <cfRule type="cellIs" dxfId="109" priority="7" operator="equal">
      <formula>"bAJA"</formula>
    </cfRule>
    <cfRule type="cellIs" dxfId="108" priority="8" operator="equal">
      <formula>"Media"</formula>
    </cfRule>
    <cfRule type="cellIs" dxfId="107" priority="9" operator="equal">
      <formula>"Alta"</formula>
    </cfRule>
  </conditionalFormatting>
  <conditionalFormatting sqref="H11">
    <cfRule type="cellIs" dxfId="106" priority="2" operator="equal">
      <formula>"Terminado"</formula>
    </cfRule>
    <cfRule type="cellIs" dxfId="105" priority="3" operator="equal">
      <formula>"Recibido"</formula>
    </cfRule>
    <cfRule type="cellIs" dxfId="104" priority="4" operator="equal">
      <formula>"Pedido"</formula>
    </cfRule>
    <cfRule type="cellIs" dxfId="103" priority="5" operator="equal">
      <formula>"Pendiente"</formula>
    </cfRule>
  </conditionalFormatting>
  <conditionalFormatting sqref="H11">
    <cfRule type="cellIs" dxfId="102" priority="1" operator="equal">
      <formula>"En Proceso"</formula>
    </cfRule>
  </conditionalFormatting>
  <dataValidations count="3">
    <dataValidation type="list" allowBlank="1" showInputMessage="1" showErrorMessage="1" sqref="J11:J16" xr:uid="{7689D24D-77AD-4181-AFAD-7A71C9590037}">
      <formula1>"Muy fácil (1), facil (2), Medio (3), Difícil (4),Muy difícil (5)"</formula1>
    </dataValidation>
    <dataValidation type="list" allowBlank="1" showInputMessage="1" showErrorMessage="1" sqref="A11:A16" xr:uid="{7024C275-BFB9-455F-9F1A-CB3B87CD2465}">
      <formula1>"Alta,Media,Baja,Informativa"</formula1>
    </dataValidation>
    <dataValidation type="list" allowBlank="1" showInputMessage="1" showErrorMessage="1" sqref="H11:H16" xr:uid="{D74C54D1-F5A9-401B-935C-23CBC8322A14}">
      <formula1>"Pendiente,Resuelta"</formula1>
    </dataValidation>
  </dataValidations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CBDD0-07F1-4239-8B61-60588C3C1397}">
  <sheetPr codeName="Hoja7"/>
  <dimension ref="A1:J111"/>
  <sheetViews>
    <sheetView showGridLines="0" zoomScale="70" zoomScaleNormal="70" workbookViewId="0">
      <pane ySplit="4" topLeftCell="A5" activePane="bottomLeft" state="frozen"/>
      <selection pane="bottomLeft" activeCell="L8" sqref="L8"/>
    </sheetView>
  </sheetViews>
  <sheetFormatPr defaultColWidth="11.42578125" defaultRowHeight="14.45"/>
  <cols>
    <col min="1" max="1" width="17.28515625" style="1" customWidth="1"/>
    <col min="2" max="2" width="33" style="1" bestFit="1" customWidth="1"/>
    <col min="3" max="3" width="22.85546875" style="1" customWidth="1"/>
    <col min="4" max="4" width="32.85546875" style="1" customWidth="1"/>
    <col min="5" max="5" width="36.140625" style="1" customWidth="1"/>
    <col min="6" max="6" width="27.85546875" style="1" customWidth="1"/>
    <col min="7" max="7" width="21.5703125" style="1" customWidth="1"/>
    <col min="8" max="8" width="22.140625" style="1" customWidth="1"/>
    <col min="9" max="9" width="11.42578125" style="1"/>
    <col min="10" max="10" width="25.28515625" style="42" customWidth="1"/>
    <col min="11" max="11" width="10.85546875" customWidth="1"/>
  </cols>
  <sheetData>
    <row r="1" spans="1:10" ht="15" thickBot="1">
      <c r="A1" s="23"/>
      <c r="B1" s="23"/>
      <c r="C1" s="23"/>
      <c r="D1" s="23"/>
      <c r="E1" s="23"/>
      <c r="F1" s="23"/>
      <c r="G1" s="23"/>
      <c r="H1" s="23"/>
      <c r="I1" s="23"/>
    </row>
    <row r="2" spans="1:10" ht="39.950000000000003" customHeight="1" thickTop="1" thickBot="1">
      <c r="A2" s="93" t="e" vm="1">
        <v>#VALUE!</v>
      </c>
      <c r="B2" s="93" t="e" vm="1">
        <v>#VALUE!</v>
      </c>
      <c r="C2" s="85" t="e" vm="2">
        <v>#VALUE!</v>
      </c>
      <c r="D2" s="88" t="s">
        <v>0</v>
      </c>
      <c r="E2" s="76"/>
      <c r="F2" s="94" t="s">
        <v>43</v>
      </c>
      <c r="G2" s="94"/>
      <c r="H2" s="20" t="str">
        <f>'Panel de Control'!F2</f>
        <v>V1.0</v>
      </c>
      <c r="I2" s="23"/>
    </row>
    <row r="3" spans="1:10" ht="15.6" customHeight="1" thickTop="1">
      <c r="A3" s="93"/>
      <c r="B3" s="93"/>
      <c r="C3" s="86"/>
      <c r="D3" s="89" t="s">
        <v>2</v>
      </c>
      <c r="E3" s="77"/>
      <c r="F3" s="95"/>
      <c r="G3" s="79"/>
      <c r="H3" s="80"/>
      <c r="I3" s="23"/>
    </row>
    <row r="4" spans="1:10" ht="16.5" customHeight="1" thickBot="1">
      <c r="A4" s="93"/>
      <c r="B4" s="93"/>
      <c r="C4" s="87"/>
      <c r="D4" s="90"/>
      <c r="E4" s="78"/>
      <c r="F4" s="96"/>
      <c r="G4" s="81"/>
      <c r="H4" s="82"/>
      <c r="I4" s="23"/>
    </row>
    <row r="5" spans="1:10" ht="15.6" thickTop="1" thickBot="1">
      <c r="A5" s="23"/>
      <c r="B5" s="23"/>
      <c r="C5" s="6"/>
      <c r="D5" s="7"/>
      <c r="E5" s="7"/>
      <c r="F5" s="5"/>
      <c r="G5" s="5"/>
      <c r="H5" s="5"/>
      <c r="I5" s="23"/>
      <c r="J5" s="43"/>
    </row>
    <row r="6" spans="1:10" ht="15.6" customHeight="1" thickTop="1" thickBot="1">
      <c r="A6" s="14"/>
      <c r="B6" s="15"/>
      <c r="C6" s="8" t="s">
        <v>44</v>
      </c>
      <c r="D6" s="11" t="s">
        <v>45</v>
      </c>
      <c r="E6" s="24" t="s">
        <v>12</v>
      </c>
      <c r="F6" s="25" t="s">
        <v>15</v>
      </c>
      <c r="G6" s="25" t="s">
        <v>13</v>
      </c>
      <c r="H6" s="26" t="s">
        <v>14</v>
      </c>
      <c r="I6" s="23"/>
    </row>
    <row r="7" spans="1:10" ht="15.6" thickTop="1" thickBot="1">
      <c r="A7" s="23"/>
      <c r="B7" s="23"/>
      <c r="C7" s="23"/>
      <c r="D7" s="27" t="s">
        <v>46</v>
      </c>
      <c r="E7" s="17">
        <f>COUNTIF(A:A,"Alta")</f>
        <v>1</v>
      </c>
      <c r="F7" s="16">
        <f>COUNTIF(A:A,"Media")</f>
        <v>0</v>
      </c>
      <c r="G7" s="18">
        <f>COUNTIF(A:A,"Baja")</f>
        <v>0</v>
      </c>
      <c r="H7" s="19">
        <f>COUNTIF(A:A,"Informativa")</f>
        <v>0</v>
      </c>
      <c r="I7" s="23"/>
    </row>
    <row r="8" spans="1:10" ht="15.6" thickTop="1" thickBot="1">
      <c r="A8" s="23"/>
      <c r="B8" s="23"/>
      <c r="C8" s="23"/>
      <c r="D8" s="27" t="s">
        <v>47</v>
      </c>
      <c r="E8" s="17">
        <f>COUNTIFS(A:A,"Alta",H:H,"Resuelta")</f>
        <v>0</v>
      </c>
      <c r="F8" s="16">
        <f>COUNTIFS(A:A,"Media",H:H,"Resuelta")</f>
        <v>0</v>
      </c>
      <c r="G8" s="18">
        <f>COUNTIFS(A:A,"Baja",H:H,"Resuelta")</f>
        <v>0</v>
      </c>
      <c r="H8" s="19">
        <f>COUNTIFS(A:A,"Informativa",H:H,"Resuelta")</f>
        <v>0</v>
      </c>
      <c r="I8" s="23"/>
    </row>
    <row r="9" spans="1:10" ht="15.6" thickTop="1" thickBot="1">
      <c r="A9" s="23"/>
      <c r="B9" s="23"/>
      <c r="C9" s="23"/>
      <c r="D9" s="23"/>
      <c r="E9" s="23"/>
      <c r="F9" s="23"/>
      <c r="G9" s="23"/>
      <c r="H9" s="23"/>
      <c r="I9" s="23"/>
    </row>
    <row r="10" spans="1:10" ht="25.9" thickBot="1">
      <c r="A10" s="29" t="s">
        <v>20</v>
      </c>
      <c r="B10" s="30" t="s">
        <v>21</v>
      </c>
      <c r="C10" s="30" t="s">
        <v>22</v>
      </c>
      <c r="D10" s="31" t="s">
        <v>23</v>
      </c>
      <c r="E10" s="31" t="s">
        <v>24</v>
      </c>
      <c r="F10" s="31" t="s">
        <v>25</v>
      </c>
      <c r="G10" s="31" t="s">
        <v>26</v>
      </c>
      <c r="H10" s="31" t="s">
        <v>27</v>
      </c>
      <c r="I10" s="40" t="s">
        <v>28</v>
      </c>
      <c r="J10" s="41" t="s">
        <v>29</v>
      </c>
    </row>
    <row r="11" spans="1:10" s="1" customFormat="1" ht="43.5" customHeight="1" thickTop="1" thickBot="1">
      <c r="A11" s="28" t="s">
        <v>12</v>
      </c>
      <c r="B11" s="4" t="s">
        <v>48</v>
      </c>
      <c r="C11" s="12">
        <v>44986</v>
      </c>
      <c r="D11" s="2" t="s">
        <v>49</v>
      </c>
      <c r="E11" s="2" t="s">
        <v>50</v>
      </c>
      <c r="F11" s="2" t="s">
        <v>5</v>
      </c>
      <c r="G11" s="2" t="s">
        <v>96</v>
      </c>
      <c r="H11" s="9" t="s">
        <v>19</v>
      </c>
      <c r="I11" s="2" t="s">
        <v>70</v>
      </c>
      <c r="J11" s="2" t="s">
        <v>67</v>
      </c>
    </row>
    <row r="12" spans="1:10" s="1" customFormat="1" ht="43.5" customHeight="1" thickTop="1" thickBot="1">
      <c r="A12" s="28"/>
      <c r="B12" s="10"/>
      <c r="C12" s="12"/>
      <c r="D12" s="2"/>
      <c r="E12" s="2"/>
      <c r="F12" s="2"/>
      <c r="G12" s="2"/>
      <c r="H12" s="9"/>
      <c r="I12" s="2"/>
      <c r="J12" s="2"/>
    </row>
    <row r="13" spans="1:10" s="1" customFormat="1" ht="43.5" customHeight="1" thickTop="1" thickBot="1">
      <c r="A13" s="28"/>
      <c r="B13" s="10"/>
      <c r="C13" s="12"/>
      <c r="D13" s="2"/>
      <c r="E13" s="2"/>
      <c r="F13" s="2"/>
      <c r="G13" s="2"/>
      <c r="H13" s="9"/>
      <c r="I13" s="2"/>
      <c r="J13" s="2"/>
    </row>
    <row r="14" spans="1:10" s="1" customFormat="1" ht="43.5" customHeight="1" thickTop="1" thickBot="1">
      <c r="A14" s="28"/>
      <c r="B14" s="10"/>
      <c r="C14" s="12"/>
      <c r="D14" s="2"/>
      <c r="E14" s="2"/>
      <c r="F14" s="2"/>
      <c r="G14" s="2"/>
      <c r="H14" s="9"/>
      <c r="I14" s="2"/>
      <c r="J14" s="2"/>
    </row>
    <row r="15" spans="1:10" s="1" customFormat="1" ht="43.5" customHeight="1" thickTop="1" thickBot="1">
      <c r="A15" s="28"/>
      <c r="B15" s="3"/>
      <c r="C15" s="12"/>
      <c r="D15" s="2"/>
      <c r="E15" s="2"/>
      <c r="F15" s="2"/>
      <c r="G15" s="2"/>
      <c r="H15" s="9"/>
      <c r="I15" s="2"/>
      <c r="J15" s="2"/>
    </row>
    <row r="16" spans="1:10" s="1" customFormat="1" ht="43.5" customHeight="1" thickTop="1" thickBot="1">
      <c r="A16" s="35"/>
      <c r="B16" s="3"/>
      <c r="C16" s="12"/>
      <c r="D16" s="2"/>
      <c r="E16" s="2"/>
      <c r="F16" s="2"/>
      <c r="G16" s="2"/>
      <c r="H16" s="9"/>
      <c r="I16" s="2"/>
      <c r="J16" s="2"/>
    </row>
    <row r="17" spans="1:10" s="1" customFormat="1" ht="43.5" customHeight="1" thickTop="1" thickBot="1">
      <c r="A17" s="28"/>
      <c r="B17" s="3"/>
      <c r="C17" s="12"/>
      <c r="D17" s="2"/>
      <c r="E17" s="2"/>
      <c r="F17" s="2"/>
      <c r="G17" s="2"/>
      <c r="H17" s="9"/>
      <c r="I17" s="2"/>
      <c r="J17" s="2"/>
    </row>
    <row r="18" spans="1:10" s="1" customFormat="1" ht="43.5" customHeight="1" thickTop="1" thickBot="1">
      <c r="A18" s="28"/>
      <c r="B18" s="3"/>
      <c r="C18" s="12"/>
      <c r="D18" s="2"/>
      <c r="E18" s="2"/>
      <c r="F18" s="2"/>
      <c r="G18" s="2"/>
      <c r="H18" s="9"/>
      <c r="I18" s="2"/>
      <c r="J18" s="2"/>
    </row>
    <row r="19" spans="1:10" s="1" customFormat="1" ht="15.6" customHeight="1" thickTop="1">
      <c r="A19" s="23"/>
      <c r="B19" s="23"/>
      <c r="C19" s="23"/>
      <c r="D19" s="23"/>
      <c r="E19" s="23"/>
      <c r="F19" s="23"/>
      <c r="G19" s="23"/>
      <c r="H19" s="23"/>
      <c r="I19" s="23"/>
      <c r="J19" s="42"/>
    </row>
    <row r="20" spans="1:10" s="1" customFormat="1" ht="13.9">
      <c r="A20" s="23"/>
      <c r="B20" s="23"/>
      <c r="C20" s="23"/>
      <c r="D20" s="23"/>
      <c r="E20" s="23"/>
      <c r="F20" s="23"/>
      <c r="G20" s="23"/>
      <c r="H20" s="23"/>
      <c r="I20" s="23"/>
      <c r="J20" s="42"/>
    </row>
    <row r="21" spans="1:10" s="1" customFormat="1" ht="13.9">
      <c r="A21" s="23"/>
      <c r="B21" s="23"/>
      <c r="C21" s="23"/>
      <c r="D21" s="23"/>
      <c r="E21" s="23"/>
      <c r="F21" s="23"/>
      <c r="G21" s="23"/>
      <c r="H21" s="23"/>
      <c r="I21" s="23"/>
      <c r="J21" s="42"/>
    </row>
    <row r="22" spans="1:10" s="1" customFormat="1" ht="21">
      <c r="A22" s="13"/>
      <c r="B22" s="23"/>
      <c r="C22" s="23"/>
      <c r="D22" s="23"/>
      <c r="E22" s="23"/>
      <c r="F22" s="23"/>
      <c r="G22" s="23"/>
      <c r="H22" s="23"/>
      <c r="I22" s="23"/>
      <c r="J22" s="42"/>
    </row>
    <row r="23" spans="1:10" s="1" customFormat="1" ht="13.9">
      <c r="A23" s="23"/>
      <c r="B23" s="23"/>
      <c r="C23" s="23"/>
      <c r="D23" s="23"/>
      <c r="E23" s="23"/>
      <c r="F23" s="23"/>
      <c r="G23" s="23"/>
      <c r="H23" s="23"/>
      <c r="I23" s="23"/>
      <c r="J23" s="42"/>
    </row>
    <row r="24" spans="1:10" s="1" customFormat="1" ht="13.9">
      <c r="A24" s="23"/>
      <c r="B24" s="23"/>
      <c r="C24" s="23"/>
      <c r="D24" s="23"/>
      <c r="E24" s="23"/>
      <c r="F24" s="23"/>
      <c r="G24" s="23"/>
      <c r="H24" s="23"/>
      <c r="I24" s="23"/>
      <c r="J24" s="42"/>
    </row>
    <row r="25" spans="1:10" s="1" customFormat="1" ht="43.5" customHeight="1">
      <c r="A25" s="23"/>
      <c r="B25" s="23"/>
      <c r="C25" s="23"/>
      <c r="D25" s="23"/>
      <c r="E25" s="23"/>
      <c r="F25" s="23"/>
      <c r="G25" s="23"/>
      <c r="H25" s="23"/>
      <c r="I25" s="23"/>
      <c r="J25" s="42"/>
    </row>
    <row r="26" spans="1:10" s="1" customFormat="1" ht="43.5" customHeight="1">
      <c r="A26" s="23"/>
      <c r="B26" s="23"/>
      <c r="C26" s="23"/>
      <c r="D26" s="23"/>
      <c r="E26" s="23"/>
      <c r="F26" s="23"/>
      <c r="G26" s="23"/>
      <c r="H26" s="23"/>
      <c r="I26" s="23"/>
      <c r="J26" s="42"/>
    </row>
    <row r="27" spans="1:10" s="1" customFormat="1" ht="43.5" customHeight="1">
      <c r="A27" s="23"/>
      <c r="B27" s="23"/>
      <c r="C27" s="23"/>
      <c r="D27" s="23"/>
      <c r="E27" s="23"/>
      <c r="F27" s="23"/>
      <c r="G27" s="23"/>
      <c r="H27" s="23"/>
      <c r="I27" s="23"/>
      <c r="J27" s="42"/>
    </row>
    <row r="28" spans="1:10" s="1" customFormat="1" ht="43.5" customHeight="1">
      <c r="A28" s="23"/>
      <c r="B28" s="23"/>
      <c r="C28" s="23"/>
      <c r="D28" s="23"/>
      <c r="E28" s="23"/>
      <c r="F28" s="23"/>
      <c r="G28" s="23"/>
      <c r="H28" s="23"/>
      <c r="I28" s="23"/>
      <c r="J28" s="42"/>
    </row>
    <row r="29" spans="1:10" s="1" customFormat="1" ht="62.1" customHeight="1">
      <c r="A29" s="23"/>
      <c r="B29" s="23"/>
      <c r="C29" s="23"/>
      <c r="D29" s="23"/>
      <c r="E29" s="23"/>
      <c r="F29" s="23"/>
      <c r="G29" s="23"/>
      <c r="H29" s="23"/>
      <c r="I29" s="23"/>
      <c r="J29" s="42"/>
    </row>
    <row r="30" spans="1:10" s="1" customFormat="1" ht="62.1" customHeight="1">
      <c r="A30" s="23"/>
      <c r="B30" s="23"/>
      <c r="C30" s="23"/>
      <c r="D30" s="23"/>
      <c r="E30" s="23"/>
      <c r="F30" s="23"/>
      <c r="G30" s="23"/>
      <c r="H30" s="23"/>
      <c r="I30" s="23"/>
      <c r="J30" s="42"/>
    </row>
    <row r="31" spans="1:10" s="1" customFormat="1" ht="62.1" customHeight="1">
      <c r="A31" s="23"/>
      <c r="B31" s="23"/>
      <c r="C31" s="23"/>
      <c r="D31" s="23"/>
      <c r="E31" s="23"/>
      <c r="F31" s="23"/>
      <c r="G31" s="23"/>
      <c r="H31" s="23"/>
      <c r="I31" s="23"/>
      <c r="J31" s="42"/>
    </row>
    <row r="32" spans="1:10" s="1" customFormat="1" ht="62.1" customHeight="1">
      <c r="A32" s="23"/>
      <c r="B32" s="23"/>
      <c r="C32" s="23"/>
      <c r="D32" s="23"/>
      <c r="E32" s="23"/>
      <c r="F32" s="23"/>
      <c r="G32" s="23"/>
      <c r="H32" s="23"/>
      <c r="I32" s="23"/>
      <c r="J32" s="42"/>
    </row>
    <row r="33" spans="1:10" s="1" customFormat="1" ht="62.1" customHeight="1">
      <c r="A33" s="23"/>
      <c r="B33" s="23"/>
      <c r="C33" s="23"/>
      <c r="D33" s="23"/>
      <c r="E33" s="23"/>
      <c r="F33" s="23"/>
      <c r="G33" s="23"/>
      <c r="H33" s="23"/>
      <c r="I33" s="23"/>
      <c r="J33" s="42"/>
    </row>
    <row r="34" spans="1:10" s="1" customFormat="1" ht="62.1" customHeight="1">
      <c r="A34" s="23"/>
      <c r="B34" s="23"/>
      <c r="C34" s="23"/>
      <c r="D34" s="23"/>
      <c r="E34" s="23"/>
      <c r="F34" s="23"/>
      <c r="G34" s="23"/>
      <c r="H34" s="23"/>
      <c r="I34" s="23"/>
      <c r="J34" s="42"/>
    </row>
    <row r="35" spans="1:10" s="1" customFormat="1" ht="62.1" customHeight="1">
      <c r="A35" s="23"/>
      <c r="B35" s="23"/>
      <c r="C35" s="23"/>
      <c r="D35" s="23"/>
      <c r="E35" s="23"/>
      <c r="F35" s="23"/>
      <c r="G35" s="23"/>
      <c r="H35" s="23"/>
      <c r="I35" s="23"/>
      <c r="J35" s="42"/>
    </row>
    <row r="36" spans="1:10" s="1" customFormat="1" ht="43.5" customHeight="1">
      <c r="A36" s="23"/>
      <c r="B36" s="23"/>
      <c r="C36" s="23"/>
      <c r="D36" s="23"/>
      <c r="E36" s="23"/>
      <c r="F36" s="23"/>
      <c r="G36" s="23"/>
      <c r="H36" s="23"/>
      <c r="I36" s="23"/>
      <c r="J36" s="42"/>
    </row>
    <row r="37" spans="1:10" s="1" customFormat="1" ht="13.9">
      <c r="A37" s="23"/>
      <c r="B37" s="23"/>
      <c r="C37" s="23"/>
      <c r="D37" s="23"/>
      <c r="E37" s="23"/>
      <c r="F37" s="23"/>
      <c r="G37" s="23"/>
      <c r="H37" s="23"/>
      <c r="I37" s="23"/>
      <c r="J37" s="42"/>
    </row>
    <row r="38" spans="1:10" s="1" customFormat="1" ht="13.9">
      <c r="A38" s="23"/>
      <c r="B38" s="23"/>
      <c r="C38" s="23"/>
      <c r="D38" s="23"/>
      <c r="E38" s="23"/>
      <c r="F38" s="23"/>
      <c r="G38" s="23"/>
      <c r="H38" s="23"/>
      <c r="I38" s="23"/>
      <c r="J38" s="42"/>
    </row>
    <row r="39" spans="1:10" s="1" customFormat="1" ht="15.6" customHeight="1">
      <c r="A39" s="23"/>
      <c r="B39" s="23"/>
      <c r="C39" s="23"/>
      <c r="D39" s="23"/>
      <c r="E39" s="23"/>
      <c r="F39" s="23"/>
      <c r="G39" s="23"/>
      <c r="H39" s="23"/>
      <c r="I39" s="23"/>
      <c r="J39" s="42"/>
    </row>
    <row r="40" spans="1:10" s="1" customFormat="1" ht="13.9">
      <c r="A40" s="23"/>
      <c r="B40" s="23"/>
      <c r="C40" s="23"/>
      <c r="D40" s="23"/>
      <c r="E40" s="23"/>
      <c r="F40" s="23"/>
      <c r="G40" s="23"/>
      <c r="H40" s="23"/>
      <c r="I40" s="23"/>
      <c r="J40" s="42"/>
    </row>
    <row r="41" spans="1:10" s="1" customFormat="1" ht="13.9">
      <c r="A41" s="23"/>
      <c r="B41" s="23"/>
      <c r="C41" s="23"/>
      <c r="D41" s="23"/>
      <c r="E41" s="23"/>
      <c r="F41" s="23"/>
      <c r="G41" s="23"/>
      <c r="H41" s="23"/>
      <c r="I41" s="23"/>
      <c r="J41" s="42"/>
    </row>
    <row r="42" spans="1:10" s="1" customFormat="1" ht="13.9">
      <c r="A42" s="23"/>
      <c r="B42" s="23"/>
      <c r="C42" s="23"/>
      <c r="D42" s="23"/>
      <c r="E42" s="23"/>
      <c r="F42" s="23"/>
      <c r="G42" s="23"/>
      <c r="H42" s="23"/>
      <c r="I42" s="23"/>
      <c r="J42" s="42"/>
    </row>
    <row r="43" spans="1:10" s="1" customFormat="1" ht="13.9">
      <c r="A43" s="23"/>
      <c r="B43" s="23"/>
      <c r="C43" s="23"/>
      <c r="D43" s="23"/>
      <c r="E43" s="23"/>
      <c r="F43" s="23"/>
      <c r="G43" s="23"/>
      <c r="H43" s="23"/>
      <c r="I43" s="23"/>
      <c r="J43" s="42"/>
    </row>
    <row r="44" spans="1:10" s="1" customFormat="1" ht="32.1" customHeight="1">
      <c r="A44" s="23"/>
      <c r="B44" s="23"/>
      <c r="C44" s="23"/>
      <c r="D44" s="23"/>
      <c r="E44" s="23"/>
      <c r="F44" s="23"/>
      <c r="G44" s="23"/>
      <c r="H44" s="23"/>
      <c r="I44" s="23"/>
      <c r="J44" s="42"/>
    </row>
    <row r="45" spans="1:10" s="1" customFormat="1" ht="50.1" customHeight="1">
      <c r="A45" s="23"/>
      <c r="B45" s="23"/>
      <c r="C45" s="23"/>
      <c r="D45" s="23"/>
      <c r="E45" s="23"/>
      <c r="F45" s="23"/>
      <c r="G45" s="23"/>
      <c r="H45" s="23"/>
      <c r="I45" s="23"/>
      <c r="J45" s="42"/>
    </row>
    <row r="46" spans="1:10" s="1" customFormat="1" ht="50.1" customHeight="1">
      <c r="A46" s="23"/>
      <c r="B46" s="23"/>
      <c r="C46" s="23"/>
      <c r="D46" s="23"/>
      <c r="E46" s="23"/>
      <c r="F46" s="23"/>
      <c r="G46" s="23"/>
      <c r="H46" s="23"/>
      <c r="I46" s="23"/>
      <c r="J46" s="42"/>
    </row>
    <row r="47" spans="1:10" s="1" customFormat="1" ht="50.1" customHeight="1">
      <c r="A47" s="23"/>
      <c r="B47" s="23"/>
      <c r="C47" s="23"/>
      <c r="D47" s="23"/>
      <c r="E47" s="23"/>
      <c r="F47" s="23"/>
      <c r="G47" s="23"/>
      <c r="H47" s="23"/>
      <c r="I47" s="23"/>
      <c r="J47" s="42"/>
    </row>
    <row r="48" spans="1:10" s="1" customFormat="1" ht="50.1" customHeight="1">
      <c r="A48" s="23"/>
      <c r="B48" s="23"/>
      <c r="C48" s="23"/>
      <c r="D48" s="23"/>
      <c r="E48" s="23"/>
      <c r="F48" s="23"/>
      <c r="G48" s="23"/>
      <c r="H48" s="23"/>
      <c r="I48" s="23"/>
      <c r="J48" s="42"/>
    </row>
    <row r="49" spans="1:10" s="1" customFormat="1" ht="50.1" customHeight="1">
      <c r="A49" s="23"/>
      <c r="B49" s="23"/>
      <c r="C49" s="23"/>
      <c r="D49" s="23"/>
      <c r="E49" s="23"/>
      <c r="F49" s="23"/>
      <c r="G49" s="23"/>
      <c r="H49" s="23"/>
      <c r="I49" s="23"/>
      <c r="J49" s="42"/>
    </row>
    <row r="50" spans="1:10" s="1" customFormat="1" ht="50.1" customHeight="1">
      <c r="A50" s="23"/>
      <c r="B50" s="23"/>
      <c r="C50" s="23"/>
      <c r="D50" s="23"/>
      <c r="E50" s="23"/>
      <c r="F50" s="23"/>
      <c r="G50" s="23"/>
      <c r="H50" s="23"/>
      <c r="I50" s="23"/>
      <c r="J50" s="42"/>
    </row>
    <row r="51" spans="1:10" s="1" customFormat="1" ht="50.1" customHeight="1">
      <c r="A51" s="23"/>
      <c r="B51" s="23"/>
      <c r="C51" s="23"/>
      <c r="D51" s="23"/>
      <c r="E51" s="23"/>
      <c r="F51" s="23"/>
      <c r="G51" s="23"/>
      <c r="H51" s="23"/>
      <c r="I51" s="23"/>
      <c r="J51" s="42"/>
    </row>
    <row r="52" spans="1:10" s="1" customFormat="1" ht="13.9">
      <c r="A52" s="23"/>
      <c r="B52" s="23"/>
      <c r="C52" s="23"/>
      <c r="D52" s="23"/>
      <c r="E52" s="23"/>
      <c r="F52" s="23"/>
      <c r="G52" s="23"/>
      <c r="H52" s="23"/>
      <c r="I52" s="23"/>
      <c r="J52" s="42"/>
    </row>
    <row r="53" spans="1:10" s="1" customFormat="1" ht="15.6" customHeight="1">
      <c r="A53" s="23"/>
      <c r="B53" s="23"/>
      <c r="C53" s="23"/>
      <c r="D53" s="23"/>
      <c r="E53" s="23"/>
      <c r="F53" s="23"/>
      <c r="G53" s="23"/>
      <c r="H53" s="23"/>
      <c r="I53" s="23"/>
      <c r="J53" s="42"/>
    </row>
    <row r="54" spans="1:10" s="1" customFormat="1" ht="13.9">
      <c r="A54" s="23"/>
      <c r="B54" s="23"/>
      <c r="C54" s="23"/>
      <c r="D54" s="23"/>
      <c r="E54" s="23"/>
      <c r="F54" s="23"/>
      <c r="G54" s="23"/>
      <c r="H54" s="23"/>
      <c r="I54" s="23"/>
      <c r="J54" s="42"/>
    </row>
    <row r="55" spans="1:10" s="1" customFormat="1" ht="13.9">
      <c r="A55" s="23"/>
      <c r="B55" s="23"/>
      <c r="C55" s="23"/>
      <c r="D55" s="23"/>
      <c r="E55" s="23"/>
      <c r="F55" s="23"/>
      <c r="G55" s="23"/>
      <c r="H55" s="23"/>
      <c r="I55" s="23"/>
      <c r="J55" s="42"/>
    </row>
    <row r="56" spans="1:10" s="1" customFormat="1" ht="13.9">
      <c r="A56" s="23"/>
      <c r="B56" s="23"/>
      <c r="C56" s="23"/>
      <c r="D56" s="23"/>
      <c r="E56" s="23"/>
      <c r="F56" s="23"/>
      <c r="G56" s="23"/>
      <c r="H56" s="23"/>
      <c r="I56" s="23"/>
      <c r="J56" s="42"/>
    </row>
    <row r="57" spans="1:10" s="1" customFormat="1" ht="13.9">
      <c r="A57" s="23"/>
      <c r="B57" s="23"/>
      <c r="C57" s="23"/>
      <c r="D57" s="23"/>
      <c r="E57" s="23"/>
      <c r="F57" s="23"/>
      <c r="G57" s="23"/>
      <c r="H57" s="23"/>
      <c r="I57" s="23"/>
      <c r="J57" s="42"/>
    </row>
    <row r="58" spans="1:10" s="1" customFormat="1" ht="42.6" customHeight="1">
      <c r="A58" s="23"/>
      <c r="B58" s="23"/>
      <c r="C58" s="23"/>
      <c r="D58" s="23"/>
      <c r="E58" s="23"/>
      <c r="F58" s="23"/>
      <c r="G58" s="23"/>
      <c r="H58" s="23"/>
      <c r="I58" s="23"/>
      <c r="J58" s="42"/>
    </row>
    <row r="59" spans="1:10" s="1" customFormat="1" ht="13.9">
      <c r="A59" s="23"/>
      <c r="B59" s="23"/>
      <c r="C59" s="23"/>
      <c r="D59" s="23"/>
      <c r="E59" s="23"/>
      <c r="F59" s="23"/>
      <c r="G59" s="23"/>
      <c r="H59" s="23"/>
      <c r="I59" s="23"/>
      <c r="J59" s="42"/>
    </row>
    <row r="60" spans="1:10" s="1" customFormat="1" ht="13.9">
      <c r="A60" s="23"/>
      <c r="B60" s="23"/>
      <c r="C60" s="23"/>
      <c r="D60" s="23"/>
      <c r="E60" s="23"/>
      <c r="F60" s="23"/>
      <c r="G60" s="23"/>
      <c r="H60" s="23"/>
      <c r="I60" s="23"/>
      <c r="J60" s="42"/>
    </row>
    <row r="61" spans="1:10" s="1" customFormat="1" ht="42.95" customHeight="1">
      <c r="A61" s="23"/>
      <c r="B61" s="23"/>
      <c r="C61" s="23"/>
      <c r="D61" s="23"/>
      <c r="E61" s="23"/>
      <c r="F61" s="23"/>
      <c r="G61" s="23"/>
      <c r="H61" s="23"/>
      <c r="I61" s="23"/>
      <c r="J61" s="42"/>
    </row>
    <row r="62" spans="1:10" s="1" customFormat="1" ht="45.6" customHeight="1">
      <c r="A62" s="23"/>
      <c r="B62" s="23"/>
      <c r="C62" s="23"/>
      <c r="D62" s="23"/>
      <c r="E62" s="23"/>
      <c r="F62" s="23"/>
      <c r="G62" s="23"/>
      <c r="H62" s="23"/>
      <c r="I62" s="23"/>
      <c r="J62" s="42"/>
    </row>
    <row r="63" spans="1:10" s="1" customFormat="1" ht="45.6" customHeight="1">
      <c r="A63" s="23"/>
      <c r="B63" s="23"/>
      <c r="C63" s="23"/>
      <c r="D63" s="23"/>
      <c r="E63" s="23"/>
      <c r="F63" s="23"/>
      <c r="G63" s="23"/>
      <c r="H63" s="23"/>
      <c r="I63" s="23"/>
      <c r="J63" s="42"/>
    </row>
    <row r="64" spans="1:10" s="1" customFormat="1" ht="45.6" customHeight="1">
      <c r="A64" s="23"/>
      <c r="B64" s="23"/>
      <c r="C64" s="23"/>
      <c r="D64" s="23"/>
      <c r="E64" s="23"/>
      <c r="F64" s="23"/>
      <c r="G64" s="23"/>
      <c r="H64" s="23"/>
      <c r="I64" s="23"/>
      <c r="J64" s="42"/>
    </row>
    <row r="65" spans="1:10" s="1" customFormat="1" ht="34.5" customHeight="1">
      <c r="A65" s="23"/>
      <c r="B65" s="23"/>
      <c r="C65" s="23"/>
      <c r="D65" s="23"/>
      <c r="E65" s="23"/>
      <c r="F65" s="23"/>
      <c r="G65" s="23"/>
      <c r="H65" s="23"/>
      <c r="I65" s="23"/>
      <c r="J65" s="42"/>
    </row>
    <row r="66" spans="1:10" s="1" customFormat="1" ht="13.9">
      <c r="A66" s="23"/>
      <c r="B66" s="23"/>
      <c r="C66" s="23"/>
      <c r="D66" s="23"/>
      <c r="E66" s="23"/>
      <c r="F66" s="23"/>
      <c r="G66" s="23"/>
      <c r="H66" s="23"/>
      <c r="I66" s="23"/>
      <c r="J66" s="42"/>
    </row>
    <row r="67" spans="1:10" s="1" customFormat="1" ht="13.9">
      <c r="A67" s="23"/>
      <c r="B67" s="23"/>
      <c r="C67" s="23"/>
      <c r="D67" s="23"/>
      <c r="E67" s="23"/>
      <c r="F67" s="23"/>
      <c r="G67" s="23"/>
      <c r="H67" s="23"/>
      <c r="I67" s="23"/>
      <c r="J67" s="42"/>
    </row>
    <row r="68" spans="1:10" s="1" customFormat="1" ht="15.6" customHeight="1">
      <c r="A68" s="23"/>
      <c r="B68" s="23"/>
      <c r="C68" s="23"/>
      <c r="D68" s="23"/>
      <c r="E68" s="23"/>
      <c r="F68" s="23"/>
      <c r="G68" s="23"/>
      <c r="H68" s="23"/>
      <c r="I68" s="23"/>
      <c r="J68" s="42"/>
    </row>
    <row r="69" spans="1:10" s="1" customFormat="1" ht="13.9">
      <c r="A69" s="23"/>
      <c r="B69" s="23"/>
      <c r="C69" s="23"/>
      <c r="D69" s="23"/>
      <c r="E69" s="23"/>
      <c r="F69" s="23"/>
      <c r="G69" s="23"/>
      <c r="H69" s="23"/>
      <c r="I69" s="23"/>
      <c r="J69" s="42"/>
    </row>
    <row r="70" spans="1:10" s="1" customFormat="1" ht="13.9">
      <c r="A70" s="23"/>
      <c r="B70" s="23"/>
      <c r="C70" s="23"/>
      <c r="D70" s="23"/>
      <c r="E70" s="23"/>
      <c r="F70" s="23"/>
      <c r="G70" s="23"/>
      <c r="H70" s="23"/>
      <c r="I70" s="23"/>
      <c r="J70" s="42"/>
    </row>
    <row r="71" spans="1:10" s="1" customFormat="1" ht="13.9">
      <c r="A71" s="23"/>
      <c r="B71" s="23"/>
      <c r="C71" s="23"/>
      <c r="D71" s="23"/>
      <c r="E71" s="23"/>
      <c r="F71" s="23"/>
      <c r="G71" s="23"/>
      <c r="H71" s="23"/>
      <c r="I71" s="23"/>
      <c r="J71" s="42"/>
    </row>
    <row r="72" spans="1:10" s="1" customFormat="1" ht="13.9">
      <c r="A72" s="23"/>
      <c r="B72" s="23"/>
      <c r="C72" s="23"/>
      <c r="D72" s="23"/>
      <c r="E72" s="23"/>
      <c r="F72" s="23"/>
      <c r="G72" s="23"/>
      <c r="H72" s="23"/>
      <c r="I72" s="23"/>
      <c r="J72" s="42"/>
    </row>
    <row r="73" spans="1:10" s="1" customFormat="1" ht="13.9">
      <c r="A73" s="23"/>
      <c r="B73" s="23"/>
      <c r="C73" s="23"/>
      <c r="D73" s="23"/>
      <c r="E73" s="23"/>
      <c r="F73" s="23"/>
      <c r="G73" s="23"/>
      <c r="H73" s="23"/>
      <c r="I73" s="23"/>
      <c r="J73" s="42"/>
    </row>
    <row r="74" spans="1:10" s="1" customFormat="1" ht="38.450000000000003" customHeight="1">
      <c r="A74" s="23"/>
      <c r="B74" s="23"/>
      <c r="C74" s="23"/>
      <c r="D74" s="23"/>
      <c r="E74" s="23"/>
      <c r="F74" s="23"/>
      <c r="G74" s="23"/>
      <c r="H74" s="23"/>
      <c r="I74" s="23"/>
      <c r="J74" s="42"/>
    </row>
    <row r="75" spans="1:10" s="1" customFormat="1" ht="38.450000000000003" customHeight="1">
      <c r="A75" s="23"/>
      <c r="B75" s="23"/>
      <c r="C75" s="23"/>
      <c r="D75" s="23"/>
      <c r="E75" s="23"/>
      <c r="F75" s="23"/>
      <c r="G75" s="23"/>
      <c r="H75" s="23"/>
      <c r="I75" s="23"/>
      <c r="J75" s="42"/>
    </row>
    <row r="76" spans="1:10" s="1" customFormat="1" ht="38.450000000000003" customHeight="1">
      <c r="A76" s="23"/>
      <c r="B76" s="23"/>
      <c r="C76" s="23"/>
      <c r="D76" s="23"/>
      <c r="E76" s="23"/>
      <c r="F76" s="23"/>
      <c r="G76" s="23"/>
      <c r="H76" s="23"/>
      <c r="I76" s="23"/>
      <c r="J76" s="42"/>
    </row>
    <row r="77" spans="1:10" s="1" customFormat="1" ht="38.450000000000003" customHeight="1">
      <c r="A77" s="23"/>
      <c r="B77" s="23"/>
      <c r="C77" s="23"/>
      <c r="D77" s="23"/>
      <c r="E77" s="23"/>
      <c r="F77" s="23"/>
      <c r="G77" s="23"/>
      <c r="H77" s="23"/>
      <c r="I77" s="23"/>
      <c r="J77" s="42"/>
    </row>
    <row r="78" spans="1:10" s="1" customFormat="1" ht="38.450000000000003" customHeight="1">
      <c r="A78" s="23"/>
      <c r="B78" s="23"/>
      <c r="C78" s="23"/>
      <c r="D78" s="23"/>
      <c r="E78" s="23"/>
      <c r="F78" s="23"/>
      <c r="G78" s="23"/>
      <c r="H78" s="23"/>
      <c r="I78" s="23"/>
      <c r="J78" s="42"/>
    </row>
    <row r="79" spans="1:10" s="1" customFormat="1" ht="38.450000000000003" customHeight="1">
      <c r="A79" s="23"/>
      <c r="B79" s="23"/>
      <c r="C79" s="23"/>
      <c r="D79" s="23"/>
      <c r="E79" s="23"/>
      <c r="F79" s="23"/>
      <c r="G79" s="23"/>
      <c r="H79" s="23"/>
      <c r="I79" s="23"/>
      <c r="J79" s="42"/>
    </row>
    <row r="80" spans="1:10" s="1" customFormat="1" ht="38.450000000000003" customHeight="1">
      <c r="A80" s="23"/>
      <c r="B80" s="23"/>
      <c r="C80" s="23"/>
      <c r="D80" s="23"/>
      <c r="E80" s="23"/>
      <c r="F80" s="23"/>
      <c r="G80" s="23"/>
      <c r="H80" s="23"/>
      <c r="I80" s="23"/>
      <c r="J80" s="42"/>
    </row>
    <row r="81" spans="1:10" s="1" customFormat="1" ht="13.9">
      <c r="A81" s="23"/>
      <c r="B81" s="23"/>
      <c r="C81" s="23"/>
      <c r="D81" s="23"/>
      <c r="E81" s="23"/>
      <c r="F81" s="23"/>
      <c r="G81" s="23"/>
      <c r="H81" s="23"/>
      <c r="I81" s="23"/>
      <c r="J81" s="42"/>
    </row>
    <row r="82" spans="1:10" s="1" customFormat="1" ht="13.9">
      <c r="A82" s="23"/>
      <c r="B82" s="23"/>
      <c r="C82" s="23"/>
      <c r="D82" s="23"/>
      <c r="E82" s="23"/>
      <c r="F82" s="23"/>
      <c r="G82" s="23"/>
      <c r="H82" s="23"/>
      <c r="I82" s="23"/>
      <c r="J82" s="42"/>
    </row>
    <row r="83" spans="1:10" s="1" customFormat="1" ht="15.6" customHeight="1">
      <c r="A83" s="23"/>
      <c r="B83" s="23"/>
      <c r="C83" s="23"/>
      <c r="D83" s="23"/>
      <c r="E83" s="23"/>
      <c r="F83" s="23"/>
      <c r="G83" s="23"/>
      <c r="H83" s="23"/>
      <c r="I83" s="23"/>
      <c r="J83" s="42"/>
    </row>
    <row r="84" spans="1:10" s="1" customFormat="1" ht="13.9">
      <c r="A84" s="23"/>
      <c r="B84" s="23"/>
      <c r="C84" s="23"/>
      <c r="D84" s="23"/>
      <c r="E84" s="23"/>
      <c r="F84" s="23"/>
      <c r="G84" s="23"/>
      <c r="H84" s="23"/>
      <c r="I84" s="23"/>
      <c r="J84" s="42"/>
    </row>
    <row r="85" spans="1:10" s="1" customFormat="1" ht="13.9">
      <c r="A85" s="23"/>
      <c r="B85" s="23"/>
      <c r="C85" s="23"/>
      <c r="D85" s="23"/>
      <c r="E85" s="23"/>
      <c r="F85" s="23"/>
      <c r="G85" s="23"/>
      <c r="H85" s="23"/>
      <c r="I85" s="23"/>
      <c r="J85" s="42"/>
    </row>
    <row r="86" spans="1:10" s="1" customFormat="1" ht="13.9">
      <c r="A86" s="23"/>
      <c r="B86" s="23"/>
      <c r="C86" s="23"/>
      <c r="D86" s="23"/>
      <c r="E86" s="23"/>
      <c r="F86" s="23"/>
      <c r="G86" s="23"/>
      <c r="H86" s="23"/>
      <c r="I86" s="23"/>
      <c r="J86" s="42"/>
    </row>
    <row r="87" spans="1:10" s="1" customFormat="1" ht="13.9">
      <c r="A87" s="23"/>
      <c r="B87" s="23"/>
      <c r="C87" s="23"/>
      <c r="D87" s="23"/>
      <c r="E87" s="23"/>
      <c r="F87" s="23"/>
      <c r="G87" s="23"/>
      <c r="H87" s="23"/>
      <c r="I87" s="23"/>
      <c r="J87" s="42"/>
    </row>
    <row r="88" spans="1:10" s="1" customFormat="1" ht="42" customHeight="1">
      <c r="A88" s="23"/>
      <c r="B88" s="23"/>
      <c r="C88" s="23"/>
      <c r="D88" s="23"/>
      <c r="E88" s="23"/>
      <c r="F88" s="23"/>
      <c r="G88" s="23"/>
      <c r="H88" s="23"/>
      <c r="I88" s="23"/>
      <c r="J88" s="42"/>
    </row>
    <row r="89" spans="1:10" s="1" customFormat="1" ht="42" customHeight="1">
      <c r="A89" s="23"/>
      <c r="B89" s="23"/>
      <c r="C89" s="23"/>
      <c r="D89" s="23"/>
      <c r="E89" s="23"/>
      <c r="F89" s="23"/>
      <c r="G89" s="23"/>
      <c r="H89" s="23"/>
      <c r="I89" s="23"/>
      <c r="J89" s="42"/>
    </row>
    <row r="90" spans="1:10" s="1" customFormat="1" ht="42" customHeight="1">
      <c r="A90" s="23"/>
      <c r="B90" s="23"/>
      <c r="C90" s="23"/>
      <c r="D90" s="23"/>
      <c r="E90" s="23"/>
      <c r="F90" s="23"/>
      <c r="G90" s="23"/>
      <c r="H90" s="23"/>
      <c r="I90" s="23"/>
      <c r="J90" s="42"/>
    </row>
    <row r="91" spans="1:10" s="1" customFormat="1" ht="42" customHeight="1">
      <c r="A91" s="23"/>
      <c r="B91" s="23"/>
      <c r="C91" s="23"/>
      <c r="D91" s="23"/>
      <c r="E91" s="23"/>
      <c r="F91" s="23"/>
      <c r="G91" s="23"/>
      <c r="H91" s="23"/>
      <c r="I91" s="23"/>
      <c r="J91" s="42"/>
    </row>
    <row r="92" spans="1:10" s="1" customFormat="1" ht="42" customHeight="1">
      <c r="A92" s="23"/>
      <c r="B92" s="23"/>
      <c r="C92" s="23"/>
      <c r="D92" s="23"/>
      <c r="E92" s="23"/>
      <c r="F92" s="23"/>
      <c r="G92" s="23"/>
      <c r="H92" s="23"/>
      <c r="I92" s="23"/>
      <c r="J92" s="42"/>
    </row>
    <row r="93" spans="1:10" s="1" customFormat="1" ht="42" customHeight="1">
      <c r="A93" s="23"/>
      <c r="B93" s="23"/>
      <c r="C93" s="23"/>
      <c r="D93" s="23"/>
      <c r="E93" s="23"/>
      <c r="F93" s="23"/>
      <c r="G93" s="23"/>
      <c r="H93" s="23"/>
      <c r="I93" s="23"/>
      <c r="J93" s="42"/>
    </row>
    <row r="94" spans="1:10" s="1" customFormat="1" ht="42" customHeight="1">
      <c r="A94" s="23"/>
      <c r="B94" s="23"/>
      <c r="C94" s="23"/>
      <c r="D94" s="23"/>
      <c r="E94" s="23"/>
      <c r="F94" s="23"/>
      <c r="G94" s="23"/>
      <c r="H94" s="23"/>
      <c r="I94" s="23"/>
      <c r="J94" s="42"/>
    </row>
    <row r="95" spans="1:10" s="1" customFormat="1" ht="42" customHeight="1">
      <c r="A95" s="23"/>
      <c r="B95" s="23"/>
      <c r="C95" s="23"/>
      <c r="D95" s="23"/>
      <c r="E95" s="23"/>
      <c r="F95" s="23"/>
      <c r="G95" s="23"/>
      <c r="H95" s="23"/>
      <c r="I95" s="23"/>
      <c r="J95" s="42"/>
    </row>
    <row r="96" spans="1:10" s="1" customFormat="1" ht="13.9">
      <c r="A96" s="23"/>
      <c r="B96" s="23"/>
      <c r="C96" s="23"/>
      <c r="D96" s="23"/>
      <c r="E96" s="23"/>
      <c r="F96" s="23"/>
      <c r="G96" s="23"/>
      <c r="H96" s="23"/>
      <c r="I96" s="23"/>
      <c r="J96" s="42"/>
    </row>
    <row r="97" spans="1:10" s="1" customFormat="1" ht="13.9">
      <c r="A97" s="23"/>
      <c r="B97" s="23"/>
      <c r="C97" s="23"/>
      <c r="D97" s="23"/>
      <c r="E97" s="23"/>
      <c r="F97" s="23"/>
      <c r="G97" s="23"/>
      <c r="H97" s="23"/>
      <c r="I97" s="23"/>
      <c r="J97" s="42"/>
    </row>
    <row r="98" spans="1:10" s="1" customFormat="1" ht="13.9">
      <c r="A98" s="23"/>
      <c r="B98" s="23"/>
      <c r="C98" s="23"/>
      <c r="D98" s="23"/>
      <c r="E98" s="23"/>
      <c r="F98" s="23"/>
      <c r="G98" s="23"/>
      <c r="H98" s="23"/>
      <c r="I98" s="23"/>
      <c r="J98" s="42"/>
    </row>
    <row r="99" spans="1:10" s="1" customFormat="1" ht="13.9">
      <c r="A99" s="23"/>
      <c r="B99" s="23"/>
      <c r="C99" s="23"/>
      <c r="D99" s="23"/>
      <c r="E99" s="23"/>
      <c r="F99" s="23"/>
      <c r="G99" s="23"/>
      <c r="H99" s="23"/>
      <c r="I99" s="23"/>
      <c r="J99" s="42"/>
    </row>
    <row r="100" spans="1:10" s="1" customFormat="1" ht="13.9">
      <c r="A100" s="23"/>
      <c r="B100" s="23"/>
      <c r="C100" s="23"/>
      <c r="D100" s="23"/>
      <c r="E100" s="23"/>
      <c r="F100" s="23"/>
      <c r="G100" s="23"/>
      <c r="H100" s="23"/>
      <c r="I100" s="23"/>
      <c r="J100" s="42"/>
    </row>
    <row r="101" spans="1:10" s="1" customFormat="1" ht="13.9">
      <c r="A101" s="23"/>
      <c r="B101" s="23"/>
      <c r="C101" s="23"/>
      <c r="D101" s="23"/>
      <c r="E101" s="23"/>
      <c r="F101" s="23"/>
      <c r="G101" s="23"/>
      <c r="H101" s="23"/>
      <c r="I101" s="23"/>
      <c r="J101" s="42"/>
    </row>
    <row r="102" spans="1:10" s="1" customFormat="1" ht="13.9">
      <c r="A102" s="23"/>
      <c r="B102" s="23"/>
      <c r="C102" s="23"/>
      <c r="D102" s="23"/>
      <c r="E102" s="23"/>
      <c r="F102" s="23"/>
      <c r="G102" s="23"/>
      <c r="H102" s="23"/>
      <c r="I102" s="23"/>
      <c r="J102" s="42"/>
    </row>
    <row r="103" spans="1:10" s="1" customFormat="1" ht="51.6" customHeight="1">
      <c r="A103" s="23"/>
      <c r="B103" s="23"/>
      <c r="C103" s="23"/>
      <c r="D103" s="23"/>
      <c r="E103" s="23"/>
      <c r="F103" s="23"/>
      <c r="G103" s="23"/>
      <c r="H103" s="23"/>
      <c r="I103" s="23"/>
      <c r="J103" s="42"/>
    </row>
    <row r="104" spans="1:10" s="1" customFormat="1" ht="44.1" customHeight="1">
      <c r="A104" s="23"/>
      <c r="B104" s="23"/>
      <c r="C104" s="23"/>
      <c r="D104" s="23"/>
      <c r="E104" s="23"/>
      <c r="F104" s="23"/>
      <c r="G104" s="23"/>
      <c r="H104" s="23"/>
      <c r="I104" s="23"/>
      <c r="J104" s="42"/>
    </row>
    <row r="105" spans="1:10" s="1" customFormat="1" ht="39.950000000000003" customHeight="1">
      <c r="A105" s="23"/>
      <c r="B105" s="23"/>
      <c r="C105" s="23"/>
      <c r="D105" s="23"/>
      <c r="E105" s="23"/>
      <c r="F105" s="23"/>
      <c r="G105" s="23"/>
      <c r="H105" s="23"/>
      <c r="I105" s="23"/>
      <c r="J105" s="42"/>
    </row>
    <row r="106" spans="1:10" s="1" customFormat="1" ht="13.9">
      <c r="A106" s="23"/>
      <c r="B106" s="23"/>
      <c r="C106" s="23"/>
      <c r="D106" s="23"/>
      <c r="E106" s="23"/>
      <c r="F106" s="23"/>
      <c r="G106" s="23"/>
      <c r="H106" s="23"/>
      <c r="I106" s="23"/>
      <c r="J106" s="42"/>
    </row>
    <row r="107" spans="1:10" s="1" customFormat="1" ht="13.9">
      <c r="A107" s="23"/>
      <c r="B107" s="23"/>
      <c r="C107" s="23"/>
      <c r="D107" s="23"/>
      <c r="E107" s="23"/>
      <c r="F107" s="23"/>
      <c r="G107" s="23"/>
      <c r="H107" s="23"/>
      <c r="I107" s="23"/>
      <c r="J107" s="42"/>
    </row>
    <row r="108" spans="1:10" s="1" customFormat="1" ht="13.9">
      <c r="A108" s="23"/>
      <c r="B108" s="23"/>
      <c r="C108" s="23"/>
      <c r="D108" s="23"/>
      <c r="E108" s="23"/>
      <c r="F108" s="23"/>
      <c r="G108" s="23"/>
      <c r="H108" s="23"/>
      <c r="I108" s="23"/>
      <c r="J108" s="42"/>
    </row>
    <row r="109" spans="1:10" s="1" customFormat="1" ht="13.9">
      <c r="A109" s="23"/>
      <c r="B109" s="23"/>
      <c r="C109" s="23"/>
      <c r="D109" s="23"/>
      <c r="E109" s="23"/>
      <c r="F109" s="23"/>
      <c r="G109" s="23"/>
      <c r="H109" s="23"/>
      <c r="I109" s="23"/>
      <c r="J109" s="42"/>
    </row>
    <row r="110" spans="1:10">
      <c r="A110" s="23"/>
      <c r="B110" s="23"/>
      <c r="C110" s="23"/>
      <c r="D110" s="23"/>
      <c r="E110" s="23"/>
      <c r="F110" s="23"/>
      <c r="G110" s="23"/>
      <c r="H110" s="23"/>
      <c r="I110" s="23"/>
    </row>
    <row r="111" spans="1:10">
      <c r="A111" s="23"/>
      <c r="B111" s="23"/>
      <c r="C111" s="23"/>
      <c r="D111" s="23"/>
      <c r="E111" s="23"/>
      <c r="F111" s="23"/>
      <c r="G111" s="23"/>
      <c r="H111" s="23"/>
      <c r="I111" s="23"/>
    </row>
  </sheetData>
  <mergeCells count="7">
    <mergeCell ref="A2:A4"/>
    <mergeCell ref="B2:B4"/>
    <mergeCell ref="C2:C4"/>
    <mergeCell ref="D2:E2"/>
    <mergeCell ref="F2:G2"/>
    <mergeCell ref="D3:E4"/>
    <mergeCell ref="F3:H4"/>
  </mergeCells>
  <conditionalFormatting sqref="A5:A10 A19:A1048576">
    <cfRule type="cellIs" dxfId="88" priority="131" operator="equal">
      <formula>"Informativa"</formula>
    </cfRule>
    <cfRule type="cellIs" dxfId="87" priority="132" operator="equal">
      <formula>"bAJA"</formula>
    </cfRule>
    <cfRule type="cellIs" dxfId="86" priority="133" operator="equal">
      <formula>"Media"</formula>
    </cfRule>
    <cfRule type="cellIs" dxfId="85" priority="134" operator="equal">
      <formula>"Alta"</formula>
    </cfRule>
  </conditionalFormatting>
  <conditionalFormatting sqref="A13">
    <cfRule type="cellIs" dxfId="84" priority="119" operator="equal">
      <formula>"Informativa"</formula>
    </cfRule>
    <cfRule type="cellIs" dxfId="83" priority="120" operator="equal">
      <formula>"bAJA"</formula>
    </cfRule>
    <cfRule type="cellIs" dxfId="82" priority="121" operator="equal">
      <formula>"Media"</formula>
    </cfRule>
    <cfRule type="cellIs" dxfId="81" priority="122" operator="equal">
      <formula>"Alta"</formula>
    </cfRule>
  </conditionalFormatting>
  <conditionalFormatting sqref="A1">
    <cfRule type="cellIs" dxfId="80" priority="95" operator="equal">
      <formula>"Informativa"</formula>
    </cfRule>
    <cfRule type="cellIs" dxfId="79" priority="96" operator="equal">
      <formula>"bAJA"</formula>
    </cfRule>
    <cfRule type="cellIs" dxfId="78" priority="97" operator="equal">
      <formula>"Media"</formula>
    </cfRule>
    <cfRule type="cellIs" dxfId="77" priority="98" operator="equal">
      <formula>"Alta"</formula>
    </cfRule>
  </conditionalFormatting>
  <conditionalFormatting sqref="H13">
    <cfRule type="cellIs" dxfId="76" priority="86" operator="equal">
      <formula>"Terminado"</formula>
    </cfRule>
    <cfRule type="cellIs" dxfId="75" priority="87" operator="equal">
      <formula>"Recibido"</formula>
    </cfRule>
    <cfRule type="cellIs" dxfId="74" priority="88" operator="equal">
      <formula>"Pedido"</formula>
    </cfRule>
    <cfRule type="cellIs" dxfId="73" priority="89" operator="equal">
      <formula>"Pendiente"</formula>
    </cfRule>
  </conditionalFormatting>
  <conditionalFormatting sqref="H13">
    <cfRule type="cellIs" dxfId="72" priority="85" operator="equal">
      <formula>"En Proceso"</formula>
    </cfRule>
  </conditionalFormatting>
  <conditionalFormatting sqref="H14">
    <cfRule type="cellIs" dxfId="71" priority="39" operator="equal">
      <formula>"Terminado"</formula>
    </cfRule>
    <cfRule type="cellIs" dxfId="70" priority="40" operator="equal">
      <formula>"Recibido"</formula>
    </cfRule>
    <cfRule type="cellIs" dxfId="69" priority="41" operator="equal">
      <formula>"Pedido"</formula>
    </cfRule>
    <cfRule type="cellIs" dxfId="68" priority="42" operator="equal">
      <formula>"Pendiente"</formula>
    </cfRule>
  </conditionalFormatting>
  <conditionalFormatting sqref="H14">
    <cfRule type="cellIs" dxfId="67" priority="38" operator="equal">
      <formula>"En Proceso"</formula>
    </cfRule>
  </conditionalFormatting>
  <conditionalFormatting sqref="H15">
    <cfRule type="cellIs" dxfId="66" priority="34" operator="equal">
      <formula>"Terminado"</formula>
    </cfRule>
    <cfRule type="cellIs" dxfId="65" priority="35" operator="equal">
      <formula>"Recibido"</formula>
    </cfRule>
    <cfRule type="cellIs" dxfId="64" priority="36" operator="equal">
      <formula>"Pedido"</formula>
    </cfRule>
    <cfRule type="cellIs" dxfId="63" priority="37" operator="equal">
      <formula>"Pendiente"</formula>
    </cfRule>
  </conditionalFormatting>
  <conditionalFormatting sqref="H15">
    <cfRule type="cellIs" dxfId="62" priority="33" operator="equal">
      <formula>"En Proceso"</formula>
    </cfRule>
  </conditionalFormatting>
  <conditionalFormatting sqref="A17">
    <cfRule type="cellIs" dxfId="61" priority="56" operator="equal">
      <formula>"Informativa"</formula>
    </cfRule>
    <cfRule type="cellIs" dxfId="60" priority="57" operator="equal">
      <formula>"bAJA"</formula>
    </cfRule>
    <cfRule type="cellIs" dxfId="59" priority="58" operator="equal">
      <formula>"Media"</formula>
    </cfRule>
    <cfRule type="cellIs" dxfId="58" priority="59" operator="equal">
      <formula>"Alta"</formula>
    </cfRule>
  </conditionalFormatting>
  <conditionalFormatting sqref="H17">
    <cfRule type="cellIs" dxfId="57" priority="52" operator="equal">
      <formula>"Terminado"</formula>
    </cfRule>
    <cfRule type="cellIs" dxfId="56" priority="53" operator="equal">
      <formula>"Recibido"</formula>
    </cfRule>
    <cfRule type="cellIs" dxfId="55" priority="54" operator="equal">
      <formula>"Pedido"</formula>
    </cfRule>
    <cfRule type="cellIs" dxfId="54" priority="55" operator="equal">
      <formula>"Pendiente"</formula>
    </cfRule>
  </conditionalFormatting>
  <conditionalFormatting sqref="H17">
    <cfRule type="cellIs" dxfId="53" priority="51" operator="equal">
      <formula>"En Proceso"</formula>
    </cfRule>
  </conditionalFormatting>
  <conditionalFormatting sqref="A15:A16">
    <cfRule type="cellIs" dxfId="52" priority="47" operator="equal">
      <formula>"Informativa"</formula>
    </cfRule>
    <cfRule type="cellIs" dxfId="51" priority="48" operator="equal">
      <formula>"bAJA"</formula>
    </cfRule>
    <cfRule type="cellIs" dxfId="50" priority="49" operator="equal">
      <formula>"Media"</formula>
    </cfRule>
    <cfRule type="cellIs" dxfId="49" priority="50" operator="equal">
      <formula>"Alta"</formula>
    </cfRule>
  </conditionalFormatting>
  <conditionalFormatting sqref="A14">
    <cfRule type="cellIs" dxfId="48" priority="43" operator="equal">
      <formula>"Informativa"</formula>
    </cfRule>
    <cfRule type="cellIs" dxfId="47" priority="44" operator="equal">
      <formula>"bAJA"</formula>
    </cfRule>
    <cfRule type="cellIs" dxfId="46" priority="45" operator="equal">
      <formula>"Media"</formula>
    </cfRule>
    <cfRule type="cellIs" dxfId="45" priority="46" operator="equal">
      <formula>"Alta"</formula>
    </cfRule>
  </conditionalFormatting>
  <conditionalFormatting sqref="H16">
    <cfRule type="cellIs" dxfId="44" priority="29" operator="equal">
      <formula>"Terminado"</formula>
    </cfRule>
    <cfRule type="cellIs" dxfId="43" priority="30" operator="equal">
      <formula>"Recibido"</formula>
    </cfRule>
    <cfRule type="cellIs" dxfId="42" priority="31" operator="equal">
      <formula>"Pedido"</formula>
    </cfRule>
    <cfRule type="cellIs" dxfId="41" priority="32" operator="equal">
      <formula>"Pendiente"</formula>
    </cfRule>
  </conditionalFormatting>
  <conditionalFormatting sqref="H16">
    <cfRule type="cellIs" dxfId="40" priority="28" operator="equal">
      <formula>"En Proceso"</formula>
    </cfRule>
  </conditionalFormatting>
  <conditionalFormatting sqref="A18">
    <cfRule type="cellIs" dxfId="39" priority="24" operator="equal">
      <formula>"Informativa"</formula>
    </cfRule>
    <cfRule type="cellIs" dxfId="38" priority="25" operator="equal">
      <formula>"bAJA"</formula>
    </cfRule>
    <cfRule type="cellIs" dxfId="37" priority="26" operator="equal">
      <formula>"Media"</formula>
    </cfRule>
    <cfRule type="cellIs" dxfId="36" priority="27" operator="equal">
      <formula>"Alta"</formula>
    </cfRule>
  </conditionalFormatting>
  <conditionalFormatting sqref="H18">
    <cfRule type="cellIs" dxfId="35" priority="20" operator="equal">
      <formula>"Terminado"</formula>
    </cfRule>
    <cfRule type="cellIs" dxfId="34" priority="21" operator="equal">
      <formula>"Recibido"</formula>
    </cfRule>
    <cfRule type="cellIs" dxfId="33" priority="22" operator="equal">
      <formula>"Pedido"</formula>
    </cfRule>
    <cfRule type="cellIs" dxfId="32" priority="23" operator="equal">
      <formula>"Pendiente"</formula>
    </cfRule>
  </conditionalFormatting>
  <conditionalFormatting sqref="H18">
    <cfRule type="cellIs" dxfId="31" priority="19" operator="equal">
      <formula>"En Proceso"</formula>
    </cfRule>
  </conditionalFormatting>
  <conditionalFormatting sqref="A12">
    <cfRule type="cellIs" dxfId="30" priority="15" operator="equal">
      <formula>"Informativa"</formula>
    </cfRule>
    <cfRule type="cellIs" dxfId="29" priority="16" operator="equal">
      <formula>"bAJA"</formula>
    </cfRule>
    <cfRule type="cellIs" dxfId="28" priority="17" operator="equal">
      <formula>"Media"</formula>
    </cfRule>
    <cfRule type="cellIs" dxfId="27" priority="18" operator="equal">
      <formula>"Alta"</formula>
    </cfRule>
  </conditionalFormatting>
  <conditionalFormatting sqref="H12">
    <cfRule type="cellIs" dxfId="26" priority="11" operator="equal">
      <formula>"Terminado"</formula>
    </cfRule>
    <cfRule type="cellIs" dxfId="25" priority="12" operator="equal">
      <formula>"Recibido"</formula>
    </cfRule>
    <cfRule type="cellIs" dxfId="24" priority="13" operator="equal">
      <formula>"Pedido"</formula>
    </cfRule>
    <cfRule type="cellIs" dxfId="23" priority="14" operator="equal">
      <formula>"Pendiente"</formula>
    </cfRule>
  </conditionalFormatting>
  <conditionalFormatting sqref="H12">
    <cfRule type="cellIs" dxfId="22" priority="10" operator="equal">
      <formula>"En Proceso"</formula>
    </cfRule>
  </conditionalFormatting>
  <conditionalFormatting sqref="A11">
    <cfRule type="cellIs" dxfId="21" priority="6" operator="equal">
      <formula>"Informativa"</formula>
    </cfRule>
    <cfRule type="cellIs" dxfId="20" priority="7" operator="equal">
      <formula>"bAJA"</formula>
    </cfRule>
    <cfRule type="cellIs" dxfId="19" priority="8" operator="equal">
      <formula>"Media"</formula>
    </cfRule>
    <cfRule type="cellIs" dxfId="18" priority="9" operator="equal">
      <formula>"Alta"</formula>
    </cfRule>
  </conditionalFormatting>
  <conditionalFormatting sqref="H11">
    <cfRule type="cellIs" dxfId="17" priority="2" operator="equal">
      <formula>"Terminado"</formula>
    </cfRule>
    <cfRule type="cellIs" dxfId="16" priority="3" operator="equal">
      <formula>"Recibido"</formula>
    </cfRule>
    <cfRule type="cellIs" dxfId="15" priority="4" operator="equal">
      <formula>"Pedido"</formula>
    </cfRule>
    <cfRule type="cellIs" dxfId="14" priority="5" operator="equal">
      <formula>"Pendiente"</formula>
    </cfRule>
  </conditionalFormatting>
  <conditionalFormatting sqref="H11">
    <cfRule type="cellIs" dxfId="13" priority="1" operator="equal">
      <formula>"En Proceso"</formula>
    </cfRule>
  </conditionalFormatting>
  <dataValidations count="3">
    <dataValidation type="list" allowBlank="1" showInputMessage="1" showErrorMessage="1" sqref="H11:H18" xr:uid="{F0192264-BD42-46C4-8AD3-1A7D53577762}">
      <formula1>"Pendiente,Resuelta"</formula1>
    </dataValidation>
    <dataValidation type="list" allowBlank="1" showInputMessage="1" showErrorMessage="1" sqref="A11:A18" xr:uid="{EE74318C-A7B6-4525-ACF1-8A0FB17443FC}">
      <formula1>"Alta,Media,Baja,Informativa"</formula1>
    </dataValidation>
    <dataValidation type="list" allowBlank="1" showInputMessage="1" showErrorMessage="1" sqref="J11:J18" xr:uid="{6753232E-8F48-42C7-A8BF-4D969D0DDA24}">
      <formula1>"Muy fácil (1), facil (2), Medio (3), Difícil (4),Muy difícil (5)"</formula1>
    </dataValidation>
  </dataValidations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4ea127c-854f-41fb-9adb-d090df6732b5" xsi:nil="true"/>
    <lcf76f155ced4ddcb4097134ff3c332f xmlns="07f90502-01f0-4cae-a6a0-40862d65de8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CEBDC77C3C6949AA3FB0E15A68A940" ma:contentTypeVersion="11" ma:contentTypeDescription="Crear nuevo documento." ma:contentTypeScope="" ma:versionID="d52878cb2f0ba5d6c9be5b30d12bb653">
  <xsd:schema xmlns:xsd="http://www.w3.org/2001/XMLSchema" xmlns:xs="http://www.w3.org/2001/XMLSchema" xmlns:p="http://schemas.microsoft.com/office/2006/metadata/properties" xmlns:ns2="07f90502-01f0-4cae-a6a0-40862d65de8b" xmlns:ns3="14ea127c-854f-41fb-9adb-d090df6732b5" targetNamespace="http://schemas.microsoft.com/office/2006/metadata/properties" ma:root="true" ma:fieldsID="852a920799b63747c311159ce5be376e" ns2:_="" ns3:_="">
    <xsd:import namespace="07f90502-01f0-4cae-a6a0-40862d65de8b"/>
    <xsd:import namespace="14ea127c-854f-41fb-9adb-d090df6732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f90502-01f0-4cae-a6a0-40862d65de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8364831f-9365-4731-affb-44e18c0c24f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ea127c-854f-41fb-9adb-d090df6732b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e18a258-aa6e-4edc-845a-317681361ecd}" ma:internalName="TaxCatchAll" ma:showField="CatchAllData" ma:web="14ea127c-854f-41fb-9adb-d090df6732b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819695-B0B8-4504-9B4F-AB9B49AFE1DA}"/>
</file>

<file path=customXml/itemProps2.xml><?xml version="1.0" encoding="utf-8"?>
<ds:datastoreItem xmlns:ds="http://schemas.openxmlformats.org/officeDocument/2006/customXml" ds:itemID="{B90B2D83-AE73-4E77-9733-33031378F78B}"/>
</file>

<file path=customXml/itemProps3.xml><?xml version="1.0" encoding="utf-8"?>
<ds:datastoreItem xmlns:ds="http://schemas.openxmlformats.org/officeDocument/2006/customXml" ds:itemID="{2FF293B8-11F1-43A7-9ECE-94F47520638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Yuba</dc:creator>
  <cp:keywords/>
  <dc:description/>
  <cp:lastModifiedBy>David Pozo Sánchez</cp:lastModifiedBy>
  <cp:revision/>
  <dcterms:created xsi:type="dcterms:W3CDTF">2019-02-11T08:20:19Z</dcterms:created>
  <dcterms:modified xsi:type="dcterms:W3CDTF">2025-03-20T07:20:32Z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0x01010018CEBDC77C3C6949AA3FB0E15A68A940</vt:lpwstr>
  </property>
  <property fmtid="{D5CDD505-2E9C-101B-9397-08002B2CF9AE}" pid="3" name="MediaServiceImageTags">
    <vt:lpwstr/>
  </property>
</Properties>
</file>