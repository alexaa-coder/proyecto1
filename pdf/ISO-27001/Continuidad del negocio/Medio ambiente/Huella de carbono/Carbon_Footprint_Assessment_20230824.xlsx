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tables/table11.xml" ContentType="application/vnd.openxmlformats-officedocument.spreadsheetml.table+xml"/>
  <Override PartName="/xl/tables/table10.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16.xml" ContentType="application/vnd.openxmlformats-officedocument.spreadsheetml.table+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RaúlCordón\Downloads\"/>
    </mc:Choice>
  </mc:AlternateContent>
  <xr:revisionPtr revIDLastSave="0" documentId="13_ncr:1_{F2080473-8B7F-4D5A-AB49-FADB3A8B48ED}" xr6:coauthVersionLast="47" xr6:coauthVersionMax="47" xr10:uidLastSave="{00000000-0000-0000-0000-000000000000}"/>
  <bookViews>
    <workbookView xWindow="-108" yWindow="-108" windowWidth="23256" windowHeight="13896" tabRatio="875" activeTab="2" xr2:uid="{B8B69680-936C-4CAE-833B-EABE0DD7D73C}"/>
  </bookViews>
  <sheets>
    <sheet name="Index" sheetId="17" r:id="rId1"/>
    <sheet name="Scope 1" sheetId="3" r:id="rId2"/>
    <sheet name="Scope 2" sheetId="4" r:id="rId3"/>
    <sheet name="Scope 3-Water consumption" sheetId="5" r:id="rId4"/>
    <sheet name="Scope 3-Raw materials" sheetId="6" r:id="rId5"/>
    <sheet name="Scope 3-Upstream transp." sheetId="7" r:id="rId6"/>
    <sheet name="Scope 3-Downstream transp." sheetId="11" r:id="rId7"/>
    <sheet name="Scope 3-Waste generation" sheetId="8" r:id="rId8"/>
    <sheet name="Scope 3-Business travel" sheetId="9" r:id="rId9"/>
    <sheet name="Scope 3-Employee commuting" sheetId="10" r:id="rId10"/>
    <sheet name="RESULTS-GHG PROTOCOL" sheetId="16" r:id="rId11"/>
    <sheet name="EF-S1" sheetId="12" r:id="rId12"/>
    <sheet name="EF-S2" sheetId="13" r:id="rId13"/>
    <sheet name="EF-S3" sheetId="14" r:id="rId14"/>
    <sheet name="EF-S3 Waste" sheetId="15" r:id="rId15"/>
  </sheets>
  <definedNames>
    <definedName name="B_travel">Business_travel[Fuel type]</definedName>
    <definedName name="businesstransport">Tabla20[Transport]</definedName>
    <definedName name="CNG">Tabla12[Units liters]</definedName>
    <definedName name="country">countries[Country]</definedName>
    <definedName name="E_commut">E_commuting[Fuel type]</definedName>
    <definedName name="Electric">Tabla12[Units DEFRA]</definedName>
    <definedName name="Electric_unit">Tabla14[Electric unit]</definedName>
    <definedName name="Electricity">Tabla14[Type]</definedName>
    <definedName name="Gasoil">units_mob_comb[Units]</definedName>
    <definedName name="hazard">Tabla18[Hazardousity]</definedName>
    <definedName name="Hybrid">Tabla12[Units DEFRA]</definedName>
    <definedName name="LPG">Tabla12[Units liters]</definedName>
    <definedName name="materials">Tabla16[Type]</definedName>
    <definedName name="Natural_gas">Tabla12[Units DEFRA]</definedName>
    <definedName name="Petrol_unleaded">units_mob_comb[Units]</definedName>
    <definedName name="Plugin_hybrid">Tabla12[Units DEFRA]</definedName>
    <definedName name="refrigerant">refrigerant_gases[Type of Gas]</definedName>
    <definedName name="SECTORS">Tabla3[Sectors]</definedName>
    <definedName name="Sources">#REF!</definedName>
    <definedName name="Sources_stat_comb">Tabla3[Sources]</definedName>
    <definedName name="transport">Tabla17[Mean of transport]</definedName>
    <definedName name="Type_mob_comb">Tabla4[Sources]</definedName>
    <definedName name="Type_of_sources">Tabla1[Sources]</definedName>
    <definedName name="Type_waste">Tabla5[Type]</definedName>
    <definedName name="UNIT">units_mob_comb[Units]</definedName>
    <definedName name="unit_DEFRA">Tabla12[[#All],[Units DEFRA]]</definedName>
    <definedName name="unit_raw">Tabla15[Unit]</definedName>
    <definedName name="UNITS">'Scope 1'!$E$12:$E$15</definedName>
    <definedName name="Unknown">Tabla12[Units DEFRA]</definedName>
    <definedName name="waste">Tabla18[Treatment]</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8" i="10" l="1"/>
  <c r="F18" i="10"/>
  <c r="G18" i="10"/>
  <c r="E19" i="10"/>
  <c r="F19" i="10"/>
  <c r="G19" i="10"/>
  <c r="E20" i="10"/>
  <c r="F20" i="10"/>
  <c r="G20" i="10"/>
  <c r="E21" i="10"/>
  <c r="F21" i="10"/>
  <c r="G21" i="10"/>
  <c r="E22" i="10"/>
  <c r="F22" i="10"/>
  <c r="G22" i="10"/>
  <c r="E23" i="10"/>
  <c r="F23" i="10"/>
  <c r="G23" i="10"/>
  <c r="E24" i="10"/>
  <c r="F24" i="10"/>
  <c r="G24" i="10"/>
  <c r="E25" i="10"/>
  <c r="F25" i="10"/>
  <c r="G25" i="10"/>
  <c r="E26" i="10"/>
  <c r="F26" i="10"/>
  <c r="G26" i="10"/>
  <c r="E27" i="10"/>
  <c r="F27" i="10"/>
  <c r="G27" i="10"/>
  <c r="E28" i="10"/>
  <c r="F28" i="10"/>
  <c r="G28" i="10"/>
  <c r="E29" i="10"/>
  <c r="F29" i="10"/>
  <c r="G29" i="10"/>
  <c r="E30" i="10"/>
  <c r="F30" i="10"/>
  <c r="G30" i="10"/>
  <c r="E31" i="10"/>
  <c r="F31" i="10"/>
  <c r="G31" i="10"/>
  <c r="E32" i="10"/>
  <c r="F32" i="10"/>
  <c r="G32" i="10"/>
  <c r="E33" i="10"/>
  <c r="F33" i="10"/>
  <c r="G33" i="10"/>
  <c r="E34" i="10"/>
  <c r="F34" i="10"/>
  <c r="G34" i="10"/>
  <c r="E35" i="10"/>
  <c r="F35" i="10"/>
  <c r="G35" i="10"/>
  <c r="E36" i="10"/>
  <c r="F36" i="10"/>
  <c r="G36" i="10"/>
  <c r="E37" i="10"/>
  <c r="F37" i="10"/>
  <c r="G37" i="10"/>
  <c r="E38" i="10"/>
  <c r="F38" i="10"/>
  <c r="G38" i="10"/>
  <c r="E39" i="10"/>
  <c r="F39" i="10"/>
  <c r="G39" i="10"/>
  <c r="E40" i="10"/>
  <c r="F40" i="10"/>
  <c r="G40" i="10"/>
  <c r="E41" i="10"/>
  <c r="F41" i="10"/>
  <c r="G41" i="10"/>
  <c r="E42" i="10"/>
  <c r="F42" i="10"/>
  <c r="G42" i="10"/>
  <c r="E43" i="10"/>
  <c r="F43" i="10"/>
  <c r="G43" i="10"/>
  <c r="E44" i="10"/>
  <c r="F44" i="10"/>
  <c r="G44" i="10"/>
  <c r="E45" i="10"/>
  <c r="F45" i="10"/>
  <c r="G45" i="10"/>
  <c r="E46" i="10"/>
  <c r="F46" i="10"/>
  <c r="G46" i="10"/>
  <c r="E47" i="10"/>
  <c r="F47" i="10"/>
  <c r="G47" i="10"/>
  <c r="E48" i="10"/>
  <c r="F48" i="10"/>
  <c r="G48" i="10"/>
  <c r="E49" i="10"/>
  <c r="F49" i="10"/>
  <c r="G49" i="10"/>
  <c r="E50" i="10"/>
  <c r="F50" i="10"/>
  <c r="G50" i="10"/>
  <c r="E51" i="10"/>
  <c r="F51" i="10"/>
  <c r="G51" i="10"/>
  <c r="E52" i="10"/>
  <c r="F52" i="10"/>
  <c r="G52" i="10"/>
  <c r="E53" i="10"/>
  <c r="F53" i="10"/>
  <c r="G53" i="10"/>
  <c r="E54" i="10"/>
  <c r="F54" i="10"/>
  <c r="G54" i="10"/>
  <c r="E55" i="10"/>
  <c r="F55" i="10"/>
  <c r="G55" i="10"/>
  <c r="E56" i="10"/>
  <c r="F56" i="10"/>
  <c r="G56" i="10"/>
  <c r="E57" i="10"/>
  <c r="F57" i="10"/>
  <c r="G57" i="10"/>
  <c r="E58" i="10"/>
  <c r="F58" i="10"/>
  <c r="G58" i="10"/>
  <c r="E59" i="10"/>
  <c r="F59" i="10"/>
  <c r="G59" i="10"/>
  <c r="E60" i="10"/>
  <c r="F60" i="10"/>
  <c r="G60" i="10"/>
  <c r="E61" i="10"/>
  <c r="F61" i="10"/>
  <c r="G61" i="10"/>
  <c r="E62" i="10"/>
  <c r="F62" i="10"/>
  <c r="G62" i="10"/>
  <c r="E63" i="10"/>
  <c r="F63" i="10"/>
  <c r="G63" i="10"/>
  <c r="E64" i="10"/>
  <c r="F64" i="10"/>
  <c r="G64" i="10"/>
  <c r="E65" i="10"/>
  <c r="F65" i="10"/>
  <c r="G65" i="10"/>
  <c r="E66" i="10"/>
  <c r="F66" i="10"/>
  <c r="G66" i="10"/>
  <c r="E67" i="10"/>
  <c r="F67" i="10"/>
  <c r="G67" i="10"/>
  <c r="E68" i="10"/>
  <c r="F68" i="10"/>
  <c r="G68" i="10"/>
  <c r="E69" i="10"/>
  <c r="F69" i="10"/>
  <c r="G69" i="10"/>
  <c r="E70" i="10"/>
  <c r="F70" i="10"/>
  <c r="G70" i="10"/>
  <c r="E71" i="10"/>
  <c r="F71" i="10"/>
  <c r="G71" i="10"/>
  <c r="E72" i="10"/>
  <c r="F72" i="10"/>
  <c r="G72" i="10"/>
  <c r="E73" i="10"/>
  <c r="F73" i="10"/>
  <c r="G73" i="10"/>
  <c r="E74" i="10"/>
  <c r="F74" i="10"/>
  <c r="G74" i="10"/>
  <c r="E75" i="10"/>
  <c r="F75" i="10"/>
  <c r="G75" i="10"/>
  <c r="E76" i="10"/>
  <c r="F76" i="10"/>
  <c r="G76" i="10"/>
  <c r="E77" i="10"/>
  <c r="F77" i="10"/>
  <c r="G77" i="10"/>
  <c r="E78" i="10"/>
  <c r="F78" i="10"/>
  <c r="G78" i="10"/>
  <c r="E79" i="10"/>
  <c r="F79" i="10"/>
  <c r="G79" i="10"/>
  <c r="E80" i="10"/>
  <c r="F80" i="10"/>
  <c r="G80" i="10"/>
  <c r="E81" i="10"/>
  <c r="F81" i="10"/>
  <c r="G81" i="10"/>
  <c r="E82" i="10"/>
  <c r="F82" i="10"/>
  <c r="G82" i="10"/>
  <c r="E83" i="10"/>
  <c r="F83" i="10"/>
  <c r="G83" i="10"/>
  <c r="E84" i="10"/>
  <c r="F84" i="10"/>
  <c r="G84" i="10"/>
  <c r="E85" i="10"/>
  <c r="F85" i="10"/>
  <c r="G85" i="10"/>
  <c r="E86" i="10"/>
  <c r="F86" i="10"/>
  <c r="G86" i="10"/>
  <c r="E87" i="10"/>
  <c r="F87" i="10"/>
  <c r="G87" i="10"/>
  <c r="E88" i="10"/>
  <c r="F88" i="10"/>
  <c r="G88" i="10"/>
  <c r="E89" i="10"/>
  <c r="F89" i="10"/>
  <c r="G89" i="10"/>
  <c r="E90" i="10"/>
  <c r="F90" i="10"/>
  <c r="G90" i="10"/>
  <c r="E91" i="10"/>
  <c r="F91" i="10"/>
  <c r="G91" i="10"/>
  <c r="E92" i="10"/>
  <c r="F92" i="10"/>
  <c r="G92" i="10"/>
  <c r="E93" i="10"/>
  <c r="F93" i="10"/>
  <c r="G93" i="10"/>
  <c r="E94" i="10"/>
  <c r="F94" i="10"/>
  <c r="G94" i="10"/>
  <c r="E95" i="10"/>
  <c r="F95" i="10"/>
  <c r="G95" i="10"/>
  <c r="E96" i="10"/>
  <c r="F96" i="10"/>
  <c r="G96" i="10"/>
  <c r="E97" i="10"/>
  <c r="F97" i="10"/>
  <c r="G97" i="10"/>
  <c r="E98" i="10"/>
  <c r="F98" i="10"/>
  <c r="G98" i="10"/>
  <c r="E99" i="10"/>
  <c r="F99" i="10"/>
  <c r="G99" i="10"/>
  <c r="E100" i="10"/>
  <c r="F100" i="10"/>
  <c r="G100" i="10"/>
  <c r="E101" i="10"/>
  <c r="F101" i="10"/>
  <c r="G101" i="10"/>
  <c r="E102" i="10"/>
  <c r="F102" i="10"/>
  <c r="G102" i="10"/>
  <c r="E103" i="10"/>
  <c r="F103" i="10"/>
  <c r="G103" i="10"/>
  <c r="F18" i="9"/>
  <c r="H18" i="9" s="1"/>
  <c r="G18" i="9"/>
  <c r="M18" i="9"/>
  <c r="O18" i="9" s="1"/>
  <c r="N18" i="9"/>
  <c r="F19" i="9"/>
  <c r="H19" i="9" s="1"/>
  <c r="G19" i="9"/>
  <c r="M19" i="9"/>
  <c r="O19" i="9" s="1"/>
  <c r="N19" i="9"/>
  <c r="F20" i="9"/>
  <c r="H20" i="9" s="1"/>
  <c r="G20" i="9"/>
  <c r="M20" i="9"/>
  <c r="O20" i="9" s="1"/>
  <c r="N20" i="9"/>
  <c r="F21" i="9"/>
  <c r="H21" i="9" s="1"/>
  <c r="G21" i="9"/>
  <c r="M21" i="9"/>
  <c r="O21" i="9" s="1"/>
  <c r="N21" i="9"/>
  <c r="F22" i="9"/>
  <c r="H22" i="9" s="1"/>
  <c r="G22" i="9"/>
  <c r="M22" i="9"/>
  <c r="O22" i="9" s="1"/>
  <c r="N22" i="9"/>
  <c r="F23" i="9"/>
  <c r="H23" i="9" s="1"/>
  <c r="G23" i="9"/>
  <c r="M23" i="9"/>
  <c r="O23" i="9" s="1"/>
  <c r="N23" i="9"/>
  <c r="F24" i="9"/>
  <c r="H24" i="9" s="1"/>
  <c r="G24" i="9"/>
  <c r="M24" i="9"/>
  <c r="O24" i="9" s="1"/>
  <c r="N24" i="9"/>
  <c r="F25" i="9"/>
  <c r="H25" i="9" s="1"/>
  <c r="G25" i="9"/>
  <c r="M25" i="9"/>
  <c r="O25" i="9" s="1"/>
  <c r="N25" i="9"/>
  <c r="F26" i="9"/>
  <c r="H26" i="9" s="1"/>
  <c r="G26" i="9"/>
  <c r="M26" i="9"/>
  <c r="O26" i="9" s="1"/>
  <c r="N26" i="9"/>
  <c r="F27" i="9"/>
  <c r="H27" i="9" s="1"/>
  <c r="G27" i="9"/>
  <c r="M27" i="9"/>
  <c r="O27" i="9" s="1"/>
  <c r="N27" i="9"/>
  <c r="F28" i="9"/>
  <c r="H28" i="9" s="1"/>
  <c r="G28" i="9"/>
  <c r="M28" i="9"/>
  <c r="O28" i="9" s="1"/>
  <c r="N28" i="9"/>
  <c r="F29" i="9"/>
  <c r="H29" i="9" s="1"/>
  <c r="G29" i="9"/>
  <c r="M29" i="9"/>
  <c r="O29" i="9" s="1"/>
  <c r="N29" i="9"/>
  <c r="F30" i="9"/>
  <c r="H30" i="9" s="1"/>
  <c r="G30" i="9"/>
  <c r="M30" i="9"/>
  <c r="O30" i="9" s="1"/>
  <c r="N30" i="9"/>
  <c r="F31" i="9"/>
  <c r="H31" i="9" s="1"/>
  <c r="G31" i="9"/>
  <c r="M31" i="9"/>
  <c r="O31" i="9" s="1"/>
  <c r="N31" i="9"/>
  <c r="F32" i="9"/>
  <c r="H32" i="9" s="1"/>
  <c r="G32" i="9"/>
  <c r="M32" i="9"/>
  <c r="O32" i="9" s="1"/>
  <c r="N32" i="9"/>
  <c r="F33" i="9"/>
  <c r="H33" i="9" s="1"/>
  <c r="G33" i="9"/>
  <c r="M33" i="9"/>
  <c r="O33" i="9" s="1"/>
  <c r="N33" i="9"/>
  <c r="F34" i="9"/>
  <c r="H34" i="9" s="1"/>
  <c r="G34" i="9"/>
  <c r="M34" i="9"/>
  <c r="O34" i="9" s="1"/>
  <c r="N34" i="9"/>
  <c r="F35" i="9"/>
  <c r="H35" i="9" s="1"/>
  <c r="G35" i="9"/>
  <c r="M35" i="9"/>
  <c r="O35" i="9" s="1"/>
  <c r="N35" i="9"/>
  <c r="F36" i="9"/>
  <c r="H36" i="9" s="1"/>
  <c r="G36" i="9"/>
  <c r="M36" i="9"/>
  <c r="O36" i="9" s="1"/>
  <c r="N36" i="9"/>
  <c r="F37" i="9"/>
  <c r="H37" i="9" s="1"/>
  <c r="G37" i="9"/>
  <c r="M37" i="9"/>
  <c r="O37" i="9" s="1"/>
  <c r="N37" i="9"/>
  <c r="F38" i="9"/>
  <c r="H38" i="9" s="1"/>
  <c r="G38" i="9"/>
  <c r="M38" i="9"/>
  <c r="O38" i="9" s="1"/>
  <c r="N38" i="9"/>
  <c r="F39" i="9"/>
  <c r="H39" i="9" s="1"/>
  <c r="G39" i="9"/>
  <c r="M39" i="9"/>
  <c r="O39" i="9" s="1"/>
  <c r="N39" i="9"/>
  <c r="F40" i="9"/>
  <c r="H40" i="9" s="1"/>
  <c r="G40" i="9"/>
  <c r="M40" i="9"/>
  <c r="O40" i="9" s="1"/>
  <c r="N40" i="9"/>
  <c r="F41" i="9"/>
  <c r="H41" i="9" s="1"/>
  <c r="G41" i="9"/>
  <c r="M41" i="9"/>
  <c r="O41" i="9" s="1"/>
  <c r="N41" i="9"/>
  <c r="F42" i="9"/>
  <c r="H42" i="9" s="1"/>
  <c r="G42" i="9"/>
  <c r="M42" i="9"/>
  <c r="O42" i="9" s="1"/>
  <c r="N42" i="9"/>
  <c r="F43" i="9"/>
  <c r="H43" i="9" s="1"/>
  <c r="G43" i="9"/>
  <c r="M43" i="9"/>
  <c r="O43" i="9" s="1"/>
  <c r="N43" i="9"/>
  <c r="F44" i="9"/>
  <c r="H44" i="9" s="1"/>
  <c r="G44" i="9"/>
  <c r="M44" i="9"/>
  <c r="O44" i="9" s="1"/>
  <c r="N44" i="9"/>
  <c r="F45" i="9"/>
  <c r="H45" i="9" s="1"/>
  <c r="G45" i="9"/>
  <c r="M45" i="9"/>
  <c r="O45" i="9" s="1"/>
  <c r="N45" i="9"/>
  <c r="F46" i="9"/>
  <c r="H46" i="9" s="1"/>
  <c r="G46" i="9"/>
  <c r="M46" i="9"/>
  <c r="O46" i="9" s="1"/>
  <c r="N46" i="9"/>
  <c r="F47" i="9"/>
  <c r="H47" i="9" s="1"/>
  <c r="G47" i="9"/>
  <c r="M47" i="9"/>
  <c r="O47" i="9" s="1"/>
  <c r="N47" i="9"/>
  <c r="F48" i="9"/>
  <c r="H48" i="9" s="1"/>
  <c r="G48" i="9"/>
  <c r="M48" i="9"/>
  <c r="O48" i="9" s="1"/>
  <c r="N48" i="9"/>
  <c r="F49" i="9"/>
  <c r="H49" i="9" s="1"/>
  <c r="G49" i="9"/>
  <c r="M49" i="9"/>
  <c r="O49" i="9" s="1"/>
  <c r="N49" i="9"/>
  <c r="F50" i="9"/>
  <c r="H50" i="9" s="1"/>
  <c r="G50" i="9"/>
  <c r="M50" i="9"/>
  <c r="O50" i="9" s="1"/>
  <c r="N50" i="9"/>
  <c r="F51" i="9"/>
  <c r="H51" i="9" s="1"/>
  <c r="G51" i="9"/>
  <c r="M51" i="9"/>
  <c r="O51" i="9" s="1"/>
  <c r="N51" i="9"/>
  <c r="F52" i="9"/>
  <c r="H52" i="9" s="1"/>
  <c r="G52" i="9"/>
  <c r="M52" i="9"/>
  <c r="O52" i="9" s="1"/>
  <c r="N52" i="9"/>
  <c r="F53" i="9"/>
  <c r="H53" i="9" s="1"/>
  <c r="G53" i="9"/>
  <c r="M53" i="9"/>
  <c r="O53" i="9" s="1"/>
  <c r="N53" i="9"/>
  <c r="F54" i="9"/>
  <c r="H54" i="9" s="1"/>
  <c r="G54" i="9"/>
  <c r="M54" i="9"/>
  <c r="O54" i="9" s="1"/>
  <c r="N54" i="9"/>
  <c r="F55" i="9"/>
  <c r="H55" i="9" s="1"/>
  <c r="G55" i="9"/>
  <c r="M55" i="9"/>
  <c r="O55" i="9" s="1"/>
  <c r="N55" i="9"/>
  <c r="F56" i="9"/>
  <c r="H56" i="9" s="1"/>
  <c r="G56" i="9"/>
  <c r="M56" i="9"/>
  <c r="O56" i="9" s="1"/>
  <c r="N56" i="9"/>
  <c r="F57" i="9"/>
  <c r="H57" i="9" s="1"/>
  <c r="G57" i="9"/>
  <c r="M57" i="9"/>
  <c r="O57" i="9" s="1"/>
  <c r="N57" i="9"/>
  <c r="F58" i="9"/>
  <c r="H58" i="9" s="1"/>
  <c r="G58" i="9"/>
  <c r="M58" i="9"/>
  <c r="O58" i="9" s="1"/>
  <c r="N58" i="9"/>
  <c r="F59" i="9"/>
  <c r="H59" i="9" s="1"/>
  <c r="G59" i="9"/>
  <c r="M59" i="9"/>
  <c r="O59" i="9" s="1"/>
  <c r="N59" i="9"/>
  <c r="F60" i="9"/>
  <c r="H60" i="9" s="1"/>
  <c r="G60" i="9"/>
  <c r="M60" i="9"/>
  <c r="O60" i="9" s="1"/>
  <c r="N60" i="9"/>
  <c r="F61" i="9"/>
  <c r="H61" i="9" s="1"/>
  <c r="G61" i="9"/>
  <c r="M61" i="9"/>
  <c r="O61" i="9" s="1"/>
  <c r="N61" i="9"/>
  <c r="F62" i="9"/>
  <c r="H62" i="9" s="1"/>
  <c r="G62" i="9"/>
  <c r="M62" i="9"/>
  <c r="O62" i="9" s="1"/>
  <c r="N62" i="9"/>
  <c r="F63" i="9"/>
  <c r="H63" i="9" s="1"/>
  <c r="G63" i="9"/>
  <c r="M63" i="9"/>
  <c r="O63" i="9" s="1"/>
  <c r="N63" i="9"/>
  <c r="F64" i="9"/>
  <c r="H64" i="9" s="1"/>
  <c r="G64" i="9"/>
  <c r="M64" i="9"/>
  <c r="O64" i="9" s="1"/>
  <c r="N64" i="9"/>
  <c r="F65" i="9"/>
  <c r="H65" i="9" s="1"/>
  <c r="G65" i="9"/>
  <c r="M65" i="9"/>
  <c r="O65" i="9" s="1"/>
  <c r="N65" i="9"/>
  <c r="F66" i="9"/>
  <c r="H66" i="9" s="1"/>
  <c r="G66" i="9"/>
  <c r="M66" i="9"/>
  <c r="O66" i="9" s="1"/>
  <c r="N66" i="9"/>
  <c r="F67" i="9"/>
  <c r="H67" i="9" s="1"/>
  <c r="G67" i="9"/>
  <c r="M67" i="9"/>
  <c r="O67" i="9" s="1"/>
  <c r="N67" i="9"/>
  <c r="F68" i="9"/>
  <c r="H68" i="9" s="1"/>
  <c r="G68" i="9"/>
  <c r="M68" i="9"/>
  <c r="O68" i="9" s="1"/>
  <c r="N68" i="9"/>
  <c r="F69" i="9"/>
  <c r="H69" i="9" s="1"/>
  <c r="G69" i="9"/>
  <c r="M69" i="9"/>
  <c r="O69" i="9" s="1"/>
  <c r="N69" i="9"/>
  <c r="F70" i="9"/>
  <c r="H70" i="9" s="1"/>
  <c r="G70" i="9"/>
  <c r="M70" i="9"/>
  <c r="O70" i="9" s="1"/>
  <c r="N70" i="9"/>
  <c r="F71" i="9"/>
  <c r="H71" i="9" s="1"/>
  <c r="G71" i="9"/>
  <c r="M71" i="9"/>
  <c r="O71" i="9" s="1"/>
  <c r="N71" i="9"/>
  <c r="F72" i="9"/>
  <c r="H72" i="9" s="1"/>
  <c r="G72" i="9"/>
  <c r="M72" i="9"/>
  <c r="O72" i="9" s="1"/>
  <c r="N72" i="9"/>
  <c r="F73" i="9"/>
  <c r="H73" i="9" s="1"/>
  <c r="G73" i="9"/>
  <c r="M73" i="9"/>
  <c r="O73" i="9" s="1"/>
  <c r="N73" i="9"/>
  <c r="F74" i="9"/>
  <c r="H74" i="9" s="1"/>
  <c r="G74" i="9"/>
  <c r="M74" i="9"/>
  <c r="O74" i="9" s="1"/>
  <c r="N74" i="9"/>
  <c r="F75" i="9"/>
  <c r="H75" i="9" s="1"/>
  <c r="G75" i="9"/>
  <c r="M75" i="9"/>
  <c r="O75" i="9" s="1"/>
  <c r="N75" i="9"/>
  <c r="F76" i="9"/>
  <c r="H76" i="9" s="1"/>
  <c r="G76" i="9"/>
  <c r="M76" i="9"/>
  <c r="O76" i="9" s="1"/>
  <c r="N76" i="9"/>
  <c r="F77" i="9"/>
  <c r="H77" i="9" s="1"/>
  <c r="G77" i="9"/>
  <c r="M77" i="9"/>
  <c r="O77" i="9" s="1"/>
  <c r="N77" i="9"/>
  <c r="F78" i="9"/>
  <c r="H78" i="9" s="1"/>
  <c r="G78" i="9"/>
  <c r="M78" i="9"/>
  <c r="O78" i="9" s="1"/>
  <c r="N78" i="9"/>
  <c r="F79" i="9"/>
  <c r="H79" i="9" s="1"/>
  <c r="G79" i="9"/>
  <c r="M79" i="9"/>
  <c r="O79" i="9" s="1"/>
  <c r="N79" i="9"/>
  <c r="F80" i="9"/>
  <c r="H80" i="9" s="1"/>
  <c r="G80" i="9"/>
  <c r="M80" i="9"/>
  <c r="O80" i="9" s="1"/>
  <c r="N80" i="9"/>
  <c r="F81" i="9"/>
  <c r="H81" i="9" s="1"/>
  <c r="G81" i="9"/>
  <c r="M81" i="9"/>
  <c r="O81" i="9" s="1"/>
  <c r="N81" i="9"/>
  <c r="F82" i="9"/>
  <c r="H82" i="9" s="1"/>
  <c r="G82" i="9"/>
  <c r="M82" i="9"/>
  <c r="O82" i="9" s="1"/>
  <c r="N82" i="9"/>
  <c r="F83" i="9"/>
  <c r="H83" i="9" s="1"/>
  <c r="G83" i="9"/>
  <c r="M83" i="9"/>
  <c r="O83" i="9" s="1"/>
  <c r="N83" i="9"/>
  <c r="F84" i="9"/>
  <c r="H84" i="9" s="1"/>
  <c r="G84" i="9"/>
  <c r="M84" i="9"/>
  <c r="O84" i="9" s="1"/>
  <c r="N84" i="9"/>
  <c r="F85" i="9"/>
  <c r="H85" i="9" s="1"/>
  <c r="G85" i="9"/>
  <c r="M85" i="9"/>
  <c r="O85" i="9" s="1"/>
  <c r="N85" i="9"/>
  <c r="F86" i="9"/>
  <c r="H86" i="9" s="1"/>
  <c r="G86" i="9"/>
  <c r="M86" i="9"/>
  <c r="O86" i="9" s="1"/>
  <c r="N86" i="9"/>
  <c r="F87" i="9"/>
  <c r="H87" i="9" s="1"/>
  <c r="G87" i="9"/>
  <c r="M87" i="9"/>
  <c r="O87" i="9" s="1"/>
  <c r="N87" i="9"/>
  <c r="F88" i="9"/>
  <c r="H88" i="9" s="1"/>
  <c r="G88" i="9"/>
  <c r="M88" i="9"/>
  <c r="O88" i="9" s="1"/>
  <c r="N88" i="9"/>
  <c r="F89" i="9"/>
  <c r="H89" i="9" s="1"/>
  <c r="G89" i="9"/>
  <c r="M89" i="9"/>
  <c r="O89" i="9" s="1"/>
  <c r="N89" i="9"/>
  <c r="F90" i="9"/>
  <c r="H90" i="9" s="1"/>
  <c r="G90" i="9"/>
  <c r="M90" i="9"/>
  <c r="O90" i="9" s="1"/>
  <c r="N90" i="9"/>
  <c r="F91" i="9"/>
  <c r="H91" i="9" s="1"/>
  <c r="G91" i="9"/>
  <c r="M91" i="9"/>
  <c r="O91" i="9" s="1"/>
  <c r="N91" i="9"/>
  <c r="F92" i="9"/>
  <c r="H92" i="9" s="1"/>
  <c r="G92" i="9"/>
  <c r="M92" i="9"/>
  <c r="O92" i="9" s="1"/>
  <c r="N92" i="9"/>
  <c r="F93" i="9"/>
  <c r="H93" i="9" s="1"/>
  <c r="G93" i="9"/>
  <c r="M93" i="9"/>
  <c r="O93" i="9" s="1"/>
  <c r="N93" i="9"/>
  <c r="F94" i="9"/>
  <c r="H94" i="9" s="1"/>
  <c r="G94" i="9"/>
  <c r="M94" i="9"/>
  <c r="O94" i="9" s="1"/>
  <c r="N94" i="9"/>
  <c r="F95" i="9"/>
  <c r="H95" i="9" s="1"/>
  <c r="G95" i="9"/>
  <c r="M95" i="9"/>
  <c r="O95" i="9" s="1"/>
  <c r="N95" i="9"/>
  <c r="F96" i="9"/>
  <c r="H96" i="9" s="1"/>
  <c r="G96" i="9"/>
  <c r="M96" i="9"/>
  <c r="O96" i="9" s="1"/>
  <c r="N96" i="9"/>
  <c r="F97" i="9"/>
  <c r="H97" i="9" s="1"/>
  <c r="G97" i="9"/>
  <c r="M97" i="9"/>
  <c r="O97" i="9" s="1"/>
  <c r="N97" i="9"/>
  <c r="F98" i="9"/>
  <c r="H98" i="9" s="1"/>
  <c r="G98" i="9"/>
  <c r="M98" i="9"/>
  <c r="O98" i="9" s="1"/>
  <c r="N98" i="9"/>
  <c r="F99" i="9"/>
  <c r="H99" i="9" s="1"/>
  <c r="G99" i="9"/>
  <c r="M99" i="9"/>
  <c r="O99" i="9" s="1"/>
  <c r="N99" i="9"/>
  <c r="F100" i="9"/>
  <c r="H100" i="9" s="1"/>
  <c r="G100" i="9"/>
  <c r="M100" i="9"/>
  <c r="O100" i="9" s="1"/>
  <c r="N100" i="9"/>
  <c r="F101" i="9"/>
  <c r="H101" i="9" s="1"/>
  <c r="G101" i="9"/>
  <c r="M101" i="9"/>
  <c r="O101" i="9" s="1"/>
  <c r="N101" i="9"/>
  <c r="F102" i="9"/>
  <c r="H102" i="9" s="1"/>
  <c r="G102" i="9"/>
  <c r="M102" i="9"/>
  <c r="O102" i="9" s="1"/>
  <c r="N102" i="9"/>
  <c r="F103" i="9"/>
  <c r="H103" i="9" s="1"/>
  <c r="G103" i="9"/>
  <c r="M103" i="9"/>
  <c r="O103" i="9" s="1"/>
  <c r="N103" i="9"/>
  <c r="F104" i="9"/>
  <c r="H104" i="9" s="1"/>
  <c r="G104" i="9"/>
  <c r="M104" i="9"/>
  <c r="O104" i="9" s="1"/>
  <c r="N104" i="9"/>
  <c r="G16" i="8" a="1"/>
  <c r="G16" i="8" s="1"/>
  <c r="I16" i="8" s="1"/>
  <c r="H16" i="8" a="1"/>
  <c r="H16" i="8" s="1"/>
  <c r="G17" i="8" a="1"/>
  <c r="G17" i="8" s="1"/>
  <c r="I17" i="8" s="1"/>
  <c r="H17" i="8" a="1"/>
  <c r="H17" i="8" s="1"/>
  <c r="G18" i="8" a="1"/>
  <c r="G18" i="8" s="1"/>
  <c r="I18" i="8" s="1"/>
  <c r="H18" i="8" a="1"/>
  <c r="H18" i="8" s="1"/>
  <c r="G19" i="8" a="1"/>
  <c r="G19" i="8" s="1"/>
  <c r="I19" i="8" s="1"/>
  <c r="H19" i="8" a="1"/>
  <c r="H19" i="8" s="1"/>
  <c r="G20" i="8" a="1"/>
  <c r="G20" i="8" s="1"/>
  <c r="I20" i="8" s="1"/>
  <c r="H20" i="8" a="1"/>
  <c r="H20" i="8" s="1"/>
  <c r="G21" i="8" a="1"/>
  <c r="G21" i="8" s="1"/>
  <c r="I21" i="8" s="1"/>
  <c r="H21" i="8" a="1"/>
  <c r="H21" i="8" s="1"/>
  <c r="G22" i="8" a="1"/>
  <c r="G22" i="8" s="1"/>
  <c r="I22" i="8" s="1"/>
  <c r="H22" i="8" a="1"/>
  <c r="H22" i="8" s="1"/>
  <c r="G23" i="8" a="1"/>
  <c r="G23" i="8" s="1"/>
  <c r="I23" i="8" s="1"/>
  <c r="H23" i="8" a="1"/>
  <c r="H23" i="8" s="1"/>
  <c r="G24" i="8" a="1"/>
  <c r="G24" i="8" s="1"/>
  <c r="I24" i="8" s="1"/>
  <c r="H24" i="8" a="1"/>
  <c r="H24" i="8" s="1"/>
  <c r="G25" i="8" a="1"/>
  <c r="G25" i="8" s="1"/>
  <c r="I25" i="8" s="1"/>
  <c r="H25" i="8" a="1"/>
  <c r="H25" i="8" s="1"/>
  <c r="G26" i="8" a="1"/>
  <c r="G26" i="8" s="1"/>
  <c r="I26" i="8" s="1"/>
  <c r="H26" i="8" a="1"/>
  <c r="H26" i="8" s="1"/>
  <c r="G27" i="8" a="1"/>
  <c r="G27" i="8" s="1"/>
  <c r="I27" i="8" s="1"/>
  <c r="H27" i="8" a="1"/>
  <c r="H27" i="8" s="1"/>
  <c r="G28" i="8" a="1"/>
  <c r="G28" i="8" s="1"/>
  <c r="I28" i="8" s="1"/>
  <c r="H28" i="8" a="1"/>
  <c r="H28" i="8" s="1"/>
  <c r="G29" i="8" a="1"/>
  <c r="G29" i="8" s="1"/>
  <c r="I29" i="8" s="1"/>
  <c r="H29" i="8" a="1"/>
  <c r="H29" i="8" s="1"/>
  <c r="G30" i="8" a="1"/>
  <c r="G30" i="8" s="1"/>
  <c r="I30" i="8" s="1"/>
  <c r="H30" i="8" a="1"/>
  <c r="H30" i="8" s="1"/>
  <c r="G31" i="8" a="1"/>
  <c r="G31" i="8" s="1"/>
  <c r="I31" i="8" s="1"/>
  <c r="H31" i="8" a="1"/>
  <c r="H31" i="8" s="1"/>
  <c r="G32" i="8" a="1"/>
  <c r="G32" i="8" s="1"/>
  <c r="I32" i="8" s="1"/>
  <c r="H32" i="8" a="1"/>
  <c r="H32" i="8" s="1"/>
  <c r="G33" i="8" a="1"/>
  <c r="G33" i="8" s="1"/>
  <c r="I33" i="8" s="1"/>
  <c r="H33" i="8" a="1"/>
  <c r="H33" i="8" s="1"/>
  <c r="G34" i="8" a="1"/>
  <c r="G34" i="8" s="1"/>
  <c r="I34" i="8" s="1"/>
  <c r="H34" i="8" a="1"/>
  <c r="H34" i="8" s="1"/>
  <c r="G35" i="8" a="1"/>
  <c r="G35" i="8" s="1"/>
  <c r="I35" i="8" s="1"/>
  <c r="H35" i="8" a="1"/>
  <c r="H35" i="8" s="1"/>
  <c r="G36" i="8" a="1"/>
  <c r="G36" i="8" s="1"/>
  <c r="I36" i="8" s="1"/>
  <c r="H36" i="8" a="1"/>
  <c r="H36" i="8" s="1"/>
  <c r="G37" i="8" a="1"/>
  <c r="G37" i="8" s="1"/>
  <c r="I37" i="8" s="1"/>
  <c r="H37" i="8" a="1"/>
  <c r="H37" i="8" s="1"/>
  <c r="G38" i="8" a="1"/>
  <c r="G38" i="8" s="1"/>
  <c r="I38" i="8" s="1"/>
  <c r="H38" i="8" a="1"/>
  <c r="H38" i="8" s="1"/>
  <c r="G39" i="8" a="1"/>
  <c r="G39" i="8" s="1"/>
  <c r="I39" i="8" s="1"/>
  <c r="H39" i="8" a="1"/>
  <c r="H39" i="8" s="1"/>
  <c r="G40" i="8" a="1"/>
  <c r="G40" i="8" s="1"/>
  <c r="I40" i="8" s="1"/>
  <c r="H40" i="8" a="1"/>
  <c r="H40" i="8" s="1"/>
  <c r="G41" i="8" a="1"/>
  <c r="G41" i="8" s="1"/>
  <c r="I41" i="8" s="1"/>
  <c r="H41" i="8" a="1"/>
  <c r="H41" i="8" s="1"/>
  <c r="G42" i="8" a="1"/>
  <c r="G42" i="8" s="1"/>
  <c r="I42" i="8" s="1"/>
  <c r="H42" i="8" a="1"/>
  <c r="H42" i="8" s="1"/>
  <c r="G43" i="8" a="1"/>
  <c r="G43" i="8" s="1"/>
  <c r="I43" i="8" s="1"/>
  <c r="H43" i="8" a="1"/>
  <c r="H43" i="8" s="1"/>
  <c r="G44" i="8" a="1"/>
  <c r="G44" i="8" s="1"/>
  <c r="I44" i="8" s="1"/>
  <c r="H44" i="8" a="1"/>
  <c r="H44" i="8"/>
  <c r="G45" i="8" a="1"/>
  <c r="G45" i="8" s="1"/>
  <c r="I45" i="8" s="1"/>
  <c r="H45" i="8" a="1"/>
  <c r="H45" i="8" s="1"/>
  <c r="G46" i="8" a="1"/>
  <c r="G46" i="8" s="1"/>
  <c r="I46" i="8" s="1"/>
  <c r="H46" i="8" a="1"/>
  <c r="H46" i="8" s="1"/>
  <c r="G47" i="8" a="1"/>
  <c r="G47" i="8" s="1"/>
  <c r="I47" i="8" s="1"/>
  <c r="H47" i="8" a="1"/>
  <c r="H47" i="8" s="1"/>
  <c r="G48" i="8" a="1"/>
  <c r="G48" i="8" s="1"/>
  <c r="I48" i="8" s="1"/>
  <c r="H48" i="8" a="1"/>
  <c r="H48" i="8" s="1"/>
  <c r="G49" i="8" a="1"/>
  <c r="G49" i="8" s="1"/>
  <c r="I49" i="8" s="1"/>
  <c r="H49" i="8" a="1"/>
  <c r="H49" i="8" s="1"/>
  <c r="G50" i="8" a="1"/>
  <c r="G50" i="8" s="1"/>
  <c r="I50" i="8" s="1"/>
  <c r="H50" i="8" a="1"/>
  <c r="H50" i="8" s="1"/>
  <c r="G51" i="8" a="1"/>
  <c r="G51" i="8" s="1"/>
  <c r="I51" i="8" s="1"/>
  <c r="H51" i="8" a="1"/>
  <c r="H51" i="8" s="1"/>
  <c r="G52" i="8" a="1"/>
  <c r="G52" i="8" s="1"/>
  <c r="I52" i="8" s="1"/>
  <c r="H52" i="8" a="1"/>
  <c r="H52" i="8" s="1"/>
  <c r="G53" i="8" a="1"/>
  <c r="G53" i="8" s="1"/>
  <c r="I53" i="8" s="1"/>
  <c r="H53" i="8" a="1"/>
  <c r="H53" i="8" s="1"/>
  <c r="G54" i="8" a="1"/>
  <c r="G54" i="8" s="1"/>
  <c r="I54" i="8" s="1"/>
  <c r="H54" i="8" a="1"/>
  <c r="H54" i="8" s="1"/>
  <c r="G55" i="8" a="1"/>
  <c r="G55" i="8" s="1"/>
  <c r="I55" i="8" s="1"/>
  <c r="H55" i="8" a="1"/>
  <c r="H55" i="8" s="1"/>
  <c r="G56" i="8" a="1"/>
  <c r="G56" i="8" s="1"/>
  <c r="I56" i="8" s="1"/>
  <c r="H56" i="8" a="1"/>
  <c r="H56" i="8" s="1"/>
  <c r="G57" i="8" a="1"/>
  <c r="G57" i="8" s="1"/>
  <c r="I57" i="8" s="1"/>
  <c r="H57" i="8" a="1"/>
  <c r="H57" i="8" s="1"/>
  <c r="G58" i="8" a="1"/>
  <c r="G58" i="8" s="1"/>
  <c r="I58" i="8" s="1"/>
  <c r="H58" i="8" a="1"/>
  <c r="H58" i="8" s="1"/>
  <c r="G59" i="8" a="1"/>
  <c r="G59" i="8" s="1"/>
  <c r="I59" i="8" s="1"/>
  <c r="H59" i="8" a="1"/>
  <c r="H59" i="8" s="1"/>
  <c r="G60" i="8" a="1"/>
  <c r="G60" i="8" s="1"/>
  <c r="I60" i="8" s="1"/>
  <c r="H60" i="8" a="1"/>
  <c r="H60" i="8" s="1"/>
  <c r="G61" i="8" a="1"/>
  <c r="G61" i="8" s="1"/>
  <c r="I61" i="8" s="1"/>
  <c r="H61" i="8" a="1"/>
  <c r="H61" i="8" s="1"/>
  <c r="G62" i="8" a="1"/>
  <c r="G62" i="8" s="1"/>
  <c r="I62" i="8" s="1"/>
  <c r="H62" i="8" a="1"/>
  <c r="H62" i="8" s="1"/>
  <c r="G63" i="8" a="1"/>
  <c r="G63" i="8" s="1"/>
  <c r="I63" i="8" s="1"/>
  <c r="H63" i="8" a="1"/>
  <c r="H63" i="8" s="1"/>
  <c r="G64" i="8" a="1"/>
  <c r="G64" i="8" s="1"/>
  <c r="I64" i="8" s="1"/>
  <c r="H64" i="8" a="1"/>
  <c r="H64" i="8" s="1"/>
  <c r="G65" i="8" a="1"/>
  <c r="G65" i="8" s="1"/>
  <c r="I65" i="8" s="1"/>
  <c r="H65" i="8" a="1"/>
  <c r="H65" i="8" s="1"/>
  <c r="G66" i="8" a="1"/>
  <c r="G66" i="8" s="1"/>
  <c r="I66" i="8" s="1"/>
  <c r="H66" i="8" a="1"/>
  <c r="H66" i="8" s="1"/>
  <c r="G67" i="8" a="1"/>
  <c r="G67" i="8" s="1"/>
  <c r="I67" i="8" s="1"/>
  <c r="H67" i="8" a="1"/>
  <c r="H67" i="8" s="1"/>
  <c r="G68" i="8" a="1"/>
  <c r="G68" i="8" s="1"/>
  <c r="I68" i="8" s="1"/>
  <c r="H68" i="8" a="1"/>
  <c r="H68" i="8" s="1"/>
  <c r="G69" i="8" a="1"/>
  <c r="G69" i="8" s="1"/>
  <c r="I69" i="8" s="1"/>
  <c r="H69" i="8" a="1"/>
  <c r="H69" i="8" s="1"/>
  <c r="G70" i="8" a="1"/>
  <c r="G70" i="8" s="1"/>
  <c r="I70" i="8" s="1"/>
  <c r="H70" i="8" a="1"/>
  <c r="H70" i="8" s="1"/>
  <c r="G71" i="8" a="1"/>
  <c r="G71" i="8" s="1"/>
  <c r="I71" i="8" s="1"/>
  <c r="H71" i="8" a="1"/>
  <c r="H71" i="8" s="1"/>
  <c r="G72" i="8" a="1"/>
  <c r="G72" i="8" s="1"/>
  <c r="I72" i="8" s="1"/>
  <c r="H72" i="8" a="1"/>
  <c r="H72" i="8" s="1"/>
  <c r="G73" i="8" a="1"/>
  <c r="G73" i="8" s="1"/>
  <c r="I73" i="8" s="1"/>
  <c r="H73" i="8" a="1"/>
  <c r="H73" i="8" s="1"/>
  <c r="G74" i="8" a="1"/>
  <c r="G74" i="8" s="1"/>
  <c r="I74" i="8" s="1"/>
  <c r="H74" i="8" a="1"/>
  <c r="H74" i="8" s="1"/>
  <c r="G75" i="8" a="1"/>
  <c r="G75" i="8" s="1"/>
  <c r="I75" i="8" s="1"/>
  <c r="H75" i="8" a="1"/>
  <c r="H75" i="8" s="1"/>
  <c r="G76" i="8" a="1"/>
  <c r="G76" i="8" s="1"/>
  <c r="I76" i="8" s="1"/>
  <c r="H76" i="8" a="1"/>
  <c r="H76" i="8" s="1"/>
  <c r="G77" i="8" a="1"/>
  <c r="G77" i="8" s="1"/>
  <c r="I77" i="8" s="1"/>
  <c r="H77" i="8" a="1"/>
  <c r="H77" i="8"/>
  <c r="G78" i="8" a="1"/>
  <c r="G78" i="8" s="1"/>
  <c r="I78" i="8" s="1"/>
  <c r="H78" i="8" a="1"/>
  <c r="H78" i="8" s="1"/>
  <c r="G79" i="8" a="1"/>
  <c r="G79" i="8" s="1"/>
  <c r="I79" i="8" s="1"/>
  <c r="H79" i="8" a="1"/>
  <c r="H79" i="8" s="1"/>
  <c r="G80" i="8" a="1"/>
  <c r="G80" i="8" s="1"/>
  <c r="I80" i="8" s="1"/>
  <c r="H80" i="8" a="1"/>
  <c r="H80" i="8" s="1"/>
  <c r="G81" i="8" a="1"/>
  <c r="G81" i="8" s="1"/>
  <c r="I81" i="8" s="1"/>
  <c r="H81" i="8" a="1"/>
  <c r="H81" i="8" s="1"/>
  <c r="G82" i="8" a="1"/>
  <c r="G82" i="8" s="1"/>
  <c r="I82" i="8" s="1"/>
  <c r="H82" i="8" a="1"/>
  <c r="H82" i="8" s="1"/>
  <c r="G83" i="8" a="1"/>
  <c r="G83" i="8" s="1"/>
  <c r="I83" i="8" s="1"/>
  <c r="H83" i="8" a="1"/>
  <c r="H83" i="8" s="1"/>
  <c r="G84" i="8" a="1"/>
  <c r="G84" i="8" s="1"/>
  <c r="I84" i="8" s="1"/>
  <c r="H84" i="8" a="1"/>
  <c r="H84" i="8" s="1"/>
  <c r="G85" i="8" a="1"/>
  <c r="G85" i="8" s="1"/>
  <c r="I85" i="8" s="1"/>
  <c r="H85" i="8" a="1"/>
  <c r="H85" i="8" s="1"/>
  <c r="G86" i="8" a="1"/>
  <c r="G86" i="8" s="1"/>
  <c r="I86" i="8" s="1"/>
  <c r="H86" i="8" a="1"/>
  <c r="H86" i="8" s="1"/>
  <c r="G87" i="8" a="1"/>
  <c r="G87" i="8" s="1"/>
  <c r="I87" i="8" s="1"/>
  <c r="H87" i="8" a="1"/>
  <c r="H87" i="8" s="1"/>
  <c r="G88" i="8" a="1"/>
  <c r="G88" i="8" s="1"/>
  <c r="I88" i="8" s="1"/>
  <c r="H88" i="8" a="1"/>
  <c r="H88" i="8" s="1"/>
  <c r="G89" i="8" a="1"/>
  <c r="G89" i="8" s="1"/>
  <c r="I89" i="8" s="1"/>
  <c r="H89" i="8" a="1"/>
  <c r="H89" i="8" s="1"/>
  <c r="G90" i="8" a="1"/>
  <c r="G90" i="8" s="1"/>
  <c r="I90" i="8" s="1"/>
  <c r="H90" i="8" a="1"/>
  <c r="H90" i="8" s="1"/>
  <c r="G91" i="8" a="1"/>
  <c r="G91" i="8" s="1"/>
  <c r="I91" i="8" s="1"/>
  <c r="H91" i="8" a="1"/>
  <c r="H91" i="8" s="1"/>
  <c r="G92" i="8" a="1"/>
  <c r="G92" i="8" s="1"/>
  <c r="I92" i="8" s="1"/>
  <c r="H92" i="8" a="1"/>
  <c r="H92" i="8" s="1"/>
  <c r="G93" i="8" a="1"/>
  <c r="G93" i="8" s="1"/>
  <c r="I93" i="8" s="1"/>
  <c r="H93" i="8" a="1"/>
  <c r="H93" i="8" s="1"/>
  <c r="G94" i="8" a="1"/>
  <c r="G94" i="8" s="1"/>
  <c r="I94" i="8" s="1"/>
  <c r="H94" i="8" a="1"/>
  <c r="H94" i="8" s="1"/>
  <c r="G95" i="8" a="1"/>
  <c r="G95" i="8" s="1"/>
  <c r="I95" i="8" s="1"/>
  <c r="H95" i="8" a="1"/>
  <c r="H95" i="8" s="1"/>
  <c r="G96" i="8" a="1"/>
  <c r="G96" i="8" s="1"/>
  <c r="I96" i="8" s="1"/>
  <c r="H96" i="8" a="1"/>
  <c r="H96" i="8" s="1"/>
  <c r="G97" i="8" a="1"/>
  <c r="G97" i="8" s="1"/>
  <c r="I97" i="8" s="1"/>
  <c r="H97" i="8" a="1"/>
  <c r="H97" i="8" s="1"/>
  <c r="G98" i="8" a="1"/>
  <c r="G98" i="8" s="1"/>
  <c r="I98" i="8" s="1"/>
  <c r="H98" i="8" a="1"/>
  <c r="H98" i="8" s="1"/>
  <c r="G99" i="8" a="1"/>
  <c r="G99" i="8" s="1"/>
  <c r="I99" i="8" s="1"/>
  <c r="H99" i="8" a="1"/>
  <c r="H99" i="8" s="1"/>
  <c r="G100" i="8" a="1"/>
  <c r="G100" i="8" s="1"/>
  <c r="I100" i="8" s="1"/>
  <c r="H100" i="8" a="1"/>
  <c r="H100" i="8" s="1"/>
  <c r="G101" i="8" a="1"/>
  <c r="G101" i="8" s="1"/>
  <c r="I101" i="8" s="1"/>
  <c r="H101" i="8" a="1"/>
  <c r="H101" i="8" s="1"/>
  <c r="G102" i="8" a="1"/>
  <c r="G102" i="8" s="1"/>
  <c r="I102" i="8" s="1"/>
  <c r="H102" i="8" a="1"/>
  <c r="H102" i="8" s="1"/>
  <c r="G103" i="8" a="1"/>
  <c r="G103" i="8" s="1"/>
  <c r="I103" i="8" s="1"/>
  <c r="H103" i="8" a="1"/>
  <c r="H103" i="8" s="1"/>
  <c r="H19" i="11"/>
  <c r="J19" i="11"/>
  <c r="K19" i="11"/>
  <c r="H20" i="11"/>
  <c r="J20" i="11"/>
  <c r="K20" i="11"/>
  <c r="H21" i="11"/>
  <c r="J21" i="11"/>
  <c r="K21" i="11"/>
  <c r="H22" i="11"/>
  <c r="J22" i="11"/>
  <c r="K22" i="11"/>
  <c r="H23" i="11"/>
  <c r="J23" i="11"/>
  <c r="K23" i="11"/>
  <c r="H24" i="11"/>
  <c r="J24" i="11"/>
  <c r="K24" i="11"/>
  <c r="H25" i="11"/>
  <c r="J25" i="11"/>
  <c r="K25" i="11"/>
  <c r="H26" i="11"/>
  <c r="J26" i="11"/>
  <c r="K26" i="11"/>
  <c r="H27" i="11"/>
  <c r="J27" i="11"/>
  <c r="K27" i="11"/>
  <c r="H28" i="11"/>
  <c r="J28" i="11"/>
  <c r="K28" i="11"/>
  <c r="H29" i="11"/>
  <c r="J29" i="11"/>
  <c r="K29" i="11"/>
  <c r="H30" i="11"/>
  <c r="J30" i="11"/>
  <c r="K30" i="11"/>
  <c r="H31" i="11"/>
  <c r="J31" i="11"/>
  <c r="K31" i="11"/>
  <c r="H32" i="11"/>
  <c r="J32" i="11"/>
  <c r="K32" i="11"/>
  <c r="H33" i="11"/>
  <c r="J33" i="11"/>
  <c r="K33" i="11"/>
  <c r="H34" i="11"/>
  <c r="J34" i="11"/>
  <c r="K34" i="11"/>
  <c r="H35" i="11"/>
  <c r="J35" i="11"/>
  <c r="K35" i="11"/>
  <c r="H36" i="11"/>
  <c r="J36" i="11"/>
  <c r="K36" i="11"/>
  <c r="H37" i="11"/>
  <c r="J37" i="11"/>
  <c r="K37" i="11"/>
  <c r="H38" i="11"/>
  <c r="J38" i="11"/>
  <c r="K38" i="11"/>
  <c r="H39" i="11"/>
  <c r="J39" i="11"/>
  <c r="K39" i="11"/>
  <c r="H40" i="11"/>
  <c r="J40" i="11"/>
  <c r="K40" i="11"/>
  <c r="H41" i="11"/>
  <c r="J41" i="11"/>
  <c r="K41" i="11"/>
  <c r="H42" i="11"/>
  <c r="J42" i="11"/>
  <c r="K42" i="11"/>
  <c r="H43" i="11"/>
  <c r="J43" i="11"/>
  <c r="K43" i="11"/>
  <c r="H44" i="11"/>
  <c r="J44" i="11"/>
  <c r="K44" i="11"/>
  <c r="H45" i="11"/>
  <c r="J45" i="11"/>
  <c r="K45" i="11"/>
  <c r="H46" i="11"/>
  <c r="J46" i="11"/>
  <c r="K46" i="11"/>
  <c r="H47" i="11"/>
  <c r="J47" i="11"/>
  <c r="K47" i="11"/>
  <c r="H48" i="11"/>
  <c r="J48" i="11"/>
  <c r="K48" i="11"/>
  <c r="H49" i="11"/>
  <c r="J49" i="11"/>
  <c r="K49" i="11"/>
  <c r="H50" i="11"/>
  <c r="J50" i="11"/>
  <c r="K50" i="11"/>
  <c r="H51" i="11"/>
  <c r="J51" i="11"/>
  <c r="K51" i="11"/>
  <c r="H52" i="11"/>
  <c r="J52" i="11"/>
  <c r="K52" i="11"/>
  <c r="H53" i="11"/>
  <c r="J53" i="11"/>
  <c r="K53" i="11"/>
  <c r="H54" i="11"/>
  <c r="J54" i="11"/>
  <c r="K54" i="11"/>
  <c r="H55" i="11"/>
  <c r="J55" i="11"/>
  <c r="K55" i="11"/>
  <c r="H56" i="11"/>
  <c r="J56" i="11"/>
  <c r="K56" i="11"/>
  <c r="H57" i="11"/>
  <c r="J57" i="11"/>
  <c r="K57" i="11"/>
  <c r="H58" i="11"/>
  <c r="J58" i="11"/>
  <c r="K58" i="11"/>
  <c r="H59" i="11"/>
  <c r="J59" i="11"/>
  <c r="K59" i="11"/>
  <c r="H60" i="11"/>
  <c r="J60" i="11"/>
  <c r="K60" i="11"/>
  <c r="H61" i="11"/>
  <c r="J61" i="11"/>
  <c r="K61" i="11"/>
  <c r="H62" i="11"/>
  <c r="J62" i="11"/>
  <c r="K62" i="11"/>
  <c r="H63" i="11"/>
  <c r="J63" i="11"/>
  <c r="K63" i="11"/>
  <c r="H64" i="11"/>
  <c r="J64" i="11"/>
  <c r="K64" i="11"/>
  <c r="H65" i="11"/>
  <c r="J65" i="11"/>
  <c r="K65" i="11"/>
  <c r="H66" i="11"/>
  <c r="J66" i="11"/>
  <c r="K66" i="11"/>
  <c r="H67" i="11"/>
  <c r="J67" i="11"/>
  <c r="K67" i="11"/>
  <c r="H68" i="11"/>
  <c r="J68" i="11"/>
  <c r="K68" i="11"/>
  <c r="H69" i="11"/>
  <c r="J69" i="11"/>
  <c r="K69" i="11"/>
  <c r="H70" i="11"/>
  <c r="J70" i="11"/>
  <c r="K70" i="11"/>
  <c r="H71" i="11"/>
  <c r="J71" i="11"/>
  <c r="K71" i="11"/>
  <c r="H72" i="11"/>
  <c r="J72" i="11"/>
  <c r="K72" i="11"/>
  <c r="H73" i="11"/>
  <c r="J73" i="11"/>
  <c r="K73" i="11"/>
  <c r="H74" i="11"/>
  <c r="J74" i="11"/>
  <c r="K74" i="11"/>
  <c r="H75" i="11"/>
  <c r="J75" i="11"/>
  <c r="K75" i="11"/>
  <c r="H76" i="11"/>
  <c r="J76" i="11"/>
  <c r="K76" i="11"/>
  <c r="H77" i="11"/>
  <c r="J77" i="11"/>
  <c r="K77" i="11"/>
  <c r="H78" i="11"/>
  <c r="J78" i="11"/>
  <c r="K78" i="11"/>
  <c r="H79" i="11"/>
  <c r="J79" i="11"/>
  <c r="K79" i="11"/>
  <c r="H80" i="11"/>
  <c r="J80" i="11"/>
  <c r="K80" i="11"/>
  <c r="H81" i="11"/>
  <c r="J81" i="11"/>
  <c r="K81" i="11"/>
  <c r="H82" i="11"/>
  <c r="J82" i="11"/>
  <c r="K82" i="11"/>
  <c r="H83" i="11"/>
  <c r="J83" i="11"/>
  <c r="K83" i="11"/>
  <c r="H84" i="11"/>
  <c r="J84" i="11"/>
  <c r="K84" i="11"/>
  <c r="H85" i="11"/>
  <c r="J85" i="11"/>
  <c r="K85" i="11"/>
  <c r="H86" i="11"/>
  <c r="J86" i="11"/>
  <c r="K86" i="11"/>
  <c r="H87" i="11"/>
  <c r="J87" i="11"/>
  <c r="K87" i="11"/>
  <c r="H88" i="11"/>
  <c r="J88" i="11"/>
  <c r="K88" i="11"/>
  <c r="H89" i="11"/>
  <c r="J89" i="11"/>
  <c r="K89" i="11"/>
  <c r="H90" i="11"/>
  <c r="J90" i="11"/>
  <c r="K90" i="11"/>
  <c r="H91" i="11"/>
  <c r="J91" i="11"/>
  <c r="K91" i="11"/>
  <c r="H92" i="11"/>
  <c r="J92" i="11"/>
  <c r="K92" i="11"/>
  <c r="H93" i="11"/>
  <c r="J93" i="11"/>
  <c r="K93" i="11"/>
  <c r="H94" i="11"/>
  <c r="J94" i="11"/>
  <c r="K94" i="11"/>
  <c r="H95" i="11"/>
  <c r="J95" i="11"/>
  <c r="K95" i="11"/>
  <c r="H96" i="11"/>
  <c r="J96" i="11"/>
  <c r="K96" i="11"/>
  <c r="H97" i="11"/>
  <c r="J97" i="11"/>
  <c r="K97" i="11"/>
  <c r="H98" i="11"/>
  <c r="J98" i="11"/>
  <c r="K98" i="11"/>
  <c r="H99" i="11"/>
  <c r="J99" i="11"/>
  <c r="K99" i="11"/>
  <c r="H100" i="11"/>
  <c r="J100" i="11"/>
  <c r="K100" i="11"/>
  <c r="H101" i="11"/>
  <c r="J101" i="11"/>
  <c r="K101" i="11"/>
  <c r="H102" i="11"/>
  <c r="J102" i="11"/>
  <c r="K102" i="11"/>
  <c r="H103" i="11"/>
  <c r="J103" i="11"/>
  <c r="K103" i="11"/>
  <c r="H104" i="11"/>
  <c r="J104" i="11"/>
  <c r="K104" i="11"/>
  <c r="I17" i="7"/>
  <c r="K17" i="7"/>
  <c r="M17" i="7" s="1"/>
  <c r="L17" i="7"/>
  <c r="I18" i="7"/>
  <c r="K18" i="7"/>
  <c r="M18" i="7" s="1"/>
  <c r="L18" i="7"/>
  <c r="I19" i="7"/>
  <c r="K19" i="7"/>
  <c r="M19" i="7" s="1"/>
  <c r="L19" i="7"/>
  <c r="I20" i="7"/>
  <c r="K20" i="7"/>
  <c r="M20" i="7" s="1"/>
  <c r="L20" i="7"/>
  <c r="I21" i="7"/>
  <c r="K21" i="7"/>
  <c r="M21" i="7" s="1"/>
  <c r="L21" i="7"/>
  <c r="I22" i="7"/>
  <c r="K22" i="7"/>
  <c r="M22" i="7" s="1"/>
  <c r="L22" i="7"/>
  <c r="I23" i="7"/>
  <c r="K23" i="7"/>
  <c r="M23" i="7" s="1"/>
  <c r="L23" i="7"/>
  <c r="I24" i="7"/>
  <c r="K24" i="7"/>
  <c r="M24" i="7" s="1"/>
  <c r="L24" i="7"/>
  <c r="I25" i="7"/>
  <c r="K25" i="7"/>
  <c r="M25" i="7" s="1"/>
  <c r="L25" i="7"/>
  <c r="I26" i="7"/>
  <c r="K26" i="7"/>
  <c r="M26" i="7" s="1"/>
  <c r="L26" i="7"/>
  <c r="I27" i="7"/>
  <c r="K27" i="7"/>
  <c r="M27" i="7" s="1"/>
  <c r="L27" i="7"/>
  <c r="I28" i="7"/>
  <c r="K28" i="7"/>
  <c r="M28" i="7" s="1"/>
  <c r="L28" i="7"/>
  <c r="I29" i="7"/>
  <c r="K29" i="7"/>
  <c r="M29" i="7" s="1"/>
  <c r="L29" i="7"/>
  <c r="I30" i="7"/>
  <c r="K30" i="7"/>
  <c r="M30" i="7" s="1"/>
  <c r="L30" i="7"/>
  <c r="I31" i="7"/>
  <c r="K31" i="7"/>
  <c r="L31" i="7"/>
  <c r="I32" i="7"/>
  <c r="K32" i="7"/>
  <c r="M32" i="7" s="1"/>
  <c r="L32" i="7"/>
  <c r="I33" i="7"/>
  <c r="K33" i="7"/>
  <c r="M33" i="7" s="1"/>
  <c r="L33" i="7"/>
  <c r="I34" i="7"/>
  <c r="K34" i="7"/>
  <c r="M34" i="7" s="1"/>
  <c r="L34" i="7"/>
  <c r="I35" i="7"/>
  <c r="K35" i="7"/>
  <c r="M35" i="7" s="1"/>
  <c r="L35" i="7"/>
  <c r="I36" i="7"/>
  <c r="K36" i="7"/>
  <c r="L36" i="7"/>
  <c r="I37" i="7"/>
  <c r="K37" i="7"/>
  <c r="M37" i="7" s="1"/>
  <c r="L37" i="7"/>
  <c r="I38" i="7"/>
  <c r="K38" i="7"/>
  <c r="L38" i="7"/>
  <c r="I39" i="7"/>
  <c r="K39" i="7"/>
  <c r="L39" i="7"/>
  <c r="I40" i="7"/>
  <c r="K40" i="7"/>
  <c r="L40" i="7"/>
  <c r="I41" i="7"/>
  <c r="K41" i="7"/>
  <c r="M41" i="7" s="1"/>
  <c r="L41" i="7"/>
  <c r="I42" i="7"/>
  <c r="K42" i="7"/>
  <c r="L42" i="7"/>
  <c r="I43" i="7"/>
  <c r="K43" i="7"/>
  <c r="L43" i="7"/>
  <c r="I44" i="7"/>
  <c r="K44" i="7"/>
  <c r="L44" i="7"/>
  <c r="I45" i="7"/>
  <c r="K45" i="7"/>
  <c r="M45" i="7" s="1"/>
  <c r="L45" i="7"/>
  <c r="I46" i="7"/>
  <c r="K46" i="7"/>
  <c r="L46" i="7"/>
  <c r="I47" i="7"/>
  <c r="K47" i="7"/>
  <c r="L47" i="7"/>
  <c r="I48" i="7"/>
  <c r="K48" i="7"/>
  <c r="L48" i="7"/>
  <c r="I49" i="7"/>
  <c r="K49" i="7"/>
  <c r="M49" i="7" s="1"/>
  <c r="L49" i="7"/>
  <c r="I50" i="7"/>
  <c r="K50" i="7"/>
  <c r="L50" i="7"/>
  <c r="I51" i="7"/>
  <c r="K51" i="7"/>
  <c r="L51" i="7"/>
  <c r="I52" i="7"/>
  <c r="K52" i="7"/>
  <c r="L52" i="7"/>
  <c r="I53" i="7"/>
  <c r="K53" i="7"/>
  <c r="M53" i="7" s="1"/>
  <c r="L53" i="7"/>
  <c r="I54" i="7"/>
  <c r="K54" i="7"/>
  <c r="L54" i="7"/>
  <c r="I55" i="7"/>
  <c r="K55" i="7"/>
  <c r="L55" i="7"/>
  <c r="I56" i="7"/>
  <c r="K56" i="7"/>
  <c r="L56" i="7"/>
  <c r="I57" i="7"/>
  <c r="K57" i="7"/>
  <c r="M57" i="7" s="1"/>
  <c r="L57" i="7"/>
  <c r="I58" i="7"/>
  <c r="K58" i="7"/>
  <c r="L58" i="7"/>
  <c r="I59" i="7"/>
  <c r="K59" i="7"/>
  <c r="L59" i="7"/>
  <c r="I60" i="7"/>
  <c r="K60" i="7"/>
  <c r="L60" i="7"/>
  <c r="I61" i="7"/>
  <c r="K61" i="7"/>
  <c r="M61" i="7" s="1"/>
  <c r="L61" i="7"/>
  <c r="I62" i="7"/>
  <c r="K62" i="7"/>
  <c r="L62" i="7"/>
  <c r="I63" i="7"/>
  <c r="K63" i="7"/>
  <c r="L63" i="7"/>
  <c r="I64" i="7"/>
  <c r="K64" i="7"/>
  <c r="L64" i="7"/>
  <c r="I65" i="7"/>
  <c r="K65" i="7"/>
  <c r="M65" i="7" s="1"/>
  <c r="L65" i="7"/>
  <c r="I66" i="7"/>
  <c r="K66" i="7"/>
  <c r="L66" i="7"/>
  <c r="I67" i="7"/>
  <c r="K67" i="7"/>
  <c r="L67" i="7"/>
  <c r="I68" i="7"/>
  <c r="K68" i="7"/>
  <c r="L68" i="7"/>
  <c r="I69" i="7"/>
  <c r="K69" i="7"/>
  <c r="M69" i="7" s="1"/>
  <c r="L69" i="7"/>
  <c r="I70" i="7"/>
  <c r="K70" i="7"/>
  <c r="L70" i="7"/>
  <c r="I71" i="7"/>
  <c r="K71" i="7"/>
  <c r="L71" i="7"/>
  <c r="I72" i="7"/>
  <c r="K72" i="7"/>
  <c r="L72" i="7"/>
  <c r="I73" i="7"/>
  <c r="K73" i="7"/>
  <c r="M73" i="7" s="1"/>
  <c r="L73" i="7"/>
  <c r="I74" i="7"/>
  <c r="K74" i="7"/>
  <c r="L74" i="7"/>
  <c r="I75" i="7"/>
  <c r="K75" i="7"/>
  <c r="L75" i="7"/>
  <c r="I76" i="7"/>
  <c r="K76" i="7"/>
  <c r="L76" i="7"/>
  <c r="I77" i="7"/>
  <c r="K77" i="7"/>
  <c r="M77" i="7" s="1"/>
  <c r="L77" i="7"/>
  <c r="I78" i="7"/>
  <c r="K78" i="7"/>
  <c r="L78" i="7"/>
  <c r="I79" i="7"/>
  <c r="K79" i="7"/>
  <c r="L79" i="7"/>
  <c r="I80" i="7"/>
  <c r="K80" i="7"/>
  <c r="L80" i="7"/>
  <c r="I81" i="7"/>
  <c r="K81" i="7"/>
  <c r="M81" i="7" s="1"/>
  <c r="L81" i="7"/>
  <c r="I82" i="7"/>
  <c r="K82" i="7"/>
  <c r="L82" i="7"/>
  <c r="I83" i="7"/>
  <c r="K83" i="7"/>
  <c r="L83" i="7"/>
  <c r="I84" i="7"/>
  <c r="K84" i="7"/>
  <c r="L84" i="7"/>
  <c r="I85" i="7"/>
  <c r="K85" i="7"/>
  <c r="M85" i="7" s="1"/>
  <c r="L85" i="7"/>
  <c r="I86" i="7"/>
  <c r="K86" i="7"/>
  <c r="L86" i="7"/>
  <c r="I87" i="7"/>
  <c r="K87" i="7"/>
  <c r="L87" i="7"/>
  <c r="I88" i="7"/>
  <c r="K88" i="7"/>
  <c r="L88" i="7"/>
  <c r="I89" i="7"/>
  <c r="K89" i="7"/>
  <c r="M89" i="7" s="1"/>
  <c r="L89" i="7"/>
  <c r="I90" i="7"/>
  <c r="K90" i="7"/>
  <c r="L90" i="7"/>
  <c r="I91" i="7"/>
  <c r="K91" i="7"/>
  <c r="L91" i="7"/>
  <c r="I92" i="7"/>
  <c r="K92" i="7"/>
  <c r="L92" i="7"/>
  <c r="I93" i="7"/>
  <c r="K93" i="7"/>
  <c r="M93" i="7" s="1"/>
  <c r="L93" i="7"/>
  <c r="I94" i="7"/>
  <c r="K94" i="7"/>
  <c r="L94" i="7"/>
  <c r="I95" i="7"/>
  <c r="K95" i="7"/>
  <c r="L95" i="7"/>
  <c r="I96" i="7"/>
  <c r="K96" i="7"/>
  <c r="L96" i="7"/>
  <c r="I97" i="7"/>
  <c r="K97" i="7"/>
  <c r="M97" i="7" s="1"/>
  <c r="L97" i="7"/>
  <c r="I98" i="7"/>
  <c r="K98" i="7"/>
  <c r="L98" i="7"/>
  <c r="I99" i="7"/>
  <c r="K99" i="7"/>
  <c r="L99" i="7"/>
  <c r="I100" i="7"/>
  <c r="K100" i="7"/>
  <c r="L100" i="7"/>
  <c r="I101" i="7"/>
  <c r="K101" i="7"/>
  <c r="M101" i="7" s="1"/>
  <c r="L101" i="7"/>
  <c r="I102" i="7"/>
  <c r="K102" i="7"/>
  <c r="L102" i="7"/>
  <c r="I103" i="7"/>
  <c r="K103" i="7"/>
  <c r="L103" i="7"/>
  <c r="E15" i="6"/>
  <c r="F15" i="6"/>
  <c r="G15" i="6" s="1" a="1"/>
  <c r="G15" i="6" s="1"/>
  <c r="E16" i="6"/>
  <c r="F16" i="6"/>
  <c r="E17" i="6"/>
  <c r="F17" i="6"/>
  <c r="E18" i="6"/>
  <c r="F18" i="6"/>
  <c r="G18" i="6" s="1" a="1"/>
  <c r="G18" i="6" s="1"/>
  <c r="E19" i="6"/>
  <c r="F19" i="6"/>
  <c r="E20" i="6"/>
  <c r="F20" i="6"/>
  <c r="E21" i="6"/>
  <c r="F21" i="6"/>
  <c r="G21" i="6" s="1" a="1"/>
  <c r="G21" i="6" s="1"/>
  <c r="E22" i="6"/>
  <c r="F22" i="6"/>
  <c r="E23" i="6"/>
  <c r="F23" i="6"/>
  <c r="E24" i="6"/>
  <c r="F24" i="6"/>
  <c r="G24" i="6" s="1" a="1"/>
  <c r="G24" i="6" s="1"/>
  <c r="E25" i="6"/>
  <c r="F25" i="6"/>
  <c r="E26" i="6"/>
  <c r="F26" i="6"/>
  <c r="E27" i="6"/>
  <c r="F27" i="6"/>
  <c r="G27" i="6" s="1" a="1"/>
  <c r="G27" i="6" s="1"/>
  <c r="E28" i="6"/>
  <c r="F28" i="6"/>
  <c r="E29" i="6"/>
  <c r="F29" i="6"/>
  <c r="E30" i="6"/>
  <c r="F30" i="6"/>
  <c r="G30" i="6" s="1" a="1"/>
  <c r="G30" i="6" s="1"/>
  <c r="E31" i="6"/>
  <c r="F31" i="6"/>
  <c r="E32" i="6"/>
  <c r="F32" i="6"/>
  <c r="E33" i="6"/>
  <c r="F33" i="6"/>
  <c r="G33" i="6" s="1" a="1"/>
  <c r="G33" i="6" s="1"/>
  <c r="E34" i="6"/>
  <c r="F34" i="6"/>
  <c r="E35" i="6"/>
  <c r="F35" i="6"/>
  <c r="E36" i="6"/>
  <c r="F36" i="6"/>
  <c r="G36" i="6" s="1" a="1"/>
  <c r="G36" i="6" s="1"/>
  <c r="E37" i="6"/>
  <c r="F37" i="6"/>
  <c r="E38" i="6"/>
  <c r="F38" i="6"/>
  <c r="E39" i="6"/>
  <c r="F39" i="6"/>
  <c r="G39" i="6" s="1" a="1"/>
  <c r="G39" i="6" s="1"/>
  <c r="E40" i="6"/>
  <c r="F40" i="6"/>
  <c r="E41" i="6"/>
  <c r="F41" i="6"/>
  <c r="E42" i="6"/>
  <c r="F42" i="6"/>
  <c r="G42" i="6" s="1" a="1"/>
  <c r="G42" i="6" s="1"/>
  <c r="E43" i="6"/>
  <c r="F43" i="6"/>
  <c r="E44" i="6"/>
  <c r="F44" i="6"/>
  <c r="E45" i="6"/>
  <c r="F45" i="6"/>
  <c r="G45" i="6" s="1" a="1"/>
  <c r="G45" i="6" s="1"/>
  <c r="E46" i="6"/>
  <c r="F46" i="6"/>
  <c r="E47" i="6"/>
  <c r="F47" i="6"/>
  <c r="E48" i="6"/>
  <c r="F48" i="6"/>
  <c r="G48" i="6" s="1" a="1"/>
  <c r="G48" i="6" s="1"/>
  <c r="E49" i="6"/>
  <c r="F49" i="6"/>
  <c r="E50" i="6"/>
  <c r="F50" i="6"/>
  <c r="E51" i="6"/>
  <c r="F51" i="6"/>
  <c r="G51" i="6" s="1" a="1"/>
  <c r="G51" i="6" s="1"/>
  <c r="E52" i="6"/>
  <c r="F52" i="6"/>
  <c r="E53" i="6"/>
  <c r="F53" i="6"/>
  <c r="E54" i="6"/>
  <c r="F54" i="6"/>
  <c r="G54" i="6" s="1" a="1"/>
  <c r="G54" i="6" s="1"/>
  <c r="E55" i="6"/>
  <c r="F55" i="6"/>
  <c r="E56" i="6"/>
  <c r="F56" i="6"/>
  <c r="E57" i="6"/>
  <c r="F57" i="6"/>
  <c r="G57" i="6" s="1" a="1"/>
  <c r="G57" i="6" s="1"/>
  <c r="E58" i="6"/>
  <c r="F58" i="6"/>
  <c r="E59" i="6"/>
  <c r="F59" i="6"/>
  <c r="E60" i="6"/>
  <c r="F60" i="6"/>
  <c r="G60" i="6" s="1" a="1"/>
  <c r="G60" i="6" s="1"/>
  <c r="E61" i="6"/>
  <c r="F61" i="6"/>
  <c r="E62" i="6"/>
  <c r="F62" i="6"/>
  <c r="E63" i="6"/>
  <c r="F63" i="6"/>
  <c r="G63" i="6" s="1" a="1"/>
  <c r="G63" i="6" s="1"/>
  <c r="E64" i="6"/>
  <c r="F64" i="6"/>
  <c r="E65" i="6"/>
  <c r="F65" i="6"/>
  <c r="E66" i="6"/>
  <c r="F66" i="6"/>
  <c r="G66" i="6" s="1" a="1"/>
  <c r="G66" i="6" s="1"/>
  <c r="E67" i="6"/>
  <c r="F67" i="6"/>
  <c r="E68" i="6"/>
  <c r="F68" i="6"/>
  <c r="E69" i="6"/>
  <c r="F69" i="6"/>
  <c r="G69" i="6" s="1" a="1"/>
  <c r="G69" i="6" s="1"/>
  <c r="E70" i="6"/>
  <c r="F70" i="6"/>
  <c r="E71" i="6"/>
  <c r="F71" i="6"/>
  <c r="E72" i="6"/>
  <c r="F72" i="6"/>
  <c r="G72" i="6" s="1" a="1"/>
  <c r="G72" i="6" s="1"/>
  <c r="E73" i="6"/>
  <c r="F73" i="6"/>
  <c r="E74" i="6"/>
  <c r="F74" i="6"/>
  <c r="E75" i="6"/>
  <c r="F75" i="6"/>
  <c r="G75" i="6" s="1" a="1"/>
  <c r="G75" i="6" s="1"/>
  <c r="E76" i="6"/>
  <c r="F76" i="6"/>
  <c r="E77" i="6"/>
  <c r="F77" i="6"/>
  <c r="E78" i="6"/>
  <c r="F78" i="6"/>
  <c r="G78" i="6" s="1" a="1"/>
  <c r="G78" i="6" s="1"/>
  <c r="E79" i="6"/>
  <c r="F79" i="6"/>
  <c r="E80" i="6"/>
  <c r="F80" i="6"/>
  <c r="E81" i="6"/>
  <c r="F81" i="6"/>
  <c r="G81" i="6" s="1" a="1"/>
  <c r="G81" i="6" s="1"/>
  <c r="E82" i="6"/>
  <c r="F82" i="6"/>
  <c r="E83" i="6"/>
  <c r="F83" i="6"/>
  <c r="E84" i="6"/>
  <c r="F84" i="6"/>
  <c r="G84" i="6" s="1" a="1"/>
  <c r="G84" i="6" s="1"/>
  <c r="E85" i="6"/>
  <c r="F85" i="6"/>
  <c r="E86" i="6"/>
  <c r="F86" i="6"/>
  <c r="E87" i="6"/>
  <c r="F87" i="6"/>
  <c r="G87" i="6" s="1" a="1"/>
  <c r="G87" i="6" s="1"/>
  <c r="E88" i="6"/>
  <c r="F88" i="6"/>
  <c r="E89" i="6"/>
  <c r="F89" i="6"/>
  <c r="E90" i="6"/>
  <c r="F90" i="6"/>
  <c r="G90" i="6" s="1" a="1"/>
  <c r="G90" i="6" s="1"/>
  <c r="E91" i="6"/>
  <c r="F91" i="6"/>
  <c r="E92" i="6"/>
  <c r="F92" i="6"/>
  <c r="E93" i="6"/>
  <c r="F93" i="6"/>
  <c r="G93" i="6" s="1" a="1"/>
  <c r="G93" i="6" s="1"/>
  <c r="E94" i="6"/>
  <c r="F94" i="6"/>
  <c r="E95" i="6"/>
  <c r="F95" i="6"/>
  <c r="E96" i="6"/>
  <c r="F96" i="6"/>
  <c r="G96" i="6" s="1" a="1"/>
  <c r="G96" i="6" s="1"/>
  <c r="E97" i="6"/>
  <c r="F97" i="6"/>
  <c r="E98" i="6"/>
  <c r="F98" i="6"/>
  <c r="E99" i="6"/>
  <c r="F99" i="6"/>
  <c r="G99" i="6" s="1" a="1"/>
  <c r="G99" i="6" s="1"/>
  <c r="E100" i="6"/>
  <c r="F100" i="6"/>
  <c r="E101" i="6"/>
  <c r="F101" i="6"/>
  <c r="E102" i="6"/>
  <c r="F102" i="6"/>
  <c r="G102" i="6" s="1" a="1"/>
  <c r="G102" i="6" s="1"/>
  <c r="E14" i="5"/>
  <c r="F14" i="5" s="1"/>
  <c r="E15" i="5"/>
  <c r="F15" i="5" s="1"/>
  <c r="E16" i="5"/>
  <c r="F16" i="5" s="1"/>
  <c r="E17" i="5"/>
  <c r="F17" i="5" s="1"/>
  <c r="E18" i="5"/>
  <c r="F18" i="5" s="1"/>
  <c r="E19" i="5"/>
  <c r="F19" i="5" s="1"/>
  <c r="E20" i="5"/>
  <c r="F20" i="5" s="1"/>
  <c r="E21" i="5"/>
  <c r="F21" i="5" s="1"/>
  <c r="E22" i="5"/>
  <c r="F22" i="5" s="1"/>
  <c r="E23" i="5"/>
  <c r="F23" i="5" s="1"/>
  <c r="E24" i="5"/>
  <c r="F24" i="5" s="1"/>
  <c r="E25" i="5"/>
  <c r="F25" i="5" s="1"/>
  <c r="E26" i="5"/>
  <c r="F26" i="5" s="1"/>
  <c r="E27" i="5"/>
  <c r="F27" i="5" s="1"/>
  <c r="E28" i="5"/>
  <c r="F28" i="5" s="1"/>
  <c r="E29" i="5"/>
  <c r="F29" i="5" s="1"/>
  <c r="E30" i="5"/>
  <c r="F30" i="5" s="1"/>
  <c r="E31" i="5"/>
  <c r="F31" i="5" s="1"/>
  <c r="E32" i="5"/>
  <c r="F32" i="5" s="1"/>
  <c r="E33" i="5"/>
  <c r="F33" i="5" s="1"/>
  <c r="E34" i="5"/>
  <c r="F34" i="5" s="1"/>
  <c r="E35" i="5"/>
  <c r="F35" i="5" s="1"/>
  <c r="E36" i="5"/>
  <c r="F36" i="5" s="1"/>
  <c r="E37" i="5"/>
  <c r="F37" i="5" s="1"/>
  <c r="E38" i="5"/>
  <c r="F38" i="5" s="1"/>
  <c r="E39" i="5"/>
  <c r="F39" i="5" s="1"/>
  <c r="E40" i="5"/>
  <c r="F40" i="5" s="1"/>
  <c r="E41" i="5"/>
  <c r="F41" i="5" s="1"/>
  <c r="E42" i="5"/>
  <c r="F42" i="5" s="1"/>
  <c r="E43" i="5"/>
  <c r="F43" i="5" s="1"/>
  <c r="E44" i="5"/>
  <c r="F44" i="5" s="1"/>
  <c r="E45" i="5"/>
  <c r="F45" i="5" s="1"/>
  <c r="E46" i="5"/>
  <c r="F46" i="5" s="1"/>
  <c r="E47" i="5"/>
  <c r="F47" i="5" s="1"/>
  <c r="E48" i="5"/>
  <c r="F48" i="5" s="1"/>
  <c r="E49" i="5"/>
  <c r="F49" i="5" s="1"/>
  <c r="E50" i="5"/>
  <c r="F50" i="5" s="1"/>
  <c r="E51" i="5"/>
  <c r="F51" i="5" s="1"/>
  <c r="E52" i="5"/>
  <c r="F52" i="5" s="1"/>
  <c r="E53" i="5"/>
  <c r="F53" i="5" s="1"/>
  <c r="E54" i="5"/>
  <c r="F54" i="5" s="1"/>
  <c r="E55" i="5"/>
  <c r="F55" i="5" s="1"/>
  <c r="E56" i="5"/>
  <c r="F56" i="5" s="1"/>
  <c r="E57" i="5"/>
  <c r="F57" i="5" s="1"/>
  <c r="E58" i="5"/>
  <c r="F58" i="5" s="1"/>
  <c r="E59" i="5"/>
  <c r="F59" i="5" s="1"/>
  <c r="E60" i="5"/>
  <c r="F60" i="5" s="1"/>
  <c r="E61" i="5"/>
  <c r="F61" i="5" s="1"/>
  <c r="E62" i="5"/>
  <c r="F62" i="5" s="1"/>
  <c r="E63" i="5"/>
  <c r="F63" i="5" s="1"/>
  <c r="E64" i="5"/>
  <c r="F64" i="5" s="1"/>
  <c r="E65" i="5"/>
  <c r="F65" i="5" s="1"/>
  <c r="E66" i="5"/>
  <c r="F66" i="5" s="1"/>
  <c r="E67" i="5"/>
  <c r="F67" i="5" s="1"/>
  <c r="E68" i="5"/>
  <c r="F68" i="5" s="1"/>
  <c r="E69" i="5"/>
  <c r="F69" i="5" s="1"/>
  <c r="E70" i="5"/>
  <c r="F70" i="5" s="1"/>
  <c r="E71" i="5"/>
  <c r="F71" i="5" s="1"/>
  <c r="E72" i="5"/>
  <c r="F72" i="5" s="1"/>
  <c r="E73" i="5"/>
  <c r="F73" i="5" s="1"/>
  <c r="E74" i="5"/>
  <c r="F74" i="5" s="1"/>
  <c r="E75" i="5"/>
  <c r="F75" i="5" s="1"/>
  <c r="E76" i="5"/>
  <c r="F76" i="5" s="1"/>
  <c r="E77" i="5"/>
  <c r="F77" i="5" s="1"/>
  <c r="E78" i="5"/>
  <c r="F78" i="5" s="1"/>
  <c r="E79" i="5"/>
  <c r="F79" i="5" s="1"/>
  <c r="E80" i="5"/>
  <c r="F80" i="5" s="1"/>
  <c r="E81" i="5"/>
  <c r="F81" i="5" s="1"/>
  <c r="E82" i="5"/>
  <c r="F82" i="5" s="1"/>
  <c r="E83" i="5"/>
  <c r="F83" i="5" s="1"/>
  <c r="E84" i="5"/>
  <c r="F84" i="5" s="1"/>
  <c r="E85" i="5"/>
  <c r="F85" i="5" s="1"/>
  <c r="E86" i="5"/>
  <c r="F86" i="5" s="1"/>
  <c r="E87" i="5"/>
  <c r="F87" i="5" s="1"/>
  <c r="E88" i="5"/>
  <c r="F88" i="5" s="1"/>
  <c r="E89" i="5"/>
  <c r="F89" i="5" s="1"/>
  <c r="E90" i="5"/>
  <c r="F90" i="5" s="1"/>
  <c r="E91" i="5"/>
  <c r="F91" i="5" s="1"/>
  <c r="E92" i="5"/>
  <c r="F92" i="5" s="1"/>
  <c r="E93" i="5"/>
  <c r="F93" i="5" s="1"/>
  <c r="E94" i="5"/>
  <c r="F94" i="5" s="1"/>
  <c r="E95" i="5"/>
  <c r="F95" i="5" s="1"/>
  <c r="E96" i="5"/>
  <c r="F96" i="5" s="1"/>
  <c r="E97" i="5"/>
  <c r="F97" i="5" s="1"/>
  <c r="E98" i="5"/>
  <c r="F98" i="5" s="1"/>
  <c r="E99" i="5"/>
  <c r="F99" i="5" s="1"/>
  <c r="E100" i="5"/>
  <c r="F100" i="5" s="1"/>
  <c r="E101" i="5"/>
  <c r="F101" i="5" s="1"/>
  <c r="E102" i="5"/>
  <c r="F102" i="5" s="1"/>
  <c r="G18" i="4" a="1"/>
  <c r="G18" i="4" s="1"/>
  <c r="J18" i="4" s="1" a="1"/>
  <c r="J18" i="4" s="1"/>
  <c r="M18" i="4" s="1"/>
  <c r="H18" i="4" a="1"/>
  <c r="H18" i="4" s="1"/>
  <c r="K18" i="4" s="1" a="1"/>
  <c r="K18" i="4" s="1"/>
  <c r="I18" i="4" a="1"/>
  <c r="I18" i="4" s="1"/>
  <c r="L18" i="4" s="1" a="1"/>
  <c r="L18" i="4" s="1"/>
  <c r="V18" i="4"/>
  <c r="W18" i="4"/>
  <c r="Z18" i="4" s="1" a="1"/>
  <c r="Z18" i="4" s="1"/>
  <c r="X18" i="4"/>
  <c r="Y18" i="4" a="1"/>
  <c r="Y18" i="4" s="1"/>
  <c r="AA18" i="4" a="1"/>
  <c r="AA18" i="4" s="1"/>
  <c r="G19" i="4" a="1"/>
  <c r="G19" i="4" s="1"/>
  <c r="J19" i="4" s="1" a="1"/>
  <c r="J19" i="4" s="1"/>
  <c r="M19" i="4" s="1"/>
  <c r="H19" i="4" a="1"/>
  <c r="H19" i="4" s="1"/>
  <c r="K19" i="4" s="1" a="1"/>
  <c r="K19" i="4" s="1"/>
  <c r="I19" i="4" a="1"/>
  <c r="I19" i="4" s="1"/>
  <c r="L19" i="4" s="1" a="1"/>
  <c r="L19" i="4" s="1"/>
  <c r="V19" i="4"/>
  <c r="Y19" i="4" s="1" a="1"/>
  <c r="Y19" i="4" s="1"/>
  <c r="W19" i="4"/>
  <c r="Z19" i="4" s="1" a="1"/>
  <c r="Z19" i="4" s="1"/>
  <c r="X19" i="4"/>
  <c r="AA19" i="4" s="1" a="1"/>
  <c r="AA19" i="4" s="1"/>
  <c r="G20" i="4" a="1"/>
  <c r="G20" i="4" s="1"/>
  <c r="J20" i="4" s="1" a="1"/>
  <c r="J20" i="4" s="1"/>
  <c r="M20" i="4" s="1"/>
  <c r="H20" i="4" a="1"/>
  <c r="H20" i="4" s="1"/>
  <c r="K20" i="4" s="1" a="1"/>
  <c r="K20" i="4" s="1"/>
  <c r="I20" i="4" a="1"/>
  <c r="I20" i="4" s="1"/>
  <c r="L20" i="4" s="1" a="1"/>
  <c r="L20" i="4" s="1"/>
  <c r="V20" i="4"/>
  <c r="Y20" i="4" s="1" a="1"/>
  <c r="Y20" i="4" s="1"/>
  <c r="W20" i="4"/>
  <c r="Z20" i="4" s="1" a="1"/>
  <c r="Z20" i="4" s="1"/>
  <c r="X20" i="4"/>
  <c r="AA20" i="4" s="1" a="1"/>
  <c r="AA20" i="4" s="1"/>
  <c r="G21" i="4" a="1"/>
  <c r="G21" i="4" s="1"/>
  <c r="J21" i="4" s="1" a="1"/>
  <c r="J21" i="4" s="1"/>
  <c r="M21" i="4" s="1"/>
  <c r="H21" i="4" a="1"/>
  <c r="H21" i="4" s="1"/>
  <c r="K21" i="4" s="1" a="1"/>
  <c r="K21" i="4" s="1"/>
  <c r="I21" i="4" a="1"/>
  <c r="I21" i="4" s="1"/>
  <c r="L21" i="4" s="1" a="1"/>
  <c r="L21" i="4" s="1"/>
  <c r="V21" i="4"/>
  <c r="Y21" i="4" s="1" a="1"/>
  <c r="Y21" i="4" s="1"/>
  <c r="W21" i="4"/>
  <c r="Z21" i="4" s="1" a="1"/>
  <c r="Z21" i="4" s="1"/>
  <c r="X21" i="4"/>
  <c r="AA21" i="4" s="1" a="1"/>
  <c r="AA21" i="4" s="1"/>
  <c r="G22" i="4" a="1"/>
  <c r="G22" i="4" s="1"/>
  <c r="J22" i="4" s="1" a="1"/>
  <c r="J22" i="4" s="1"/>
  <c r="M22" i="4" s="1"/>
  <c r="H22" i="4" a="1"/>
  <c r="H22" i="4" s="1"/>
  <c r="K22" i="4" s="1" a="1"/>
  <c r="K22" i="4" s="1"/>
  <c r="I22" i="4" a="1"/>
  <c r="I22" i="4" s="1"/>
  <c r="L22" i="4" s="1" a="1"/>
  <c r="L22" i="4" s="1"/>
  <c r="V22" i="4"/>
  <c r="Y22" i="4" s="1" a="1"/>
  <c r="Y22" i="4" s="1"/>
  <c r="W22" i="4"/>
  <c r="Z22" i="4" s="1" a="1"/>
  <c r="Z22" i="4" s="1"/>
  <c r="X22" i="4"/>
  <c r="AA22" i="4" s="1" a="1"/>
  <c r="AA22" i="4" s="1"/>
  <c r="G23" i="4" a="1"/>
  <c r="G23" i="4" s="1"/>
  <c r="J23" i="4" s="1" a="1"/>
  <c r="J23" i="4" s="1"/>
  <c r="M23" i="4" s="1"/>
  <c r="H23" i="4" a="1"/>
  <c r="H23" i="4" s="1"/>
  <c r="K23" i="4" s="1" a="1"/>
  <c r="K23" i="4" s="1"/>
  <c r="I23" i="4" a="1"/>
  <c r="I23" i="4" s="1"/>
  <c r="L23" i="4" s="1" a="1"/>
  <c r="L23" i="4" s="1"/>
  <c r="V23" i="4"/>
  <c r="Y23" i="4" s="1" a="1"/>
  <c r="Y23" i="4" s="1"/>
  <c r="W23" i="4"/>
  <c r="Z23" i="4" s="1" a="1"/>
  <c r="Z23" i="4" s="1"/>
  <c r="X23" i="4"/>
  <c r="AA23" i="4" s="1" a="1"/>
  <c r="AA23" i="4" s="1"/>
  <c r="G24" i="4" a="1"/>
  <c r="G24" i="4" s="1"/>
  <c r="J24" i="4" s="1" a="1"/>
  <c r="J24" i="4" s="1"/>
  <c r="M24" i="4" s="1"/>
  <c r="H24" i="4" a="1"/>
  <c r="H24" i="4" s="1"/>
  <c r="K24" i="4" s="1" a="1"/>
  <c r="K24" i="4" s="1"/>
  <c r="I24" i="4" a="1"/>
  <c r="I24" i="4" s="1"/>
  <c r="L24" i="4" s="1" a="1"/>
  <c r="L24" i="4" s="1"/>
  <c r="V24" i="4"/>
  <c r="W24" i="4"/>
  <c r="Z24" i="4" s="1" a="1"/>
  <c r="Z24" i="4" s="1"/>
  <c r="X24" i="4"/>
  <c r="AA24" i="4" s="1" a="1"/>
  <c r="AA24" i="4" s="1"/>
  <c r="Y24" i="4" a="1"/>
  <c r="Y24" i="4" s="1"/>
  <c r="G25" i="4" a="1"/>
  <c r="G25" i="4" s="1"/>
  <c r="J25" i="4" s="1" a="1"/>
  <c r="J25" i="4" s="1"/>
  <c r="M25" i="4" s="1"/>
  <c r="H25" i="4" a="1"/>
  <c r="H25" i="4" s="1"/>
  <c r="K25" i="4" s="1" a="1"/>
  <c r="K25" i="4" s="1"/>
  <c r="I25" i="4" a="1"/>
  <c r="I25" i="4" s="1"/>
  <c r="L25" i="4" s="1" a="1"/>
  <c r="L25" i="4" s="1"/>
  <c r="V25" i="4"/>
  <c r="Y25" i="4" s="1" a="1"/>
  <c r="Y25" i="4" s="1"/>
  <c r="W25" i="4"/>
  <c r="Z25" i="4" s="1" a="1"/>
  <c r="Z25" i="4" s="1"/>
  <c r="X25" i="4"/>
  <c r="AA25" i="4" s="1" a="1"/>
  <c r="AA25" i="4" s="1"/>
  <c r="G26" i="4" a="1"/>
  <c r="G26" i="4" s="1"/>
  <c r="J26" i="4" s="1" a="1"/>
  <c r="J26" i="4" s="1"/>
  <c r="M26" i="4" s="1"/>
  <c r="H26" i="4" a="1"/>
  <c r="H26" i="4" s="1"/>
  <c r="K26" i="4" s="1" a="1"/>
  <c r="K26" i="4" s="1"/>
  <c r="I26" i="4" a="1"/>
  <c r="I26" i="4" s="1"/>
  <c r="L26" i="4" s="1" a="1"/>
  <c r="L26" i="4" s="1"/>
  <c r="V26" i="4"/>
  <c r="Y26" i="4" s="1" a="1"/>
  <c r="Y26" i="4" s="1"/>
  <c r="W26" i="4"/>
  <c r="Z26" i="4" s="1" a="1"/>
  <c r="Z26" i="4" s="1"/>
  <c r="X26" i="4"/>
  <c r="AA26" i="4" s="1" a="1"/>
  <c r="AA26" i="4" s="1"/>
  <c r="G27" i="4" a="1"/>
  <c r="G27" i="4" s="1"/>
  <c r="J27" i="4" s="1" a="1"/>
  <c r="J27" i="4" s="1"/>
  <c r="M27" i="4" s="1"/>
  <c r="H27" i="4" a="1"/>
  <c r="H27" i="4" s="1"/>
  <c r="K27" i="4" s="1" a="1"/>
  <c r="K27" i="4" s="1"/>
  <c r="I27" i="4" a="1"/>
  <c r="I27" i="4" s="1"/>
  <c r="L27" i="4" s="1" a="1"/>
  <c r="L27" i="4" s="1"/>
  <c r="V27" i="4"/>
  <c r="Y27" i="4" s="1" a="1"/>
  <c r="Y27" i="4" s="1"/>
  <c r="W27" i="4"/>
  <c r="Z27" i="4" s="1" a="1"/>
  <c r="Z27" i="4" s="1"/>
  <c r="X27" i="4"/>
  <c r="AA27" i="4" s="1" a="1"/>
  <c r="AA27" i="4" s="1"/>
  <c r="G28" i="4" a="1"/>
  <c r="G28" i="4" s="1"/>
  <c r="J28" i="4" s="1" a="1"/>
  <c r="J28" i="4" s="1"/>
  <c r="M28" i="4" s="1"/>
  <c r="H28" i="4" a="1"/>
  <c r="H28" i="4" s="1"/>
  <c r="K28" i="4" s="1" a="1"/>
  <c r="K28" i="4" s="1"/>
  <c r="I28" i="4" a="1"/>
  <c r="I28" i="4" s="1"/>
  <c r="L28" i="4" s="1" a="1"/>
  <c r="L28" i="4" s="1"/>
  <c r="V28" i="4"/>
  <c r="Y28" i="4" s="1" a="1"/>
  <c r="Y28" i="4" s="1"/>
  <c r="W28" i="4"/>
  <c r="Z28" i="4" s="1" a="1"/>
  <c r="Z28" i="4" s="1"/>
  <c r="X28" i="4"/>
  <c r="AA28" i="4" s="1" a="1"/>
  <c r="AA28" i="4" s="1"/>
  <c r="G29" i="4" a="1"/>
  <c r="G29" i="4" s="1"/>
  <c r="J29" i="4" s="1" a="1"/>
  <c r="J29" i="4" s="1"/>
  <c r="M29" i="4" s="1"/>
  <c r="H29" i="4" a="1"/>
  <c r="H29" i="4" s="1"/>
  <c r="K29" i="4" s="1" a="1"/>
  <c r="K29" i="4" s="1"/>
  <c r="I29" i="4" a="1"/>
  <c r="I29" i="4" s="1"/>
  <c r="L29" i="4" s="1" a="1"/>
  <c r="L29" i="4" s="1"/>
  <c r="V29" i="4"/>
  <c r="Y29" i="4" s="1" a="1"/>
  <c r="Y29" i="4" s="1"/>
  <c r="W29" i="4"/>
  <c r="Z29" i="4" s="1" a="1"/>
  <c r="Z29" i="4" s="1"/>
  <c r="X29" i="4"/>
  <c r="AA29" i="4" s="1" a="1"/>
  <c r="AA29" i="4" s="1"/>
  <c r="G30" i="4" a="1"/>
  <c r="G30" i="4" s="1"/>
  <c r="J30" i="4" s="1" a="1"/>
  <c r="J30" i="4" s="1"/>
  <c r="M30" i="4" s="1"/>
  <c r="H30" i="4" a="1"/>
  <c r="H30" i="4" s="1"/>
  <c r="K30" i="4" s="1" a="1"/>
  <c r="K30" i="4" s="1"/>
  <c r="I30" i="4" a="1"/>
  <c r="I30" i="4" s="1"/>
  <c r="L30" i="4" s="1" a="1"/>
  <c r="L30" i="4" s="1"/>
  <c r="V30" i="4"/>
  <c r="Y30" i="4" s="1" a="1"/>
  <c r="Y30" i="4" s="1"/>
  <c r="W30" i="4"/>
  <c r="Z30" i="4" s="1" a="1"/>
  <c r="Z30" i="4" s="1"/>
  <c r="X30" i="4"/>
  <c r="AA30" i="4" s="1" a="1"/>
  <c r="AA30" i="4" s="1"/>
  <c r="G31" i="4" a="1"/>
  <c r="G31" i="4" s="1"/>
  <c r="J31" i="4" s="1" a="1"/>
  <c r="J31" i="4" s="1"/>
  <c r="M31" i="4" s="1"/>
  <c r="H31" i="4" a="1"/>
  <c r="H31" i="4" s="1"/>
  <c r="K31" i="4" s="1" a="1"/>
  <c r="K31" i="4" s="1"/>
  <c r="I31" i="4" a="1"/>
  <c r="I31" i="4" s="1"/>
  <c r="L31" i="4" s="1" a="1"/>
  <c r="L31" i="4" s="1"/>
  <c r="V31" i="4"/>
  <c r="Y31" i="4" s="1" a="1"/>
  <c r="Y31" i="4" s="1"/>
  <c r="W31" i="4"/>
  <c r="Z31" i="4" s="1" a="1"/>
  <c r="Z31" i="4" s="1"/>
  <c r="X31" i="4"/>
  <c r="AA31" i="4" s="1" a="1"/>
  <c r="AA31" i="4" s="1"/>
  <c r="G32" i="4" a="1"/>
  <c r="G32" i="4" s="1"/>
  <c r="J32" i="4" s="1" a="1"/>
  <c r="J32" i="4" s="1"/>
  <c r="M32" i="4" s="1"/>
  <c r="H32" i="4" a="1"/>
  <c r="H32" i="4" s="1"/>
  <c r="K32" i="4" s="1" a="1"/>
  <c r="K32" i="4" s="1"/>
  <c r="I32" i="4" a="1"/>
  <c r="I32" i="4" s="1"/>
  <c r="L32" i="4" s="1" a="1"/>
  <c r="L32" i="4" s="1"/>
  <c r="V32" i="4"/>
  <c r="Y32" i="4" s="1" a="1"/>
  <c r="Y32" i="4" s="1"/>
  <c r="W32" i="4"/>
  <c r="Z32" i="4" s="1" a="1"/>
  <c r="Z32" i="4" s="1"/>
  <c r="X32" i="4"/>
  <c r="AA32" i="4" s="1" a="1"/>
  <c r="AA32" i="4" s="1"/>
  <c r="G33" i="4" a="1"/>
  <c r="G33" i="4" s="1"/>
  <c r="J33" i="4" s="1" a="1"/>
  <c r="J33" i="4" s="1"/>
  <c r="M33" i="4" s="1"/>
  <c r="H33" i="4" a="1"/>
  <c r="H33" i="4" s="1"/>
  <c r="K33" i="4" s="1" a="1"/>
  <c r="K33" i="4" s="1"/>
  <c r="I33" i="4" a="1"/>
  <c r="I33" i="4" s="1"/>
  <c r="L33" i="4" s="1" a="1"/>
  <c r="L33" i="4" s="1"/>
  <c r="V33" i="4"/>
  <c r="Y33" i="4" s="1" a="1"/>
  <c r="Y33" i="4" s="1"/>
  <c r="W33" i="4"/>
  <c r="Z33" i="4" s="1" a="1"/>
  <c r="Z33" i="4" s="1"/>
  <c r="X33" i="4"/>
  <c r="AA33" i="4" s="1" a="1"/>
  <c r="AA33" i="4" s="1"/>
  <c r="G34" i="4" a="1"/>
  <c r="G34" i="4" s="1"/>
  <c r="J34" i="4" s="1" a="1"/>
  <c r="J34" i="4" s="1"/>
  <c r="M34" i="4" s="1"/>
  <c r="H34" i="4" a="1"/>
  <c r="H34" i="4" s="1"/>
  <c r="K34" i="4" s="1" a="1"/>
  <c r="K34" i="4" s="1"/>
  <c r="I34" i="4" a="1"/>
  <c r="I34" i="4" s="1"/>
  <c r="L34" i="4" s="1" a="1"/>
  <c r="L34" i="4" s="1"/>
  <c r="V34" i="4"/>
  <c r="Y34" i="4" s="1" a="1"/>
  <c r="Y34" i="4" s="1"/>
  <c r="W34" i="4"/>
  <c r="Z34" i="4" s="1" a="1"/>
  <c r="Z34" i="4" s="1"/>
  <c r="X34" i="4"/>
  <c r="AA34" i="4" s="1" a="1"/>
  <c r="AA34" i="4" s="1"/>
  <c r="G35" i="4" a="1"/>
  <c r="G35" i="4" s="1"/>
  <c r="J35" i="4" s="1" a="1"/>
  <c r="J35" i="4" s="1"/>
  <c r="M35" i="4" s="1"/>
  <c r="H35" i="4" a="1"/>
  <c r="H35" i="4" s="1"/>
  <c r="K35" i="4" s="1" a="1"/>
  <c r="K35" i="4" s="1"/>
  <c r="I35" i="4" a="1"/>
  <c r="I35" i="4" s="1"/>
  <c r="L35" i="4" s="1" a="1"/>
  <c r="L35" i="4" s="1"/>
  <c r="V35" i="4"/>
  <c r="Y35" i="4" s="1" a="1"/>
  <c r="Y35" i="4" s="1"/>
  <c r="W35" i="4"/>
  <c r="Z35" i="4" s="1" a="1"/>
  <c r="Z35" i="4" s="1"/>
  <c r="X35" i="4"/>
  <c r="AA35" i="4" s="1" a="1"/>
  <c r="AA35" i="4" s="1"/>
  <c r="G36" i="4" a="1"/>
  <c r="G36" i="4" s="1"/>
  <c r="J36" i="4" s="1" a="1"/>
  <c r="J36" i="4" s="1"/>
  <c r="M36" i="4" s="1"/>
  <c r="H36" i="4" a="1"/>
  <c r="H36" i="4" s="1"/>
  <c r="K36" i="4" s="1" a="1"/>
  <c r="K36" i="4" s="1"/>
  <c r="I36" i="4" a="1"/>
  <c r="I36" i="4" s="1"/>
  <c r="L36" i="4" s="1" a="1"/>
  <c r="L36" i="4" s="1"/>
  <c r="V36" i="4"/>
  <c r="Y36" i="4" s="1" a="1"/>
  <c r="Y36" i="4" s="1"/>
  <c r="W36" i="4"/>
  <c r="Z36" i="4" s="1" a="1"/>
  <c r="Z36" i="4" s="1"/>
  <c r="X36" i="4"/>
  <c r="AA36" i="4" s="1" a="1"/>
  <c r="AA36" i="4" s="1"/>
  <c r="G37" i="4" a="1"/>
  <c r="G37" i="4" s="1"/>
  <c r="J37" i="4" s="1" a="1"/>
  <c r="J37" i="4" s="1"/>
  <c r="M37" i="4" s="1"/>
  <c r="H37" i="4" a="1"/>
  <c r="H37" i="4" s="1"/>
  <c r="K37" i="4" s="1" a="1"/>
  <c r="K37" i="4" s="1"/>
  <c r="I37" i="4" a="1"/>
  <c r="I37" i="4" s="1"/>
  <c r="L37" i="4" s="1" a="1"/>
  <c r="L37" i="4" s="1"/>
  <c r="V37" i="4"/>
  <c r="Y37" i="4" s="1" a="1"/>
  <c r="Y37" i="4" s="1"/>
  <c r="W37" i="4"/>
  <c r="Z37" i="4" s="1" a="1"/>
  <c r="Z37" i="4" s="1"/>
  <c r="X37" i="4"/>
  <c r="AA37" i="4" s="1" a="1"/>
  <c r="AA37" i="4" s="1"/>
  <c r="G38" i="4" a="1"/>
  <c r="G38" i="4" s="1"/>
  <c r="J38" i="4" s="1" a="1"/>
  <c r="J38" i="4" s="1"/>
  <c r="M38" i="4" s="1"/>
  <c r="H38" i="4" a="1"/>
  <c r="H38" i="4" s="1"/>
  <c r="K38" i="4" s="1" a="1"/>
  <c r="K38" i="4" s="1"/>
  <c r="I38" i="4" a="1"/>
  <c r="I38" i="4" s="1"/>
  <c r="L38" i="4" s="1" a="1"/>
  <c r="L38" i="4" s="1"/>
  <c r="V38" i="4"/>
  <c r="Y38" i="4" s="1" a="1"/>
  <c r="Y38" i="4" s="1"/>
  <c r="W38" i="4"/>
  <c r="Z38" i="4" s="1" a="1"/>
  <c r="Z38" i="4" s="1"/>
  <c r="X38" i="4"/>
  <c r="AA38" i="4" s="1" a="1"/>
  <c r="AA38" i="4" s="1"/>
  <c r="G39" i="4" a="1"/>
  <c r="G39" i="4" s="1"/>
  <c r="J39" i="4" s="1" a="1"/>
  <c r="J39" i="4" s="1"/>
  <c r="M39" i="4" s="1"/>
  <c r="H39" i="4" a="1"/>
  <c r="H39" i="4" s="1"/>
  <c r="K39" i="4" s="1" a="1"/>
  <c r="K39" i="4" s="1"/>
  <c r="I39" i="4" a="1"/>
  <c r="I39" i="4" s="1"/>
  <c r="L39" i="4" s="1" a="1"/>
  <c r="L39" i="4" s="1"/>
  <c r="V39" i="4"/>
  <c r="Y39" i="4" s="1" a="1"/>
  <c r="Y39" i="4" s="1"/>
  <c r="W39" i="4"/>
  <c r="Z39" i="4" s="1" a="1"/>
  <c r="Z39" i="4" s="1"/>
  <c r="X39" i="4"/>
  <c r="AA39" i="4" s="1" a="1"/>
  <c r="AA39" i="4" s="1"/>
  <c r="G40" i="4" a="1"/>
  <c r="G40" i="4" s="1"/>
  <c r="J40" i="4" s="1" a="1"/>
  <c r="J40" i="4" s="1"/>
  <c r="M40" i="4" s="1"/>
  <c r="H40" i="4" a="1"/>
  <c r="H40" i="4" s="1"/>
  <c r="K40" i="4" s="1" a="1"/>
  <c r="K40" i="4" s="1"/>
  <c r="I40" i="4" a="1"/>
  <c r="I40" i="4" s="1"/>
  <c r="L40" i="4" s="1" a="1"/>
  <c r="L40" i="4" s="1"/>
  <c r="V40" i="4"/>
  <c r="Y40" i="4" s="1" a="1"/>
  <c r="Y40" i="4" s="1"/>
  <c r="W40" i="4"/>
  <c r="Z40" i="4" s="1" a="1"/>
  <c r="Z40" i="4" s="1"/>
  <c r="X40" i="4"/>
  <c r="AA40" i="4" s="1" a="1"/>
  <c r="AA40" i="4" s="1"/>
  <c r="G41" i="4" a="1"/>
  <c r="G41" i="4" s="1"/>
  <c r="J41" i="4" s="1" a="1"/>
  <c r="J41" i="4" s="1"/>
  <c r="M41" i="4" s="1"/>
  <c r="H41" i="4" a="1"/>
  <c r="H41" i="4" s="1"/>
  <c r="K41" i="4" s="1" a="1"/>
  <c r="K41" i="4" s="1"/>
  <c r="I41" i="4" a="1"/>
  <c r="I41" i="4" s="1"/>
  <c r="L41" i="4" s="1" a="1"/>
  <c r="L41" i="4" s="1"/>
  <c r="V41" i="4"/>
  <c r="Y41" i="4" s="1" a="1"/>
  <c r="Y41" i="4" s="1"/>
  <c r="W41" i="4"/>
  <c r="Z41" i="4" s="1" a="1"/>
  <c r="Z41" i="4" s="1"/>
  <c r="X41" i="4"/>
  <c r="AA41" i="4" s="1" a="1"/>
  <c r="AA41" i="4" s="1"/>
  <c r="G42" i="4" a="1"/>
  <c r="G42" i="4" s="1"/>
  <c r="J42" i="4" s="1" a="1"/>
  <c r="J42" i="4" s="1"/>
  <c r="M42" i="4" s="1"/>
  <c r="H42" i="4" a="1"/>
  <c r="H42" i="4" s="1"/>
  <c r="K42" i="4" s="1" a="1"/>
  <c r="K42" i="4" s="1"/>
  <c r="I42" i="4" a="1"/>
  <c r="I42" i="4" s="1"/>
  <c r="L42" i="4" s="1" a="1"/>
  <c r="L42" i="4" s="1"/>
  <c r="V42" i="4"/>
  <c r="Y42" i="4" s="1" a="1"/>
  <c r="Y42" i="4" s="1"/>
  <c r="W42" i="4"/>
  <c r="Z42" i="4" s="1" a="1"/>
  <c r="Z42" i="4" s="1"/>
  <c r="X42" i="4"/>
  <c r="AA42" i="4" s="1" a="1"/>
  <c r="AA42" i="4" s="1"/>
  <c r="G43" i="4" a="1"/>
  <c r="G43" i="4" s="1"/>
  <c r="J43" i="4" s="1" a="1"/>
  <c r="J43" i="4" s="1"/>
  <c r="M43" i="4" s="1"/>
  <c r="H43" i="4" a="1"/>
  <c r="H43" i="4" s="1"/>
  <c r="K43" i="4" s="1" a="1"/>
  <c r="K43" i="4" s="1"/>
  <c r="I43" i="4" a="1"/>
  <c r="I43" i="4" s="1"/>
  <c r="L43" i="4" s="1" a="1"/>
  <c r="L43" i="4" s="1"/>
  <c r="V43" i="4"/>
  <c r="W43" i="4"/>
  <c r="Z43" i="4" s="1" a="1"/>
  <c r="Z43" i="4" s="1"/>
  <c r="X43" i="4"/>
  <c r="AA43" i="4" s="1" a="1"/>
  <c r="AA43" i="4" s="1"/>
  <c r="Y43" i="4" a="1"/>
  <c r="Y43" i="4" s="1"/>
  <c r="G44" i="4" a="1"/>
  <c r="G44" i="4" s="1"/>
  <c r="J44" i="4" s="1" a="1"/>
  <c r="J44" i="4" s="1"/>
  <c r="M44" i="4" s="1"/>
  <c r="H44" i="4" a="1"/>
  <c r="H44" i="4" s="1"/>
  <c r="K44" i="4" s="1" a="1"/>
  <c r="K44" i="4" s="1"/>
  <c r="I44" i="4" a="1"/>
  <c r="I44" i="4" s="1"/>
  <c r="L44" i="4" s="1" a="1"/>
  <c r="L44" i="4" s="1"/>
  <c r="V44" i="4"/>
  <c r="Y44" i="4" s="1" a="1"/>
  <c r="Y44" i="4" s="1"/>
  <c r="W44" i="4"/>
  <c r="Z44" i="4" s="1" a="1"/>
  <c r="Z44" i="4" s="1"/>
  <c r="X44" i="4"/>
  <c r="AA44" i="4" s="1" a="1"/>
  <c r="AA44" i="4" s="1"/>
  <c r="G45" i="4" a="1"/>
  <c r="G45" i="4" s="1"/>
  <c r="J45" i="4" s="1" a="1"/>
  <c r="J45" i="4" s="1"/>
  <c r="M45" i="4" s="1"/>
  <c r="H45" i="4" a="1"/>
  <c r="H45" i="4" s="1"/>
  <c r="K45" i="4" s="1" a="1"/>
  <c r="K45" i="4" s="1"/>
  <c r="I45" i="4" a="1"/>
  <c r="I45" i="4" s="1"/>
  <c r="L45" i="4" s="1" a="1"/>
  <c r="L45" i="4" s="1"/>
  <c r="V45" i="4"/>
  <c r="Y45" i="4" s="1" a="1"/>
  <c r="Y45" i="4" s="1"/>
  <c r="W45" i="4"/>
  <c r="Z45" i="4" s="1" a="1"/>
  <c r="Z45" i="4" s="1"/>
  <c r="X45" i="4"/>
  <c r="AA45" i="4" s="1" a="1"/>
  <c r="AA45" i="4" s="1"/>
  <c r="G46" i="4" a="1"/>
  <c r="G46" i="4" s="1"/>
  <c r="J46" i="4" s="1" a="1"/>
  <c r="J46" i="4" s="1"/>
  <c r="M46" i="4" s="1"/>
  <c r="H46" i="4" a="1"/>
  <c r="H46" i="4" s="1"/>
  <c r="K46" i="4" s="1" a="1"/>
  <c r="K46" i="4" s="1"/>
  <c r="I46" i="4" a="1"/>
  <c r="I46" i="4" s="1"/>
  <c r="L46" i="4" s="1" a="1"/>
  <c r="L46" i="4" s="1"/>
  <c r="V46" i="4"/>
  <c r="Y46" i="4" s="1" a="1"/>
  <c r="Y46" i="4" s="1"/>
  <c r="W46" i="4"/>
  <c r="Z46" i="4" s="1" a="1"/>
  <c r="Z46" i="4" s="1"/>
  <c r="X46" i="4"/>
  <c r="AA46" i="4" s="1" a="1"/>
  <c r="AA46" i="4" s="1"/>
  <c r="G47" i="4" a="1"/>
  <c r="G47" i="4" s="1"/>
  <c r="J47" i="4" s="1" a="1"/>
  <c r="J47" i="4" s="1"/>
  <c r="M47" i="4" s="1"/>
  <c r="H47" i="4" a="1"/>
  <c r="H47" i="4" s="1"/>
  <c r="K47" i="4" s="1" a="1"/>
  <c r="K47" i="4" s="1"/>
  <c r="I47" i="4" a="1"/>
  <c r="I47" i="4" s="1"/>
  <c r="L47" i="4" s="1" a="1"/>
  <c r="L47" i="4" s="1"/>
  <c r="V47" i="4"/>
  <c r="Y47" i="4" s="1" a="1"/>
  <c r="Y47" i="4" s="1"/>
  <c r="W47" i="4"/>
  <c r="Z47" i="4" s="1" a="1"/>
  <c r="Z47" i="4" s="1"/>
  <c r="X47" i="4"/>
  <c r="AA47" i="4" s="1" a="1"/>
  <c r="AA47" i="4" s="1"/>
  <c r="G48" i="4" a="1"/>
  <c r="G48" i="4" s="1"/>
  <c r="J48" i="4" s="1" a="1"/>
  <c r="J48" i="4" s="1"/>
  <c r="M48" i="4" s="1"/>
  <c r="H48" i="4" a="1"/>
  <c r="H48" i="4" s="1"/>
  <c r="K48" i="4" s="1" a="1"/>
  <c r="K48" i="4" s="1"/>
  <c r="I48" i="4" a="1"/>
  <c r="I48" i="4" s="1"/>
  <c r="L48" i="4" s="1" a="1"/>
  <c r="L48" i="4" s="1"/>
  <c r="V48" i="4"/>
  <c r="Y48" i="4" s="1" a="1"/>
  <c r="Y48" i="4" s="1"/>
  <c r="W48" i="4"/>
  <c r="Z48" i="4" s="1" a="1"/>
  <c r="Z48" i="4" s="1"/>
  <c r="X48" i="4"/>
  <c r="AA48" i="4" s="1" a="1"/>
  <c r="AA48" i="4" s="1"/>
  <c r="G49" i="4" a="1"/>
  <c r="G49" i="4" s="1"/>
  <c r="J49" i="4" s="1" a="1"/>
  <c r="J49" i="4" s="1"/>
  <c r="M49" i="4" s="1"/>
  <c r="H49" i="4" a="1"/>
  <c r="H49" i="4" s="1"/>
  <c r="K49" i="4" s="1" a="1"/>
  <c r="K49" i="4" s="1"/>
  <c r="I49" i="4" a="1"/>
  <c r="I49" i="4" s="1"/>
  <c r="L49" i="4" s="1" a="1"/>
  <c r="L49" i="4" s="1"/>
  <c r="V49" i="4"/>
  <c r="Y49" i="4" s="1" a="1"/>
  <c r="Y49" i="4" s="1"/>
  <c r="W49" i="4"/>
  <c r="Z49" i="4" s="1" a="1"/>
  <c r="Z49" i="4" s="1"/>
  <c r="X49" i="4"/>
  <c r="AA49" i="4" s="1" a="1"/>
  <c r="AA49" i="4" s="1"/>
  <c r="G50" i="4" a="1"/>
  <c r="G50" i="4" s="1"/>
  <c r="J50" i="4" s="1" a="1"/>
  <c r="J50" i="4" s="1"/>
  <c r="M50" i="4" s="1"/>
  <c r="H50" i="4" a="1"/>
  <c r="H50" i="4" s="1"/>
  <c r="K50" i="4" s="1" a="1"/>
  <c r="K50" i="4" s="1"/>
  <c r="I50" i="4" a="1"/>
  <c r="I50" i="4" s="1"/>
  <c r="L50" i="4" s="1" a="1"/>
  <c r="L50" i="4" s="1"/>
  <c r="V50" i="4"/>
  <c r="Y50" i="4" s="1" a="1"/>
  <c r="Y50" i="4" s="1"/>
  <c r="W50" i="4"/>
  <c r="Z50" i="4" s="1" a="1"/>
  <c r="Z50" i="4" s="1"/>
  <c r="X50" i="4"/>
  <c r="AA50" i="4" a="1"/>
  <c r="AA50" i="4" s="1"/>
  <c r="G51" i="4" a="1"/>
  <c r="G51" i="4" s="1"/>
  <c r="J51" i="4" s="1" a="1"/>
  <c r="J51" i="4" s="1"/>
  <c r="M51" i="4" s="1"/>
  <c r="H51" i="4" a="1"/>
  <c r="H51" i="4" s="1"/>
  <c r="K51" i="4" s="1" a="1"/>
  <c r="K51" i="4" s="1"/>
  <c r="I51" i="4" a="1"/>
  <c r="I51" i="4" s="1"/>
  <c r="L51" i="4" s="1" a="1"/>
  <c r="L51" i="4" s="1"/>
  <c r="V51" i="4"/>
  <c r="Y51" i="4" s="1" a="1"/>
  <c r="Y51" i="4" s="1"/>
  <c r="W51" i="4"/>
  <c r="Z51" i="4" s="1" a="1"/>
  <c r="Z51" i="4" s="1"/>
  <c r="X51" i="4"/>
  <c r="AA51" i="4" s="1" a="1"/>
  <c r="AA51" i="4" s="1"/>
  <c r="G52" i="4" a="1"/>
  <c r="G52" i="4" s="1"/>
  <c r="J52" i="4" s="1" a="1"/>
  <c r="J52" i="4" s="1"/>
  <c r="M52" i="4" s="1"/>
  <c r="H52" i="4" a="1"/>
  <c r="H52" i="4" s="1"/>
  <c r="K52" i="4" s="1" a="1"/>
  <c r="K52" i="4" s="1"/>
  <c r="I52" i="4" a="1"/>
  <c r="I52" i="4" s="1"/>
  <c r="L52" i="4" s="1" a="1"/>
  <c r="L52" i="4" s="1"/>
  <c r="V52" i="4"/>
  <c r="Y52" i="4" s="1" a="1"/>
  <c r="Y52" i="4" s="1"/>
  <c r="W52" i="4"/>
  <c r="Z52" i="4" s="1" a="1"/>
  <c r="Z52" i="4" s="1"/>
  <c r="X52" i="4"/>
  <c r="AA52" i="4" s="1" a="1"/>
  <c r="AA52" i="4" s="1"/>
  <c r="G53" i="4" a="1"/>
  <c r="G53" i="4" s="1"/>
  <c r="J53" i="4" s="1" a="1"/>
  <c r="J53" i="4" s="1"/>
  <c r="M53" i="4" s="1"/>
  <c r="H53" i="4" a="1"/>
  <c r="H53" i="4" s="1"/>
  <c r="K53" i="4" s="1" a="1"/>
  <c r="K53" i="4" s="1"/>
  <c r="I53" i="4" a="1"/>
  <c r="I53" i="4" s="1"/>
  <c r="L53" i="4" s="1" a="1"/>
  <c r="L53" i="4" s="1"/>
  <c r="V53" i="4"/>
  <c r="Y53" i="4" s="1" a="1"/>
  <c r="Y53" i="4" s="1"/>
  <c r="W53" i="4"/>
  <c r="Z53" i="4" s="1" a="1"/>
  <c r="Z53" i="4" s="1"/>
  <c r="X53" i="4"/>
  <c r="AA53" i="4" s="1" a="1"/>
  <c r="AA53" i="4" s="1"/>
  <c r="G54" i="4" a="1"/>
  <c r="G54" i="4" s="1"/>
  <c r="J54" i="4" s="1" a="1"/>
  <c r="J54" i="4" s="1"/>
  <c r="M54" i="4" s="1"/>
  <c r="H54" i="4" a="1"/>
  <c r="H54" i="4" s="1"/>
  <c r="K54" i="4" s="1" a="1"/>
  <c r="K54" i="4" s="1"/>
  <c r="I54" i="4" a="1"/>
  <c r="I54" i="4" s="1"/>
  <c r="L54" i="4" s="1" a="1"/>
  <c r="L54" i="4" s="1"/>
  <c r="V54" i="4"/>
  <c r="Y54" i="4" s="1" a="1"/>
  <c r="Y54" i="4" s="1"/>
  <c r="W54" i="4"/>
  <c r="Z54" i="4" s="1" a="1"/>
  <c r="Z54" i="4" s="1"/>
  <c r="X54" i="4"/>
  <c r="AA54" i="4" s="1" a="1"/>
  <c r="AA54" i="4" s="1"/>
  <c r="G55" i="4" a="1"/>
  <c r="G55" i="4" s="1"/>
  <c r="J55" i="4" s="1" a="1"/>
  <c r="J55" i="4" s="1"/>
  <c r="M55" i="4" s="1"/>
  <c r="H55" i="4" a="1"/>
  <c r="H55" i="4" s="1"/>
  <c r="K55" i="4" s="1" a="1"/>
  <c r="K55" i="4" s="1"/>
  <c r="I55" i="4" a="1"/>
  <c r="I55" i="4" s="1"/>
  <c r="L55" i="4" s="1" a="1"/>
  <c r="L55" i="4" s="1"/>
  <c r="V55" i="4"/>
  <c r="Y55" i="4" s="1" a="1"/>
  <c r="Y55" i="4" s="1"/>
  <c r="W55" i="4"/>
  <c r="Z55" i="4" s="1" a="1"/>
  <c r="Z55" i="4" s="1"/>
  <c r="X55" i="4"/>
  <c r="AA55" i="4" s="1" a="1"/>
  <c r="AA55" i="4" s="1"/>
  <c r="G56" i="4" a="1"/>
  <c r="G56" i="4" s="1"/>
  <c r="J56" i="4" s="1" a="1"/>
  <c r="J56" i="4" s="1"/>
  <c r="M56" i="4" s="1"/>
  <c r="H56" i="4" a="1"/>
  <c r="H56" i="4" s="1"/>
  <c r="K56" i="4" s="1" a="1"/>
  <c r="K56" i="4" s="1"/>
  <c r="I56" i="4" a="1"/>
  <c r="I56" i="4" s="1"/>
  <c r="L56" i="4" s="1" a="1"/>
  <c r="L56" i="4" s="1"/>
  <c r="V56" i="4"/>
  <c r="Y56" i="4" s="1" a="1"/>
  <c r="Y56" i="4" s="1"/>
  <c r="W56" i="4"/>
  <c r="Z56" i="4" s="1" a="1"/>
  <c r="Z56" i="4" s="1"/>
  <c r="X56" i="4"/>
  <c r="AA56" i="4" s="1" a="1"/>
  <c r="AA56" i="4" s="1"/>
  <c r="G57" i="4" a="1"/>
  <c r="G57" i="4" s="1"/>
  <c r="J57" i="4" s="1" a="1"/>
  <c r="J57" i="4" s="1"/>
  <c r="M57" i="4" s="1"/>
  <c r="H57" i="4" a="1"/>
  <c r="H57" i="4" s="1"/>
  <c r="K57" i="4" s="1" a="1"/>
  <c r="K57" i="4" s="1"/>
  <c r="I57" i="4" a="1"/>
  <c r="I57" i="4" s="1"/>
  <c r="L57" i="4" s="1" a="1"/>
  <c r="L57" i="4" s="1"/>
  <c r="V57" i="4"/>
  <c r="Y57" i="4" s="1" a="1"/>
  <c r="Y57" i="4" s="1"/>
  <c r="W57" i="4"/>
  <c r="Z57" i="4" s="1" a="1"/>
  <c r="Z57" i="4" s="1"/>
  <c r="X57" i="4"/>
  <c r="AA57" i="4" s="1" a="1"/>
  <c r="AA57" i="4" s="1"/>
  <c r="G58" i="4" a="1"/>
  <c r="G58" i="4" s="1"/>
  <c r="J58" i="4" s="1" a="1"/>
  <c r="J58" i="4" s="1"/>
  <c r="M58" i="4" s="1"/>
  <c r="H58" i="4" a="1"/>
  <c r="H58" i="4" s="1"/>
  <c r="K58" i="4" s="1" a="1"/>
  <c r="K58" i="4" s="1"/>
  <c r="I58" i="4" a="1"/>
  <c r="I58" i="4" s="1"/>
  <c r="L58" i="4" s="1" a="1"/>
  <c r="L58" i="4" s="1"/>
  <c r="V58" i="4"/>
  <c r="Y58" i="4" s="1" a="1"/>
  <c r="Y58" i="4" s="1"/>
  <c r="W58" i="4"/>
  <c r="Z58" i="4" s="1" a="1"/>
  <c r="Z58" i="4" s="1"/>
  <c r="X58" i="4"/>
  <c r="AA58" i="4" s="1" a="1"/>
  <c r="AA58" i="4" s="1"/>
  <c r="G59" i="4" a="1"/>
  <c r="G59" i="4" s="1"/>
  <c r="J59" i="4" s="1" a="1"/>
  <c r="J59" i="4" s="1"/>
  <c r="M59" i="4" s="1"/>
  <c r="H59" i="4" a="1"/>
  <c r="H59" i="4" s="1"/>
  <c r="K59" i="4" s="1" a="1"/>
  <c r="K59" i="4" s="1"/>
  <c r="I59" i="4" a="1"/>
  <c r="I59" i="4" s="1"/>
  <c r="L59" i="4" s="1" a="1"/>
  <c r="L59" i="4" s="1"/>
  <c r="V59" i="4"/>
  <c r="Y59" i="4" s="1" a="1"/>
  <c r="Y59" i="4" s="1"/>
  <c r="W59" i="4"/>
  <c r="Z59" i="4" s="1" a="1"/>
  <c r="Z59" i="4" s="1"/>
  <c r="X59" i="4"/>
  <c r="AA59" i="4" s="1" a="1"/>
  <c r="AA59" i="4" s="1"/>
  <c r="G60" i="4" a="1"/>
  <c r="G60" i="4" s="1"/>
  <c r="J60" i="4" s="1" a="1"/>
  <c r="J60" i="4" s="1"/>
  <c r="M60" i="4" s="1"/>
  <c r="H60" i="4" a="1"/>
  <c r="H60" i="4" s="1"/>
  <c r="K60" i="4" s="1" a="1"/>
  <c r="K60" i="4" s="1"/>
  <c r="I60" i="4" a="1"/>
  <c r="I60" i="4" s="1"/>
  <c r="L60" i="4" s="1" a="1"/>
  <c r="L60" i="4" s="1"/>
  <c r="V60" i="4"/>
  <c r="Y60" i="4" s="1" a="1"/>
  <c r="Y60" i="4" s="1"/>
  <c r="W60" i="4"/>
  <c r="Z60" i="4" s="1" a="1"/>
  <c r="Z60" i="4" s="1"/>
  <c r="X60" i="4"/>
  <c r="AA60" i="4" s="1" a="1"/>
  <c r="AA60" i="4" s="1"/>
  <c r="G61" i="4" a="1"/>
  <c r="G61" i="4" s="1"/>
  <c r="J61" i="4" s="1" a="1"/>
  <c r="J61" i="4" s="1"/>
  <c r="M61" i="4" s="1"/>
  <c r="H61" i="4" a="1"/>
  <c r="H61" i="4" s="1"/>
  <c r="K61" i="4" s="1" a="1"/>
  <c r="K61" i="4" s="1"/>
  <c r="I61" i="4" a="1"/>
  <c r="I61" i="4" s="1"/>
  <c r="L61" i="4" s="1" a="1"/>
  <c r="L61" i="4" s="1"/>
  <c r="V61" i="4"/>
  <c r="Y61" i="4" s="1" a="1"/>
  <c r="Y61" i="4" s="1"/>
  <c r="W61" i="4"/>
  <c r="Z61" i="4" s="1" a="1"/>
  <c r="Z61" i="4" s="1"/>
  <c r="X61" i="4"/>
  <c r="AA61" i="4" s="1" a="1"/>
  <c r="AA61" i="4" s="1"/>
  <c r="G62" i="4" a="1"/>
  <c r="G62" i="4" s="1"/>
  <c r="J62" i="4" s="1" a="1"/>
  <c r="J62" i="4" s="1"/>
  <c r="M62" i="4" s="1"/>
  <c r="H62" i="4" a="1"/>
  <c r="H62" i="4" s="1"/>
  <c r="K62" i="4" s="1" a="1"/>
  <c r="K62" i="4" s="1"/>
  <c r="I62" i="4" a="1"/>
  <c r="I62" i="4" s="1"/>
  <c r="L62" i="4" s="1" a="1"/>
  <c r="L62" i="4" s="1"/>
  <c r="V62" i="4"/>
  <c r="Y62" i="4" s="1" a="1"/>
  <c r="Y62" i="4" s="1"/>
  <c r="W62" i="4"/>
  <c r="Z62" i="4" s="1" a="1"/>
  <c r="Z62" i="4" s="1"/>
  <c r="X62" i="4"/>
  <c r="AA62" i="4" s="1" a="1"/>
  <c r="AA62" i="4" s="1"/>
  <c r="G63" i="4" a="1"/>
  <c r="G63" i="4" s="1"/>
  <c r="J63" i="4" s="1" a="1"/>
  <c r="J63" i="4" s="1"/>
  <c r="M63" i="4" s="1"/>
  <c r="H63" i="4" a="1"/>
  <c r="H63" i="4" s="1"/>
  <c r="K63" i="4" s="1" a="1"/>
  <c r="K63" i="4" s="1"/>
  <c r="I63" i="4" a="1"/>
  <c r="I63" i="4" s="1"/>
  <c r="L63" i="4" s="1" a="1"/>
  <c r="L63" i="4" s="1"/>
  <c r="V63" i="4"/>
  <c r="Y63" i="4" s="1" a="1"/>
  <c r="Y63" i="4" s="1"/>
  <c r="W63" i="4"/>
  <c r="Z63" i="4" s="1" a="1"/>
  <c r="Z63" i="4" s="1"/>
  <c r="X63" i="4"/>
  <c r="AA63" i="4" s="1" a="1"/>
  <c r="AA63" i="4" s="1"/>
  <c r="G64" i="4" a="1"/>
  <c r="G64" i="4" s="1"/>
  <c r="J64" i="4" s="1" a="1"/>
  <c r="J64" i="4" s="1"/>
  <c r="M64" i="4" s="1"/>
  <c r="H64" i="4" a="1"/>
  <c r="H64" i="4" s="1"/>
  <c r="K64" i="4" s="1" a="1"/>
  <c r="K64" i="4" s="1"/>
  <c r="I64" i="4" a="1"/>
  <c r="I64" i="4" s="1"/>
  <c r="L64" i="4" s="1" a="1"/>
  <c r="L64" i="4" s="1"/>
  <c r="V64" i="4"/>
  <c r="Y64" i="4" s="1" a="1"/>
  <c r="Y64" i="4" s="1"/>
  <c r="W64" i="4"/>
  <c r="Z64" i="4" s="1" a="1"/>
  <c r="Z64" i="4" s="1"/>
  <c r="X64" i="4"/>
  <c r="AA64" i="4" s="1" a="1"/>
  <c r="AA64" i="4" s="1"/>
  <c r="G65" i="4" a="1"/>
  <c r="G65" i="4" s="1"/>
  <c r="J65" i="4" s="1" a="1"/>
  <c r="J65" i="4" s="1"/>
  <c r="M65" i="4" s="1"/>
  <c r="H65" i="4" a="1"/>
  <c r="H65" i="4" s="1"/>
  <c r="K65" i="4" s="1" a="1"/>
  <c r="K65" i="4" s="1"/>
  <c r="I65" i="4" a="1"/>
  <c r="I65" i="4" s="1"/>
  <c r="L65" i="4" s="1" a="1"/>
  <c r="L65" i="4" s="1"/>
  <c r="V65" i="4"/>
  <c r="Y65" i="4" s="1" a="1"/>
  <c r="Y65" i="4" s="1"/>
  <c r="W65" i="4"/>
  <c r="Z65" i="4" s="1" a="1"/>
  <c r="Z65" i="4" s="1"/>
  <c r="X65" i="4"/>
  <c r="AA65" i="4" s="1" a="1"/>
  <c r="AA65" i="4" s="1"/>
  <c r="G66" i="4" a="1"/>
  <c r="G66" i="4" s="1"/>
  <c r="J66" i="4" s="1" a="1"/>
  <c r="J66" i="4" s="1"/>
  <c r="M66" i="4" s="1"/>
  <c r="H66" i="4" a="1"/>
  <c r="H66" i="4" s="1"/>
  <c r="K66" i="4" s="1" a="1"/>
  <c r="K66" i="4" s="1"/>
  <c r="I66" i="4" a="1"/>
  <c r="I66" i="4" s="1"/>
  <c r="L66" i="4" s="1" a="1"/>
  <c r="L66" i="4" s="1"/>
  <c r="V66" i="4"/>
  <c r="Y66" i="4" s="1" a="1"/>
  <c r="Y66" i="4" s="1"/>
  <c r="W66" i="4"/>
  <c r="Z66" i="4" s="1" a="1"/>
  <c r="Z66" i="4" s="1"/>
  <c r="X66" i="4"/>
  <c r="AA66" i="4" s="1" a="1"/>
  <c r="AA66" i="4" s="1"/>
  <c r="G67" i="4" a="1"/>
  <c r="G67" i="4" s="1"/>
  <c r="J67" i="4" s="1" a="1"/>
  <c r="J67" i="4" s="1"/>
  <c r="M67" i="4" s="1"/>
  <c r="H67" i="4" a="1"/>
  <c r="H67" i="4" s="1"/>
  <c r="K67" i="4" s="1" a="1"/>
  <c r="K67" i="4" s="1"/>
  <c r="I67" i="4" a="1"/>
  <c r="I67" i="4" s="1"/>
  <c r="L67" i="4" s="1" a="1"/>
  <c r="L67" i="4" s="1"/>
  <c r="V67" i="4"/>
  <c r="Y67" i="4" s="1" a="1"/>
  <c r="Y67" i="4" s="1"/>
  <c r="W67" i="4"/>
  <c r="Z67" i="4" s="1" a="1"/>
  <c r="Z67" i="4" s="1"/>
  <c r="X67" i="4"/>
  <c r="AA67" i="4" s="1" a="1"/>
  <c r="AA67" i="4" s="1"/>
  <c r="G68" i="4" a="1"/>
  <c r="G68" i="4" s="1"/>
  <c r="J68" i="4" s="1" a="1"/>
  <c r="J68" i="4" s="1"/>
  <c r="M68" i="4" s="1"/>
  <c r="H68" i="4" a="1"/>
  <c r="H68" i="4" s="1"/>
  <c r="K68" i="4" s="1" a="1"/>
  <c r="K68" i="4" s="1"/>
  <c r="I68" i="4" a="1"/>
  <c r="I68" i="4" s="1"/>
  <c r="L68" i="4" s="1" a="1"/>
  <c r="L68" i="4" s="1"/>
  <c r="V68" i="4"/>
  <c r="Y68" i="4" s="1" a="1"/>
  <c r="Y68" i="4" s="1"/>
  <c r="W68" i="4"/>
  <c r="Z68" i="4" s="1" a="1"/>
  <c r="Z68" i="4" s="1"/>
  <c r="X68" i="4"/>
  <c r="AA68" i="4" s="1" a="1"/>
  <c r="AA68" i="4" s="1"/>
  <c r="G69" i="4" a="1"/>
  <c r="G69" i="4" s="1"/>
  <c r="J69" i="4" s="1" a="1"/>
  <c r="J69" i="4" s="1"/>
  <c r="M69" i="4" s="1"/>
  <c r="H69" i="4" a="1"/>
  <c r="H69" i="4" s="1"/>
  <c r="K69" i="4" s="1" a="1"/>
  <c r="K69" i="4" s="1"/>
  <c r="I69" i="4" a="1"/>
  <c r="I69" i="4" s="1"/>
  <c r="L69" i="4" s="1" a="1"/>
  <c r="L69" i="4" s="1"/>
  <c r="V69" i="4"/>
  <c r="Y69" i="4" s="1" a="1"/>
  <c r="Y69" i="4" s="1"/>
  <c r="W69" i="4"/>
  <c r="Z69" i="4" s="1" a="1"/>
  <c r="Z69" i="4" s="1"/>
  <c r="X69" i="4"/>
  <c r="AA69" i="4" s="1" a="1"/>
  <c r="AA69" i="4" s="1"/>
  <c r="G70" i="4" a="1"/>
  <c r="G70" i="4" s="1"/>
  <c r="J70" i="4" s="1" a="1"/>
  <c r="J70" i="4" s="1"/>
  <c r="M70" i="4" s="1"/>
  <c r="H70" i="4" a="1"/>
  <c r="H70" i="4" s="1"/>
  <c r="K70" i="4" s="1" a="1"/>
  <c r="K70" i="4" s="1"/>
  <c r="I70" i="4" a="1"/>
  <c r="I70" i="4" s="1"/>
  <c r="L70" i="4" s="1" a="1"/>
  <c r="L70" i="4" s="1"/>
  <c r="V70" i="4"/>
  <c r="Y70" i="4" s="1" a="1"/>
  <c r="Y70" i="4" s="1"/>
  <c r="W70" i="4"/>
  <c r="Z70" i="4" s="1" a="1"/>
  <c r="Z70" i="4" s="1"/>
  <c r="X70" i="4"/>
  <c r="AA70" i="4" s="1" a="1"/>
  <c r="AA70" i="4" s="1"/>
  <c r="G71" i="4" a="1"/>
  <c r="G71" i="4" s="1"/>
  <c r="J71" i="4" s="1" a="1"/>
  <c r="J71" i="4" s="1"/>
  <c r="M71" i="4" s="1"/>
  <c r="H71" i="4" a="1"/>
  <c r="H71" i="4" s="1"/>
  <c r="K71" i="4" s="1" a="1"/>
  <c r="K71" i="4" s="1"/>
  <c r="I71" i="4" a="1"/>
  <c r="I71" i="4" s="1"/>
  <c r="L71" i="4" s="1" a="1"/>
  <c r="L71" i="4" s="1"/>
  <c r="V71" i="4"/>
  <c r="Y71" i="4" s="1" a="1"/>
  <c r="Y71" i="4" s="1"/>
  <c r="W71" i="4"/>
  <c r="Z71" i="4" s="1" a="1"/>
  <c r="Z71" i="4" s="1"/>
  <c r="X71" i="4"/>
  <c r="AA71" i="4" s="1" a="1"/>
  <c r="AA71" i="4" s="1"/>
  <c r="G72" i="4" a="1"/>
  <c r="G72" i="4" s="1"/>
  <c r="J72" i="4" s="1" a="1"/>
  <c r="J72" i="4" s="1"/>
  <c r="M72" i="4" s="1"/>
  <c r="H72" i="4" a="1"/>
  <c r="H72" i="4" s="1"/>
  <c r="K72" i="4" s="1" a="1"/>
  <c r="K72" i="4" s="1"/>
  <c r="I72" i="4" a="1"/>
  <c r="I72" i="4" s="1"/>
  <c r="L72" i="4" s="1" a="1"/>
  <c r="L72" i="4" s="1"/>
  <c r="V72" i="4"/>
  <c r="Y72" i="4" s="1" a="1"/>
  <c r="Y72" i="4" s="1"/>
  <c r="W72" i="4"/>
  <c r="Z72" i="4" s="1" a="1"/>
  <c r="Z72" i="4" s="1"/>
  <c r="X72" i="4"/>
  <c r="AA72" i="4" s="1" a="1"/>
  <c r="AA72" i="4" s="1"/>
  <c r="G73" i="4" a="1"/>
  <c r="G73" i="4" s="1"/>
  <c r="J73" i="4" s="1" a="1"/>
  <c r="J73" i="4" s="1"/>
  <c r="M73" i="4" s="1"/>
  <c r="H73" i="4" a="1"/>
  <c r="H73" i="4" s="1"/>
  <c r="K73" i="4" s="1" a="1"/>
  <c r="K73" i="4" s="1"/>
  <c r="I73" i="4" a="1"/>
  <c r="I73" i="4" s="1"/>
  <c r="L73" i="4" s="1" a="1"/>
  <c r="L73" i="4" s="1"/>
  <c r="V73" i="4"/>
  <c r="Y73" i="4" s="1" a="1"/>
  <c r="Y73" i="4" s="1"/>
  <c r="W73" i="4"/>
  <c r="Z73" i="4" s="1" a="1"/>
  <c r="Z73" i="4" s="1"/>
  <c r="X73" i="4"/>
  <c r="AA73" i="4" s="1" a="1"/>
  <c r="AA73" i="4" s="1"/>
  <c r="G74" i="4" a="1"/>
  <c r="G74" i="4" s="1"/>
  <c r="J74" i="4" s="1" a="1"/>
  <c r="J74" i="4" s="1"/>
  <c r="M74" i="4" s="1"/>
  <c r="H74" i="4" a="1"/>
  <c r="H74" i="4" s="1"/>
  <c r="K74" i="4" s="1" a="1"/>
  <c r="K74" i="4" s="1"/>
  <c r="I74" i="4" a="1"/>
  <c r="I74" i="4" s="1"/>
  <c r="L74" i="4" s="1" a="1"/>
  <c r="L74" i="4" s="1"/>
  <c r="V74" i="4"/>
  <c r="Y74" i="4" s="1" a="1"/>
  <c r="Y74" i="4" s="1"/>
  <c r="W74" i="4"/>
  <c r="Z74" i="4" s="1" a="1"/>
  <c r="Z74" i="4" s="1"/>
  <c r="X74" i="4"/>
  <c r="AA74" i="4" s="1" a="1"/>
  <c r="AA74" i="4" s="1"/>
  <c r="G75" i="4" a="1"/>
  <c r="G75" i="4" s="1"/>
  <c r="J75" i="4" s="1" a="1"/>
  <c r="J75" i="4" s="1"/>
  <c r="M75" i="4" s="1"/>
  <c r="H75" i="4" a="1"/>
  <c r="H75" i="4" s="1"/>
  <c r="K75" i="4" s="1" a="1"/>
  <c r="K75" i="4" s="1"/>
  <c r="I75" i="4" a="1"/>
  <c r="I75" i="4" s="1"/>
  <c r="L75" i="4" s="1" a="1"/>
  <c r="L75" i="4" s="1"/>
  <c r="V75" i="4"/>
  <c r="Y75" i="4" s="1" a="1"/>
  <c r="Y75" i="4" s="1"/>
  <c r="W75" i="4"/>
  <c r="Z75" i="4" s="1" a="1"/>
  <c r="Z75" i="4" s="1"/>
  <c r="X75" i="4"/>
  <c r="AA75" i="4" s="1" a="1"/>
  <c r="AA75" i="4" s="1"/>
  <c r="G76" i="4" a="1"/>
  <c r="G76" i="4" s="1"/>
  <c r="J76" i="4" s="1" a="1"/>
  <c r="J76" i="4" s="1"/>
  <c r="M76" i="4" s="1"/>
  <c r="H76" i="4" a="1"/>
  <c r="H76" i="4" s="1"/>
  <c r="K76" i="4" s="1" a="1"/>
  <c r="K76" i="4" s="1"/>
  <c r="I76" i="4" a="1"/>
  <c r="I76" i="4" s="1"/>
  <c r="L76" i="4" s="1" a="1"/>
  <c r="L76" i="4" s="1"/>
  <c r="V76" i="4"/>
  <c r="Y76" i="4" s="1" a="1"/>
  <c r="Y76" i="4" s="1"/>
  <c r="W76" i="4"/>
  <c r="Z76" i="4" s="1" a="1"/>
  <c r="Z76" i="4" s="1"/>
  <c r="X76" i="4"/>
  <c r="AA76" i="4" s="1" a="1"/>
  <c r="AA76" i="4" s="1"/>
  <c r="G77" i="4" a="1"/>
  <c r="G77" i="4" s="1"/>
  <c r="J77" i="4" s="1" a="1"/>
  <c r="J77" i="4" s="1"/>
  <c r="M77" i="4" s="1"/>
  <c r="H77" i="4" a="1"/>
  <c r="H77" i="4" s="1"/>
  <c r="K77" i="4" s="1" a="1"/>
  <c r="K77" i="4" s="1"/>
  <c r="I77" i="4" a="1"/>
  <c r="I77" i="4" s="1"/>
  <c r="L77" i="4" s="1" a="1"/>
  <c r="L77" i="4" s="1"/>
  <c r="V77" i="4"/>
  <c r="Y77" i="4" s="1" a="1"/>
  <c r="Y77" i="4" s="1"/>
  <c r="W77" i="4"/>
  <c r="Z77" i="4" s="1" a="1"/>
  <c r="Z77" i="4" s="1"/>
  <c r="X77" i="4"/>
  <c r="AA77" i="4" s="1" a="1"/>
  <c r="AA77" i="4" s="1"/>
  <c r="G78" i="4" a="1"/>
  <c r="G78" i="4" s="1"/>
  <c r="J78" i="4" s="1" a="1"/>
  <c r="J78" i="4" s="1"/>
  <c r="M78" i="4" s="1"/>
  <c r="H78" i="4" a="1"/>
  <c r="H78" i="4" s="1"/>
  <c r="K78" i="4" s="1" a="1"/>
  <c r="K78" i="4" s="1"/>
  <c r="I78" i="4" a="1"/>
  <c r="I78" i="4" s="1"/>
  <c r="L78" i="4" s="1" a="1"/>
  <c r="L78" i="4" s="1"/>
  <c r="V78" i="4"/>
  <c r="Y78" i="4" s="1" a="1"/>
  <c r="Y78" i="4" s="1"/>
  <c r="W78" i="4"/>
  <c r="Z78" i="4" s="1" a="1"/>
  <c r="Z78" i="4" s="1"/>
  <c r="X78" i="4"/>
  <c r="AA78" i="4" s="1" a="1"/>
  <c r="AA78" i="4" s="1"/>
  <c r="G79" i="4" a="1"/>
  <c r="G79" i="4" s="1"/>
  <c r="J79" i="4" s="1" a="1"/>
  <c r="J79" i="4" s="1"/>
  <c r="M79" i="4" s="1"/>
  <c r="H79" i="4" a="1"/>
  <c r="H79" i="4" s="1"/>
  <c r="K79" i="4" s="1" a="1"/>
  <c r="K79" i="4" s="1"/>
  <c r="I79" i="4" a="1"/>
  <c r="I79" i="4" s="1"/>
  <c r="L79" i="4" s="1" a="1"/>
  <c r="L79" i="4" s="1"/>
  <c r="V79" i="4"/>
  <c r="Y79" i="4" s="1" a="1"/>
  <c r="Y79" i="4" s="1"/>
  <c r="W79" i="4"/>
  <c r="Z79" i="4" s="1" a="1"/>
  <c r="Z79" i="4" s="1"/>
  <c r="X79" i="4"/>
  <c r="AA79" i="4" s="1" a="1"/>
  <c r="AA79" i="4" s="1"/>
  <c r="G80" i="4" a="1"/>
  <c r="G80" i="4" s="1"/>
  <c r="J80" i="4" s="1" a="1"/>
  <c r="J80" i="4" s="1"/>
  <c r="M80" i="4" s="1"/>
  <c r="H80" i="4" a="1"/>
  <c r="H80" i="4" s="1"/>
  <c r="K80" i="4" s="1" a="1"/>
  <c r="K80" i="4" s="1"/>
  <c r="I80" i="4" a="1"/>
  <c r="I80" i="4" s="1"/>
  <c r="L80" i="4" s="1" a="1"/>
  <c r="L80" i="4" s="1"/>
  <c r="V80" i="4"/>
  <c r="Y80" i="4" s="1" a="1"/>
  <c r="Y80" i="4" s="1"/>
  <c r="W80" i="4"/>
  <c r="Z80" i="4" s="1" a="1"/>
  <c r="Z80" i="4" s="1"/>
  <c r="X80" i="4"/>
  <c r="AA80" i="4" s="1" a="1"/>
  <c r="AA80" i="4" s="1"/>
  <c r="G81" i="4" a="1"/>
  <c r="G81" i="4" s="1"/>
  <c r="J81" i="4" s="1" a="1"/>
  <c r="J81" i="4" s="1"/>
  <c r="M81" i="4" s="1"/>
  <c r="H81" i="4" a="1"/>
  <c r="H81" i="4" s="1"/>
  <c r="K81" i="4" s="1" a="1"/>
  <c r="K81" i="4" s="1"/>
  <c r="I81" i="4" a="1"/>
  <c r="I81" i="4" s="1"/>
  <c r="L81" i="4" s="1" a="1"/>
  <c r="L81" i="4" s="1"/>
  <c r="V81" i="4"/>
  <c r="Y81" i="4" s="1" a="1"/>
  <c r="Y81" i="4" s="1"/>
  <c r="W81" i="4"/>
  <c r="Z81" i="4" s="1" a="1"/>
  <c r="Z81" i="4" s="1"/>
  <c r="X81" i="4"/>
  <c r="AA81" i="4" s="1" a="1"/>
  <c r="AA81" i="4" s="1"/>
  <c r="G82" i="4" a="1"/>
  <c r="G82" i="4" s="1"/>
  <c r="J82" i="4" s="1" a="1"/>
  <c r="J82" i="4" s="1"/>
  <c r="M82" i="4" s="1"/>
  <c r="H82" i="4" a="1"/>
  <c r="H82" i="4" s="1"/>
  <c r="K82" i="4" s="1" a="1"/>
  <c r="K82" i="4" s="1"/>
  <c r="I82" i="4" a="1"/>
  <c r="I82" i="4" s="1"/>
  <c r="L82" i="4" s="1" a="1"/>
  <c r="L82" i="4" s="1"/>
  <c r="V82" i="4"/>
  <c r="Y82" i="4" s="1" a="1"/>
  <c r="Y82" i="4" s="1"/>
  <c r="W82" i="4"/>
  <c r="Z82" i="4" s="1" a="1"/>
  <c r="Z82" i="4" s="1"/>
  <c r="X82" i="4"/>
  <c r="AA82" i="4" s="1" a="1"/>
  <c r="AA82" i="4" s="1"/>
  <c r="G83" i="4" a="1"/>
  <c r="G83" i="4" s="1"/>
  <c r="J83" i="4" s="1" a="1"/>
  <c r="J83" i="4" s="1"/>
  <c r="M83" i="4" s="1"/>
  <c r="H83" i="4" a="1"/>
  <c r="H83" i="4" s="1"/>
  <c r="K83" i="4" s="1" a="1"/>
  <c r="K83" i="4" s="1"/>
  <c r="I83" i="4" a="1"/>
  <c r="I83" i="4" s="1"/>
  <c r="L83" i="4" s="1" a="1"/>
  <c r="L83" i="4" s="1"/>
  <c r="V83" i="4"/>
  <c r="Y83" i="4" s="1" a="1"/>
  <c r="Y83" i="4" s="1"/>
  <c r="W83" i="4"/>
  <c r="Z83" i="4" s="1" a="1"/>
  <c r="Z83" i="4" s="1"/>
  <c r="X83" i="4"/>
  <c r="AA83" i="4" s="1" a="1"/>
  <c r="AA83" i="4" s="1"/>
  <c r="G84" i="4" a="1"/>
  <c r="G84" i="4" s="1"/>
  <c r="J84" i="4" s="1" a="1"/>
  <c r="J84" i="4" s="1"/>
  <c r="M84" i="4" s="1"/>
  <c r="H84" i="4" a="1"/>
  <c r="H84" i="4" s="1"/>
  <c r="K84" i="4" s="1" a="1"/>
  <c r="K84" i="4" s="1"/>
  <c r="I84" i="4" a="1"/>
  <c r="I84" i="4" s="1"/>
  <c r="L84" i="4" s="1" a="1"/>
  <c r="L84" i="4" s="1"/>
  <c r="V84" i="4"/>
  <c r="Y84" i="4" s="1" a="1"/>
  <c r="Y84" i="4" s="1"/>
  <c r="W84" i="4"/>
  <c r="Z84" i="4" s="1" a="1"/>
  <c r="Z84" i="4" s="1"/>
  <c r="X84" i="4"/>
  <c r="AA84" i="4" s="1" a="1"/>
  <c r="AA84" i="4" s="1"/>
  <c r="G85" i="4" a="1"/>
  <c r="G85" i="4" s="1"/>
  <c r="J85" i="4" s="1" a="1"/>
  <c r="J85" i="4" s="1"/>
  <c r="M85" i="4" s="1"/>
  <c r="H85" i="4" a="1"/>
  <c r="H85" i="4" s="1"/>
  <c r="K85" i="4" s="1" a="1"/>
  <c r="K85" i="4" s="1"/>
  <c r="I85" i="4" a="1"/>
  <c r="I85" i="4" s="1"/>
  <c r="L85" i="4" s="1" a="1"/>
  <c r="L85" i="4" s="1"/>
  <c r="V85" i="4"/>
  <c r="Y85" i="4" s="1" a="1"/>
  <c r="Y85" i="4" s="1"/>
  <c r="W85" i="4"/>
  <c r="Z85" i="4" s="1" a="1"/>
  <c r="Z85" i="4" s="1"/>
  <c r="X85" i="4"/>
  <c r="AA85" i="4" s="1" a="1"/>
  <c r="AA85" i="4" s="1"/>
  <c r="G86" i="4" a="1"/>
  <c r="G86" i="4" s="1"/>
  <c r="J86" i="4" s="1" a="1"/>
  <c r="J86" i="4" s="1"/>
  <c r="M86" i="4" s="1"/>
  <c r="H86" i="4" a="1"/>
  <c r="H86" i="4" s="1"/>
  <c r="K86" i="4" s="1" a="1"/>
  <c r="K86" i="4" s="1"/>
  <c r="I86" i="4" a="1"/>
  <c r="I86" i="4" s="1"/>
  <c r="L86" i="4" s="1" a="1"/>
  <c r="L86" i="4" s="1"/>
  <c r="V86" i="4"/>
  <c r="Y86" i="4" s="1" a="1"/>
  <c r="Y86" i="4" s="1"/>
  <c r="W86" i="4"/>
  <c r="Z86" i="4" s="1" a="1"/>
  <c r="Z86" i="4" s="1"/>
  <c r="X86" i="4"/>
  <c r="AA86" i="4" s="1" a="1"/>
  <c r="AA86" i="4" s="1"/>
  <c r="G87" i="4" a="1"/>
  <c r="G87" i="4" s="1"/>
  <c r="J87" i="4" s="1" a="1"/>
  <c r="J87" i="4" s="1"/>
  <c r="M87" i="4" s="1"/>
  <c r="H87" i="4" a="1"/>
  <c r="H87" i="4" s="1"/>
  <c r="K87" i="4" s="1" a="1"/>
  <c r="K87" i="4" s="1"/>
  <c r="I87" i="4" a="1"/>
  <c r="I87" i="4" s="1"/>
  <c r="L87" i="4" s="1" a="1"/>
  <c r="L87" i="4" s="1"/>
  <c r="V87" i="4"/>
  <c r="Y87" i="4" s="1" a="1"/>
  <c r="Y87" i="4" s="1"/>
  <c r="W87" i="4"/>
  <c r="Z87" i="4" s="1" a="1"/>
  <c r="Z87" i="4" s="1"/>
  <c r="X87" i="4"/>
  <c r="AA87" i="4" s="1" a="1"/>
  <c r="AA87" i="4" s="1"/>
  <c r="G88" i="4" a="1"/>
  <c r="G88" i="4" s="1"/>
  <c r="J88" i="4" s="1" a="1"/>
  <c r="J88" i="4" s="1"/>
  <c r="M88" i="4" s="1"/>
  <c r="H88" i="4" a="1"/>
  <c r="H88" i="4" s="1"/>
  <c r="K88" i="4" s="1" a="1"/>
  <c r="K88" i="4" s="1"/>
  <c r="I88" i="4" a="1"/>
  <c r="I88" i="4" s="1"/>
  <c r="L88" i="4" s="1" a="1"/>
  <c r="L88" i="4" s="1"/>
  <c r="V88" i="4"/>
  <c r="Y88" i="4" s="1" a="1"/>
  <c r="Y88" i="4" s="1"/>
  <c r="W88" i="4"/>
  <c r="Z88" i="4" s="1" a="1"/>
  <c r="Z88" i="4" s="1"/>
  <c r="X88" i="4"/>
  <c r="AA88" i="4" s="1" a="1"/>
  <c r="AA88" i="4" s="1"/>
  <c r="G89" i="4" a="1"/>
  <c r="G89" i="4" s="1"/>
  <c r="J89" i="4" s="1" a="1"/>
  <c r="J89" i="4" s="1"/>
  <c r="M89" i="4" s="1"/>
  <c r="H89" i="4" a="1"/>
  <c r="H89" i="4" s="1"/>
  <c r="K89" i="4" s="1" a="1"/>
  <c r="K89" i="4" s="1"/>
  <c r="I89" i="4" a="1"/>
  <c r="I89" i="4" s="1"/>
  <c r="L89" i="4" s="1" a="1"/>
  <c r="L89" i="4" s="1"/>
  <c r="V89" i="4"/>
  <c r="Y89" i="4" s="1" a="1"/>
  <c r="Y89" i="4" s="1"/>
  <c r="W89" i="4"/>
  <c r="Z89" i="4" s="1" a="1"/>
  <c r="Z89" i="4" s="1"/>
  <c r="X89" i="4"/>
  <c r="AA89" i="4" s="1" a="1"/>
  <c r="AA89" i="4" s="1"/>
  <c r="G90" i="4" a="1"/>
  <c r="G90" i="4" s="1"/>
  <c r="J90" i="4" s="1" a="1"/>
  <c r="J90" i="4" s="1"/>
  <c r="M90" i="4" s="1"/>
  <c r="H90" i="4" a="1"/>
  <c r="H90" i="4" s="1"/>
  <c r="K90" i="4" s="1" a="1"/>
  <c r="K90" i="4" s="1"/>
  <c r="I90" i="4" a="1"/>
  <c r="I90" i="4" s="1"/>
  <c r="L90" i="4" s="1" a="1"/>
  <c r="L90" i="4" s="1"/>
  <c r="V90" i="4"/>
  <c r="Y90" i="4" s="1" a="1"/>
  <c r="Y90" i="4" s="1"/>
  <c r="W90" i="4"/>
  <c r="Z90" i="4" s="1" a="1"/>
  <c r="Z90" i="4" s="1"/>
  <c r="X90" i="4"/>
  <c r="AA90" i="4" s="1" a="1"/>
  <c r="AA90" i="4" s="1"/>
  <c r="G91" i="4" a="1"/>
  <c r="G91" i="4" s="1"/>
  <c r="J91" i="4" s="1" a="1"/>
  <c r="J91" i="4" s="1"/>
  <c r="M91" i="4" s="1"/>
  <c r="H91" i="4" a="1"/>
  <c r="H91" i="4" s="1"/>
  <c r="K91" i="4" s="1" a="1"/>
  <c r="K91" i="4" s="1"/>
  <c r="I91" i="4" a="1"/>
  <c r="I91" i="4" s="1"/>
  <c r="L91" i="4" s="1" a="1"/>
  <c r="L91" i="4" s="1"/>
  <c r="V91" i="4"/>
  <c r="Y91" i="4" s="1" a="1"/>
  <c r="Y91" i="4" s="1"/>
  <c r="W91" i="4"/>
  <c r="Z91" i="4" s="1" a="1"/>
  <c r="Z91" i="4" s="1"/>
  <c r="X91" i="4"/>
  <c r="AA91" i="4" s="1" a="1"/>
  <c r="AA91" i="4" s="1"/>
  <c r="G92" i="4" a="1"/>
  <c r="G92" i="4" s="1"/>
  <c r="J92" i="4" s="1" a="1"/>
  <c r="J92" i="4" s="1"/>
  <c r="M92" i="4" s="1"/>
  <c r="H92" i="4" a="1"/>
  <c r="H92" i="4" s="1"/>
  <c r="K92" i="4" s="1" a="1"/>
  <c r="K92" i="4" s="1"/>
  <c r="I92" i="4" a="1"/>
  <c r="I92" i="4" s="1"/>
  <c r="L92" i="4" s="1" a="1"/>
  <c r="L92" i="4" s="1"/>
  <c r="V92" i="4"/>
  <c r="Y92" i="4" s="1" a="1"/>
  <c r="Y92" i="4" s="1"/>
  <c r="W92" i="4"/>
  <c r="Z92" i="4" s="1" a="1"/>
  <c r="Z92" i="4" s="1"/>
  <c r="X92" i="4"/>
  <c r="AA92" i="4" s="1" a="1"/>
  <c r="AA92" i="4" s="1"/>
  <c r="G93" i="4" a="1"/>
  <c r="G93" i="4" s="1"/>
  <c r="J93" i="4" s="1" a="1"/>
  <c r="J93" i="4" s="1"/>
  <c r="M93" i="4" s="1"/>
  <c r="H93" i="4" a="1"/>
  <c r="H93" i="4" s="1"/>
  <c r="K93" i="4" s="1" a="1"/>
  <c r="K93" i="4" s="1"/>
  <c r="I93" i="4" a="1"/>
  <c r="I93" i="4" s="1"/>
  <c r="L93" i="4" s="1" a="1"/>
  <c r="L93" i="4" s="1"/>
  <c r="V93" i="4"/>
  <c r="Y93" i="4" s="1" a="1"/>
  <c r="Y93" i="4" s="1"/>
  <c r="W93" i="4"/>
  <c r="Z93" i="4" s="1" a="1"/>
  <c r="Z93" i="4" s="1"/>
  <c r="X93" i="4"/>
  <c r="AA93" i="4" s="1" a="1"/>
  <c r="AA93" i="4" s="1"/>
  <c r="G94" i="4" a="1"/>
  <c r="G94" i="4" s="1"/>
  <c r="J94" i="4" s="1" a="1"/>
  <c r="J94" i="4" s="1"/>
  <c r="M94" i="4" s="1"/>
  <c r="H94" i="4" a="1"/>
  <c r="H94" i="4" s="1"/>
  <c r="K94" i="4" s="1" a="1"/>
  <c r="K94" i="4" s="1"/>
  <c r="I94" i="4" a="1"/>
  <c r="I94" i="4" s="1"/>
  <c r="L94" i="4" s="1" a="1"/>
  <c r="L94" i="4" s="1"/>
  <c r="V94" i="4"/>
  <c r="Y94" i="4" s="1" a="1"/>
  <c r="Y94" i="4" s="1"/>
  <c r="W94" i="4"/>
  <c r="Z94" i="4" s="1" a="1"/>
  <c r="Z94" i="4" s="1"/>
  <c r="X94" i="4"/>
  <c r="AA94" i="4" s="1" a="1"/>
  <c r="AA94" i="4" s="1"/>
  <c r="G95" i="4" a="1"/>
  <c r="G95" i="4" s="1"/>
  <c r="J95" i="4" s="1" a="1"/>
  <c r="J95" i="4" s="1"/>
  <c r="M95" i="4" s="1"/>
  <c r="H95" i="4" a="1"/>
  <c r="H95" i="4" s="1"/>
  <c r="K95" i="4" s="1" a="1"/>
  <c r="K95" i="4" s="1"/>
  <c r="I95" i="4" a="1"/>
  <c r="I95" i="4" s="1"/>
  <c r="L95" i="4" s="1" a="1"/>
  <c r="L95" i="4" s="1"/>
  <c r="V95" i="4"/>
  <c r="Y95" i="4" s="1" a="1"/>
  <c r="Y95" i="4" s="1"/>
  <c r="W95" i="4"/>
  <c r="Z95" i="4" s="1" a="1"/>
  <c r="Z95" i="4" s="1"/>
  <c r="X95" i="4"/>
  <c r="AA95" i="4" s="1" a="1"/>
  <c r="AA95" i="4" s="1"/>
  <c r="G96" i="4" a="1"/>
  <c r="G96" i="4" s="1"/>
  <c r="J96" i="4" s="1" a="1"/>
  <c r="J96" i="4" s="1"/>
  <c r="M96" i="4" s="1"/>
  <c r="H96" i="4" a="1"/>
  <c r="H96" i="4" s="1"/>
  <c r="K96" i="4" s="1" a="1"/>
  <c r="K96" i="4" s="1"/>
  <c r="I96" i="4" a="1"/>
  <c r="I96" i="4" s="1"/>
  <c r="L96" i="4" s="1" a="1"/>
  <c r="L96" i="4" s="1"/>
  <c r="V96" i="4"/>
  <c r="Y96" i="4" s="1" a="1"/>
  <c r="Y96" i="4" s="1"/>
  <c r="W96" i="4"/>
  <c r="Z96" i="4" s="1" a="1"/>
  <c r="Z96" i="4" s="1"/>
  <c r="X96" i="4"/>
  <c r="AA96" i="4" s="1" a="1"/>
  <c r="AA96" i="4" s="1"/>
  <c r="G97" i="4" a="1"/>
  <c r="G97" i="4" s="1"/>
  <c r="J97" i="4" s="1" a="1"/>
  <c r="J97" i="4" s="1"/>
  <c r="M97" i="4" s="1"/>
  <c r="H97" i="4" a="1"/>
  <c r="H97" i="4" s="1"/>
  <c r="K97" i="4" s="1" a="1"/>
  <c r="K97" i="4" s="1"/>
  <c r="I97" i="4" a="1"/>
  <c r="I97" i="4" s="1"/>
  <c r="L97" i="4" s="1" a="1"/>
  <c r="L97" i="4" s="1"/>
  <c r="V97" i="4"/>
  <c r="Y97" i="4" s="1" a="1"/>
  <c r="Y97" i="4" s="1"/>
  <c r="W97" i="4"/>
  <c r="Z97" i="4" s="1" a="1"/>
  <c r="Z97" i="4" s="1"/>
  <c r="X97" i="4"/>
  <c r="AA97" i="4" s="1" a="1"/>
  <c r="AA97" i="4" s="1"/>
  <c r="G98" i="4" a="1"/>
  <c r="G98" i="4" s="1"/>
  <c r="J98" i="4" s="1" a="1"/>
  <c r="J98" i="4" s="1"/>
  <c r="M98" i="4" s="1"/>
  <c r="H98" i="4" a="1"/>
  <c r="H98" i="4" s="1"/>
  <c r="K98" i="4" s="1" a="1"/>
  <c r="K98" i="4" s="1"/>
  <c r="I98" i="4" a="1"/>
  <c r="I98" i="4" s="1"/>
  <c r="L98" i="4" s="1" a="1"/>
  <c r="L98" i="4" s="1"/>
  <c r="V98" i="4"/>
  <c r="Y98" i="4" s="1" a="1"/>
  <c r="Y98" i="4" s="1"/>
  <c r="W98" i="4"/>
  <c r="Z98" i="4" s="1" a="1"/>
  <c r="Z98" i="4" s="1"/>
  <c r="X98" i="4"/>
  <c r="AA98" i="4" s="1" a="1"/>
  <c r="AA98" i="4" s="1"/>
  <c r="G99" i="4" a="1"/>
  <c r="G99" i="4" s="1"/>
  <c r="J99" i="4" s="1" a="1"/>
  <c r="J99" i="4" s="1"/>
  <c r="M99" i="4" s="1"/>
  <c r="H99" i="4" a="1"/>
  <c r="H99" i="4" s="1"/>
  <c r="K99" i="4" s="1" a="1"/>
  <c r="K99" i="4" s="1"/>
  <c r="I99" i="4" a="1"/>
  <c r="I99" i="4" s="1"/>
  <c r="L99" i="4" s="1" a="1"/>
  <c r="L99" i="4" s="1"/>
  <c r="V99" i="4"/>
  <c r="Y99" i="4" s="1" a="1"/>
  <c r="Y99" i="4" s="1"/>
  <c r="W99" i="4"/>
  <c r="Z99" i="4" s="1" a="1"/>
  <c r="Z99" i="4" s="1"/>
  <c r="X99" i="4"/>
  <c r="AA99" i="4" s="1" a="1"/>
  <c r="AA99" i="4" s="1"/>
  <c r="G100" i="4" a="1"/>
  <c r="G100" i="4" s="1"/>
  <c r="J100" i="4" s="1" a="1"/>
  <c r="J100" i="4" s="1"/>
  <c r="M100" i="4" s="1"/>
  <c r="H100" i="4" a="1"/>
  <c r="H100" i="4" s="1"/>
  <c r="K100" i="4" s="1" a="1"/>
  <c r="K100" i="4" s="1"/>
  <c r="I100" i="4" a="1"/>
  <c r="I100" i="4" s="1"/>
  <c r="L100" i="4" s="1" a="1"/>
  <c r="L100" i="4" s="1"/>
  <c r="V100" i="4"/>
  <c r="Y100" i="4" s="1" a="1"/>
  <c r="Y100" i="4" s="1"/>
  <c r="W100" i="4"/>
  <c r="Z100" i="4" s="1" a="1"/>
  <c r="Z100" i="4" s="1"/>
  <c r="X100" i="4"/>
  <c r="AA100" i="4" s="1" a="1"/>
  <c r="AA100" i="4" s="1"/>
  <c r="G101" i="4" a="1"/>
  <c r="G101" i="4" s="1"/>
  <c r="J101" i="4" s="1" a="1"/>
  <c r="J101" i="4" s="1"/>
  <c r="M101" i="4" s="1"/>
  <c r="H101" i="4" a="1"/>
  <c r="H101" i="4" s="1"/>
  <c r="K101" i="4" s="1" a="1"/>
  <c r="K101" i="4" s="1"/>
  <c r="I101" i="4" a="1"/>
  <c r="I101" i="4" s="1"/>
  <c r="L101" i="4" s="1" a="1"/>
  <c r="L101" i="4" s="1"/>
  <c r="V101" i="4"/>
  <c r="Y101" i="4" s="1" a="1"/>
  <c r="Y101" i="4" s="1"/>
  <c r="W101" i="4"/>
  <c r="Z101" i="4" s="1" a="1"/>
  <c r="Z101" i="4" s="1"/>
  <c r="X101" i="4"/>
  <c r="AA101" i="4" s="1" a="1"/>
  <c r="AA101" i="4" s="1"/>
  <c r="G102" i="4" a="1"/>
  <c r="G102" i="4" s="1"/>
  <c r="J102" i="4" s="1" a="1"/>
  <c r="J102" i="4" s="1"/>
  <c r="M102" i="4" s="1"/>
  <c r="H102" i="4" a="1"/>
  <c r="H102" i="4" s="1"/>
  <c r="K102" i="4" s="1" a="1"/>
  <c r="K102" i="4" s="1"/>
  <c r="I102" i="4" a="1"/>
  <c r="I102" i="4" s="1"/>
  <c r="L102" i="4" s="1" a="1"/>
  <c r="L102" i="4" s="1"/>
  <c r="V102" i="4"/>
  <c r="Y102" i="4" s="1" a="1"/>
  <c r="Y102" i="4" s="1"/>
  <c r="W102" i="4"/>
  <c r="Z102" i="4" s="1" a="1"/>
  <c r="Z102" i="4" s="1"/>
  <c r="X102" i="4"/>
  <c r="AA102" i="4" s="1" a="1"/>
  <c r="AA102" i="4" s="1"/>
  <c r="G103" i="4" a="1"/>
  <c r="G103" i="4" s="1"/>
  <c r="J103" i="4" s="1" a="1"/>
  <c r="J103" i="4" s="1"/>
  <c r="M103" i="4" s="1"/>
  <c r="H103" i="4" a="1"/>
  <c r="H103" i="4" s="1"/>
  <c r="K103" i="4" s="1" a="1"/>
  <c r="K103" i="4" s="1"/>
  <c r="I103" i="4" a="1"/>
  <c r="I103" i="4" s="1"/>
  <c r="L103" i="4" s="1" a="1"/>
  <c r="L103" i="4" s="1"/>
  <c r="V103" i="4"/>
  <c r="Y103" i="4" s="1" a="1"/>
  <c r="Y103" i="4" s="1"/>
  <c r="W103" i="4"/>
  <c r="Z103" i="4" s="1" a="1"/>
  <c r="Z103" i="4" s="1"/>
  <c r="X103" i="4"/>
  <c r="AA103" i="4" s="1" a="1"/>
  <c r="AA103" i="4" s="1"/>
  <c r="AO35" i="3"/>
  <c r="AP35" i="3" s="1"/>
  <c r="AQ35" i="3" s="1"/>
  <c r="AO36" i="3"/>
  <c r="AP36" i="3" s="1"/>
  <c r="AQ36" i="3" s="1"/>
  <c r="AO37" i="3"/>
  <c r="AP37" i="3" s="1"/>
  <c r="AQ37" i="3" s="1"/>
  <c r="AO38" i="3"/>
  <c r="AP38" i="3" s="1"/>
  <c r="AQ38" i="3" s="1"/>
  <c r="AO39" i="3"/>
  <c r="AP39" i="3" s="1"/>
  <c r="AQ39" i="3" s="1"/>
  <c r="AO40" i="3"/>
  <c r="AP40" i="3" s="1"/>
  <c r="AQ40" i="3" s="1"/>
  <c r="AO41" i="3"/>
  <c r="AP41" i="3" s="1"/>
  <c r="AQ41" i="3" s="1"/>
  <c r="AO42" i="3"/>
  <c r="AP42" i="3" s="1"/>
  <c r="AQ42" i="3" s="1"/>
  <c r="AO43" i="3"/>
  <c r="AP43" i="3" s="1"/>
  <c r="AQ43" i="3" s="1"/>
  <c r="AO44" i="3"/>
  <c r="AP44" i="3" s="1"/>
  <c r="AQ44" i="3" s="1"/>
  <c r="AO45" i="3"/>
  <c r="AP45" i="3" s="1"/>
  <c r="AQ45" i="3" s="1"/>
  <c r="AO46" i="3"/>
  <c r="AP46" i="3" s="1"/>
  <c r="AQ46" i="3" s="1"/>
  <c r="AO47" i="3"/>
  <c r="AP47" i="3" s="1"/>
  <c r="AQ47" i="3" s="1"/>
  <c r="AO48" i="3"/>
  <c r="AP48" i="3" s="1"/>
  <c r="AQ48" i="3" s="1"/>
  <c r="AO49" i="3"/>
  <c r="AP49" i="3" s="1"/>
  <c r="AQ49" i="3" s="1"/>
  <c r="AO50" i="3"/>
  <c r="AP50" i="3" s="1"/>
  <c r="AQ50" i="3" s="1"/>
  <c r="AO51" i="3"/>
  <c r="AP51" i="3" s="1"/>
  <c r="AQ51" i="3" s="1"/>
  <c r="AO52" i="3"/>
  <c r="AP52" i="3" s="1"/>
  <c r="AQ52" i="3" s="1"/>
  <c r="AO53" i="3"/>
  <c r="AP53" i="3" s="1"/>
  <c r="AQ53" i="3" s="1"/>
  <c r="AO54" i="3"/>
  <c r="AP54" i="3" s="1"/>
  <c r="AQ54" i="3" s="1"/>
  <c r="AO55" i="3"/>
  <c r="AP55" i="3" s="1"/>
  <c r="AQ55" i="3" s="1"/>
  <c r="AO56" i="3"/>
  <c r="AP56" i="3" s="1"/>
  <c r="AQ56" i="3" s="1"/>
  <c r="AO57" i="3"/>
  <c r="AP57" i="3" s="1"/>
  <c r="AQ57" i="3" s="1"/>
  <c r="AO58" i="3"/>
  <c r="AP58" i="3" s="1"/>
  <c r="AQ58" i="3" s="1"/>
  <c r="AO59" i="3"/>
  <c r="AP59" i="3" s="1"/>
  <c r="AQ59" i="3" s="1"/>
  <c r="AO60" i="3"/>
  <c r="AP60" i="3" s="1"/>
  <c r="AQ60" i="3" s="1"/>
  <c r="AO61" i="3"/>
  <c r="AP61" i="3" s="1"/>
  <c r="AQ61" i="3" s="1"/>
  <c r="AO62" i="3"/>
  <c r="AP62" i="3" s="1"/>
  <c r="AQ62" i="3" s="1"/>
  <c r="AO63" i="3"/>
  <c r="AP63" i="3" s="1"/>
  <c r="AQ63" i="3" s="1"/>
  <c r="AO64" i="3"/>
  <c r="AP64" i="3" s="1"/>
  <c r="AQ64" i="3" s="1"/>
  <c r="AO65" i="3"/>
  <c r="AP65" i="3" s="1"/>
  <c r="AQ65" i="3" s="1"/>
  <c r="AO66" i="3"/>
  <c r="AP66" i="3" s="1"/>
  <c r="AQ66" i="3" s="1"/>
  <c r="AO67" i="3"/>
  <c r="AP67" i="3" s="1"/>
  <c r="AQ67" i="3" s="1"/>
  <c r="AO68" i="3"/>
  <c r="AP68" i="3" s="1"/>
  <c r="AQ68" i="3" s="1"/>
  <c r="AO69" i="3"/>
  <c r="AP69" i="3" s="1"/>
  <c r="AQ69" i="3" s="1"/>
  <c r="AO70" i="3"/>
  <c r="AP70" i="3" s="1"/>
  <c r="AQ70" i="3" s="1"/>
  <c r="AO71" i="3"/>
  <c r="AP71" i="3" s="1"/>
  <c r="AQ71" i="3" s="1"/>
  <c r="AO72" i="3"/>
  <c r="AP72" i="3" s="1"/>
  <c r="AQ72" i="3" s="1"/>
  <c r="AO73" i="3"/>
  <c r="AP73" i="3" s="1"/>
  <c r="AQ73" i="3" s="1"/>
  <c r="AO74" i="3"/>
  <c r="AP74" i="3" s="1"/>
  <c r="AQ74" i="3" s="1"/>
  <c r="AO75" i="3"/>
  <c r="AP75" i="3" s="1"/>
  <c r="AQ75" i="3" s="1"/>
  <c r="AO76" i="3"/>
  <c r="AP76" i="3" s="1"/>
  <c r="AQ76" i="3" s="1"/>
  <c r="AO77" i="3"/>
  <c r="AP77" i="3" s="1"/>
  <c r="AQ77" i="3" s="1"/>
  <c r="AO78" i="3"/>
  <c r="AP78" i="3" s="1"/>
  <c r="AQ78" i="3" s="1"/>
  <c r="AO79" i="3"/>
  <c r="AP79" i="3" s="1"/>
  <c r="AQ79" i="3" s="1"/>
  <c r="AO80" i="3"/>
  <c r="AP80" i="3" s="1"/>
  <c r="AQ80" i="3" s="1"/>
  <c r="AO81" i="3"/>
  <c r="AP81" i="3" s="1"/>
  <c r="AQ81" i="3" s="1"/>
  <c r="AO82" i="3"/>
  <c r="AP82" i="3" s="1"/>
  <c r="AQ82" i="3" s="1"/>
  <c r="AO83" i="3"/>
  <c r="AP83" i="3" s="1"/>
  <c r="AQ83" i="3" s="1"/>
  <c r="AO84" i="3"/>
  <c r="AP84" i="3" s="1"/>
  <c r="AQ84" i="3" s="1"/>
  <c r="AO85" i="3"/>
  <c r="AP85" i="3" s="1"/>
  <c r="AQ85" i="3" s="1"/>
  <c r="AO86" i="3"/>
  <c r="AP86" i="3" s="1"/>
  <c r="AQ86" i="3" s="1"/>
  <c r="AO87" i="3"/>
  <c r="AP87" i="3" s="1"/>
  <c r="AQ87" i="3" s="1"/>
  <c r="AO88" i="3"/>
  <c r="AP88" i="3" s="1"/>
  <c r="AQ88" i="3" s="1"/>
  <c r="AO89" i="3"/>
  <c r="AP89" i="3" s="1"/>
  <c r="AQ89" i="3" s="1"/>
  <c r="AO90" i="3"/>
  <c r="AP90" i="3" s="1"/>
  <c r="AQ90" i="3" s="1"/>
  <c r="AO91" i="3"/>
  <c r="AP91" i="3" s="1"/>
  <c r="AQ91" i="3" s="1"/>
  <c r="AO92" i="3"/>
  <c r="AP92" i="3" s="1"/>
  <c r="AQ92" i="3" s="1"/>
  <c r="AO93" i="3"/>
  <c r="AP93" i="3" s="1"/>
  <c r="AQ93" i="3" s="1"/>
  <c r="AO94" i="3"/>
  <c r="AP94" i="3" s="1"/>
  <c r="AQ94" i="3" s="1"/>
  <c r="AO95" i="3"/>
  <c r="AP95" i="3" s="1"/>
  <c r="AQ95" i="3" s="1"/>
  <c r="AO96" i="3"/>
  <c r="AP96" i="3" s="1"/>
  <c r="AQ96" i="3" s="1"/>
  <c r="AO97" i="3"/>
  <c r="AP97" i="3" s="1"/>
  <c r="AQ97" i="3" s="1"/>
  <c r="AO98" i="3"/>
  <c r="AP98" i="3" s="1"/>
  <c r="AQ98" i="3" s="1"/>
  <c r="AO99" i="3"/>
  <c r="AP99" i="3" s="1"/>
  <c r="AQ99" i="3" s="1"/>
  <c r="AO100" i="3"/>
  <c r="AP100" i="3" s="1"/>
  <c r="AQ100" i="3" s="1"/>
  <c r="AO101" i="3"/>
  <c r="AP101" i="3" s="1"/>
  <c r="AQ101" i="3" s="1"/>
  <c r="AO102" i="3"/>
  <c r="AP102" i="3" s="1"/>
  <c r="AQ102" i="3" s="1"/>
  <c r="AO103" i="3"/>
  <c r="AP103" i="3" s="1"/>
  <c r="AQ103" i="3" s="1"/>
  <c r="AO104" i="3"/>
  <c r="AP104" i="3" s="1"/>
  <c r="AQ104" i="3" s="1"/>
  <c r="X36" i="3" a="1"/>
  <c r="X36" i="3" s="1"/>
  <c r="AA36" i="3" s="1"/>
  <c r="AD36" i="3" s="1"/>
  <c r="AG36" i="3" s="1"/>
  <c r="Y36" i="3" a="1"/>
  <c r="Y36" i="3" s="1"/>
  <c r="AB36" i="3" s="1"/>
  <c r="AE36" i="3" s="1"/>
  <c r="Z36" i="3" a="1"/>
  <c r="Z36" i="3" s="1"/>
  <c r="AC36" i="3" s="1"/>
  <c r="AF36" i="3" s="1"/>
  <c r="X37" i="3" a="1"/>
  <c r="X37" i="3" s="1"/>
  <c r="AA37" i="3" s="1"/>
  <c r="AD37" i="3" s="1"/>
  <c r="AG37" i="3" s="1"/>
  <c r="Y37" i="3" a="1"/>
  <c r="Y37" i="3" s="1"/>
  <c r="AB37" i="3" s="1"/>
  <c r="AE37" i="3" s="1"/>
  <c r="Z37" i="3" a="1"/>
  <c r="Z37" i="3" s="1"/>
  <c r="AC37" i="3" s="1"/>
  <c r="AF37" i="3" s="1"/>
  <c r="X38" i="3" a="1"/>
  <c r="X38" i="3" s="1"/>
  <c r="AA38" i="3" s="1"/>
  <c r="AD38" i="3" s="1"/>
  <c r="AG38" i="3" s="1"/>
  <c r="Y38" i="3" a="1"/>
  <c r="Y38" i="3" s="1"/>
  <c r="AB38" i="3" s="1"/>
  <c r="AE38" i="3" s="1"/>
  <c r="Z38" i="3" a="1"/>
  <c r="Z38" i="3" s="1"/>
  <c r="AC38" i="3" s="1"/>
  <c r="AF38" i="3" s="1"/>
  <c r="X39" i="3" a="1"/>
  <c r="X39" i="3" s="1"/>
  <c r="AA39" i="3" s="1"/>
  <c r="AD39" i="3" s="1"/>
  <c r="AG39" i="3" s="1"/>
  <c r="Y39" i="3" a="1"/>
  <c r="Y39" i="3" s="1"/>
  <c r="AB39" i="3" s="1"/>
  <c r="AE39" i="3" s="1"/>
  <c r="Z39" i="3" a="1"/>
  <c r="Z39" i="3" s="1"/>
  <c r="AC39" i="3" s="1"/>
  <c r="AF39" i="3" s="1"/>
  <c r="X40" i="3" a="1"/>
  <c r="X40" i="3" s="1"/>
  <c r="AA40" i="3" s="1"/>
  <c r="AD40" i="3" s="1"/>
  <c r="AG40" i="3" s="1"/>
  <c r="Y40" i="3" a="1"/>
  <c r="Y40" i="3" s="1"/>
  <c r="AB40" i="3" s="1"/>
  <c r="AE40" i="3" s="1"/>
  <c r="Z40" i="3" a="1"/>
  <c r="Z40" i="3" s="1"/>
  <c r="AC40" i="3" s="1"/>
  <c r="AF40" i="3" s="1"/>
  <c r="X41" i="3" a="1"/>
  <c r="X41" i="3" s="1"/>
  <c r="AA41" i="3" s="1"/>
  <c r="AD41" i="3" s="1"/>
  <c r="AG41" i="3" s="1"/>
  <c r="Y41" i="3" a="1"/>
  <c r="Y41" i="3" s="1"/>
  <c r="AB41" i="3" s="1"/>
  <c r="AE41" i="3" s="1"/>
  <c r="Z41" i="3" a="1"/>
  <c r="Z41" i="3" s="1"/>
  <c r="AC41" i="3" s="1"/>
  <c r="AF41" i="3" s="1"/>
  <c r="X42" i="3" a="1"/>
  <c r="X42" i="3" s="1"/>
  <c r="AA42" i="3" s="1"/>
  <c r="AD42" i="3" s="1"/>
  <c r="AG42" i="3" s="1"/>
  <c r="Y42" i="3" a="1"/>
  <c r="Y42" i="3" s="1"/>
  <c r="AB42" i="3" s="1"/>
  <c r="AE42" i="3" s="1"/>
  <c r="Z42" i="3" a="1"/>
  <c r="Z42" i="3" s="1"/>
  <c r="AC42" i="3" s="1"/>
  <c r="AF42" i="3" s="1"/>
  <c r="X43" i="3" a="1"/>
  <c r="X43" i="3" s="1"/>
  <c r="AA43" i="3" s="1"/>
  <c r="AD43" i="3" s="1"/>
  <c r="AG43" i="3" s="1"/>
  <c r="Y43" i="3" a="1"/>
  <c r="Y43" i="3" s="1"/>
  <c r="AB43" i="3" s="1"/>
  <c r="AE43" i="3" s="1"/>
  <c r="Z43" i="3" a="1"/>
  <c r="Z43" i="3" s="1"/>
  <c r="AC43" i="3" s="1"/>
  <c r="AF43" i="3" s="1"/>
  <c r="X44" i="3" a="1"/>
  <c r="X44" i="3" s="1"/>
  <c r="AA44" i="3" s="1"/>
  <c r="AD44" i="3" s="1"/>
  <c r="AG44" i="3" s="1"/>
  <c r="Y44" i="3" a="1"/>
  <c r="Y44" i="3" s="1"/>
  <c r="AB44" i="3" s="1"/>
  <c r="AE44" i="3" s="1"/>
  <c r="Z44" i="3" a="1"/>
  <c r="Z44" i="3" s="1"/>
  <c r="AC44" i="3" s="1"/>
  <c r="AF44" i="3" s="1"/>
  <c r="X45" i="3" a="1"/>
  <c r="X45" i="3" s="1"/>
  <c r="AA45" i="3" s="1"/>
  <c r="AD45" i="3" s="1"/>
  <c r="AG45" i="3" s="1"/>
  <c r="Y45" i="3" a="1"/>
  <c r="Y45" i="3" s="1"/>
  <c r="AB45" i="3" s="1"/>
  <c r="AE45" i="3" s="1"/>
  <c r="Z45" i="3" a="1"/>
  <c r="Z45" i="3" s="1"/>
  <c r="AC45" i="3" s="1"/>
  <c r="AF45" i="3" s="1"/>
  <c r="X46" i="3" a="1"/>
  <c r="X46" i="3" s="1"/>
  <c r="AA46" i="3" s="1"/>
  <c r="AD46" i="3" s="1"/>
  <c r="AG46" i="3" s="1"/>
  <c r="Y46" i="3" a="1"/>
  <c r="Y46" i="3" s="1"/>
  <c r="AB46" i="3" s="1"/>
  <c r="AE46" i="3" s="1"/>
  <c r="Z46" i="3" a="1"/>
  <c r="Z46" i="3" s="1"/>
  <c r="AC46" i="3" s="1"/>
  <c r="AF46" i="3" s="1"/>
  <c r="X47" i="3" a="1"/>
  <c r="X47" i="3" s="1"/>
  <c r="AA47" i="3" s="1"/>
  <c r="AD47" i="3" s="1"/>
  <c r="AG47" i="3" s="1"/>
  <c r="Y47" i="3" a="1"/>
  <c r="Y47" i="3" s="1"/>
  <c r="AB47" i="3" s="1"/>
  <c r="AE47" i="3" s="1"/>
  <c r="Z47" i="3" a="1"/>
  <c r="Z47" i="3" s="1"/>
  <c r="AC47" i="3" s="1"/>
  <c r="AF47" i="3" s="1"/>
  <c r="X48" i="3" a="1"/>
  <c r="X48" i="3" s="1"/>
  <c r="AA48" i="3" s="1"/>
  <c r="AD48" i="3" s="1"/>
  <c r="AG48" i="3" s="1"/>
  <c r="Y48" i="3" a="1"/>
  <c r="Y48" i="3" s="1"/>
  <c r="AB48" i="3" s="1"/>
  <c r="AE48" i="3" s="1"/>
  <c r="Z48" i="3" a="1"/>
  <c r="Z48" i="3" s="1"/>
  <c r="AC48" i="3" s="1"/>
  <c r="AF48" i="3" s="1"/>
  <c r="X49" i="3" a="1"/>
  <c r="X49" i="3" s="1"/>
  <c r="AA49" i="3" s="1"/>
  <c r="AD49" i="3" s="1"/>
  <c r="AG49" i="3" s="1"/>
  <c r="Y49" i="3" a="1"/>
  <c r="Y49" i="3" s="1"/>
  <c r="AB49" i="3" s="1"/>
  <c r="AE49" i="3" s="1"/>
  <c r="Z49" i="3" a="1"/>
  <c r="Z49" i="3" s="1"/>
  <c r="AC49" i="3" s="1"/>
  <c r="AF49" i="3" s="1"/>
  <c r="X50" i="3" a="1"/>
  <c r="X50" i="3" s="1"/>
  <c r="AA50" i="3" s="1"/>
  <c r="AD50" i="3" s="1"/>
  <c r="AG50" i="3" s="1"/>
  <c r="Y50" i="3" a="1"/>
  <c r="Y50" i="3" s="1"/>
  <c r="AB50" i="3" s="1"/>
  <c r="AE50" i="3" s="1"/>
  <c r="Z50" i="3" a="1"/>
  <c r="Z50" i="3" s="1"/>
  <c r="AC50" i="3" s="1"/>
  <c r="AF50" i="3" s="1"/>
  <c r="X51" i="3" a="1"/>
  <c r="X51" i="3" s="1"/>
  <c r="AA51" i="3" s="1"/>
  <c r="AD51" i="3" s="1"/>
  <c r="AG51" i="3" s="1"/>
  <c r="Y51" i="3" a="1"/>
  <c r="Y51" i="3" s="1"/>
  <c r="AB51" i="3" s="1"/>
  <c r="AE51" i="3" s="1"/>
  <c r="Z51" i="3" a="1"/>
  <c r="Z51" i="3" s="1"/>
  <c r="AC51" i="3" s="1"/>
  <c r="AF51" i="3" s="1"/>
  <c r="X52" i="3" a="1"/>
  <c r="X52" i="3" s="1"/>
  <c r="AA52" i="3" s="1"/>
  <c r="AD52" i="3" s="1"/>
  <c r="AG52" i="3" s="1"/>
  <c r="Y52" i="3" a="1"/>
  <c r="Y52" i="3" s="1"/>
  <c r="AB52" i="3" s="1"/>
  <c r="AE52" i="3" s="1"/>
  <c r="Z52" i="3" a="1"/>
  <c r="Z52" i="3" s="1"/>
  <c r="AC52" i="3" s="1"/>
  <c r="AF52" i="3" s="1"/>
  <c r="X53" i="3" a="1"/>
  <c r="X53" i="3" s="1"/>
  <c r="AA53" i="3" s="1"/>
  <c r="AD53" i="3" s="1"/>
  <c r="AG53" i="3" s="1"/>
  <c r="Y53" i="3" a="1"/>
  <c r="Y53" i="3" s="1"/>
  <c r="AB53" i="3" s="1"/>
  <c r="AE53" i="3" s="1"/>
  <c r="Z53" i="3" a="1"/>
  <c r="Z53" i="3" s="1"/>
  <c r="AC53" i="3" s="1"/>
  <c r="AF53" i="3" s="1"/>
  <c r="X54" i="3" a="1"/>
  <c r="X54" i="3" s="1"/>
  <c r="AA54" i="3" s="1"/>
  <c r="AD54" i="3" s="1"/>
  <c r="AG54" i="3" s="1"/>
  <c r="Y54" i="3" a="1"/>
  <c r="Y54" i="3" s="1"/>
  <c r="AB54" i="3" s="1"/>
  <c r="AE54" i="3" s="1"/>
  <c r="Z54" i="3" a="1"/>
  <c r="Z54" i="3" s="1"/>
  <c r="AC54" i="3" s="1"/>
  <c r="AF54" i="3" s="1"/>
  <c r="X55" i="3" a="1"/>
  <c r="X55" i="3" s="1"/>
  <c r="AA55" i="3" s="1"/>
  <c r="AD55" i="3" s="1"/>
  <c r="AG55" i="3" s="1"/>
  <c r="Y55" i="3" a="1"/>
  <c r="Y55" i="3" s="1"/>
  <c r="AB55" i="3" s="1"/>
  <c r="AE55" i="3" s="1"/>
  <c r="Z55" i="3" a="1"/>
  <c r="Z55" i="3" s="1"/>
  <c r="AC55" i="3" s="1"/>
  <c r="AF55" i="3" s="1"/>
  <c r="X56" i="3" a="1"/>
  <c r="X56" i="3" s="1"/>
  <c r="AA56" i="3" s="1"/>
  <c r="AD56" i="3" s="1"/>
  <c r="AG56" i="3" s="1"/>
  <c r="Y56" i="3" a="1"/>
  <c r="Y56" i="3" s="1"/>
  <c r="AB56" i="3" s="1"/>
  <c r="AE56" i="3" s="1"/>
  <c r="Z56" i="3" a="1"/>
  <c r="Z56" i="3" s="1"/>
  <c r="AC56" i="3" s="1"/>
  <c r="AF56" i="3" s="1"/>
  <c r="X57" i="3" a="1"/>
  <c r="X57" i="3" s="1"/>
  <c r="AA57" i="3" s="1"/>
  <c r="AD57" i="3" s="1"/>
  <c r="AG57" i="3" s="1"/>
  <c r="Y57" i="3" a="1"/>
  <c r="Y57" i="3" s="1"/>
  <c r="AB57" i="3" s="1"/>
  <c r="AE57" i="3" s="1"/>
  <c r="Z57" i="3" a="1"/>
  <c r="Z57" i="3" s="1"/>
  <c r="AC57" i="3" s="1"/>
  <c r="AF57" i="3" s="1"/>
  <c r="X58" i="3" a="1"/>
  <c r="X58" i="3" s="1"/>
  <c r="AA58" i="3" s="1"/>
  <c r="AD58" i="3" s="1"/>
  <c r="AG58" i="3" s="1"/>
  <c r="Y58" i="3" a="1"/>
  <c r="Y58" i="3" s="1"/>
  <c r="AB58" i="3" s="1"/>
  <c r="AE58" i="3" s="1"/>
  <c r="Z58" i="3" a="1"/>
  <c r="Z58" i="3" s="1"/>
  <c r="AC58" i="3" s="1"/>
  <c r="AF58" i="3" s="1"/>
  <c r="X59" i="3" a="1"/>
  <c r="X59" i="3" s="1"/>
  <c r="AA59" i="3" s="1"/>
  <c r="AD59" i="3" s="1"/>
  <c r="AG59" i="3" s="1"/>
  <c r="Y59" i="3" a="1"/>
  <c r="Y59" i="3" s="1"/>
  <c r="AB59" i="3" s="1"/>
  <c r="AE59" i="3" s="1"/>
  <c r="Z59" i="3" a="1"/>
  <c r="Z59" i="3" s="1"/>
  <c r="AC59" i="3" s="1"/>
  <c r="AF59" i="3" s="1"/>
  <c r="X60" i="3" a="1"/>
  <c r="X60" i="3" s="1"/>
  <c r="AA60" i="3" s="1"/>
  <c r="AD60" i="3" s="1"/>
  <c r="AG60" i="3" s="1"/>
  <c r="Y60" i="3" a="1"/>
  <c r="Y60" i="3" s="1"/>
  <c r="AB60" i="3" s="1"/>
  <c r="AE60" i="3" s="1"/>
  <c r="Z60" i="3" a="1"/>
  <c r="Z60" i="3" s="1"/>
  <c r="AC60" i="3" s="1"/>
  <c r="AF60" i="3" s="1"/>
  <c r="X61" i="3" a="1"/>
  <c r="X61" i="3" s="1"/>
  <c r="AA61" i="3" s="1"/>
  <c r="AD61" i="3" s="1"/>
  <c r="AG61" i="3" s="1"/>
  <c r="Y61" i="3" a="1"/>
  <c r="Y61" i="3" s="1"/>
  <c r="AB61" i="3" s="1"/>
  <c r="AE61" i="3" s="1"/>
  <c r="Z61" i="3" a="1"/>
  <c r="Z61" i="3" s="1"/>
  <c r="AC61" i="3" s="1"/>
  <c r="AF61" i="3" s="1"/>
  <c r="X62" i="3" a="1"/>
  <c r="X62" i="3" s="1"/>
  <c r="AA62" i="3" s="1"/>
  <c r="AD62" i="3" s="1"/>
  <c r="AG62" i="3" s="1"/>
  <c r="Y62" i="3" a="1"/>
  <c r="Y62" i="3" s="1"/>
  <c r="AB62" i="3" s="1"/>
  <c r="AE62" i="3" s="1"/>
  <c r="Z62" i="3" a="1"/>
  <c r="Z62" i="3" s="1"/>
  <c r="AC62" i="3" s="1"/>
  <c r="AF62" i="3" s="1"/>
  <c r="X63" i="3" a="1"/>
  <c r="X63" i="3" s="1"/>
  <c r="AA63" i="3" s="1"/>
  <c r="AD63" i="3" s="1"/>
  <c r="AG63" i="3" s="1"/>
  <c r="Y63" i="3" a="1"/>
  <c r="Y63" i="3" s="1"/>
  <c r="AB63" i="3" s="1"/>
  <c r="AE63" i="3" s="1"/>
  <c r="Z63" i="3" a="1"/>
  <c r="Z63" i="3" s="1"/>
  <c r="AC63" i="3" s="1"/>
  <c r="AF63" i="3" s="1"/>
  <c r="X64" i="3" a="1"/>
  <c r="X64" i="3" s="1"/>
  <c r="AA64" i="3" s="1"/>
  <c r="AD64" i="3" s="1"/>
  <c r="AG64" i="3" s="1"/>
  <c r="Y64" i="3" a="1"/>
  <c r="Y64" i="3" s="1"/>
  <c r="AB64" i="3" s="1"/>
  <c r="AE64" i="3" s="1"/>
  <c r="Z64" i="3" a="1"/>
  <c r="Z64" i="3" s="1"/>
  <c r="AC64" i="3" s="1"/>
  <c r="AF64" i="3" s="1"/>
  <c r="X65" i="3" a="1"/>
  <c r="X65" i="3" s="1"/>
  <c r="AA65" i="3" s="1"/>
  <c r="AD65" i="3" s="1"/>
  <c r="AG65" i="3" s="1"/>
  <c r="Y65" i="3" a="1"/>
  <c r="Y65" i="3" s="1"/>
  <c r="AB65" i="3" s="1"/>
  <c r="AE65" i="3" s="1"/>
  <c r="Z65" i="3" a="1"/>
  <c r="Z65" i="3" s="1"/>
  <c r="AC65" i="3" s="1"/>
  <c r="AF65" i="3" s="1"/>
  <c r="X66" i="3" a="1"/>
  <c r="X66" i="3" s="1"/>
  <c r="AA66" i="3" s="1"/>
  <c r="AD66" i="3" s="1"/>
  <c r="AG66" i="3" s="1"/>
  <c r="Y66" i="3" a="1"/>
  <c r="Y66" i="3" s="1"/>
  <c r="AB66" i="3" s="1"/>
  <c r="AE66" i="3" s="1"/>
  <c r="Z66" i="3" a="1"/>
  <c r="Z66" i="3" s="1"/>
  <c r="AC66" i="3" s="1"/>
  <c r="AF66" i="3" s="1"/>
  <c r="X67" i="3" a="1"/>
  <c r="X67" i="3" s="1"/>
  <c r="AA67" i="3" s="1"/>
  <c r="AD67" i="3" s="1"/>
  <c r="AG67" i="3" s="1"/>
  <c r="Y67" i="3" a="1"/>
  <c r="Y67" i="3" s="1"/>
  <c r="AB67" i="3" s="1"/>
  <c r="AE67" i="3" s="1"/>
  <c r="Z67" i="3" a="1"/>
  <c r="Z67" i="3" s="1"/>
  <c r="AC67" i="3" s="1"/>
  <c r="AF67" i="3" s="1"/>
  <c r="X68" i="3" a="1"/>
  <c r="X68" i="3" s="1"/>
  <c r="AA68" i="3" s="1"/>
  <c r="AD68" i="3" s="1"/>
  <c r="AG68" i="3" s="1"/>
  <c r="Y68" i="3" a="1"/>
  <c r="Y68" i="3" s="1"/>
  <c r="AB68" i="3" s="1"/>
  <c r="AE68" i="3" s="1"/>
  <c r="Z68" i="3" a="1"/>
  <c r="Z68" i="3" s="1"/>
  <c r="AC68" i="3" s="1"/>
  <c r="AF68" i="3" s="1"/>
  <c r="X69" i="3" a="1"/>
  <c r="X69" i="3" s="1"/>
  <c r="AA69" i="3" s="1"/>
  <c r="AD69" i="3" s="1"/>
  <c r="AG69" i="3" s="1"/>
  <c r="Y69" i="3" a="1"/>
  <c r="Y69" i="3" s="1"/>
  <c r="AB69" i="3" s="1"/>
  <c r="AE69" i="3" s="1"/>
  <c r="Z69" i="3" a="1"/>
  <c r="Z69" i="3" s="1"/>
  <c r="AC69" i="3" s="1"/>
  <c r="AF69" i="3" s="1"/>
  <c r="X70" i="3" a="1"/>
  <c r="X70" i="3" s="1"/>
  <c r="AA70" i="3" s="1"/>
  <c r="AD70" i="3" s="1"/>
  <c r="AG70" i="3" s="1"/>
  <c r="Y70" i="3" a="1"/>
  <c r="Y70" i="3" s="1"/>
  <c r="AB70" i="3" s="1"/>
  <c r="AE70" i="3" s="1"/>
  <c r="Z70" i="3" a="1"/>
  <c r="Z70" i="3" s="1"/>
  <c r="AC70" i="3" s="1"/>
  <c r="AF70" i="3" s="1"/>
  <c r="X71" i="3" a="1"/>
  <c r="X71" i="3" s="1"/>
  <c r="AA71" i="3" s="1"/>
  <c r="AD71" i="3" s="1"/>
  <c r="AG71" i="3" s="1"/>
  <c r="Y71" i="3" a="1"/>
  <c r="Y71" i="3" s="1"/>
  <c r="AB71" i="3" s="1"/>
  <c r="AE71" i="3" s="1"/>
  <c r="Z71" i="3" a="1"/>
  <c r="Z71" i="3" s="1"/>
  <c r="AC71" i="3" s="1"/>
  <c r="AF71" i="3" s="1"/>
  <c r="X72" i="3" a="1"/>
  <c r="X72" i="3" s="1"/>
  <c r="AA72" i="3" s="1"/>
  <c r="AD72" i="3" s="1"/>
  <c r="AG72" i="3" s="1"/>
  <c r="Y72" i="3" a="1"/>
  <c r="Y72" i="3" s="1"/>
  <c r="AB72" i="3" s="1"/>
  <c r="AE72" i="3" s="1"/>
  <c r="Z72" i="3" a="1"/>
  <c r="Z72" i="3" s="1"/>
  <c r="AC72" i="3" s="1"/>
  <c r="AF72" i="3" s="1"/>
  <c r="X73" i="3" a="1"/>
  <c r="X73" i="3" s="1"/>
  <c r="AA73" i="3" s="1"/>
  <c r="AD73" i="3" s="1"/>
  <c r="AG73" i="3" s="1"/>
  <c r="Y73" i="3" a="1"/>
  <c r="Y73" i="3" s="1"/>
  <c r="AB73" i="3" s="1"/>
  <c r="AE73" i="3" s="1"/>
  <c r="Z73" i="3" a="1"/>
  <c r="Z73" i="3" s="1"/>
  <c r="AC73" i="3" s="1"/>
  <c r="AF73" i="3" s="1"/>
  <c r="X74" i="3" a="1"/>
  <c r="X74" i="3" s="1"/>
  <c r="AA74" i="3" s="1"/>
  <c r="AD74" i="3" s="1"/>
  <c r="AG74" i="3" s="1"/>
  <c r="Y74" i="3" a="1"/>
  <c r="Y74" i="3" s="1"/>
  <c r="AB74" i="3" s="1"/>
  <c r="AE74" i="3" s="1"/>
  <c r="Z74" i="3" a="1"/>
  <c r="Z74" i="3" s="1"/>
  <c r="AC74" i="3" s="1"/>
  <c r="AF74" i="3" s="1"/>
  <c r="X75" i="3" a="1"/>
  <c r="X75" i="3" s="1"/>
  <c r="AA75" i="3" s="1"/>
  <c r="AD75" i="3" s="1"/>
  <c r="AG75" i="3" s="1"/>
  <c r="Y75" i="3" a="1"/>
  <c r="Y75" i="3" s="1"/>
  <c r="AB75" i="3" s="1"/>
  <c r="AE75" i="3" s="1"/>
  <c r="Z75" i="3" a="1"/>
  <c r="Z75" i="3" s="1"/>
  <c r="AC75" i="3" s="1"/>
  <c r="AF75" i="3" s="1"/>
  <c r="X76" i="3" a="1"/>
  <c r="X76" i="3" s="1"/>
  <c r="AA76" i="3" s="1"/>
  <c r="AD76" i="3" s="1"/>
  <c r="AG76" i="3" s="1"/>
  <c r="Y76" i="3" a="1"/>
  <c r="Y76" i="3" s="1"/>
  <c r="AB76" i="3" s="1"/>
  <c r="AE76" i="3" s="1"/>
  <c r="Z76" i="3" a="1"/>
  <c r="Z76" i="3" s="1"/>
  <c r="AC76" i="3" s="1"/>
  <c r="AF76" i="3" s="1"/>
  <c r="X77" i="3" a="1"/>
  <c r="X77" i="3" s="1"/>
  <c r="AA77" i="3" s="1"/>
  <c r="AD77" i="3" s="1"/>
  <c r="AG77" i="3" s="1"/>
  <c r="Y77" i="3" a="1"/>
  <c r="Y77" i="3" s="1"/>
  <c r="AB77" i="3" s="1"/>
  <c r="AE77" i="3" s="1"/>
  <c r="Z77" i="3" a="1"/>
  <c r="Z77" i="3" s="1"/>
  <c r="AC77" i="3" s="1"/>
  <c r="AF77" i="3" s="1"/>
  <c r="X78" i="3" a="1"/>
  <c r="X78" i="3" s="1"/>
  <c r="AA78" i="3" s="1"/>
  <c r="AD78" i="3" s="1"/>
  <c r="AG78" i="3" s="1"/>
  <c r="Y78" i="3" a="1"/>
  <c r="Y78" i="3" s="1"/>
  <c r="AB78" i="3" s="1"/>
  <c r="AE78" i="3" s="1"/>
  <c r="Z78" i="3" a="1"/>
  <c r="Z78" i="3" s="1"/>
  <c r="AC78" i="3" s="1"/>
  <c r="AF78" i="3" s="1"/>
  <c r="X79" i="3" a="1"/>
  <c r="X79" i="3" s="1"/>
  <c r="AA79" i="3" s="1"/>
  <c r="AD79" i="3" s="1"/>
  <c r="AG79" i="3" s="1"/>
  <c r="Y79" i="3" a="1"/>
  <c r="Y79" i="3" s="1"/>
  <c r="AB79" i="3" s="1"/>
  <c r="AE79" i="3" s="1"/>
  <c r="Z79" i="3" a="1"/>
  <c r="Z79" i="3" s="1"/>
  <c r="AC79" i="3" s="1"/>
  <c r="AF79" i="3" s="1"/>
  <c r="X80" i="3" a="1"/>
  <c r="X80" i="3" s="1"/>
  <c r="AA80" i="3" s="1"/>
  <c r="AD80" i="3" s="1"/>
  <c r="AG80" i="3" s="1"/>
  <c r="Y80" i="3" a="1"/>
  <c r="Y80" i="3" s="1"/>
  <c r="AB80" i="3" s="1"/>
  <c r="AE80" i="3" s="1"/>
  <c r="Z80" i="3" a="1"/>
  <c r="Z80" i="3" s="1"/>
  <c r="AC80" i="3" s="1"/>
  <c r="AF80" i="3" s="1"/>
  <c r="X81" i="3" a="1"/>
  <c r="X81" i="3" s="1"/>
  <c r="AA81" i="3" s="1"/>
  <c r="AD81" i="3" s="1"/>
  <c r="AG81" i="3" s="1"/>
  <c r="Y81" i="3" a="1"/>
  <c r="Y81" i="3" s="1"/>
  <c r="AB81" i="3" s="1"/>
  <c r="AE81" i="3" s="1"/>
  <c r="Z81" i="3" a="1"/>
  <c r="Z81" i="3" s="1"/>
  <c r="AC81" i="3" s="1"/>
  <c r="AF81" i="3" s="1"/>
  <c r="X82" i="3" a="1"/>
  <c r="X82" i="3" s="1"/>
  <c r="AA82" i="3" s="1"/>
  <c r="AD82" i="3" s="1"/>
  <c r="AG82" i="3" s="1"/>
  <c r="Y82" i="3" a="1"/>
  <c r="Y82" i="3" s="1"/>
  <c r="AB82" i="3" s="1"/>
  <c r="AE82" i="3" s="1"/>
  <c r="Z82" i="3" a="1"/>
  <c r="Z82" i="3" s="1"/>
  <c r="AC82" i="3" s="1"/>
  <c r="AF82" i="3" s="1"/>
  <c r="X83" i="3" a="1"/>
  <c r="X83" i="3" s="1"/>
  <c r="AA83" i="3" s="1"/>
  <c r="AD83" i="3" s="1"/>
  <c r="AG83" i="3" s="1"/>
  <c r="Y83" i="3" a="1"/>
  <c r="Y83" i="3" s="1"/>
  <c r="AB83" i="3" s="1"/>
  <c r="AE83" i="3" s="1"/>
  <c r="Z83" i="3" a="1"/>
  <c r="Z83" i="3" s="1"/>
  <c r="AC83" i="3" s="1"/>
  <c r="AF83" i="3" s="1"/>
  <c r="X84" i="3" a="1"/>
  <c r="X84" i="3" s="1"/>
  <c r="AA84" i="3" s="1"/>
  <c r="AD84" i="3" s="1"/>
  <c r="AG84" i="3" s="1"/>
  <c r="Y84" i="3" a="1"/>
  <c r="Y84" i="3" s="1"/>
  <c r="AB84" i="3" s="1"/>
  <c r="AE84" i="3" s="1"/>
  <c r="Z84" i="3" a="1"/>
  <c r="Z84" i="3" s="1"/>
  <c r="AC84" i="3" s="1"/>
  <c r="AF84" i="3" s="1"/>
  <c r="X85" i="3" a="1"/>
  <c r="X85" i="3" s="1"/>
  <c r="AA85" i="3" s="1"/>
  <c r="AD85" i="3" s="1"/>
  <c r="AG85" i="3" s="1"/>
  <c r="Y85" i="3" a="1"/>
  <c r="Y85" i="3" s="1"/>
  <c r="AB85" i="3" s="1"/>
  <c r="AE85" i="3" s="1"/>
  <c r="Z85" i="3" a="1"/>
  <c r="Z85" i="3" s="1"/>
  <c r="AC85" i="3" s="1"/>
  <c r="AF85" i="3" s="1"/>
  <c r="X86" i="3" a="1"/>
  <c r="X86" i="3" s="1"/>
  <c r="AA86" i="3" s="1"/>
  <c r="AD86" i="3" s="1"/>
  <c r="AG86" i="3" s="1"/>
  <c r="Y86" i="3" a="1"/>
  <c r="Y86" i="3" s="1"/>
  <c r="AB86" i="3" s="1"/>
  <c r="AE86" i="3" s="1"/>
  <c r="Z86" i="3" a="1"/>
  <c r="Z86" i="3" s="1"/>
  <c r="AC86" i="3" s="1"/>
  <c r="AF86" i="3" s="1"/>
  <c r="X87" i="3" a="1"/>
  <c r="X87" i="3" s="1"/>
  <c r="AA87" i="3" s="1"/>
  <c r="AD87" i="3" s="1"/>
  <c r="AG87" i="3" s="1"/>
  <c r="Y87" i="3" a="1"/>
  <c r="Y87" i="3" s="1"/>
  <c r="AB87" i="3" s="1"/>
  <c r="AE87" i="3" s="1"/>
  <c r="Z87" i="3" a="1"/>
  <c r="Z87" i="3" s="1"/>
  <c r="AC87" i="3" s="1"/>
  <c r="AF87" i="3" s="1"/>
  <c r="X88" i="3" a="1"/>
  <c r="X88" i="3" s="1"/>
  <c r="AA88" i="3" s="1"/>
  <c r="AD88" i="3" s="1"/>
  <c r="AG88" i="3" s="1"/>
  <c r="Y88" i="3" a="1"/>
  <c r="Y88" i="3" s="1"/>
  <c r="AB88" i="3" s="1"/>
  <c r="AE88" i="3" s="1"/>
  <c r="Z88" i="3" a="1"/>
  <c r="Z88" i="3" s="1"/>
  <c r="AC88" i="3" s="1"/>
  <c r="AF88" i="3" s="1"/>
  <c r="X89" i="3" a="1"/>
  <c r="X89" i="3" s="1"/>
  <c r="AA89" i="3" s="1"/>
  <c r="AD89" i="3" s="1"/>
  <c r="AG89" i="3" s="1"/>
  <c r="Y89" i="3" a="1"/>
  <c r="Y89" i="3" s="1"/>
  <c r="AB89" i="3" s="1"/>
  <c r="AE89" i="3" s="1"/>
  <c r="Z89" i="3" a="1"/>
  <c r="Z89" i="3" s="1"/>
  <c r="AC89" i="3" s="1"/>
  <c r="AF89" i="3" s="1"/>
  <c r="X90" i="3" a="1"/>
  <c r="X90" i="3" s="1"/>
  <c r="AA90" i="3" s="1"/>
  <c r="AD90" i="3" s="1"/>
  <c r="AG90" i="3" s="1"/>
  <c r="Y90" i="3" a="1"/>
  <c r="Y90" i="3" s="1"/>
  <c r="AB90" i="3" s="1"/>
  <c r="AE90" i="3" s="1"/>
  <c r="Z90" i="3" a="1"/>
  <c r="Z90" i="3" s="1"/>
  <c r="AC90" i="3" s="1"/>
  <c r="AF90" i="3" s="1"/>
  <c r="X91" i="3" a="1"/>
  <c r="X91" i="3" s="1"/>
  <c r="AA91" i="3" s="1"/>
  <c r="AD91" i="3" s="1"/>
  <c r="AG91" i="3" s="1"/>
  <c r="Y91" i="3" a="1"/>
  <c r="Y91" i="3" s="1"/>
  <c r="AB91" i="3" s="1"/>
  <c r="AE91" i="3" s="1"/>
  <c r="Z91" i="3" a="1"/>
  <c r="Z91" i="3" s="1"/>
  <c r="AC91" i="3" s="1"/>
  <c r="AF91" i="3" s="1"/>
  <c r="X92" i="3" a="1"/>
  <c r="X92" i="3" s="1"/>
  <c r="AA92" i="3" s="1"/>
  <c r="AD92" i="3" s="1"/>
  <c r="AG92" i="3" s="1"/>
  <c r="Y92" i="3" a="1"/>
  <c r="Y92" i="3" s="1"/>
  <c r="AB92" i="3" s="1"/>
  <c r="AE92" i="3" s="1"/>
  <c r="Z92" i="3" a="1"/>
  <c r="Z92" i="3" s="1"/>
  <c r="AC92" i="3" s="1"/>
  <c r="AF92" i="3" s="1"/>
  <c r="X93" i="3" a="1"/>
  <c r="X93" i="3" s="1"/>
  <c r="AA93" i="3" s="1"/>
  <c r="AD93" i="3" s="1"/>
  <c r="AG93" i="3" s="1"/>
  <c r="Y93" i="3" a="1"/>
  <c r="Y93" i="3" s="1"/>
  <c r="AB93" i="3" s="1"/>
  <c r="AE93" i="3" s="1"/>
  <c r="Z93" i="3" a="1"/>
  <c r="Z93" i="3" s="1"/>
  <c r="AC93" i="3" s="1"/>
  <c r="AF93" i="3" s="1"/>
  <c r="X94" i="3" a="1"/>
  <c r="X94" i="3" s="1"/>
  <c r="AA94" i="3" s="1"/>
  <c r="AD94" i="3" s="1"/>
  <c r="AG94" i="3" s="1"/>
  <c r="Y94" i="3" a="1"/>
  <c r="Y94" i="3" s="1"/>
  <c r="AB94" i="3" s="1"/>
  <c r="AE94" i="3" s="1"/>
  <c r="Z94" i="3" a="1"/>
  <c r="Z94" i="3" s="1"/>
  <c r="AC94" i="3" s="1"/>
  <c r="AF94" i="3" s="1"/>
  <c r="X95" i="3" a="1"/>
  <c r="X95" i="3" s="1"/>
  <c r="AA95" i="3" s="1"/>
  <c r="AD95" i="3" s="1"/>
  <c r="AG95" i="3" s="1"/>
  <c r="Y95" i="3" a="1"/>
  <c r="Y95" i="3" s="1"/>
  <c r="AB95" i="3" s="1"/>
  <c r="AE95" i="3" s="1"/>
  <c r="Z95" i="3" a="1"/>
  <c r="Z95" i="3" s="1"/>
  <c r="AC95" i="3" s="1"/>
  <c r="AF95" i="3" s="1"/>
  <c r="X96" i="3" a="1"/>
  <c r="X96" i="3" s="1"/>
  <c r="AA96" i="3" s="1"/>
  <c r="AD96" i="3" s="1"/>
  <c r="AG96" i="3" s="1"/>
  <c r="Y96" i="3" a="1"/>
  <c r="Y96" i="3" s="1"/>
  <c r="AB96" i="3" s="1"/>
  <c r="AE96" i="3" s="1"/>
  <c r="Z96" i="3" a="1"/>
  <c r="Z96" i="3" s="1"/>
  <c r="AC96" i="3" s="1"/>
  <c r="AF96" i="3" s="1"/>
  <c r="X97" i="3" a="1"/>
  <c r="X97" i="3" s="1"/>
  <c r="AA97" i="3" s="1"/>
  <c r="AD97" i="3" s="1"/>
  <c r="AG97" i="3" s="1"/>
  <c r="Y97" i="3" a="1"/>
  <c r="Y97" i="3" s="1"/>
  <c r="AB97" i="3" s="1"/>
  <c r="AE97" i="3" s="1"/>
  <c r="Z97" i="3" a="1"/>
  <c r="Z97" i="3" s="1"/>
  <c r="AC97" i="3" s="1"/>
  <c r="AF97" i="3" s="1"/>
  <c r="X98" i="3" a="1"/>
  <c r="X98" i="3" s="1"/>
  <c r="AA98" i="3" s="1"/>
  <c r="AD98" i="3" s="1"/>
  <c r="AG98" i="3" s="1"/>
  <c r="Y98" i="3" a="1"/>
  <c r="Y98" i="3" s="1"/>
  <c r="AB98" i="3" s="1"/>
  <c r="AE98" i="3" s="1"/>
  <c r="Z98" i="3" a="1"/>
  <c r="Z98" i="3" s="1"/>
  <c r="AC98" i="3" s="1"/>
  <c r="AF98" i="3" s="1"/>
  <c r="X99" i="3" a="1"/>
  <c r="X99" i="3" s="1"/>
  <c r="AA99" i="3" s="1"/>
  <c r="AD99" i="3" s="1"/>
  <c r="AG99" i="3" s="1"/>
  <c r="Y99" i="3" a="1"/>
  <c r="Y99" i="3" s="1"/>
  <c r="AB99" i="3" s="1"/>
  <c r="AE99" i="3" s="1"/>
  <c r="Z99" i="3" a="1"/>
  <c r="Z99" i="3" s="1"/>
  <c r="AC99" i="3" s="1"/>
  <c r="AF99" i="3" s="1"/>
  <c r="X100" i="3" a="1"/>
  <c r="X100" i="3" s="1"/>
  <c r="AA100" i="3" s="1"/>
  <c r="AD100" i="3" s="1"/>
  <c r="AG100" i="3" s="1"/>
  <c r="Y100" i="3" a="1"/>
  <c r="Y100" i="3" s="1"/>
  <c r="AB100" i="3" s="1"/>
  <c r="AE100" i="3" s="1"/>
  <c r="Z100" i="3" a="1"/>
  <c r="Z100" i="3" s="1"/>
  <c r="AC100" i="3" s="1"/>
  <c r="AF100" i="3" s="1"/>
  <c r="X101" i="3" a="1"/>
  <c r="X101" i="3" s="1"/>
  <c r="AA101" i="3" s="1"/>
  <c r="AD101" i="3" s="1"/>
  <c r="AG101" i="3" s="1"/>
  <c r="Y101" i="3" a="1"/>
  <c r="Y101" i="3" s="1"/>
  <c r="AB101" i="3" s="1"/>
  <c r="AE101" i="3" s="1"/>
  <c r="Z101" i="3" a="1"/>
  <c r="Z101" i="3" s="1"/>
  <c r="AC101" i="3" s="1"/>
  <c r="AF101" i="3" s="1"/>
  <c r="X102" i="3" a="1"/>
  <c r="X102" i="3" s="1"/>
  <c r="AA102" i="3" s="1"/>
  <c r="AD102" i="3" s="1"/>
  <c r="AG102" i="3" s="1"/>
  <c r="Y102" i="3" a="1"/>
  <c r="Y102" i="3" s="1"/>
  <c r="AB102" i="3" s="1"/>
  <c r="AE102" i="3" s="1"/>
  <c r="Z102" i="3" a="1"/>
  <c r="Z102" i="3" s="1"/>
  <c r="AC102" i="3" s="1"/>
  <c r="AF102" i="3" s="1"/>
  <c r="X103" i="3" a="1"/>
  <c r="X103" i="3" s="1"/>
  <c r="AA103" i="3" s="1"/>
  <c r="AD103" i="3" s="1"/>
  <c r="AG103" i="3" s="1"/>
  <c r="Y103" i="3" a="1"/>
  <c r="Y103" i="3" s="1"/>
  <c r="AB103" i="3" s="1"/>
  <c r="AE103" i="3" s="1"/>
  <c r="Z103" i="3" a="1"/>
  <c r="Z103" i="3" s="1"/>
  <c r="AC103" i="3" s="1"/>
  <c r="AF103" i="3" s="1"/>
  <c r="X104" i="3" a="1"/>
  <c r="X104" i="3" s="1"/>
  <c r="AA104" i="3" s="1"/>
  <c r="AD104" i="3" s="1"/>
  <c r="AG104" i="3" s="1"/>
  <c r="Y104" i="3" a="1"/>
  <c r="Y104" i="3" s="1"/>
  <c r="AB104" i="3" s="1"/>
  <c r="AE104" i="3" s="1"/>
  <c r="Z104" i="3" a="1"/>
  <c r="Z104" i="3" s="1"/>
  <c r="AC104" i="3" s="1"/>
  <c r="AF104" i="3" s="1"/>
  <c r="G34" i="3" a="1"/>
  <c r="G34" i="3" s="1"/>
  <c r="J34" i="3" s="1" a="1"/>
  <c r="J34" i="3" s="1"/>
  <c r="M34" i="3" s="1"/>
  <c r="P34" i="3" s="1"/>
  <c r="H34" i="3" a="1"/>
  <c r="H34" i="3" s="1"/>
  <c r="K34" i="3" s="1" a="1"/>
  <c r="K34" i="3" s="1"/>
  <c r="N34" i="3" s="1"/>
  <c r="I34" i="3" a="1"/>
  <c r="I34" i="3" s="1"/>
  <c r="L34" i="3" s="1" a="1"/>
  <c r="L34" i="3" s="1"/>
  <c r="O34" i="3" s="1"/>
  <c r="G35" i="3" a="1"/>
  <c r="G35" i="3" s="1"/>
  <c r="J35" i="3" s="1" a="1"/>
  <c r="J35" i="3" s="1"/>
  <c r="M35" i="3" s="1"/>
  <c r="P35" i="3" s="1"/>
  <c r="H35" i="3" a="1"/>
  <c r="H35" i="3" s="1"/>
  <c r="K35" i="3" s="1" a="1"/>
  <c r="K35" i="3" s="1"/>
  <c r="N35" i="3" s="1"/>
  <c r="I35" i="3" a="1"/>
  <c r="I35" i="3" s="1"/>
  <c r="L35" i="3" s="1" a="1"/>
  <c r="L35" i="3" s="1"/>
  <c r="O35" i="3" s="1"/>
  <c r="G36" i="3" a="1"/>
  <c r="G36" i="3" s="1"/>
  <c r="J36" i="3" s="1" a="1"/>
  <c r="J36" i="3" s="1"/>
  <c r="M36" i="3" s="1"/>
  <c r="P36" i="3" s="1"/>
  <c r="H36" i="3" a="1"/>
  <c r="H36" i="3" s="1"/>
  <c r="K36" i="3" s="1" a="1"/>
  <c r="K36" i="3" s="1"/>
  <c r="N36" i="3" s="1"/>
  <c r="I36" i="3" a="1"/>
  <c r="I36" i="3" s="1"/>
  <c r="L36" i="3" s="1" a="1"/>
  <c r="L36" i="3" s="1"/>
  <c r="O36" i="3" s="1"/>
  <c r="G37" i="3" a="1"/>
  <c r="G37" i="3" s="1"/>
  <c r="J37" i="3" s="1" a="1"/>
  <c r="J37" i="3" s="1"/>
  <c r="M37" i="3" s="1"/>
  <c r="P37" i="3" s="1"/>
  <c r="H37" i="3" a="1"/>
  <c r="H37" i="3" s="1"/>
  <c r="K37" i="3" s="1" a="1"/>
  <c r="K37" i="3" s="1"/>
  <c r="N37" i="3" s="1"/>
  <c r="I37" i="3" a="1"/>
  <c r="I37" i="3" s="1"/>
  <c r="L37" i="3" s="1" a="1"/>
  <c r="L37" i="3" s="1"/>
  <c r="O37" i="3" s="1"/>
  <c r="G38" i="3" a="1"/>
  <c r="G38" i="3" s="1"/>
  <c r="J38" i="3" s="1" a="1"/>
  <c r="J38" i="3" s="1"/>
  <c r="M38" i="3" s="1"/>
  <c r="P38" i="3" s="1"/>
  <c r="H38" i="3" a="1"/>
  <c r="H38" i="3" s="1"/>
  <c r="K38" i="3" s="1" a="1"/>
  <c r="K38" i="3" s="1"/>
  <c r="N38" i="3" s="1"/>
  <c r="I38" i="3" a="1"/>
  <c r="I38" i="3" s="1"/>
  <c r="L38" i="3" s="1" a="1"/>
  <c r="L38" i="3" s="1"/>
  <c r="O38" i="3" s="1"/>
  <c r="G39" i="3" a="1"/>
  <c r="G39" i="3" s="1"/>
  <c r="J39" i="3" s="1" a="1"/>
  <c r="J39" i="3" s="1"/>
  <c r="M39" i="3" s="1"/>
  <c r="P39" i="3" s="1"/>
  <c r="H39" i="3" a="1"/>
  <c r="H39" i="3" s="1"/>
  <c r="K39" i="3" s="1" a="1"/>
  <c r="K39" i="3" s="1"/>
  <c r="N39" i="3" s="1"/>
  <c r="I39" i="3" a="1"/>
  <c r="I39" i="3" s="1"/>
  <c r="L39" i="3" s="1" a="1"/>
  <c r="L39" i="3" s="1"/>
  <c r="O39" i="3" s="1"/>
  <c r="G40" i="3" a="1"/>
  <c r="G40" i="3" s="1"/>
  <c r="J40" i="3" s="1" a="1"/>
  <c r="J40" i="3" s="1"/>
  <c r="M40" i="3" s="1"/>
  <c r="P40" i="3" s="1"/>
  <c r="H40" i="3" a="1"/>
  <c r="H40" i="3" s="1"/>
  <c r="K40" i="3" s="1" a="1"/>
  <c r="K40" i="3" s="1"/>
  <c r="N40" i="3" s="1"/>
  <c r="I40" i="3" a="1"/>
  <c r="I40" i="3" s="1"/>
  <c r="L40" i="3" s="1" a="1"/>
  <c r="L40" i="3" s="1"/>
  <c r="O40" i="3" s="1"/>
  <c r="G41" i="3" a="1"/>
  <c r="G41" i="3" s="1"/>
  <c r="J41" i="3" s="1" a="1"/>
  <c r="J41" i="3" s="1"/>
  <c r="M41" i="3" s="1"/>
  <c r="P41" i="3" s="1"/>
  <c r="H41" i="3" a="1"/>
  <c r="H41" i="3" s="1"/>
  <c r="K41" i="3" s="1" a="1"/>
  <c r="K41" i="3" s="1"/>
  <c r="N41" i="3" s="1"/>
  <c r="I41" i="3" a="1"/>
  <c r="I41" i="3" s="1"/>
  <c r="L41" i="3" s="1" a="1"/>
  <c r="L41" i="3" s="1"/>
  <c r="O41" i="3" s="1"/>
  <c r="G42" i="3" a="1"/>
  <c r="G42" i="3" s="1"/>
  <c r="J42" i="3" s="1" a="1"/>
  <c r="J42" i="3" s="1"/>
  <c r="M42" i="3" s="1"/>
  <c r="P42" i="3" s="1"/>
  <c r="H42" i="3" a="1"/>
  <c r="H42" i="3" s="1"/>
  <c r="K42" i="3" s="1" a="1"/>
  <c r="K42" i="3" s="1"/>
  <c r="N42" i="3" s="1"/>
  <c r="I42" i="3" a="1"/>
  <c r="I42" i="3" s="1"/>
  <c r="L42" i="3" s="1" a="1"/>
  <c r="L42" i="3" s="1"/>
  <c r="O42" i="3" s="1"/>
  <c r="G43" i="3" a="1"/>
  <c r="G43" i="3" s="1"/>
  <c r="J43" i="3" s="1" a="1"/>
  <c r="J43" i="3" s="1"/>
  <c r="M43" i="3" s="1"/>
  <c r="P43" i="3" s="1"/>
  <c r="H43" i="3" a="1"/>
  <c r="H43" i="3" s="1"/>
  <c r="K43" i="3" s="1" a="1"/>
  <c r="K43" i="3" s="1"/>
  <c r="N43" i="3" s="1"/>
  <c r="I43" i="3" a="1"/>
  <c r="I43" i="3" s="1"/>
  <c r="L43" i="3" s="1" a="1"/>
  <c r="L43" i="3" s="1"/>
  <c r="O43" i="3" s="1"/>
  <c r="G44" i="3" a="1"/>
  <c r="G44" i="3" s="1"/>
  <c r="J44" i="3" s="1" a="1"/>
  <c r="J44" i="3" s="1"/>
  <c r="M44" i="3" s="1"/>
  <c r="P44" i="3" s="1"/>
  <c r="H44" i="3" a="1"/>
  <c r="H44" i="3" s="1"/>
  <c r="K44" i="3" s="1" a="1"/>
  <c r="K44" i="3" s="1"/>
  <c r="N44" i="3" s="1"/>
  <c r="I44" i="3" a="1"/>
  <c r="I44" i="3" s="1"/>
  <c r="L44" i="3" s="1" a="1"/>
  <c r="L44" i="3" s="1"/>
  <c r="O44" i="3" s="1"/>
  <c r="G45" i="3" a="1"/>
  <c r="G45" i="3" s="1"/>
  <c r="J45" i="3" s="1" a="1"/>
  <c r="J45" i="3" s="1"/>
  <c r="M45" i="3" s="1"/>
  <c r="P45" i="3" s="1"/>
  <c r="H45" i="3" a="1"/>
  <c r="H45" i="3" s="1"/>
  <c r="K45" i="3" s="1" a="1"/>
  <c r="K45" i="3" s="1"/>
  <c r="N45" i="3" s="1"/>
  <c r="I45" i="3" a="1"/>
  <c r="I45" i="3" s="1"/>
  <c r="L45" i="3" s="1" a="1"/>
  <c r="L45" i="3" s="1"/>
  <c r="O45" i="3" s="1"/>
  <c r="G46" i="3" a="1"/>
  <c r="G46" i="3" s="1"/>
  <c r="J46" i="3" s="1" a="1"/>
  <c r="J46" i="3" s="1"/>
  <c r="M46" i="3" s="1"/>
  <c r="P46" i="3" s="1"/>
  <c r="H46" i="3" a="1"/>
  <c r="H46" i="3" s="1"/>
  <c r="K46" i="3" s="1" a="1"/>
  <c r="K46" i="3" s="1"/>
  <c r="N46" i="3" s="1"/>
  <c r="I46" i="3" a="1"/>
  <c r="I46" i="3" s="1"/>
  <c r="L46" i="3" s="1" a="1"/>
  <c r="L46" i="3" s="1"/>
  <c r="O46" i="3" s="1"/>
  <c r="G47" i="3" a="1"/>
  <c r="G47" i="3" s="1"/>
  <c r="J47" i="3" s="1" a="1"/>
  <c r="J47" i="3" s="1"/>
  <c r="M47" i="3" s="1"/>
  <c r="P47" i="3" s="1"/>
  <c r="H47" i="3" a="1"/>
  <c r="H47" i="3" s="1"/>
  <c r="K47" i="3" s="1" a="1"/>
  <c r="K47" i="3" s="1"/>
  <c r="N47" i="3" s="1"/>
  <c r="I47" i="3" a="1"/>
  <c r="I47" i="3" s="1"/>
  <c r="L47" i="3" s="1" a="1"/>
  <c r="L47" i="3" s="1"/>
  <c r="O47" i="3" s="1"/>
  <c r="G48" i="3" a="1"/>
  <c r="G48" i="3" s="1"/>
  <c r="J48" i="3" s="1" a="1"/>
  <c r="J48" i="3" s="1"/>
  <c r="M48" i="3" s="1"/>
  <c r="P48" i="3" s="1"/>
  <c r="H48" i="3" a="1"/>
  <c r="H48" i="3" s="1"/>
  <c r="K48" i="3" s="1" a="1"/>
  <c r="K48" i="3" s="1"/>
  <c r="N48" i="3" s="1"/>
  <c r="I48" i="3" a="1"/>
  <c r="I48" i="3" s="1"/>
  <c r="L48" i="3" s="1" a="1"/>
  <c r="L48" i="3" s="1"/>
  <c r="O48" i="3" s="1"/>
  <c r="G49" i="3" a="1"/>
  <c r="G49" i="3" s="1"/>
  <c r="J49" i="3" s="1" a="1"/>
  <c r="J49" i="3" s="1"/>
  <c r="M49" i="3" s="1"/>
  <c r="P49" i="3" s="1"/>
  <c r="H49" i="3" a="1"/>
  <c r="H49" i="3" s="1"/>
  <c r="K49" i="3" s="1" a="1"/>
  <c r="K49" i="3" s="1"/>
  <c r="N49" i="3" s="1"/>
  <c r="I49" i="3" a="1"/>
  <c r="I49" i="3" s="1"/>
  <c r="L49" i="3" s="1" a="1"/>
  <c r="L49" i="3" s="1"/>
  <c r="O49" i="3" s="1"/>
  <c r="G50" i="3" a="1"/>
  <c r="G50" i="3" s="1"/>
  <c r="J50" i="3" s="1" a="1"/>
  <c r="J50" i="3" s="1"/>
  <c r="M50" i="3" s="1"/>
  <c r="P50" i="3" s="1"/>
  <c r="H50" i="3" a="1"/>
  <c r="H50" i="3" s="1"/>
  <c r="K50" i="3" s="1" a="1"/>
  <c r="K50" i="3" s="1"/>
  <c r="N50" i="3" s="1"/>
  <c r="I50" i="3" a="1"/>
  <c r="I50" i="3" s="1"/>
  <c r="L50" i="3" s="1" a="1"/>
  <c r="L50" i="3" s="1"/>
  <c r="O50" i="3" s="1"/>
  <c r="G51" i="3" a="1"/>
  <c r="G51" i="3" s="1"/>
  <c r="J51" i="3" s="1" a="1"/>
  <c r="J51" i="3" s="1"/>
  <c r="M51" i="3" s="1"/>
  <c r="P51" i="3" s="1"/>
  <c r="H51" i="3" a="1"/>
  <c r="H51" i="3" s="1"/>
  <c r="K51" i="3" s="1" a="1"/>
  <c r="K51" i="3" s="1"/>
  <c r="N51" i="3" s="1"/>
  <c r="I51" i="3" a="1"/>
  <c r="I51" i="3" s="1"/>
  <c r="L51" i="3" s="1" a="1"/>
  <c r="L51" i="3" s="1"/>
  <c r="O51" i="3" s="1"/>
  <c r="G52" i="3" a="1"/>
  <c r="G52" i="3" s="1"/>
  <c r="J52" i="3" s="1" a="1"/>
  <c r="J52" i="3" s="1"/>
  <c r="M52" i="3" s="1"/>
  <c r="P52" i="3" s="1"/>
  <c r="H52" i="3" a="1"/>
  <c r="H52" i="3" s="1"/>
  <c r="K52" i="3" s="1" a="1"/>
  <c r="K52" i="3" s="1"/>
  <c r="N52" i="3" s="1"/>
  <c r="I52" i="3" a="1"/>
  <c r="I52" i="3" s="1"/>
  <c r="L52" i="3" s="1" a="1"/>
  <c r="L52" i="3" s="1"/>
  <c r="O52" i="3" s="1"/>
  <c r="G53" i="3" a="1"/>
  <c r="G53" i="3" s="1"/>
  <c r="J53" i="3" s="1" a="1"/>
  <c r="J53" i="3" s="1"/>
  <c r="M53" i="3" s="1"/>
  <c r="P53" i="3" s="1"/>
  <c r="H53" i="3" a="1"/>
  <c r="H53" i="3" s="1"/>
  <c r="K53" i="3" s="1" a="1"/>
  <c r="K53" i="3" s="1"/>
  <c r="N53" i="3" s="1"/>
  <c r="I53" i="3" a="1"/>
  <c r="I53" i="3" s="1"/>
  <c r="L53" i="3" s="1" a="1"/>
  <c r="L53" i="3" s="1"/>
  <c r="O53" i="3" s="1"/>
  <c r="G54" i="3" a="1"/>
  <c r="G54" i="3" s="1"/>
  <c r="J54" i="3" s="1" a="1"/>
  <c r="J54" i="3" s="1"/>
  <c r="M54" i="3" s="1"/>
  <c r="P54" i="3" s="1"/>
  <c r="H54" i="3" a="1"/>
  <c r="H54" i="3" s="1"/>
  <c r="K54" i="3" s="1" a="1"/>
  <c r="K54" i="3" s="1"/>
  <c r="N54" i="3" s="1"/>
  <c r="I54" i="3" a="1"/>
  <c r="I54" i="3" s="1"/>
  <c r="L54" i="3" s="1" a="1"/>
  <c r="L54" i="3" s="1"/>
  <c r="O54" i="3" s="1"/>
  <c r="G55" i="3" a="1"/>
  <c r="G55" i="3" s="1"/>
  <c r="J55" i="3" s="1" a="1"/>
  <c r="J55" i="3" s="1"/>
  <c r="M55" i="3" s="1"/>
  <c r="P55" i="3" s="1"/>
  <c r="H55" i="3" a="1"/>
  <c r="H55" i="3" s="1"/>
  <c r="K55" i="3" s="1" a="1"/>
  <c r="K55" i="3" s="1"/>
  <c r="N55" i="3" s="1"/>
  <c r="I55" i="3" a="1"/>
  <c r="I55" i="3" s="1"/>
  <c r="L55" i="3" s="1" a="1"/>
  <c r="L55" i="3" s="1"/>
  <c r="O55" i="3" s="1"/>
  <c r="G56" i="3" a="1"/>
  <c r="G56" i="3" s="1"/>
  <c r="J56" i="3" s="1" a="1"/>
  <c r="J56" i="3" s="1"/>
  <c r="M56" i="3" s="1"/>
  <c r="P56" i="3" s="1"/>
  <c r="H56" i="3" a="1"/>
  <c r="H56" i="3" s="1"/>
  <c r="K56" i="3" s="1" a="1"/>
  <c r="K56" i="3" s="1"/>
  <c r="N56" i="3" s="1"/>
  <c r="I56" i="3" a="1"/>
  <c r="I56" i="3" s="1"/>
  <c r="L56" i="3" s="1" a="1"/>
  <c r="L56" i="3" s="1"/>
  <c r="O56" i="3" s="1"/>
  <c r="G57" i="3" a="1"/>
  <c r="G57" i="3" s="1"/>
  <c r="J57" i="3" s="1" a="1"/>
  <c r="J57" i="3" s="1"/>
  <c r="M57" i="3" s="1"/>
  <c r="P57" i="3" s="1"/>
  <c r="H57" i="3" a="1"/>
  <c r="H57" i="3" s="1"/>
  <c r="K57" i="3" s="1" a="1"/>
  <c r="K57" i="3" s="1"/>
  <c r="N57" i="3" s="1"/>
  <c r="I57" i="3" a="1"/>
  <c r="I57" i="3" s="1"/>
  <c r="L57" i="3" s="1" a="1"/>
  <c r="L57" i="3" s="1"/>
  <c r="O57" i="3" s="1"/>
  <c r="G58" i="3" a="1"/>
  <c r="G58" i="3" s="1"/>
  <c r="J58" i="3" s="1" a="1"/>
  <c r="J58" i="3" s="1"/>
  <c r="M58" i="3" s="1"/>
  <c r="P58" i="3" s="1"/>
  <c r="H58" i="3" a="1"/>
  <c r="H58" i="3" s="1"/>
  <c r="K58" i="3" s="1" a="1"/>
  <c r="K58" i="3" s="1"/>
  <c r="N58" i="3" s="1"/>
  <c r="I58" i="3" a="1"/>
  <c r="I58" i="3" s="1"/>
  <c r="L58" i="3" s="1" a="1"/>
  <c r="L58" i="3" s="1"/>
  <c r="O58" i="3" s="1"/>
  <c r="G59" i="3" a="1"/>
  <c r="G59" i="3" s="1"/>
  <c r="J59" i="3" s="1" a="1"/>
  <c r="J59" i="3" s="1"/>
  <c r="M59" i="3" s="1"/>
  <c r="P59" i="3" s="1"/>
  <c r="H59" i="3" a="1"/>
  <c r="H59" i="3" s="1"/>
  <c r="K59" i="3" s="1" a="1"/>
  <c r="K59" i="3" s="1"/>
  <c r="N59" i="3" s="1"/>
  <c r="I59" i="3" a="1"/>
  <c r="I59" i="3" s="1"/>
  <c r="L59" i="3" s="1" a="1"/>
  <c r="L59" i="3" s="1"/>
  <c r="O59" i="3" s="1"/>
  <c r="G60" i="3" a="1"/>
  <c r="G60" i="3" s="1"/>
  <c r="J60" i="3" s="1" a="1"/>
  <c r="J60" i="3" s="1"/>
  <c r="M60" i="3" s="1"/>
  <c r="P60" i="3" s="1"/>
  <c r="H60" i="3" a="1"/>
  <c r="H60" i="3" s="1"/>
  <c r="K60" i="3" s="1" a="1"/>
  <c r="K60" i="3" s="1"/>
  <c r="N60" i="3" s="1"/>
  <c r="I60" i="3" a="1"/>
  <c r="I60" i="3" s="1"/>
  <c r="L60" i="3" s="1" a="1"/>
  <c r="L60" i="3" s="1"/>
  <c r="O60" i="3" s="1"/>
  <c r="G61" i="3" a="1"/>
  <c r="G61" i="3" s="1"/>
  <c r="J61" i="3" s="1" a="1"/>
  <c r="J61" i="3" s="1"/>
  <c r="M61" i="3" s="1"/>
  <c r="P61" i="3" s="1"/>
  <c r="H61" i="3" a="1"/>
  <c r="H61" i="3" s="1"/>
  <c r="K61" i="3" s="1" a="1"/>
  <c r="K61" i="3" s="1"/>
  <c r="N61" i="3" s="1"/>
  <c r="I61" i="3" a="1"/>
  <c r="I61" i="3" s="1"/>
  <c r="L61" i="3" s="1" a="1"/>
  <c r="L61" i="3" s="1"/>
  <c r="O61" i="3" s="1"/>
  <c r="G62" i="3" a="1"/>
  <c r="G62" i="3" s="1"/>
  <c r="J62" i="3" s="1" a="1"/>
  <c r="J62" i="3" s="1"/>
  <c r="M62" i="3" s="1"/>
  <c r="P62" i="3" s="1"/>
  <c r="H62" i="3" a="1"/>
  <c r="H62" i="3" s="1"/>
  <c r="K62" i="3" s="1" a="1"/>
  <c r="K62" i="3" s="1"/>
  <c r="N62" i="3" s="1"/>
  <c r="I62" i="3" a="1"/>
  <c r="I62" i="3" s="1"/>
  <c r="L62" i="3" s="1" a="1"/>
  <c r="L62" i="3" s="1"/>
  <c r="O62" i="3" s="1"/>
  <c r="G63" i="3" a="1"/>
  <c r="G63" i="3" s="1"/>
  <c r="J63" i="3" s="1" a="1"/>
  <c r="J63" i="3" s="1"/>
  <c r="M63" i="3" s="1"/>
  <c r="P63" i="3" s="1"/>
  <c r="H63" i="3" a="1"/>
  <c r="H63" i="3" s="1"/>
  <c r="K63" i="3" s="1" a="1"/>
  <c r="K63" i="3" s="1"/>
  <c r="N63" i="3" s="1"/>
  <c r="I63" i="3" a="1"/>
  <c r="I63" i="3" s="1"/>
  <c r="L63" i="3" s="1" a="1"/>
  <c r="L63" i="3" s="1"/>
  <c r="O63" i="3" s="1"/>
  <c r="G64" i="3" a="1"/>
  <c r="G64" i="3" s="1"/>
  <c r="J64" i="3" s="1" a="1"/>
  <c r="J64" i="3" s="1"/>
  <c r="M64" i="3" s="1"/>
  <c r="P64" i="3" s="1"/>
  <c r="H64" i="3" a="1"/>
  <c r="H64" i="3" s="1"/>
  <c r="K64" i="3" s="1" a="1"/>
  <c r="K64" i="3" s="1"/>
  <c r="N64" i="3" s="1"/>
  <c r="I64" i="3" a="1"/>
  <c r="I64" i="3" s="1"/>
  <c r="L64" i="3" s="1" a="1"/>
  <c r="L64" i="3" s="1"/>
  <c r="O64" i="3" s="1"/>
  <c r="G65" i="3" a="1"/>
  <c r="G65" i="3" s="1"/>
  <c r="J65" i="3" s="1" a="1"/>
  <c r="J65" i="3" s="1"/>
  <c r="M65" i="3" s="1"/>
  <c r="P65" i="3" s="1"/>
  <c r="H65" i="3" a="1"/>
  <c r="H65" i="3" s="1"/>
  <c r="K65" i="3" s="1" a="1"/>
  <c r="K65" i="3" s="1"/>
  <c r="N65" i="3" s="1"/>
  <c r="I65" i="3" a="1"/>
  <c r="I65" i="3" s="1"/>
  <c r="L65" i="3" s="1" a="1"/>
  <c r="L65" i="3" s="1"/>
  <c r="O65" i="3" s="1"/>
  <c r="G66" i="3" a="1"/>
  <c r="G66" i="3" s="1"/>
  <c r="J66" i="3" s="1" a="1"/>
  <c r="J66" i="3" s="1"/>
  <c r="M66" i="3" s="1"/>
  <c r="P66" i="3" s="1"/>
  <c r="H66" i="3" a="1"/>
  <c r="H66" i="3" s="1"/>
  <c r="K66" i="3" s="1" a="1"/>
  <c r="K66" i="3" s="1"/>
  <c r="N66" i="3" s="1"/>
  <c r="I66" i="3" a="1"/>
  <c r="I66" i="3" s="1"/>
  <c r="L66" i="3" s="1" a="1"/>
  <c r="L66" i="3" s="1"/>
  <c r="O66" i="3" s="1"/>
  <c r="G67" i="3" a="1"/>
  <c r="G67" i="3" s="1"/>
  <c r="J67" i="3" s="1" a="1"/>
  <c r="J67" i="3" s="1"/>
  <c r="M67" i="3" s="1"/>
  <c r="P67" i="3" s="1"/>
  <c r="H67" i="3" a="1"/>
  <c r="H67" i="3" s="1"/>
  <c r="K67" i="3" s="1" a="1"/>
  <c r="K67" i="3" s="1"/>
  <c r="N67" i="3" s="1"/>
  <c r="I67" i="3" a="1"/>
  <c r="I67" i="3" s="1"/>
  <c r="L67" i="3" s="1" a="1"/>
  <c r="L67" i="3" s="1"/>
  <c r="O67" i="3" s="1"/>
  <c r="G68" i="3" a="1"/>
  <c r="G68" i="3" s="1"/>
  <c r="J68" i="3" s="1" a="1"/>
  <c r="J68" i="3" s="1"/>
  <c r="M68" i="3" s="1"/>
  <c r="P68" i="3" s="1"/>
  <c r="H68" i="3" a="1"/>
  <c r="H68" i="3" s="1"/>
  <c r="K68" i="3" s="1" a="1"/>
  <c r="K68" i="3" s="1"/>
  <c r="N68" i="3" s="1"/>
  <c r="I68" i="3" a="1"/>
  <c r="I68" i="3" s="1"/>
  <c r="L68" i="3" s="1" a="1"/>
  <c r="L68" i="3" s="1"/>
  <c r="O68" i="3" s="1"/>
  <c r="G69" i="3" a="1"/>
  <c r="G69" i="3" s="1"/>
  <c r="J69" i="3" s="1" a="1"/>
  <c r="J69" i="3" s="1"/>
  <c r="M69" i="3" s="1"/>
  <c r="P69" i="3" s="1"/>
  <c r="H69" i="3" a="1"/>
  <c r="H69" i="3" s="1"/>
  <c r="K69" i="3" s="1" a="1"/>
  <c r="K69" i="3" s="1"/>
  <c r="N69" i="3" s="1"/>
  <c r="I69" i="3" a="1"/>
  <c r="I69" i="3" s="1"/>
  <c r="L69" i="3" s="1" a="1"/>
  <c r="L69" i="3" s="1"/>
  <c r="O69" i="3" s="1"/>
  <c r="G70" i="3" a="1"/>
  <c r="G70" i="3" s="1"/>
  <c r="J70" i="3" s="1" a="1"/>
  <c r="J70" i="3" s="1"/>
  <c r="M70" i="3" s="1"/>
  <c r="P70" i="3" s="1"/>
  <c r="H70" i="3" a="1"/>
  <c r="H70" i="3" s="1"/>
  <c r="K70" i="3" s="1" a="1"/>
  <c r="K70" i="3" s="1"/>
  <c r="N70" i="3" s="1"/>
  <c r="I70" i="3" a="1"/>
  <c r="I70" i="3" s="1"/>
  <c r="L70" i="3" s="1" a="1"/>
  <c r="L70" i="3" s="1"/>
  <c r="O70" i="3" s="1"/>
  <c r="G71" i="3" a="1"/>
  <c r="G71" i="3" s="1"/>
  <c r="J71" i="3" s="1" a="1"/>
  <c r="J71" i="3" s="1"/>
  <c r="M71" i="3" s="1"/>
  <c r="P71" i="3" s="1"/>
  <c r="H71" i="3" a="1"/>
  <c r="H71" i="3" s="1"/>
  <c r="K71" i="3" s="1" a="1"/>
  <c r="K71" i="3" s="1"/>
  <c r="N71" i="3" s="1"/>
  <c r="I71" i="3" a="1"/>
  <c r="I71" i="3" s="1"/>
  <c r="L71" i="3" s="1" a="1"/>
  <c r="L71" i="3" s="1"/>
  <c r="O71" i="3" s="1"/>
  <c r="G72" i="3" a="1"/>
  <c r="G72" i="3" s="1"/>
  <c r="J72" i="3" s="1" a="1"/>
  <c r="J72" i="3" s="1"/>
  <c r="M72" i="3" s="1"/>
  <c r="P72" i="3" s="1"/>
  <c r="H72" i="3" a="1"/>
  <c r="H72" i="3" s="1"/>
  <c r="K72" i="3" s="1" a="1"/>
  <c r="K72" i="3" s="1"/>
  <c r="N72" i="3" s="1"/>
  <c r="I72" i="3" a="1"/>
  <c r="I72" i="3" s="1"/>
  <c r="L72" i="3" s="1" a="1"/>
  <c r="L72" i="3" s="1"/>
  <c r="O72" i="3" s="1"/>
  <c r="G73" i="3" a="1"/>
  <c r="G73" i="3" s="1"/>
  <c r="J73" i="3" s="1" a="1"/>
  <c r="J73" i="3" s="1"/>
  <c r="M73" i="3" s="1"/>
  <c r="P73" i="3" s="1"/>
  <c r="H73" i="3" a="1"/>
  <c r="H73" i="3" s="1"/>
  <c r="K73" i="3" s="1" a="1"/>
  <c r="K73" i="3" s="1"/>
  <c r="N73" i="3" s="1"/>
  <c r="I73" i="3" a="1"/>
  <c r="I73" i="3" s="1"/>
  <c r="L73" i="3" s="1" a="1"/>
  <c r="L73" i="3" s="1"/>
  <c r="O73" i="3" s="1"/>
  <c r="G74" i="3" a="1"/>
  <c r="G74" i="3" s="1"/>
  <c r="J74" i="3" s="1" a="1"/>
  <c r="J74" i="3" s="1"/>
  <c r="M74" i="3" s="1"/>
  <c r="P74" i="3" s="1"/>
  <c r="H74" i="3" a="1"/>
  <c r="H74" i="3" s="1"/>
  <c r="K74" i="3" s="1" a="1"/>
  <c r="K74" i="3" s="1"/>
  <c r="N74" i="3" s="1"/>
  <c r="I74" i="3" a="1"/>
  <c r="I74" i="3" s="1"/>
  <c r="L74" i="3" s="1" a="1"/>
  <c r="L74" i="3" s="1"/>
  <c r="O74" i="3" s="1"/>
  <c r="G75" i="3" a="1"/>
  <c r="G75" i="3" s="1"/>
  <c r="J75" i="3" s="1" a="1"/>
  <c r="J75" i="3" s="1"/>
  <c r="M75" i="3" s="1"/>
  <c r="P75" i="3" s="1"/>
  <c r="H75" i="3" a="1"/>
  <c r="H75" i="3" s="1"/>
  <c r="K75" i="3" s="1" a="1"/>
  <c r="K75" i="3" s="1"/>
  <c r="N75" i="3" s="1"/>
  <c r="I75" i="3" a="1"/>
  <c r="I75" i="3" s="1"/>
  <c r="L75" i="3" s="1" a="1"/>
  <c r="L75" i="3" s="1"/>
  <c r="O75" i="3" s="1"/>
  <c r="G76" i="3" a="1"/>
  <c r="G76" i="3" s="1"/>
  <c r="J76" i="3" s="1" a="1"/>
  <c r="J76" i="3" s="1"/>
  <c r="M76" i="3" s="1"/>
  <c r="P76" i="3" s="1"/>
  <c r="H76" i="3" a="1"/>
  <c r="H76" i="3" s="1"/>
  <c r="K76" i="3" s="1" a="1"/>
  <c r="K76" i="3" s="1"/>
  <c r="N76" i="3" s="1"/>
  <c r="I76" i="3" a="1"/>
  <c r="I76" i="3" s="1"/>
  <c r="L76" i="3" s="1" a="1"/>
  <c r="L76" i="3" s="1"/>
  <c r="O76" i="3" s="1"/>
  <c r="G77" i="3" a="1"/>
  <c r="G77" i="3" s="1"/>
  <c r="J77" i="3" s="1" a="1"/>
  <c r="J77" i="3" s="1"/>
  <c r="M77" i="3" s="1"/>
  <c r="P77" i="3" s="1"/>
  <c r="H77" i="3" a="1"/>
  <c r="H77" i="3" s="1"/>
  <c r="K77" i="3" s="1" a="1"/>
  <c r="K77" i="3" s="1"/>
  <c r="N77" i="3" s="1"/>
  <c r="I77" i="3" a="1"/>
  <c r="I77" i="3" s="1"/>
  <c r="L77" i="3" s="1" a="1"/>
  <c r="L77" i="3" s="1"/>
  <c r="O77" i="3" s="1"/>
  <c r="G78" i="3" a="1"/>
  <c r="G78" i="3" s="1"/>
  <c r="J78" i="3" s="1" a="1"/>
  <c r="J78" i="3" s="1"/>
  <c r="M78" i="3" s="1"/>
  <c r="P78" i="3" s="1"/>
  <c r="H78" i="3" a="1"/>
  <c r="H78" i="3" s="1"/>
  <c r="K78" i="3" s="1" a="1"/>
  <c r="K78" i="3" s="1"/>
  <c r="N78" i="3" s="1"/>
  <c r="I78" i="3" a="1"/>
  <c r="I78" i="3" s="1"/>
  <c r="L78" i="3" s="1" a="1"/>
  <c r="L78" i="3" s="1"/>
  <c r="O78" i="3" s="1"/>
  <c r="G79" i="3" a="1"/>
  <c r="G79" i="3" s="1"/>
  <c r="J79" i="3" s="1" a="1"/>
  <c r="J79" i="3" s="1"/>
  <c r="M79" i="3" s="1"/>
  <c r="P79" i="3" s="1"/>
  <c r="H79" i="3" a="1"/>
  <c r="H79" i="3" s="1"/>
  <c r="K79" i="3" s="1" a="1"/>
  <c r="K79" i="3" s="1"/>
  <c r="N79" i="3" s="1"/>
  <c r="I79" i="3" a="1"/>
  <c r="I79" i="3" s="1"/>
  <c r="L79" i="3" s="1" a="1"/>
  <c r="L79" i="3" s="1"/>
  <c r="O79" i="3" s="1"/>
  <c r="G80" i="3" a="1"/>
  <c r="G80" i="3" s="1"/>
  <c r="J80" i="3" s="1" a="1"/>
  <c r="J80" i="3" s="1"/>
  <c r="M80" i="3" s="1"/>
  <c r="P80" i="3" s="1"/>
  <c r="H80" i="3" a="1"/>
  <c r="H80" i="3" s="1"/>
  <c r="K80" i="3" s="1" a="1"/>
  <c r="K80" i="3" s="1"/>
  <c r="N80" i="3" s="1"/>
  <c r="I80" i="3" a="1"/>
  <c r="I80" i="3" s="1"/>
  <c r="L80" i="3" s="1" a="1"/>
  <c r="L80" i="3" s="1"/>
  <c r="O80" i="3" s="1"/>
  <c r="G81" i="3" a="1"/>
  <c r="G81" i="3" s="1"/>
  <c r="J81" i="3" s="1" a="1"/>
  <c r="J81" i="3" s="1"/>
  <c r="M81" i="3" s="1"/>
  <c r="P81" i="3" s="1"/>
  <c r="H81" i="3" a="1"/>
  <c r="H81" i="3" s="1"/>
  <c r="K81" i="3" s="1" a="1"/>
  <c r="K81" i="3" s="1"/>
  <c r="N81" i="3" s="1"/>
  <c r="I81" i="3" a="1"/>
  <c r="I81" i="3" s="1"/>
  <c r="L81" i="3" s="1" a="1"/>
  <c r="L81" i="3" s="1"/>
  <c r="O81" i="3" s="1"/>
  <c r="G82" i="3" a="1"/>
  <c r="G82" i="3" s="1"/>
  <c r="J82" i="3" s="1" a="1"/>
  <c r="J82" i="3" s="1"/>
  <c r="M82" i="3" s="1"/>
  <c r="P82" i="3" s="1"/>
  <c r="H82" i="3" a="1"/>
  <c r="H82" i="3" s="1"/>
  <c r="K82" i="3" s="1" a="1"/>
  <c r="K82" i="3" s="1"/>
  <c r="N82" i="3" s="1"/>
  <c r="I82" i="3" a="1"/>
  <c r="I82" i="3" s="1"/>
  <c r="L82" i="3" s="1" a="1"/>
  <c r="L82" i="3" s="1"/>
  <c r="O82" i="3" s="1"/>
  <c r="G83" i="3" a="1"/>
  <c r="G83" i="3" s="1"/>
  <c r="J83" i="3" s="1" a="1"/>
  <c r="J83" i="3" s="1"/>
  <c r="M83" i="3" s="1"/>
  <c r="P83" i="3" s="1"/>
  <c r="H83" i="3" a="1"/>
  <c r="H83" i="3" s="1"/>
  <c r="K83" i="3" s="1" a="1"/>
  <c r="K83" i="3" s="1"/>
  <c r="N83" i="3" s="1"/>
  <c r="I83" i="3" a="1"/>
  <c r="I83" i="3" s="1"/>
  <c r="L83" i="3" s="1" a="1"/>
  <c r="L83" i="3" s="1"/>
  <c r="O83" i="3" s="1"/>
  <c r="G84" i="3" a="1"/>
  <c r="G84" i="3" s="1"/>
  <c r="J84" i="3" s="1" a="1"/>
  <c r="J84" i="3" s="1"/>
  <c r="M84" i="3" s="1"/>
  <c r="P84" i="3" s="1"/>
  <c r="H84" i="3" a="1"/>
  <c r="H84" i="3" s="1"/>
  <c r="K84" i="3" s="1" a="1"/>
  <c r="K84" i="3" s="1"/>
  <c r="N84" i="3" s="1"/>
  <c r="I84" i="3" a="1"/>
  <c r="I84" i="3" s="1"/>
  <c r="L84" i="3" s="1" a="1"/>
  <c r="L84" i="3" s="1"/>
  <c r="O84" i="3" s="1"/>
  <c r="G85" i="3" a="1"/>
  <c r="G85" i="3" s="1"/>
  <c r="J85" i="3" s="1" a="1"/>
  <c r="J85" i="3" s="1"/>
  <c r="M85" i="3" s="1"/>
  <c r="P85" i="3" s="1"/>
  <c r="H85" i="3" a="1"/>
  <c r="H85" i="3" s="1"/>
  <c r="K85" i="3" s="1" a="1"/>
  <c r="K85" i="3" s="1"/>
  <c r="N85" i="3" s="1"/>
  <c r="I85" i="3" a="1"/>
  <c r="I85" i="3" s="1"/>
  <c r="L85" i="3" s="1" a="1"/>
  <c r="L85" i="3" s="1"/>
  <c r="O85" i="3" s="1"/>
  <c r="G86" i="3" a="1"/>
  <c r="G86" i="3" s="1"/>
  <c r="J86" i="3" s="1" a="1"/>
  <c r="J86" i="3" s="1"/>
  <c r="M86" i="3" s="1"/>
  <c r="P86" i="3" s="1"/>
  <c r="H86" i="3" a="1"/>
  <c r="H86" i="3" s="1"/>
  <c r="K86" i="3" s="1" a="1"/>
  <c r="K86" i="3" s="1"/>
  <c r="N86" i="3" s="1"/>
  <c r="I86" i="3" a="1"/>
  <c r="I86" i="3" s="1"/>
  <c r="L86" i="3" s="1" a="1"/>
  <c r="L86" i="3" s="1"/>
  <c r="O86" i="3" s="1"/>
  <c r="G87" i="3" a="1"/>
  <c r="G87" i="3" s="1"/>
  <c r="J87" i="3" s="1" a="1"/>
  <c r="J87" i="3" s="1"/>
  <c r="M87" i="3" s="1"/>
  <c r="P87" i="3" s="1"/>
  <c r="H87" i="3" a="1"/>
  <c r="H87" i="3" s="1"/>
  <c r="K87" i="3" s="1" a="1"/>
  <c r="K87" i="3" s="1"/>
  <c r="N87" i="3" s="1"/>
  <c r="I87" i="3" a="1"/>
  <c r="I87" i="3" s="1"/>
  <c r="L87" i="3" s="1" a="1"/>
  <c r="L87" i="3" s="1"/>
  <c r="O87" i="3" s="1"/>
  <c r="G88" i="3" a="1"/>
  <c r="G88" i="3" s="1"/>
  <c r="J88" i="3" s="1" a="1"/>
  <c r="J88" i="3" s="1"/>
  <c r="M88" i="3" s="1"/>
  <c r="P88" i="3" s="1"/>
  <c r="H88" i="3" a="1"/>
  <c r="H88" i="3" s="1"/>
  <c r="K88" i="3" s="1" a="1"/>
  <c r="K88" i="3" s="1"/>
  <c r="N88" i="3" s="1"/>
  <c r="I88" i="3" a="1"/>
  <c r="I88" i="3" s="1"/>
  <c r="L88" i="3" s="1" a="1"/>
  <c r="L88" i="3" s="1"/>
  <c r="O88" i="3" s="1"/>
  <c r="G89" i="3" a="1"/>
  <c r="G89" i="3" s="1"/>
  <c r="J89" i="3" s="1" a="1"/>
  <c r="J89" i="3" s="1"/>
  <c r="M89" i="3" s="1"/>
  <c r="P89" i="3" s="1"/>
  <c r="H89" i="3" a="1"/>
  <c r="H89" i="3" s="1"/>
  <c r="K89" i="3" s="1" a="1"/>
  <c r="K89" i="3" s="1"/>
  <c r="N89" i="3" s="1"/>
  <c r="I89" i="3" a="1"/>
  <c r="I89" i="3" s="1"/>
  <c r="L89" i="3" s="1" a="1"/>
  <c r="L89" i="3" s="1"/>
  <c r="O89" i="3" s="1"/>
  <c r="G90" i="3" a="1"/>
  <c r="G90" i="3" s="1"/>
  <c r="J90" i="3" s="1" a="1"/>
  <c r="J90" i="3" s="1"/>
  <c r="M90" i="3" s="1"/>
  <c r="P90" i="3" s="1"/>
  <c r="H90" i="3" a="1"/>
  <c r="H90" i="3" s="1"/>
  <c r="K90" i="3" s="1" a="1"/>
  <c r="K90" i="3" s="1"/>
  <c r="N90" i="3" s="1"/>
  <c r="I90" i="3" a="1"/>
  <c r="I90" i="3" s="1"/>
  <c r="L90" i="3" s="1" a="1"/>
  <c r="L90" i="3" s="1"/>
  <c r="O90" i="3" s="1"/>
  <c r="G91" i="3" a="1"/>
  <c r="G91" i="3" s="1"/>
  <c r="J91" i="3" s="1" a="1"/>
  <c r="J91" i="3" s="1"/>
  <c r="M91" i="3" s="1"/>
  <c r="P91" i="3" s="1"/>
  <c r="H91" i="3" a="1"/>
  <c r="H91" i="3" s="1"/>
  <c r="K91" i="3" s="1" a="1"/>
  <c r="K91" i="3" s="1"/>
  <c r="N91" i="3" s="1"/>
  <c r="I91" i="3" a="1"/>
  <c r="I91" i="3" s="1"/>
  <c r="L91" i="3" s="1" a="1"/>
  <c r="L91" i="3" s="1"/>
  <c r="O91" i="3" s="1"/>
  <c r="G92" i="3" a="1"/>
  <c r="G92" i="3" s="1"/>
  <c r="J92" i="3" s="1" a="1"/>
  <c r="J92" i="3" s="1"/>
  <c r="M92" i="3" s="1"/>
  <c r="P92" i="3" s="1"/>
  <c r="H92" i="3" a="1"/>
  <c r="H92" i="3" s="1"/>
  <c r="K92" i="3" s="1" a="1"/>
  <c r="K92" i="3" s="1"/>
  <c r="N92" i="3" s="1"/>
  <c r="I92" i="3" a="1"/>
  <c r="I92" i="3" s="1"/>
  <c r="L92" i="3" s="1" a="1"/>
  <c r="L92" i="3" s="1"/>
  <c r="O92" i="3" s="1"/>
  <c r="G93" i="3" a="1"/>
  <c r="G93" i="3" s="1"/>
  <c r="J93" i="3" s="1" a="1"/>
  <c r="J93" i="3" s="1"/>
  <c r="M93" i="3" s="1"/>
  <c r="P93" i="3" s="1"/>
  <c r="H93" i="3" a="1"/>
  <c r="H93" i="3" s="1"/>
  <c r="K93" i="3" s="1" a="1"/>
  <c r="K93" i="3" s="1"/>
  <c r="N93" i="3" s="1"/>
  <c r="I93" i="3" a="1"/>
  <c r="I93" i="3" s="1"/>
  <c r="L93" i="3" s="1" a="1"/>
  <c r="L93" i="3" s="1"/>
  <c r="O93" i="3" s="1"/>
  <c r="G94" i="3" a="1"/>
  <c r="G94" i="3" s="1"/>
  <c r="J94" i="3" s="1" a="1"/>
  <c r="J94" i="3" s="1"/>
  <c r="M94" i="3" s="1"/>
  <c r="P94" i="3" s="1"/>
  <c r="H94" i="3" a="1"/>
  <c r="H94" i="3" s="1"/>
  <c r="K94" i="3" s="1" a="1"/>
  <c r="K94" i="3" s="1"/>
  <c r="N94" i="3" s="1"/>
  <c r="I94" i="3" a="1"/>
  <c r="I94" i="3" s="1"/>
  <c r="L94" i="3" s="1" a="1"/>
  <c r="L94" i="3" s="1"/>
  <c r="O94" i="3" s="1"/>
  <c r="G95" i="3" a="1"/>
  <c r="G95" i="3" s="1"/>
  <c r="J95" i="3" s="1" a="1"/>
  <c r="J95" i="3" s="1"/>
  <c r="M95" i="3" s="1"/>
  <c r="P95" i="3" s="1"/>
  <c r="H95" i="3" a="1"/>
  <c r="H95" i="3" s="1"/>
  <c r="K95" i="3" s="1" a="1"/>
  <c r="K95" i="3" s="1"/>
  <c r="N95" i="3" s="1"/>
  <c r="I95" i="3" a="1"/>
  <c r="I95" i="3" s="1"/>
  <c r="L95" i="3" s="1" a="1"/>
  <c r="L95" i="3" s="1"/>
  <c r="O95" i="3" s="1"/>
  <c r="G96" i="3" a="1"/>
  <c r="G96" i="3" s="1"/>
  <c r="J96" i="3" s="1" a="1"/>
  <c r="J96" i="3" s="1"/>
  <c r="M96" i="3" s="1"/>
  <c r="P96" i="3" s="1"/>
  <c r="H96" i="3" a="1"/>
  <c r="H96" i="3" s="1"/>
  <c r="K96" i="3" s="1" a="1"/>
  <c r="K96" i="3" s="1"/>
  <c r="N96" i="3" s="1"/>
  <c r="I96" i="3" a="1"/>
  <c r="I96" i="3" s="1"/>
  <c r="L96" i="3" s="1" a="1"/>
  <c r="L96" i="3" s="1"/>
  <c r="O96" i="3" s="1"/>
  <c r="G97" i="3" a="1"/>
  <c r="G97" i="3" s="1"/>
  <c r="J97" i="3" s="1" a="1"/>
  <c r="J97" i="3" s="1"/>
  <c r="M97" i="3" s="1"/>
  <c r="P97" i="3" s="1"/>
  <c r="H97" i="3" a="1"/>
  <c r="H97" i="3" s="1"/>
  <c r="K97" i="3" s="1" a="1"/>
  <c r="K97" i="3" s="1"/>
  <c r="N97" i="3" s="1"/>
  <c r="I97" i="3" a="1"/>
  <c r="I97" i="3" s="1"/>
  <c r="L97" i="3" s="1" a="1"/>
  <c r="L97" i="3" s="1"/>
  <c r="O97" i="3" s="1"/>
  <c r="G98" i="3" a="1"/>
  <c r="G98" i="3" s="1"/>
  <c r="J98" i="3" s="1" a="1"/>
  <c r="J98" i="3" s="1"/>
  <c r="M98" i="3" s="1"/>
  <c r="P98" i="3" s="1"/>
  <c r="H98" i="3" a="1"/>
  <c r="H98" i="3" s="1"/>
  <c r="K98" i="3" s="1" a="1"/>
  <c r="K98" i="3" s="1"/>
  <c r="N98" i="3" s="1"/>
  <c r="I98" i="3" a="1"/>
  <c r="I98" i="3" s="1"/>
  <c r="L98" i="3" s="1" a="1"/>
  <c r="L98" i="3" s="1"/>
  <c r="O98" i="3" s="1"/>
  <c r="G99" i="3" a="1"/>
  <c r="G99" i="3" s="1"/>
  <c r="J99" i="3" s="1" a="1"/>
  <c r="J99" i="3" s="1"/>
  <c r="M99" i="3" s="1"/>
  <c r="P99" i="3" s="1"/>
  <c r="H99" i="3" a="1"/>
  <c r="H99" i="3" s="1"/>
  <c r="K99" i="3" s="1" a="1"/>
  <c r="K99" i="3" s="1"/>
  <c r="N99" i="3" s="1"/>
  <c r="I99" i="3" a="1"/>
  <c r="I99" i="3" s="1"/>
  <c r="L99" i="3" s="1" a="1"/>
  <c r="L99" i="3" s="1"/>
  <c r="O99" i="3" s="1"/>
  <c r="G100" i="3" a="1"/>
  <c r="G100" i="3" s="1"/>
  <c r="J100" i="3" s="1" a="1"/>
  <c r="J100" i="3" s="1"/>
  <c r="M100" i="3" s="1"/>
  <c r="P100" i="3" s="1"/>
  <c r="H100" i="3" a="1"/>
  <c r="H100" i="3" s="1"/>
  <c r="K100" i="3" s="1" a="1"/>
  <c r="K100" i="3" s="1"/>
  <c r="N100" i="3" s="1"/>
  <c r="I100" i="3" a="1"/>
  <c r="I100" i="3" s="1"/>
  <c r="L100" i="3" s="1" a="1"/>
  <c r="L100" i="3" s="1"/>
  <c r="O100" i="3" s="1"/>
  <c r="G101" i="3" a="1"/>
  <c r="G101" i="3" s="1"/>
  <c r="J101" i="3" s="1" a="1"/>
  <c r="J101" i="3" s="1"/>
  <c r="M101" i="3" s="1"/>
  <c r="P101" i="3" s="1"/>
  <c r="H101" i="3" a="1"/>
  <c r="H101" i="3" s="1"/>
  <c r="K101" i="3" s="1" a="1"/>
  <c r="K101" i="3" s="1"/>
  <c r="N101" i="3" s="1"/>
  <c r="I101" i="3" a="1"/>
  <c r="I101" i="3" s="1"/>
  <c r="L101" i="3" s="1" a="1"/>
  <c r="L101" i="3" s="1"/>
  <c r="O101" i="3" s="1"/>
  <c r="G102" i="3" a="1"/>
  <c r="G102" i="3" s="1"/>
  <c r="J102" i="3" s="1" a="1"/>
  <c r="J102" i="3" s="1"/>
  <c r="M102" i="3" s="1"/>
  <c r="P102" i="3" s="1"/>
  <c r="H102" i="3" a="1"/>
  <c r="H102" i="3" s="1"/>
  <c r="K102" i="3" s="1" a="1"/>
  <c r="K102" i="3" s="1"/>
  <c r="N102" i="3" s="1"/>
  <c r="I102" i="3" a="1"/>
  <c r="I102" i="3" s="1"/>
  <c r="L102" i="3" s="1" a="1"/>
  <c r="L102" i="3" s="1"/>
  <c r="O102" i="3" s="1"/>
  <c r="G103" i="3" a="1"/>
  <c r="G103" i="3" s="1"/>
  <c r="J103" i="3" s="1" a="1"/>
  <c r="J103" i="3" s="1"/>
  <c r="M103" i="3" s="1"/>
  <c r="P103" i="3" s="1"/>
  <c r="H103" i="3" a="1"/>
  <c r="H103" i="3" s="1"/>
  <c r="K103" i="3" s="1" a="1"/>
  <c r="K103" i="3" s="1"/>
  <c r="N103" i="3" s="1"/>
  <c r="I103" i="3" a="1"/>
  <c r="I103" i="3" s="1"/>
  <c r="L103" i="3" s="1" a="1"/>
  <c r="L103" i="3" s="1"/>
  <c r="O103" i="3" s="1"/>
  <c r="G104" i="3" a="1"/>
  <c r="G104" i="3" s="1"/>
  <c r="J104" i="3" s="1" a="1"/>
  <c r="J104" i="3" s="1"/>
  <c r="M104" i="3" s="1"/>
  <c r="P104" i="3" s="1"/>
  <c r="H104" i="3" a="1"/>
  <c r="H104" i="3" s="1"/>
  <c r="K104" i="3" s="1" a="1"/>
  <c r="K104" i="3" s="1"/>
  <c r="N104" i="3" s="1"/>
  <c r="I104" i="3" a="1"/>
  <c r="I104" i="3" s="1"/>
  <c r="L104" i="3" s="1" a="1"/>
  <c r="L104" i="3" s="1"/>
  <c r="O104" i="3" s="1"/>
  <c r="N17" i="9"/>
  <c r="M17" i="9"/>
  <c r="O17" i="9" s="1"/>
  <c r="N16" i="9"/>
  <c r="M16" i="9"/>
  <c r="O16" i="9" s="1"/>
  <c r="N15" i="9"/>
  <c r="M15" i="9"/>
  <c r="O15" i="9" s="1"/>
  <c r="N14" i="9"/>
  <c r="M14" i="9"/>
  <c r="O14" i="9" s="1"/>
  <c r="N13" i="9"/>
  <c r="M13" i="9"/>
  <c r="O13" i="9" s="1"/>
  <c r="N12" i="9"/>
  <c r="M12" i="9"/>
  <c r="O12" i="9" s="1"/>
  <c r="N11" i="9"/>
  <c r="M11" i="9"/>
  <c r="O11" i="9" s="1"/>
  <c r="N10" i="9"/>
  <c r="M10" i="9"/>
  <c r="O10" i="9" s="1"/>
  <c r="V10" i="4"/>
  <c r="Y10" i="4" s="1" a="1"/>
  <c r="Y10" i="4" s="1"/>
  <c r="W10" i="4"/>
  <c r="X10" i="4"/>
  <c r="AA10" i="4" s="1" a="1"/>
  <c r="AA10" i="4" s="1"/>
  <c r="Z10" i="4" a="1"/>
  <c r="Z10" i="4" s="1"/>
  <c r="V11" i="4"/>
  <c r="Y11" i="4" s="1" a="1"/>
  <c r="Y11" i="4" s="1"/>
  <c r="W11" i="4"/>
  <c r="Z11" i="4" s="1" a="1"/>
  <c r="Z11" i="4" s="1"/>
  <c r="X11" i="4"/>
  <c r="AA11" i="4" s="1" a="1"/>
  <c r="AA11" i="4" s="1"/>
  <c r="V12" i="4"/>
  <c r="Y12" i="4" s="1" a="1"/>
  <c r="Y12" i="4" s="1"/>
  <c r="W12" i="4"/>
  <c r="Z12" i="4" s="1" a="1"/>
  <c r="Z12" i="4" s="1"/>
  <c r="X12" i="4"/>
  <c r="AA12" i="4" s="1" a="1"/>
  <c r="AA12" i="4" s="1"/>
  <c r="V13" i="4"/>
  <c r="Y13" i="4" s="1" a="1"/>
  <c r="Y13" i="4" s="1"/>
  <c r="W13" i="4"/>
  <c r="Z13" i="4" s="1" a="1"/>
  <c r="Z13" i="4" s="1"/>
  <c r="X13" i="4"/>
  <c r="AA13" i="4" s="1" a="1"/>
  <c r="AA13" i="4" s="1"/>
  <c r="V14" i="4"/>
  <c r="Y14" i="4" s="1" a="1"/>
  <c r="Y14" i="4" s="1"/>
  <c r="W14" i="4"/>
  <c r="Z14" i="4" s="1" a="1"/>
  <c r="Z14" i="4" s="1"/>
  <c r="X14" i="4"/>
  <c r="AA14" i="4" s="1" a="1"/>
  <c r="AA14" i="4" s="1"/>
  <c r="V15" i="4"/>
  <c r="Y15" i="4" s="1" a="1"/>
  <c r="Y15" i="4" s="1"/>
  <c r="W15" i="4"/>
  <c r="Z15" i="4" s="1" a="1"/>
  <c r="Z15" i="4" s="1"/>
  <c r="X15" i="4"/>
  <c r="AA15" i="4" s="1" a="1"/>
  <c r="AA15" i="4" s="1"/>
  <c r="V16" i="4"/>
  <c r="Y16" i="4" s="1" a="1"/>
  <c r="Y16" i="4" s="1"/>
  <c r="W16" i="4"/>
  <c r="Z16" i="4" s="1" a="1"/>
  <c r="Z16" i="4" s="1"/>
  <c r="X16" i="4"/>
  <c r="AA16" i="4" s="1" a="1"/>
  <c r="AA16" i="4" s="1"/>
  <c r="V17" i="4"/>
  <c r="Y17" i="4" s="1" a="1"/>
  <c r="Y17" i="4" s="1"/>
  <c r="W17" i="4"/>
  <c r="Z17" i="4" s="1" a="1"/>
  <c r="Z17" i="4" s="1"/>
  <c r="X17" i="4"/>
  <c r="AA17" i="4" s="1" a="1"/>
  <c r="AA17" i="4" s="1"/>
  <c r="G10" i="4" a="1"/>
  <c r="G10" i="4" s="1"/>
  <c r="J10" i="4" s="1" a="1"/>
  <c r="J10" i="4" s="1"/>
  <c r="M10" i="4" s="1"/>
  <c r="H10" i="4" a="1"/>
  <c r="H10" i="4" s="1"/>
  <c r="K10" i="4" s="1" a="1"/>
  <c r="K10" i="4" s="1"/>
  <c r="I10" i="4" a="1"/>
  <c r="I10" i="4" s="1"/>
  <c r="L10" i="4" s="1" a="1"/>
  <c r="L10" i="4" s="1"/>
  <c r="G11" i="4" a="1"/>
  <c r="G11" i="4" s="1"/>
  <c r="J11" i="4" s="1" a="1"/>
  <c r="J11" i="4" s="1"/>
  <c r="M11" i="4" s="1"/>
  <c r="H11" i="4" a="1"/>
  <c r="H11" i="4" s="1"/>
  <c r="K11" i="4" s="1" a="1"/>
  <c r="K11" i="4" s="1"/>
  <c r="I11" i="4" a="1"/>
  <c r="I11" i="4" s="1"/>
  <c r="L11" i="4" s="1" a="1"/>
  <c r="L11" i="4" s="1"/>
  <c r="G12" i="4" a="1"/>
  <c r="G12" i="4" s="1"/>
  <c r="J12" i="4" s="1" a="1"/>
  <c r="J12" i="4" s="1"/>
  <c r="M12" i="4" s="1"/>
  <c r="H12" i="4" a="1"/>
  <c r="H12" i="4" s="1"/>
  <c r="K12" i="4" s="1" a="1"/>
  <c r="K12" i="4" s="1"/>
  <c r="I12" i="4" a="1"/>
  <c r="I12" i="4" s="1"/>
  <c r="L12" i="4" s="1" a="1"/>
  <c r="L12" i="4" s="1"/>
  <c r="G13" i="4" a="1"/>
  <c r="G13" i="4" s="1"/>
  <c r="J13" i="4" s="1" a="1"/>
  <c r="J13" i="4" s="1"/>
  <c r="M13" i="4" s="1"/>
  <c r="H13" i="4" a="1"/>
  <c r="H13" i="4" s="1"/>
  <c r="K13" i="4" s="1" a="1"/>
  <c r="K13" i="4" s="1"/>
  <c r="I13" i="4" a="1"/>
  <c r="I13" i="4" s="1"/>
  <c r="L13" i="4" s="1" a="1"/>
  <c r="L13" i="4" s="1"/>
  <c r="G14" i="4" a="1"/>
  <c r="G14" i="4" s="1"/>
  <c r="J14" i="4" s="1" a="1"/>
  <c r="J14" i="4" s="1"/>
  <c r="M14" i="4" s="1"/>
  <c r="H14" i="4" a="1"/>
  <c r="H14" i="4" s="1"/>
  <c r="K14" i="4" s="1" a="1"/>
  <c r="K14" i="4" s="1"/>
  <c r="I14" i="4" a="1"/>
  <c r="I14" i="4" s="1"/>
  <c r="L14" i="4" s="1" a="1"/>
  <c r="L14" i="4" s="1"/>
  <c r="G15" i="4" a="1"/>
  <c r="G15" i="4" s="1"/>
  <c r="J15" i="4" s="1" a="1"/>
  <c r="J15" i="4" s="1"/>
  <c r="M15" i="4" s="1"/>
  <c r="H15" i="4" a="1"/>
  <c r="H15" i="4" s="1"/>
  <c r="K15" i="4" s="1" a="1"/>
  <c r="K15" i="4" s="1"/>
  <c r="I15" i="4" a="1"/>
  <c r="I15" i="4" s="1"/>
  <c r="L15" i="4" s="1" a="1"/>
  <c r="L15" i="4" s="1"/>
  <c r="G16" i="4" a="1"/>
  <c r="G16" i="4" s="1"/>
  <c r="J16" i="4" s="1" a="1"/>
  <c r="J16" i="4" s="1"/>
  <c r="M16" i="4" s="1"/>
  <c r="H16" i="4" a="1"/>
  <c r="H16" i="4" s="1"/>
  <c r="K16" i="4" s="1" a="1"/>
  <c r="K16" i="4" s="1"/>
  <c r="I16" i="4" a="1"/>
  <c r="I16" i="4" s="1"/>
  <c r="L16" i="4" s="1" a="1"/>
  <c r="L16" i="4" s="1"/>
  <c r="G17" i="4" a="1"/>
  <c r="G17" i="4" s="1"/>
  <c r="J17" i="4" s="1" a="1"/>
  <c r="J17" i="4" s="1"/>
  <c r="M17" i="4" s="1"/>
  <c r="H17" i="4" a="1"/>
  <c r="H17" i="4" s="1"/>
  <c r="K17" i="4" s="1" a="1"/>
  <c r="K17" i="4" s="1"/>
  <c r="I17" i="4" a="1"/>
  <c r="I17" i="4" s="1"/>
  <c r="L17" i="4" s="1" a="1"/>
  <c r="L17" i="4" s="1"/>
  <c r="H100" i="10" l="1"/>
  <c r="H96" i="10"/>
  <c r="H92" i="10"/>
  <c r="H88" i="10"/>
  <c r="H84" i="10"/>
  <c r="H80" i="10"/>
  <c r="H76" i="10"/>
  <c r="H72" i="10"/>
  <c r="H68" i="10"/>
  <c r="H64" i="10"/>
  <c r="H60" i="10"/>
  <c r="H56" i="10"/>
  <c r="H52" i="10"/>
  <c r="H48" i="10"/>
  <c r="H44" i="10"/>
  <c r="H40" i="10"/>
  <c r="H36" i="10"/>
  <c r="H32" i="10"/>
  <c r="H28" i="10"/>
  <c r="H24" i="10"/>
  <c r="H20" i="10"/>
  <c r="H103" i="10"/>
  <c r="H99" i="10"/>
  <c r="H95" i="10"/>
  <c r="H91" i="10"/>
  <c r="H87" i="10"/>
  <c r="H83" i="10"/>
  <c r="H79" i="10"/>
  <c r="H75" i="10"/>
  <c r="H71" i="10"/>
  <c r="H67" i="10"/>
  <c r="H63" i="10"/>
  <c r="H59" i="10"/>
  <c r="H55" i="10"/>
  <c r="H51" i="10"/>
  <c r="H47" i="10"/>
  <c r="H43" i="10"/>
  <c r="H39" i="10"/>
  <c r="H35" i="10"/>
  <c r="H31" i="10"/>
  <c r="H27" i="10"/>
  <c r="H23" i="10"/>
  <c r="H19" i="10"/>
  <c r="H102" i="10"/>
  <c r="G101" i="6" a="1"/>
  <c r="G101" i="6" s="1"/>
  <c r="G29" i="6" a="1"/>
  <c r="G29" i="6" s="1"/>
  <c r="M100" i="7"/>
  <c r="M96" i="7"/>
  <c r="M92" i="7"/>
  <c r="M88" i="7"/>
  <c r="M84" i="7"/>
  <c r="M80" i="7"/>
  <c r="M76" i="7"/>
  <c r="M72" i="7"/>
  <c r="M68" i="7"/>
  <c r="M64" i="7"/>
  <c r="M60" i="7"/>
  <c r="M56" i="7"/>
  <c r="M52" i="7"/>
  <c r="M48" i="7"/>
  <c r="M44" i="7"/>
  <c r="M40" i="7"/>
  <c r="M36" i="7"/>
  <c r="M103" i="7"/>
  <c r="M99" i="7"/>
  <c r="M95" i="7"/>
  <c r="M91" i="7"/>
  <c r="M87" i="7"/>
  <c r="M83" i="7"/>
  <c r="M79" i="7"/>
  <c r="M75" i="7"/>
  <c r="M71" i="7"/>
  <c r="M67" i="7"/>
  <c r="M63" i="7"/>
  <c r="M59" i="7"/>
  <c r="M55" i="7"/>
  <c r="M51" i="7"/>
  <c r="M47" i="7"/>
  <c r="M43" i="7"/>
  <c r="M39" i="7"/>
  <c r="M31" i="7"/>
  <c r="M102" i="7"/>
  <c r="M98" i="7"/>
  <c r="M94" i="7"/>
  <c r="M90" i="7"/>
  <c r="M86" i="7"/>
  <c r="M82" i="7"/>
  <c r="M78" i="7"/>
  <c r="M74" i="7"/>
  <c r="M70" i="7"/>
  <c r="M66" i="7"/>
  <c r="M62" i="7"/>
  <c r="M58" i="7"/>
  <c r="M54" i="7"/>
  <c r="M50" i="7"/>
  <c r="M46" i="7"/>
  <c r="M42" i="7"/>
  <c r="M38" i="7"/>
  <c r="L101" i="11"/>
  <c r="L97" i="11"/>
  <c r="L93" i="11"/>
  <c r="L89" i="11"/>
  <c r="L85" i="11"/>
  <c r="L81" i="11"/>
  <c r="L77" i="11"/>
  <c r="L73" i="11"/>
  <c r="L69" i="11"/>
  <c r="L65" i="11"/>
  <c r="L61" i="11"/>
  <c r="L57" i="11"/>
  <c r="L53" i="11"/>
  <c r="L49" i="11"/>
  <c r="L45" i="11"/>
  <c r="L41" i="11"/>
  <c r="L37" i="11"/>
  <c r="L33" i="11"/>
  <c r="L29" i="11"/>
  <c r="L25" i="11"/>
  <c r="L21" i="11"/>
  <c r="L104" i="11"/>
  <c r="L100" i="11"/>
  <c r="L96" i="11"/>
  <c r="L92" i="11"/>
  <c r="L88" i="11"/>
  <c r="L84" i="11"/>
  <c r="L80" i="11"/>
  <c r="L76" i="11"/>
  <c r="L72" i="11"/>
  <c r="L68" i="11"/>
  <c r="L64" i="11"/>
  <c r="L60" i="11"/>
  <c r="L56" i="11"/>
  <c r="L52" i="11"/>
  <c r="L48" i="11"/>
  <c r="L44" i="11"/>
  <c r="L40" i="11"/>
  <c r="L36" i="11"/>
  <c r="L32" i="11"/>
  <c r="L28" i="11"/>
  <c r="L24" i="11"/>
  <c r="L20" i="11"/>
  <c r="L103" i="11"/>
  <c r="L99" i="11"/>
  <c r="L95" i="11"/>
  <c r="L91" i="11"/>
  <c r="L87" i="11"/>
  <c r="L83" i="11"/>
  <c r="L79" i="11"/>
  <c r="L75" i="11"/>
  <c r="L71" i="11"/>
  <c r="L67" i="11"/>
  <c r="L63" i="11"/>
  <c r="L59" i="11"/>
  <c r="L55" i="11"/>
  <c r="L51" i="11"/>
  <c r="L47" i="11"/>
  <c r="L43" i="11"/>
  <c r="L39" i="11"/>
  <c r="L35" i="11"/>
  <c r="L31" i="11"/>
  <c r="L27" i="11"/>
  <c r="L23" i="11"/>
  <c r="L19" i="11"/>
  <c r="L102" i="11"/>
  <c r="L98" i="11"/>
  <c r="L94" i="11"/>
  <c r="L90" i="11"/>
  <c r="L86" i="11"/>
  <c r="L82" i="11"/>
  <c r="L78" i="11"/>
  <c r="L74" i="11"/>
  <c r="L70" i="11"/>
  <c r="L66" i="11"/>
  <c r="L62" i="11"/>
  <c r="L58" i="11"/>
  <c r="L54" i="11"/>
  <c r="L50" i="11"/>
  <c r="L46" i="11"/>
  <c r="L42" i="11"/>
  <c r="L38" i="11"/>
  <c r="L34" i="11"/>
  <c r="L30" i="11"/>
  <c r="L26" i="11"/>
  <c r="L22" i="11"/>
  <c r="H101" i="10"/>
  <c r="H97" i="10"/>
  <c r="H93" i="10"/>
  <c r="H89" i="10"/>
  <c r="H85" i="10"/>
  <c r="H81" i="10"/>
  <c r="H77" i="10"/>
  <c r="H73" i="10"/>
  <c r="H69" i="10"/>
  <c r="H65" i="10"/>
  <c r="H61" i="10"/>
  <c r="H57" i="10"/>
  <c r="H53" i="10"/>
  <c r="H49" i="10"/>
  <c r="H45" i="10"/>
  <c r="H41" i="10"/>
  <c r="H37" i="10"/>
  <c r="H33" i="10"/>
  <c r="H29" i="10"/>
  <c r="H25" i="10"/>
  <c r="H21" i="10"/>
  <c r="H98" i="10"/>
  <c r="H94" i="10"/>
  <c r="H90" i="10"/>
  <c r="H86" i="10"/>
  <c r="H82" i="10"/>
  <c r="H78" i="10"/>
  <c r="H74" i="10"/>
  <c r="H70" i="10"/>
  <c r="H66" i="10"/>
  <c r="H62" i="10"/>
  <c r="H58" i="10"/>
  <c r="H54" i="10"/>
  <c r="H50" i="10"/>
  <c r="H46" i="10"/>
  <c r="H42" i="10"/>
  <c r="H38" i="10"/>
  <c r="H34" i="10"/>
  <c r="H30" i="10"/>
  <c r="H26" i="10"/>
  <c r="H22" i="10"/>
  <c r="H18" i="10"/>
  <c r="AB60" i="4"/>
  <c r="AB92" i="4"/>
  <c r="AB103" i="4"/>
  <c r="G50" i="6" a="1"/>
  <c r="G50" i="6" s="1"/>
  <c r="G91" i="6" a="1"/>
  <c r="G91" i="6" s="1"/>
  <c r="G100" i="6" a="1"/>
  <c r="G100" i="6" s="1"/>
  <c r="G94" i="6" a="1"/>
  <c r="G94" i="6" s="1"/>
  <c r="G88" i="6" a="1"/>
  <c r="G88" i="6" s="1"/>
  <c r="G82" i="6" a="1"/>
  <c r="G82" i="6" s="1"/>
  <c r="G76" i="6" a="1"/>
  <c r="G76" i="6" s="1"/>
  <c r="G70" i="6" a="1"/>
  <c r="G70" i="6" s="1"/>
  <c r="G64" i="6" a="1"/>
  <c r="G64" i="6" s="1"/>
  <c r="G58" i="6" a="1"/>
  <c r="G58" i="6" s="1"/>
  <c r="G52" i="6" a="1"/>
  <c r="G52" i="6" s="1"/>
  <c r="G46" i="6" a="1"/>
  <c r="G46" i="6" s="1"/>
  <c r="G40" i="6" a="1"/>
  <c r="G40" i="6" s="1"/>
  <c r="G34" i="6" a="1"/>
  <c r="G34" i="6" s="1"/>
  <c r="G28" i="6" a="1"/>
  <c r="G28" i="6" s="1"/>
  <c r="G22" i="6" a="1"/>
  <c r="G22" i="6" s="1"/>
  <c r="G16" i="6" a="1"/>
  <c r="G16" i="6" s="1"/>
  <c r="G98" i="6" a="1"/>
  <c r="G98" i="6" s="1"/>
  <c r="G92" i="6" a="1"/>
  <c r="G92" i="6" s="1"/>
  <c r="G86" i="6" a="1"/>
  <c r="G86" i="6" s="1"/>
  <c r="G80" i="6" a="1"/>
  <c r="G80" i="6" s="1"/>
  <c r="G74" i="6" a="1"/>
  <c r="G74" i="6" s="1"/>
  <c r="G68" i="6" a="1"/>
  <c r="G68" i="6" s="1"/>
  <c r="G62" i="6" a="1"/>
  <c r="G62" i="6" s="1"/>
  <c r="G56" i="6" a="1"/>
  <c r="G56" i="6" s="1"/>
  <c r="G44" i="6" a="1"/>
  <c r="G44" i="6" s="1"/>
  <c r="G38" i="6" a="1"/>
  <c r="G38" i="6" s="1"/>
  <c r="G32" i="6" a="1"/>
  <c r="G32" i="6" s="1"/>
  <c r="G26" i="6" a="1"/>
  <c r="G26" i="6" s="1"/>
  <c r="G20" i="6" a="1"/>
  <c r="G20" i="6" s="1"/>
  <c r="G97" i="6" a="1"/>
  <c r="G97" i="6" s="1"/>
  <c r="G85" i="6" a="1"/>
  <c r="G85" i="6" s="1"/>
  <c r="G79" i="6" a="1"/>
  <c r="G79" i="6" s="1"/>
  <c r="G73" i="6" a="1"/>
  <c r="G73" i="6" s="1"/>
  <c r="G67" i="6" a="1"/>
  <c r="G67" i="6" s="1"/>
  <c r="G61" i="6" a="1"/>
  <c r="G61" i="6" s="1"/>
  <c r="G55" i="6" a="1"/>
  <c r="G55" i="6" s="1"/>
  <c r="G49" i="6" a="1"/>
  <c r="G49" i="6" s="1"/>
  <c r="G43" i="6" a="1"/>
  <c r="G43" i="6" s="1"/>
  <c r="G37" i="6" a="1"/>
  <c r="G37" i="6" s="1"/>
  <c r="G31" i="6" a="1"/>
  <c r="G31" i="6" s="1"/>
  <c r="G25" i="6" a="1"/>
  <c r="G25" i="6" s="1"/>
  <c r="G19" i="6" a="1"/>
  <c r="G19" i="6" s="1"/>
  <c r="G95" i="6" a="1"/>
  <c r="G95" i="6" s="1"/>
  <c r="G89" i="6" a="1"/>
  <c r="G89" i="6" s="1"/>
  <c r="G83" i="6" a="1"/>
  <c r="G83" i="6" s="1"/>
  <c r="G77" i="6" a="1"/>
  <c r="G77" i="6" s="1"/>
  <c r="G71" i="6" a="1"/>
  <c r="G71" i="6" s="1"/>
  <c r="G65" i="6" a="1"/>
  <c r="G65" i="6" s="1"/>
  <c r="G59" i="6" a="1"/>
  <c r="G59" i="6" s="1"/>
  <c r="G53" i="6" a="1"/>
  <c r="G53" i="6" s="1"/>
  <c r="G47" i="6" a="1"/>
  <c r="G47" i="6" s="1"/>
  <c r="G41" i="6" a="1"/>
  <c r="G41" i="6" s="1"/>
  <c r="G35" i="6" a="1"/>
  <c r="G35" i="6" s="1"/>
  <c r="G23" i="6" a="1"/>
  <c r="G23" i="6" s="1"/>
  <c r="G17" i="6" a="1"/>
  <c r="G17" i="6" s="1"/>
  <c r="AB15" i="4"/>
  <c r="AB80" i="4"/>
  <c r="AB42" i="4"/>
  <c r="AB20" i="4"/>
  <c r="AB62" i="4"/>
  <c r="AB21" i="4"/>
  <c r="AB74" i="4"/>
  <c r="AB58" i="4"/>
  <c r="AB55" i="4"/>
  <c r="AB76" i="4"/>
  <c r="AB102" i="4"/>
  <c r="AB88" i="4"/>
  <c r="AB77" i="4"/>
  <c r="AB23" i="4"/>
  <c r="AB70" i="4"/>
  <c r="AB59" i="4"/>
  <c r="AB84" i="4"/>
  <c r="AB45" i="4"/>
  <c r="AB96" i="4"/>
  <c r="AB16" i="4"/>
  <c r="AB78" i="4"/>
  <c r="AB94" i="4"/>
  <c r="AB79" i="4"/>
  <c r="AB57" i="4"/>
  <c r="AB53" i="4"/>
  <c r="AB36" i="4"/>
  <c r="AB75" i="4"/>
  <c r="AB17" i="4"/>
  <c r="AB69" i="4"/>
  <c r="AB63" i="4"/>
  <c r="AB38" i="4"/>
  <c r="AB86" i="4"/>
  <c r="AB49" i="4"/>
  <c r="AB39" i="4"/>
  <c r="AB98" i="4"/>
  <c r="AB19" i="4"/>
  <c r="AB14" i="4"/>
  <c r="AB12" i="4"/>
  <c r="AB99" i="4"/>
  <c r="AB97" i="4"/>
  <c r="AB89" i="4"/>
  <c r="AB71" i="4"/>
  <c r="AB48" i="4"/>
  <c r="AB46" i="4"/>
  <c r="AB43" i="4"/>
  <c r="AB35" i="4"/>
  <c r="AB31" i="4"/>
  <c r="AB10" i="4"/>
  <c r="AB47" i="4"/>
  <c r="AB24" i="4"/>
  <c r="AB93" i="4"/>
  <c r="AB37" i="4"/>
  <c r="AB34" i="4"/>
  <c r="AB26" i="4"/>
  <c r="AB25" i="4"/>
  <c r="AB72" i="4"/>
  <c r="AB54" i="4"/>
  <c r="AB65" i="4"/>
  <c r="AB64" i="4"/>
  <c r="AB27" i="4"/>
  <c r="AB51" i="4"/>
  <c r="AB44" i="4"/>
  <c r="AB32" i="4"/>
  <c r="AB100" i="4"/>
  <c r="AB13" i="4"/>
  <c r="AB91" i="4"/>
  <c r="AB73" i="4"/>
  <c r="AB50" i="4"/>
  <c r="AB41" i="4"/>
  <c r="AB40" i="4"/>
  <c r="AB29" i="4"/>
  <c r="AB28" i="4"/>
  <c r="AB18" i="4"/>
  <c r="AB101" i="4"/>
  <c r="AB95" i="4"/>
  <c r="AB87" i="4"/>
  <c r="AB83" i="4"/>
  <c r="AB81" i="4"/>
  <c r="AB67" i="4"/>
  <c r="AB66" i="4"/>
  <c r="AB82" i="4"/>
  <c r="AB61" i="4"/>
  <c r="AB33" i="4"/>
  <c r="AB22" i="4"/>
  <c r="AB90" i="4"/>
  <c r="AB11" i="4"/>
  <c r="AB85" i="4"/>
  <c r="AB68" i="4"/>
  <c r="AB56" i="4"/>
  <c r="AB52" i="4"/>
  <c r="AB30" i="4"/>
  <c r="F13" i="10"/>
  <c r="F14" i="10"/>
  <c r="F15" i="10"/>
  <c r="F16" i="10"/>
  <c r="F17" i="10"/>
  <c r="G13" i="10"/>
  <c r="G14" i="10"/>
  <c r="G15" i="10"/>
  <c r="G16" i="10"/>
  <c r="G17" i="10"/>
  <c r="G12" i="10"/>
  <c r="F12" i="10"/>
  <c r="E13" i="10"/>
  <c r="E14" i="10"/>
  <c r="E15" i="10"/>
  <c r="E16" i="10"/>
  <c r="E17" i="10"/>
  <c r="E12" i="10"/>
  <c r="K18" i="11"/>
  <c r="J18" i="11"/>
  <c r="L18" i="11" s="1"/>
  <c r="H18" i="11"/>
  <c r="K17" i="11"/>
  <c r="J17" i="11"/>
  <c r="H17" i="11"/>
  <c r="K16" i="11"/>
  <c r="J16" i="11"/>
  <c r="L16" i="11" s="1"/>
  <c r="H16" i="11"/>
  <c r="K15" i="11"/>
  <c r="J15" i="11"/>
  <c r="H15" i="11"/>
  <c r="K14" i="11"/>
  <c r="J14" i="11"/>
  <c r="H14" i="11"/>
  <c r="K13" i="11"/>
  <c r="J13" i="11"/>
  <c r="H13" i="11"/>
  <c r="K12" i="11"/>
  <c r="J12" i="11"/>
  <c r="H12" i="11"/>
  <c r="K11" i="11"/>
  <c r="J11" i="11"/>
  <c r="L11" i="11" s="1"/>
  <c r="H11" i="11"/>
  <c r="F11" i="9"/>
  <c r="H11" i="9" s="1"/>
  <c r="G11" i="9"/>
  <c r="F12" i="9"/>
  <c r="H12" i="9" s="1"/>
  <c r="G12" i="9"/>
  <c r="F13" i="9"/>
  <c r="H13" i="9" s="1"/>
  <c r="G13" i="9"/>
  <c r="F14" i="9"/>
  <c r="H14" i="9" s="1"/>
  <c r="G14" i="9"/>
  <c r="F15" i="9"/>
  <c r="H15" i="9" s="1"/>
  <c r="G15" i="9"/>
  <c r="F16" i="9"/>
  <c r="H16" i="9" s="1"/>
  <c r="G16" i="9"/>
  <c r="F17" i="9"/>
  <c r="H17" i="9" s="1"/>
  <c r="G17" i="9"/>
  <c r="G10" i="9"/>
  <c r="F10" i="9"/>
  <c r="H10" i="9" s="1"/>
  <c r="G11" i="8" a="1"/>
  <c r="G11" i="8" s="1"/>
  <c r="I11" i="8" s="1"/>
  <c r="H11" i="8" a="1"/>
  <c r="H11" i="8" s="1"/>
  <c r="G12" i="8" a="1"/>
  <c r="G12" i="8" s="1"/>
  <c r="I12" i="8" s="1"/>
  <c r="H12" i="8" a="1"/>
  <c r="H12" i="8" s="1"/>
  <c r="G13" i="8" a="1"/>
  <c r="G13" i="8" s="1"/>
  <c r="I13" i="8" s="1"/>
  <c r="H13" i="8" a="1"/>
  <c r="H13" i="8" s="1"/>
  <c r="G14" i="8" a="1"/>
  <c r="G14" i="8" s="1"/>
  <c r="I14" i="8" s="1"/>
  <c r="H14" i="8" a="1"/>
  <c r="H14" i="8" s="1"/>
  <c r="G15" i="8" a="1"/>
  <c r="G15" i="8" s="1"/>
  <c r="I15" i="8" s="1"/>
  <c r="H15" i="8" a="1"/>
  <c r="H15" i="8" s="1"/>
  <c r="H10" i="8" a="1"/>
  <c r="H10" i="8" s="1"/>
  <c r="G10" i="8" a="1"/>
  <c r="G10" i="8" s="1"/>
  <c r="I10" i="8" s="1"/>
  <c r="K10" i="7"/>
  <c r="L10" i="7"/>
  <c r="K11" i="7"/>
  <c r="L11" i="7"/>
  <c r="K12" i="7"/>
  <c r="L12" i="7"/>
  <c r="K13" i="7"/>
  <c r="L13" i="7"/>
  <c r="K14" i="7"/>
  <c r="L14" i="7"/>
  <c r="K15" i="7"/>
  <c r="L15" i="7"/>
  <c r="K16" i="7"/>
  <c r="L16" i="7"/>
  <c r="I10" i="7"/>
  <c r="I11" i="7"/>
  <c r="I12" i="7"/>
  <c r="I13" i="7"/>
  <c r="I14" i="7"/>
  <c r="I15" i="7"/>
  <c r="I16" i="7"/>
  <c r="I9" i="7"/>
  <c r="M13" i="7" l="1"/>
  <c r="M12" i="7"/>
  <c r="M11" i="7"/>
  <c r="M16" i="7"/>
  <c r="M15" i="7"/>
  <c r="M14" i="7"/>
  <c r="L14" i="11"/>
  <c r="L12" i="11"/>
  <c r="L15" i="11"/>
  <c r="L13" i="11"/>
  <c r="L17" i="11"/>
  <c r="H17" i="10"/>
  <c r="H14" i="10"/>
  <c r="H16" i="10"/>
  <c r="H15" i="10"/>
  <c r="H13" i="10"/>
  <c r="D19" i="16"/>
  <c r="J12" i="16" s="1"/>
  <c r="D17" i="16"/>
  <c r="J14" i="16" s="1"/>
  <c r="M10" i="7"/>
  <c r="H12" i="10"/>
  <c r="D20" i="16" s="1"/>
  <c r="J13" i="16" s="1"/>
  <c r="D18" i="16"/>
  <c r="J11" i="16" s="1"/>
  <c r="L9" i="7"/>
  <c r="K9" i="7"/>
  <c r="E11" i="6"/>
  <c r="F11" i="6"/>
  <c r="E12" i="6"/>
  <c r="F12" i="6"/>
  <c r="E13" i="6"/>
  <c r="F13" i="6"/>
  <c r="E14" i="6"/>
  <c r="F14" i="6"/>
  <c r="F10" i="6"/>
  <c r="E10" i="6"/>
  <c r="E9" i="5"/>
  <c r="F9" i="5" s="1"/>
  <c r="E10" i="5"/>
  <c r="F10" i="5" s="1"/>
  <c r="E11" i="5"/>
  <c r="F11" i="5" s="1"/>
  <c r="E12" i="5"/>
  <c r="F12" i="5" s="1"/>
  <c r="E13" i="5"/>
  <c r="F13" i="5" s="1"/>
  <c r="E8" i="5"/>
  <c r="F8" i="5" s="1"/>
  <c r="X9" i="4"/>
  <c r="AA9" i="4" s="1" a="1"/>
  <c r="AA9" i="4" s="1"/>
  <c r="W9" i="4"/>
  <c r="Z9" i="4" s="1" a="1"/>
  <c r="Z9" i="4" s="1"/>
  <c r="V9" i="4"/>
  <c r="Y9" i="4" s="1" a="1"/>
  <c r="Y9" i="4" s="1"/>
  <c r="I9" i="4" a="1"/>
  <c r="I9" i="4" s="1"/>
  <c r="L9" i="4" s="1" a="1"/>
  <c r="L9" i="4" s="1"/>
  <c r="H9" i="4" a="1"/>
  <c r="H9" i="4" s="1"/>
  <c r="K9" i="4" s="1" a="1"/>
  <c r="K9" i="4" s="1"/>
  <c r="G9" i="4" a="1"/>
  <c r="G9" i="4" s="1"/>
  <c r="J9" i="4" s="1" a="1"/>
  <c r="J9" i="4" s="1"/>
  <c r="AO30" i="3"/>
  <c r="AP30" i="3" s="1"/>
  <c r="AQ30" i="3" s="1"/>
  <c r="AO31" i="3"/>
  <c r="AP31" i="3" s="1"/>
  <c r="AQ31" i="3" s="1"/>
  <c r="AO32" i="3"/>
  <c r="AP32" i="3" s="1"/>
  <c r="AQ32" i="3" s="1"/>
  <c r="AO33" i="3"/>
  <c r="AP33" i="3" s="1"/>
  <c r="AQ33" i="3" s="1"/>
  <c r="AO34" i="3"/>
  <c r="AP34" i="3" s="1"/>
  <c r="AQ34" i="3" s="1"/>
  <c r="AO29" i="3"/>
  <c r="AP29" i="3" s="1"/>
  <c r="Z30" i="3" a="1"/>
  <c r="Z30" i="3" s="1"/>
  <c r="AC30" i="3" s="1"/>
  <c r="Z31" i="3" a="1"/>
  <c r="Z31" i="3" s="1"/>
  <c r="AC31" i="3" s="1"/>
  <c r="Z32" i="3" a="1"/>
  <c r="Z32" i="3" s="1"/>
  <c r="AC32" i="3" s="1"/>
  <c r="Z33" i="3" a="1"/>
  <c r="Z33" i="3" s="1"/>
  <c r="AC33" i="3" s="1"/>
  <c r="Z34" i="3" a="1"/>
  <c r="Z34" i="3" s="1"/>
  <c r="AC34" i="3" s="1"/>
  <c r="Z35" i="3" a="1"/>
  <c r="Z35" i="3" s="1"/>
  <c r="AC35" i="3" s="1"/>
  <c r="Y30" i="3" a="1"/>
  <c r="Y30" i="3" s="1"/>
  <c r="Y31" i="3" a="1"/>
  <c r="Y31" i="3" s="1"/>
  <c r="Y32" i="3" a="1"/>
  <c r="Y32" i="3" s="1"/>
  <c r="AB32" i="3" s="1"/>
  <c r="Y33" i="3" a="1"/>
  <c r="Y33" i="3" s="1"/>
  <c r="AB33" i="3" s="1"/>
  <c r="Y34" i="3" a="1"/>
  <c r="Y34" i="3" s="1"/>
  <c r="Y35" i="3" a="1"/>
  <c r="Y35" i="3" s="1"/>
  <c r="X30" i="3" a="1"/>
  <c r="X30" i="3" s="1"/>
  <c r="AA30" i="3" s="1"/>
  <c r="AD30" i="3" s="1"/>
  <c r="AG30" i="3" s="1"/>
  <c r="X31" i="3" a="1"/>
  <c r="X31" i="3" s="1"/>
  <c r="AA31" i="3" s="1"/>
  <c r="X32" i="3" a="1"/>
  <c r="X32" i="3" s="1"/>
  <c r="AA32" i="3" s="1"/>
  <c r="X33" i="3" a="1"/>
  <c r="X33" i="3" s="1"/>
  <c r="AA33" i="3" s="1"/>
  <c r="X34" i="3" a="1"/>
  <c r="X34" i="3" s="1"/>
  <c r="X35" i="3" a="1"/>
  <c r="X35" i="3" s="1"/>
  <c r="AA35" i="3" s="1"/>
  <c r="G30" i="3" a="1"/>
  <c r="G30" i="3" s="1"/>
  <c r="J30" i="3" s="1" a="1"/>
  <c r="J30" i="3" s="1"/>
  <c r="M30" i="3" s="1"/>
  <c r="P30" i="3" s="1"/>
  <c r="H30" i="3" a="1"/>
  <c r="H30" i="3" s="1"/>
  <c r="K30" i="3" s="1" a="1"/>
  <c r="K30" i="3" s="1"/>
  <c r="N30" i="3" s="1"/>
  <c r="I30" i="3" a="1"/>
  <c r="I30" i="3" s="1"/>
  <c r="L30" i="3" s="1" a="1"/>
  <c r="L30" i="3" s="1"/>
  <c r="O30" i="3" s="1"/>
  <c r="G31" i="3" a="1"/>
  <c r="G31" i="3" s="1"/>
  <c r="J31" i="3" s="1" a="1"/>
  <c r="J31" i="3" s="1"/>
  <c r="M31" i="3" s="1"/>
  <c r="P31" i="3" s="1"/>
  <c r="H31" i="3" a="1"/>
  <c r="H31" i="3" s="1"/>
  <c r="K31" i="3" s="1" a="1"/>
  <c r="K31" i="3" s="1"/>
  <c r="N31" i="3" s="1"/>
  <c r="I31" i="3" a="1"/>
  <c r="I31" i="3" s="1"/>
  <c r="L31" i="3" s="1" a="1"/>
  <c r="L31" i="3" s="1"/>
  <c r="O31" i="3" s="1"/>
  <c r="G32" i="3" a="1"/>
  <c r="G32" i="3" s="1"/>
  <c r="J32" i="3" s="1" a="1"/>
  <c r="J32" i="3" s="1"/>
  <c r="M32" i="3" s="1"/>
  <c r="P32" i="3" s="1"/>
  <c r="H32" i="3" a="1"/>
  <c r="H32" i="3" s="1"/>
  <c r="K32" i="3" s="1" a="1"/>
  <c r="K32" i="3" s="1"/>
  <c r="N32" i="3" s="1"/>
  <c r="I32" i="3" a="1"/>
  <c r="I32" i="3" s="1"/>
  <c r="L32" i="3" s="1" a="1"/>
  <c r="L32" i="3" s="1"/>
  <c r="O32" i="3" s="1"/>
  <c r="G33" i="3" a="1"/>
  <c r="G33" i="3" s="1"/>
  <c r="J33" i="3" s="1" a="1"/>
  <c r="J33" i="3" s="1"/>
  <c r="M33" i="3" s="1"/>
  <c r="P33" i="3" s="1"/>
  <c r="H33" i="3" a="1"/>
  <c r="H33" i="3" s="1"/>
  <c r="K33" i="3" s="1" a="1"/>
  <c r="K33" i="3" s="1"/>
  <c r="N33" i="3" s="1"/>
  <c r="I33" i="3" a="1"/>
  <c r="I33" i="3" s="1"/>
  <c r="L33" i="3" s="1" a="1"/>
  <c r="L33" i="3" s="1"/>
  <c r="O33" i="3" s="1"/>
  <c r="I29" i="3" a="1"/>
  <c r="I29" i="3" s="1"/>
  <c r="L29" i="3" s="1" a="1"/>
  <c r="L29" i="3" s="1"/>
  <c r="H29" i="3" a="1"/>
  <c r="H29" i="3" s="1"/>
  <c r="K29" i="3" s="1" a="1"/>
  <c r="K29" i="3" s="1"/>
  <c r="G29" i="3" a="1"/>
  <c r="G29" i="3" s="1"/>
  <c r="J29" i="3" s="1" a="1"/>
  <c r="J29" i="3" s="1"/>
  <c r="G10" i="6" l="1" a="1"/>
  <c r="G10" i="6" s="1"/>
  <c r="G13" i="6" a="1"/>
  <c r="G13" i="6" s="1"/>
  <c r="G11" i="6" a="1"/>
  <c r="G11" i="6" s="1"/>
  <c r="G14" i="6" a="1"/>
  <c r="G14" i="6" s="1"/>
  <c r="G12" i="6" a="1"/>
  <c r="G12" i="6" s="1"/>
  <c r="AB9" i="4"/>
  <c r="D11" i="16" s="1"/>
  <c r="M9" i="4"/>
  <c r="D10" i="16" s="1"/>
  <c r="M9" i="7"/>
  <c r="D16" i="16" s="1"/>
  <c r="J10" i="16" s="1"/>
  <c r="D14" i="16"/>
  <c r="AQ29" i="3"/>
  <c r="D7" i="16" s="1"/>
  <c r="AA34" i="3"/>
  <c r="AD34" i="3" s="1"/>
  <c r="AG34" i="3" s="1"/>
  <c r="AE32" i="3"/>
  <c r="AD33" i="3"/>
  <c r="AG33" i="3" s="1"/>
  <c r="AB35" i="3"/>
  <c r="AE35" i="3" s="1"/>
  <c r="AB31" i="3"/>
  <c r="AE31" i="3" s="1"/>
  <c r="AF32" i="3"/>
  <c r="AD32" i="3"/>
  <c r="AG32" i="3" s="1"/>
  <c r="AF30" i="3"/>
  <c r="AF34" i="3"/>
  <c r="AB34" i="3"/>
  <c r="AE34" i="3" s="1"/>
  <c r="AB30" i="3"/>
  <c r="AE30" i="3" s="1"/>
  <c r="AF31" i="3"/>
  <c r="AD35" i="3"/>
  <c r="AG35" i="3" s="1"/>
  <c r="AE33" i="3"/>
  <c r="AF35" i="3"/>
  <c r="AD31" i="3"/>
  <c r="AG31" i="3" s="1"/>
  <c r="AF33" i="3"/>
  <c r="O29" i="3"/>
  <c r="N29" i="3"/>
  <c r="D15" i="16" l="1"/>
  <c r="D12" i="16"/>
  <c r="J9" i="16" l="1"/>
  <c r="E12" i="16"/>
  <c r="E11" i="16"/>
  <c r="E10" i="16"/>
  <c r="D21" i="16"/>
  <c r="J7" i="16"/>
  <c r="M29" i="3"/>
  <c r="E21" i="16" l="1"/>
  <c r="E20" i="16"/>
  <c r="E19" i="16"/>
  <c r="E18" i="16"/>
  <c r="E17" i="16"/>
  <c r="E16" i="16"/>
  <c r="E14" i="16"/>
  <c r="E15" i="16"/>
  <c r="P29" i="3"/>
  <c r="D5" i="16" s="1"/>
  <c r="M29" i="12"/>
  <c r="L29" i="12"/>
  <c r="K29" i="12"/>
  <c r="N23" i="12"/>
  <c r="L28" i="12" s="1"/>
  <c r="N22" i="12"/>
  <c r="L27" i="12" s="1"/>
  <c r="Y29" i="3" s="1" a="1"/>
  <c r="Y29" i="3" s="1"/>
  <c r="AB29" i="3" s="1"/>
  <c r="AE29" i="3" s="1"/>
  <c r="N21" i="12"/>
  <c r="M26" i="12" s="1"/>
  <c r="K28" i="12" l="1"/>
  <c r="M27" i="12"/>
  <c r="Z29" i="3" s="1" a="1"/>
  <c r="Z29" i="3" s="1"/>
  <c r="AC29" i="3" s="1"/>
  <c r="AF29" i="3" s="1"/>
  <c r="K27" i="12"/>
  <c r="X29" i="3" s="1" a="1"/>
  <c r="X29" i="3" s="1"/>
  <c r="AA29" i="3" s="1"/>
  <c r="AD29" i="3" s="1"/>
  <c r="M28" i="12"/>
  <c r="L26" i="12"/>
  <c r="K26" i="12"/>
  <c r="AG29" i="3" l="1"/>
  <c r="D6" i="16" s="1"/>
  <c r="D8" i="16" s="1"/>
  <c r="E8" i="16" l="1"/>
  <c r="E6" i="16"/>
  <c r="E7" i="16"/>
  <c r="E5" i="16"/>
  <c r="D23" i="16"/>
  <c r="J5" i="16"/>
  <c r="F21" i="16" l="1"/>
  <c r="F20" i="16"/>
  <c r="F19" i="16"/>
  <c r="F18" i="16"/>
  <c r="F17" i="16"/>
  <c r="F16" i="16"/>
  <c r="F15" i="16"/>
  <c r="F14" i="16"/>
  <c r="F12" i="16"/>
  <c r="F11" i="16"/>
  <c r="F10" i="16"/>
  <c r="F6" i="16"/>
  <c r="F7" i="16"/>
  <c r="F5" i="16"/>
  <c r="F8"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tc={8CEF0F38-E75F-48F6-A69B-1FC165C0C4D8}</author>
  </authors>
  <commentList>
    <comment ref="U22" authorId="0" shapeId="0" xr:uid="{8CEF0F38-E75F-48F6-A69B-1FC165C0C4D8}">
      <text>
        <t>[Comentario encadenado]
Su versión de Excel le permite leer este comentario encadenado; sin embargo, las ediciones que se apliquen se quitarán si el archivo se abre en una versión más reciente de Excel. Más información: https://go.microsoft.com/fwlink/?linkid=870924
Comentario:
    Tomado el valor del 410B</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<sst xmlns="http://schemas.openxmlformats.org/spreadsheetml/2006/main" count="2401" uniqueCount="629">
  <si>
    <t>INDEX</t>
  </si>
  <si>
    <t>INSTRUCTIONS</t>
  </si>
  <si>
    <t>CELL LEGEND</t>
  </si>
  <si>
    <t>Emissions calculations</t>
  </si>
  <si>
    <t>Scope 1</t>
  </si>
  <si>
    <t>Cells marked in green correspond to activity data entries. The grey cells provide both emission factors or other fixed parameters, as well as operations between all of them and the data entered for the emission calculation.
The format of these green cells has been adapted as far as possible to the information received, and all calculations needed to go from primary data to emissions are always referenced on the same sheet for easy reference.</t>
  </si>
  <si>
    <t>Data entry</t>
  </si>
  <si>
    <t>Scope 2</t>
  </si>
  <si>
    <t>Fixed parameters or intermediate calculations</t>
  </si>
  <si>
    <t>Scope 3-Water consumption</t>
  </si>
  <si>
    <t>Results</t>
  </si>
  <si>
    <t>Scope 3-Raw materials</t>
  </si>
  <si>
    <t>Drop-down option</t>
  </si>
  <si>
    <t>Scope 3-Upstream transportation</t>
  </si>
  <si>
    <t>Information on the data</t>
  </si>
  <si>
    <t>Scope 3-Downstream transportation</t>
  </si>
  <si>
    <t>Scope 3-Wate generation</t>
  </si>
  <si>
    <t>Scope 3-Business travel</t>
  </si>
  <si>
    <t>Scope 3-Employee commuting</t>
  </si>
  <si>
    <t>RESULTS-GHG PROTOCOL</t>
  </si>
  <si>
    <t>Calculation parameters</t>
  </si>
  <si>
    <t>Emission factors for scope 1</t>
  </si>
  <si>
    <t>These tabs contain the emission factors necessary for the GHG emission calculations.</t>
  </si>
  <si>
    <t>Emission factors for scope 2</t>
  </si>
  <si>
    <t>Emission factors for scope 3</t>
  </si>
  <si>
    <t>Emission factors for waste</t>
  </si>
  <si>
    <t>SME sector</t>
  </si>
  <si>
    <t>Stationary combustion for energy industries</t>
  </si>
  <si>
    <t>Relevant data for stationary combustion</t>
  </si>
  <si>
    <t>Relevant data for mobile combustion</t>
  </si>
  <si>
    <t>Sources</t>
  </si>
  <si>
    <t>Sectors</t>
  </si>
  <si>
    <t>Unit</t>
  </si>
  <si>
    <t>Units</t>
  </si>
  <si>
    <t>Units DEFRA</t>
  </si>
  <si>
    <t>Units liters</t>
  </si>
  <si>
    <t>Natural gas</t>
  </si>
  <si>
    <t>m3</t>
  </si>
  <si>
    <t>Petrol_unleaded</t>
  </si>
  <si>
    <t>l</t>
  </si>
  <si>
    <t>km</t>
  </si>
  <si>
    <t>Gasoil</t>
  </si>
  <si>
    <t>Manufacturing industries and construction</t>
  </si>
  <si>
    <t>kWh</t>
  </si>
  <si>
    <t>Motor gasoline</t>
  </si>
  <si>
    <t>Commercial/institutional</t>
  </si>
  <si>
    <t>Hybrid</t>
  </si>
  <si>
    <t>LPG</t>
  </si>
  <si>
    <t>Residential and agriculture/forestry/fishing/fishing farms</t>
  </si>
  <si>
    <t>kg</t>
  </si>
  <si>
    <t>Plugin_hybrid</t>
  </si>
  <si>
    <t>Other</t>
  </si>
  <si>
    <t>Electric</t>
  </si>
  <si>
    <t>Natural_gas</t>
  </si>
  <si>
    <t>Unknown</t>
  </si>
  <si>
    <t>CNG</t>
  </si>
  <si>
    <t>Emission source-stream: stationary combustion</t>
  </si>
  <si>
    <t>Emission source-stream: mobile combustion</t>
  </si>
  <si>
    <t>Emission source-stream: fugitive emissions</t>
  </si>
  <si>
    <t>Activity data</t>
  </si>
  <si>
    <t>EF</t>
  </si>
  <si>
    <t>GHG Emissions</t>
  </si>
  <si>
    <t>Activity description</t>
  </si>
  <si>
    <t>Fuel</t>
  </si>
  <si>
    <t>Annual consumption</t>
  </si>
  <si>
    <t>kg CO2/TJ</t>
  </si>
  <si>
    <t>kg CH4/TJ</t>
  </si>
  <si>
    <t>kg N2O/TJ</t>
  </si>
  <si>
    <t>kg CO2</t>
  </si>
  <si>
    <t>kg CH4</t>
  </si>
  <si>
    <t>kg N2O</t>
  </si>
  <si>
    <t>tCO2</t>
  </si>
  <si>
    <t>tCO2e (CH4)</t>
  </si>
  <si>
    <t>tCO2e(N2O)</t>
  </si>
  <si>
    <t>Total tCO2e</t>
  </si>
  <si>
    <t>Fuel/Type of car</t>
  </si>
  <si>
    <t>Annual distance traveled/consumption</t>
  </si>
  <si>
    <t>kg CO2/l (km)</t>
  </si>
  <si>
    <t>kg CH4/l (km)</t>
  </si>
  <si>
    <t>kg N2O/l (km)</t>
  </si>
  <si>
    <t>Refrigerant gas</t>
  </si>
  <si>
    <t>kg CO2e/kg gas</t>
  </si>
  <si>
    <t>kg CO2e</t>
  </si>
  <si>
    <t>Emission source-stream: eletricity consumption</t>
  </si>
  <si>
    <t>Emission source-stream: heat consumption</t>
  </si>
  <si>
    <t>Type</t>
  </si>
  <si>
    <t>Electric unit</t>
  </si>
  <si>
    <t>Type of electricity</t>
  </si>
  <si>
    <t>Country</t>
  </si>
  <si>
    <t>g CO2/kWh</t>
  </si>
  <si>
    <t>CH4 gCO2e/kWh</t>
  </si>
  <si>
    <t>N2O gCO2e/kWh</t>
  </si>
  <si>
    <t>tCO2e (N2O)</t>
  </si>
  <si>
    <t>National grid</t>
  </si>
  <si>
    <t>kg CO2e of CO2/kWh</t>
  </si>
  <si>
    <t>kg CO2e of CH4/kWh</t>
  </si>
  <si>
    <t>kg CO2e of N2O/kWh</t>
  </si>
  <si>
    <t>t CO2</t>
  </si>
  <si>
    <t>Research with computers</t>
  </si>
  <si>
    <t>Spain</t>
  </si>
  <si>
    <t>Renewable</t>
  </si>
  <si>
    <t>MWh</t>
  </si>
  <si>
    <t>Emission source-stream: water consumption</t>
  </si>
  <si>
    <t>City network</t>
  </si>
  <si>
    <t>Well</t>
  </si>
  <si>
    <t>Source</t>
  </si>
  <si>
    <t>kg CO2e/m3</t>
  </si>
  <si>
    <t>Surface water catchment</t>
  </si>
  <si>
    <t>Water treatment (wastewater from another organization)</t>
  </si>
  <si>
    <t>Emission source-stream: consumption of raw materials</t>
  </si>
  <si>
    <t>t</t>
  </si>
  <si>
    <t>Value</t>
  </si>
  <si>
    <t>Batteries - Alkaline</t>
  </si>
  <si>
    <t>Emission source-stream: upstream transportation (Transportation and distribution of products purchased by the reporting company)</t>
  </si>
  <si>
    <t>Mean of transport</t>
  </si>
  <si>
    <t>Type of raw material</t>
  </si>
  <si>
    <t>Annual purchase</t>
  </si>
  <si>
    <t>Destination of the purchased materials - latitude (Decimal degrees format)</t>
  </si>
  <si>
    <t>Destination of the purchased materials - longitude (Decimal degrees format)</t>
  </si>
  <si>
    <t>Location of the supplier (origin) - latitude (Decimal degrees format)</t>
  </si>
  <si>
    <t>Location of the supplier (origin) - longitude (Decimal degrees format)</t>
  </si>
  <si>
    <t>Estimated distance (km)</t>
  </si>
  <si>
    <t>All Artics</t>
  </si>
  <si>
    <t>All HGVs</t>
  </si>
  <si>
    <t>Rigid (&gt;17 tonnes)</t>
  </si>
  <si>
    <t>Air</t>
  </si>
  <si>
    <t>Freight train</t>
  </si>
  <si>
    <t>Vehicle transport</t>
  </si>
  <si>
    <t>General Cargo</t>
  </si>
  <si>
    <t>RORO Ferry</t>
  </si>
  <si>
    <t>Emission source-stream: downstream transportation (Transportation and distribution of sold products)</t>
  </si>
  <si>
    <t>Annual sold product</t>
  </si>
  <si>
    <t>Destination of the sold product - latitude (Decimal degrees format)</t>
  </si>
  <si>
    <t>Destination of the sold product - longitude (Decimal degrees format)</t>
  </si>
  <si>
    <t>Origin - latitude (Decimal degrees format)</t>
  </si>
  <si>
    <t>Origin - longitude (Decimal degrees format)</t>
  </si>
  <si>
    <t>Emission source-stream: waste generation</t>
  </si>
  <si>
    <t>Hazardousity</t>
  </si>
  <si>
    <t>Treatment</t>
  </si>
  <si>
    <t>Hazardous</t>
  </si>
  <si>
    <t>Quantity</t>
  </si>
  <si>
    <t>Paper and board: mixed</t>
  </si>
  <si>
    <t>Yes</t>
  </si>
  <si>
    <t>Destinated to disposal</t>
  </si>
  <si>
    <t>Mixed cans</t>
  </si>
  <si>
    <t>No</t>
  </si>
  <si>
    <t>Diverted from disposal</t>
  </si>
  <si>
    <t>Metal: scrap metal</t>
  </si>
  <si>
    <t>Plastics: average plastics</t>
  </si>
  <si>
    <t>Plastics: average plastic rigid</t>
  </si>
  <si>
    <t>Average construction</t>
  </si>
  <si>
    <t>Wood</t>
  </si>
  <si>
    <t>Insulation</t>
  </si>
  <si>
    <t>Mineral oil</t>
  </si>
  <si>
    <t>Soils</t>
  </si>
  <si>
    <t>WEEE - mixed</t>
  </si>
  <si>
    <t>Batteries</t>
  </si>
  <si>
    <t>Municipal waste</t>
  </si>
  <si>
    <t>Commercial and industrial waste</t>
  </si>
  <si>
    <t>Organic: garden waste</t>
  </si>
  <si>
    <t>Emission source-stream: business travel</t>
  </si>
  <si>
    <t>Activity data - transports</t>
  </si>
  <si>
    <t>Activity data - hotel stays</t>
  </si>
  <si>
    <t>EF - hotel nights</t>
  </si>
  <si>
    <t>Transport</t>
  </si>
  <si>
    <t>Origin</t>
  </si>
  <si>
    <t>Destination</t>
  </si>
  <si>
    <t>Number of rooms booked</t>
  </si>
  <si>
    <t>Number of nights stayed</t>
  </si>
  <si>
    <t>Average car</t>
  </si>
  <si>
    <t>Madrid</t>
  </si>
  <si>
    <t>Singapore</t>
  </si>
  <si>
    <t>Melbourne</t>
  </si>
  <si>
    <t>Australia</t>
  </si>
  <si>
    <t>Rail</t>
  </si>
  <si>
    <t>United States</t>
  </si>
  <si>
    <t>Motorbike</t>
  </si>
  <si>
    <t>Boston</t>
  </si>
  <si>
    <t>Korea</t>
  </si>
  <si>
    <t>Bus</t>
  </si>
  <si>
    <t>Netherlands</t>
  </si>
  <si>
    <t>Seoul</t>
  </si>
  <si>
    <t>United Arab Emirates</t>
  </si>
  <si>
    <t>Amsterdam</t>
  </si>
  <si>
    <t>Saudi Arabia</t>
  </si>
  <si>
    <t>France</t>
  </si>
  <si>
    <t xml:space="preserve">Copenhaguen </t>
  </si>
  <si>
    <t>Germany</t>
  </si>
  <si>
    <t>Copenhaguen</t>
  </si>
  <si>
    <t>Helsinki</t>
  </si>
  <si>
    <t>Paris</t>
  </si>
  <si>
    <t>Roma</t>
  </si>
  <si>
    <t>Dubai</t>
  </si>
  <si>
    <t xml:space="preserve">Arabia </t>
  </si>
  <si>
    <t>Arabia</t>
  </si>
  <si>
    <t xml:space="preserve">Madrid </t>
  </si>
  <si>
    <t>Düsseldorf</t>
  </si>
  <si>
    <t>Barcelona</t>
  </si>
  <si>
    <t>Colonia</t>
  </si>
  <si>
    <t>Budapest</t>
  </si>
  <si>
    <t>Lisboa</t>
  </si>
  <si>
    <t>Valencia</t>
  </si>
  <si>
    <t>Londres</t>
  </si>
  <si>
    <t>Emission source-stream: employee commuting</t>
  </si>
  <si>
    <t>Total days worked in the reporting year</t>
  </si>
  <si>
    <t>Distance between workplace and home (km)</t>
  </si>
  <si>
    <t>Remote work days per week</t>
  </si>
  <si>
    <t>Estimated annual kms</t>
  </si>
  <si>
    <t>Gasoil car</t>
  </si>
  <si>
    <t>Hybrid car</t>
  </si>
  <si>
    <t>Petrol unleaded car</t>
  </si>
  <si>
    <t>CARBON FOOTPRINT SUMMARY (tCO2e)</t>
  </si>
  <si>
    <t>CARBON FOOTPRINT SUMMARY BY GHG PROTOCOL CATEGORIES (tCO2e)</t>
  </si>
  <si>
    <t>SCOPE</t>
  </si>
  <si>
    <t>CATEGORY</t>
  </si>
  <si>
    <t>tCO2e</t>
  </si>
  <si>
    <t>% of the Scope</t>
  </si>
  <si>
    <t>% total</t>
  </si>
  <si>
    <t>Stat. Combustion</t>
  </si>
  <si>
    <t>Direct emissions</t>
  </si>
  <si>
    <t>Mob. Combustion</t>
  </si>
  <si>
    <t>Refrigerant Gases</t>
  </si>
  <si>
    <t>Indirect emissions by purchase of electricity and heat</t>
  </si>
  <si>
    <t>TOTAL</t>
  </si>
  <si>
    <t>Scope 3</t>
  </si>
  <si>
    <t>Goods and services</t>
  </si>
  <si>
    <t>Scope 2 (location)</t>
  </si>
  <si>
    <t>Electricity</t>
  </si>
  <si>
    <t>Upstream transportation</t>
  </si>
  <si>
    <t>Heat</t>
  </si>
  <si>
    <t>Waste generated in operations</t>
  </si>
  <si>
    <t>Business travel</t>
  </si>
  <si>
    <t>Employee commuting</t>
  </si>
  <si>
    <t>Water consumption</t>
  </si>
  <si>
    <t>Downstream transportation</t>
  </si>
  <si>
    <t>Raw materials</t>
  </si>
  <si>
    <t>Waste generation</t>
  </si>
  <si>
    <t>TOTAL GHG EMISSIONS</t>
  </si>
  <si>
    <t>Mobile combustion (km traveled)</t>
  </si>
  <si>
    <t>Refrigerant gases</t>
  </si>
  <si>
    <t>Fuel type</t>
  </si>
  <si>
    <r>
      <t>kg CO</t>
    </r>
    <r>
      <rPr>
        <b/>
        <vertAlign val="subscript"/>
        <sz val="10"/>
        <color indexed="9"/>
        <rFont val="Calibri Light"/>
        <family val="2"/>
        <scheme val="major"/>
      </rPr>
      <t>2</t>
    </r>
    <r>
      <rPr>
        <b/>
        <sz val="10"/>
        <color indexed="9"/>
        <rFont val="Calibri Light"/>
        <family val="2"/>
        <scheme val="major"/>
      </rPr>
      <t>/TJ</t>
    </r>
  </si>
  <si>
    <r>
      <t>kg CH</t>
    </r>
    <r>
      <rPr>
        <b/>
        <vertAlign val="subscript"/>
        <sz val="10"/>
        <color indexed="9"/>
        <rFont val="Calibri Light"/>
        <family val="2"/>
        <scheme val="major"/>
      </rPr>
      <t>4</t>
    </r>
    <r>
      <rPr>
        <b/>
        <sz val="10"/>
        <color indexed="9"/>
        <rFont val="Calibri Light"/>
        <family val="2"/>
        <scheme val="major"/>
      </rPr>
      <t>/TJ</t>
    </r>
  </si>
  <si>
    <r>
      <t>kg N</t>
    </r>
    <r>
      <rPr>
        <b/>
        <vertAlign val="subscript"/>
        <sz val="10"/>
        <color indexed="9"/>
        <rFont val="Calibri Light"/>
        <family val="2"/>
        <scheme val="major"/>
      </rPr>
      <t>2</t>
    </r>
    <r>
      <rPr>
        <b/>
        <sz val="10"/>
        <color indexed="9"/>
        <rFont val="Calibri Light"/>
        <family val="2"/>
        <scheme val="major"/>
      </rPr>
      <t>O/TJ</t>
    </r>
  </si>
  <si>
    <r>
      <t>kg CO</t>
    </r>
    <r>
      <rPr>
        <b/>
        <vertAlign val="subscript"/>
        <sz val="10"/>
        <color indexed="9"/>
        <rFont val="Calibri Light"/>
        <family val="2"/>
        <scheme val="major"/>
      </rPr>
      <t>2</t>
    </r>
    <r>
      <rPr>
        <b/>
        <sz val="10"/>
        <color indexed="9"/>
        <rFont val="Calibri Light"/>
        <family val="2"/>
        <scheme val="major"/>
      </rPr>
      <t>/km</t>
    </r>
  </si>
  <si>
    <r>
      <t>kg CH</t>
    </r>
    <r>
      <rPr>
        <b/>
        <vertAlign val="subscript"/>
        <sz val="10"/>
        <color indexed="9"/>
        <rFont val="Calibri Light"/>
        <family val="2"/>
        <scheme val="major"/>
      </rPr>
      <t>4</t>
    </r>
    <r>
      <rPr>
        <b/>
        <sz val="10"/>
        <color indexed="9"/>
        <rFont val="Calibri Light"/>
        <family val="2"/>
        <scheme val="major"/>
      </rPr>
      <t>/km</t>
    </r>
  </si>
  <si>
    <r>
      <t>kg N</t>
    </r>
    <r>
      <rPr>
        <b/>
        <vertAlign val="subscript"/>
        <sz val="10"/>
        <color indexed="9"/>
        <rFont val="Calibri Light"/>
        <family val="2"/>
        <scheme val="major"/>
      </rPr>
      <t>2</t>
    </r>
    <r>
      <rPr>
        <b/>
        <sz val="10"/>
        <color indexed="9"/>
        <rFont val="Calibri Light"/>
        <family val="2"/>
        <scheme val="major"/>
      </rPr>
      <t>O/km</t>
    </r>
  </si>
  <si>
    <t>Type of GHG</t>
  </si>
  <si>
    <t>GWP</t>
  </si>
  <si>
    <t>Type of Gas</t>
  </si>
  <si>
    <t>2006 IPCC Guidelines for National Greenhouse Gas Inventories - Chapter 2: Energy</t>
  </si>
  <si>
    <t>Defra Carbon Factors: Bussines travel - land - Cars (by size) - Average car - Type of fuel Petrol</t>
  </si>
  <si>
    <r>
      <t>CO</t>
    </r>
    <r>
      <rPr>
        <b/>
        <vertAlign val="subscript"/>
        <sz val="11"/>
        <rFont val="Calibri"/>
        <family val="2"/>
        <scheme val="minor"/>
      </rPr>
      <t>2</t>
    </r>
  </si>
  <si>
    <t>HFC R-125</t>
  </si>
  <si>
    <t>IPCC Fifth Assessment Report 2014 (AR5) + https://www.ipcc.ch/site/assets/uploads/2018/02/WG1AR5_Chapter08_FINAL.pdf</t>
  </si>
  <si>
    <t>Defra Carbon Factors: Bussines travel - land - Cars (by size) - Average car - Type of fuel Diesel</t>
  </si>
  <si>
    <r>
      <t>CH</t>
    </r>
    <r>
      <rPr>
        <vertAlign val="subscript"/>
        <sz val="11"/>
        <rFont val="Calibri"/>
        <family val="2"/>
        <scheme val="minor"/>
      </rPr>
      <t>4</t>
    </r>
  </si>
  <si>
    <t>HFC R-417A</t>
  </si>
  <si>
    <t>Defra Carbon Factors: Bussines travel - land - Cars (by size) - Average car - Hybrid</t>
  </si>
  <si>
    <r>
      <t>N</t>
    </r>
    <r>
      <rPr>
        <vertAlign val="subscript"/>
        <sz val="11"/>
        <rFont val="Calibri"/>
        <family val="2"/>
        <scheme val="minor"/>
      </rPr>
      <t>2</t>
    </r>
    <r>
      <rPr>
        <sz val="11"/>
        <rFont val="Calibri"/>
        <family val="2"/>
        <scheme val="minor"/>
      </rPr>
      <t>O</t>
    </r>
  </si>
  <si>
    <t>HFC R-22</t>
  </si>
  <si>
    <t>Defra Carbon Factors: Bussines travel - land - Cars (by size) - Average car - Plug-in Hybrid Electric Vehicle</t>
  </si>
  <si>
    <t xml:space="preserve">HFC R-407C </t>
  </si>
  <si>
    <t>Defra Carbon Factors: Bussines travel - land - Cars (by size) - Average car - Battery Electric Vehicle</t>
  </si>
  <si>
    <t>HFC R-134A</t>
  </si>
  <si>
    <t>Defra Carbon Factors: Bussines travel - land - Cars (by size) - Average car - CNG</t>
  </si>
  <si>
    <t>HFC R-410A</t>
  </si>
  <si>
    <t>Defra Carbon Factors: Passenger vehicles - Cars (by size) - Average car - Type of fuel unkown</t>
  </si>
  <si>
    <t>HFC R-434A</t>
  </si>
  <si>
    <t>HFC R-422A</t>
  </si>
  <si>
    <t>HFC R-422D</t>
  </si>
  <si>
    <t>Mobile combustion (liters consumed)</t>
  </si>
  <si>
    <t>HFC R-452A</t>
  </si>
  <si>
    <t>Density (kg/m3)</t>
  </si>
  <si>
    <t>Net calorific value (TJ/Gg)</t>
  </si>
  <si>
    <t>HFC R-404A</t>
  </si>
  <si>
    <t>Petrol unleaded</t>
  </si>
  <si>
    <t>HFC R-448A</t>
  </si>
  <si>
    <t>IPCC Fourth Assessment Report 2007 (AR4) + https://www.environment.gov.au/ozone/rac/global-warming-potential-values-hfc-refrigerants</t>
  </si>
  <si>
    <t>HFC R-410E</t>
  </si>
  <si>
    <t>HFC R-32</t>
  </si>
  <si>
    <t>HFC R-143A</t>
  </si>
  <si>
    <r>
      <t>kg CO</t>
    </r>
    <r>
      <rPr>
        <b/>
        <vertAlign val="subscript"/>
        <sz val="10"/>
        <color indexed="9"/>
        <rFont val="Calibri Light"/>
        <family val="2"/>
        <scheme val="major"/>
      </rPr>
      <t>2</t>
    </r>
    <r>
      <rPr>
        <b/>
        <sz val="10"/>
        <color indexed="9"/>
        <rFont val="Calibri Light"/>
        <family val="2"/>
        <scheme val="major"/>
      </rPr>
      <t>/l</t>
    </r>
  </si>
  <si>
    <r>
      <t>kg CH</t>
    </r>
    <r>
      <rPr>
        <b/>
        <vertAlign val="subscript"/>
        <sz val="10"/>
        <color indexed="9"/>
        <rFont val="Calibri Light"/>
        <family val="2"/>
        <scheme val="major"/>
      </rPr>
      <t>4</t>
    </r>
    <r>
      <rPr>
        <b/>
        <sz val="10"/>
        <color indexed="9"/>
        <rFont val="Calibri Light"/>
        <family val="2"/>
        <scheme val="major"/>
      </rPr>
      <t>/l</t>
    </r>
  </si>
  <si>
    <r>
      <t>kg N</t>
    </r>
    <r>
      <rPr>
        <b/>
        <vertAlign val="subscript"/>
        <sz val="10"/>
        <color indexed="9"/>
        <rFont val="Calibri Light"/>
        <family val="2"/>
        <scheme val="major"/>
      </rPr>
      <t>2</t>
    </r>
    <r>
      <rPr>
        <b/>
        <sz val="10"/>
        <color indexed="9"/>
        <rFont val="Calibri Light"/>
        <family val="2"/>
        <scheme val="major"/>
      </rPr>
      <t>O/l</t>
    </r>
  </si>
  <si>
    <t>Conversion factors (HCV)</t>
  </si>
  <si>
    <t>kWh/m3</t>
  </si>
  <si>
    <t>kWh/kg</t>
  </si>
  <si>
    <t>kg/m3</t>
  </si>
  <si>
    <t>http://gasnam.es/wp-content/uploads/2016/02/Tabla_equivalencias_GASNAM_SEDIGAS.pdf</t>
  </si>
  <si>
    <t>General</t>
  </si>
  <si>
    <t>TJ</t>
  </si>
  <si>
    <t>MJ</t>
  </si>
  <si>
    <t>2019 Electricity EF from IEA (gGHG/kWh)</t>
  </si>
  <si>
    <t>CO2</t>
  </si>
  <si>
    <t>CH4</t>
  </si>
  <si>
    <t>N2O</t>
  </si>
  <si>
    <r>
      <t>kg CO2e</t>
    </r>
    <r>
      <rPr>
        <b/>
        <sz val="10"/>
        <color indexed="9"/>
        <rFont val="Calibri"/>
        <family val="2"/>
        <scheme val="minor"/>
      </rPr>
      <t>/kWh</t>
    </r>
  </si>
  <si>
    <t>2021 DEFRA Emissions factors - Heat and steam - District heat and steam</t>
  </si>
  <si>
    <r>
      <t>kg CO2e of CO2</t>
    </r>
    <r>
      <rPr>
        <b/>
        <sz val="10"/>
        <color indexed="9"/>
        <rFont val="Calibri"/>
        <family val="2"/>
        <scheme val="minor"/>
      </rPr>
      <t>/kWh</t>
    </r>
  </si>
  <si>
    <t>World</t>
  </si>
  <si>
    <r>
      <t>kg CO2e of CH4</t>
    </r>
    <r>
      <rPr>
        <b/>
        <sz val="10"/>
        <color indexed="9"/>
        <rFont val="Calibri"/>
        <family val="2"/>
        <scheme val="minor"/>
      </rPr>
      <t>/kWh</t>
    </r>
  </si>
  <si>
    <t>OECD Total</t>
  </si>
  <si>
    <r>
      <t>kg CO2e of N2O</t>
    </r>
    <r>
      <rPr>
        <b/>
        <sz val="10"/>
        <color indexed="9"/>
        <rFont val="Calibri"/>
        <family val="2"/>
        <scheme val="minor"/>
      </rPr>
      <t>/kWh</t>
    </r>
  </si>
  <si>
    <t>OECD Americas</t>
  </si>
  <si>
    <t>OECD Asia Oceania</t>
  </si>
  <si>
    <t>OECD Europe</t>
  </si>
  <si>
    <t>Africa</t>
  </si>
  <si>
    <t>Non-OECD Americas</t>
  </si>
  <si>
    <t>Middle East</t>
  </si>
  <si>
    <t>Non-OECD Europe and Eurasia</t>
  </si>
  <si>
    <t>Non-OECD Asia (excluding China)</t>
  </si>
  <si>
    <t>China (PR of China and Hong Kong China)</t>
  </si>
  <si>
    <t>Albania</t>
  </si>
  <si>
    <t>Algeria</t>
  </si>
  <si>
    <t>Angola</t>
  </si>
  <si>
    <t>Argentina</t>
  </si>
  <si>
    <t>Armenia</t>
  </si>
  <si>
    <t>Austria</t>
  </si>
  <si>
    <t>Azerbaijan</t>
  </si>
  <si>
    <t>Bahrain</t>
  </si>
  <si>
    <t>Bangladesh</t>
  </si>
  <si>
    <t>Belarus</t>
  </si>
  <si>
    <t>Belgium</t>
  </si>
  <si>
    <t>Benin</t>
  </si>
  <si>
    <t>Plurinational State of Bolivia</t>
  </si>
  <si>
    <t>Bosnia and Herzegovina</t>
  </si>
  <si>
    <t>Botswana</t>
  </si>
  <si>
    <t>Brazil</t>
  </si>
  <si>
    <t>Brunei Darussalam</t>
  </si>
  <si>
    <t>Bulgaria</t>
  </si>
  <si>
    <t>Cambodia</t>
  </si>
  <si>
    <t>Cameroon</t>
  </si>
  <si>
    <t>Canada</t>
  </si>
  <si>
    <t>Chile</t>
  </si>
  <si>
    <t>People's Republic of China</t>
  </si>
  <si>
    <t>Colombia</t>
  </si>
  <si>
    <t>Republic of the Congo</t>
  </si>
  <si>
    <t>Democratic Republic of the Congo</t>
  </si>
  <si>
    <t>Costa Rica</t>
  </si>
  <si>
    <t>Cote d'Ivoire</t>
  </si>
  <si>
    <t>Croatia</t>
  </si>
  <si>
    <t>Cuba</t>
  </si>
  <si>
    <t>Curacao/Netherlands Antilles</t>
  </si>
  <si>
    <t>Cyprus</t>
  </si>
  <si>
    <t>Czech Republic</t>
  </si>
  <si>
    <t>Denmark</t>
  </si>
  <si>
    <t>Dominican Republic</t>
  </si>
  <si>
    <t>Ecuador</t>
  </si>
  <si>
    <t>Egypt</t>
  </si>
  <si>
    <t>El Salvador</t>
  </si>
  <si>
    <t>Equatorial Guinea</t>
  </si>
  <si>
    <t>Eritrea</t>
  </si>
  <si>
    <t>Estonia</t>
  </si>
  <si>
    <t>Ethiopia</t>
  </si>
  <si>
    <t>Finland</t>
  </si>
  <si>
    <t>Gabon</t>
  </si>
  <si>
    <t>Georgia</t>
  </si>
  <si>
    <t>Ghana</t>
  </si>
  <si>
    <t>Gibraltar</t>
  </si>
  <si>
    <t>Greece</t>
  </si>
  <si>
    <t>Guatemala</t>
  </si>
  <si>
    <t>Haiti</t>
  </si>
  <si>
    <t>Honduras</t>
  </si>
  <si>
    <t>Hong Kong (China)</t>
  </si>
  <si>
    <t>Hungary</t>
  </si>
  <si>
    <t>Iceland</t>
  </si>
  <si>
    <t>India</t>
  </si>
  <si>
    <t>Indonesia</t>
  </si>
  <si>
    <t>Islamic Republic of Iran</t>
  </si>
  <si>
    <t>Iraq</t>
  </si>
  <si>
    <t>Ireland</t>
  </si>
  <si>
    <t>Israel</t>
  </si>
  <si>
    <t>Italy</t>
  </si>
  <si>
    <t>Jamaica</t>
  </si>
  <si>
    <t>Japan</t>
  </si>
  <si>
    <t>Jordan</t>
  </si>
  <si>
    <t>Kazakhstan</t>
  </si>
  <si>
    <t>Kenya</t>
  </si>
  <si>
    <t>Democratic People's Republic of Korea</t>
  </si>
  <si>
    <t>Kosovo</t>
  </si>
  <si>
    <t>Kuwait</t>
  </si>
  <si>
    <t>Kyrgyzstan</t>
  </si>
  <si>
    <t>Lao People's Democratic Republic</t>
  </si>
  <si>
    <t>Latvia</t>
  </si>
  <si>
    <t>Lebanon</t>
  </si>
  <si>
    <t>Libya</t>
  </si>
  <si>
    <t>Lithuania</t>
  </si>
  <si>
    <t>Luxembourg</t>
  </si>
  <si>
    <t>Malaysia</t>
  </si>
  <si>
    <t>Malta</t>
  </si>
  <si>
    <t>Mauritius</t>
  </si>
  <si>
    <t>Mexico</t>
  </si>
  <si>
    <t>Republic of Moldova</t>
  </si>
  <si>
    <t>Mongolia</t>
  </si>
  <si>
    <t>Montenegro</t>
  </si>
  <si>
    <t>Morocco</t>
  </si>
  <si>
    <t>Mozambique</t>
  </si>
  <si>
    <t>Myanmar</t>
  </si>
  <si>
    <t>Namibia</t>
  </si>
  <si>
    <t>Nepal</t>
  </si>
  <si>
    <t>New Zealand</t>
  </si>
  <si>
    <t>Nicaragua</t>
  </si>
  <si>
    <t>Niger</t>
  </si>
  <si>
    <t>Nigeria</t>
  </si>
  <si>
    <t>Republic of North Macedonia</t>
  </si>
  <si>
    <t>Norway</t>
  </si>
  <si>
    <t>Oman</t>
  </si>
  <si>
    <t>Pakistan</t>
  </si>
  <si>
    <t>Panama</t>
  </si>
  <si>
    <t>Paraguay</t>
  </si>
  <si>
    <t>Peru</t>
  </si>
  <si>
    <t>Philippines</t>
  </si>
  <si>
    <t>Poland</t>
  </si>
  <si>
    <t>Portugal</t>
  </si>
  <si>
    <t>Qatar</t>
  </si>
  <si>
    <t>Romania</t>
  </si>
  <si>
    <t>Russian Federation</t>
  </si>
  <si>
    <t>Senegal</t>
  </si>
  <si>
    <t>Serbia</t>
  </si>
  <si>
    <t>Slovak Republic</t>
  </si>
  <si>
    <t>Slovenia</t>
  </si>
  <si>
    <t>South Africa</t>
  </si>
  <si>
    <t>Sri Lanka</t>
  </si>
  <si>
    <t>South Sudan</t>
  </si>
  <si>
    <t>Sudan</t>
  </si>
  <si>
    <t>Suriname</t>
  </si>
  <si>
    <t>Sweden</t>
  </si>
  <si>
    <t>Switzerland</t>
  </si>
  <si>
    <t>Syrian Arab Republic</t>
  </si>
  <si>
    <t>Chinese Taipei</t>
  </si>
  <si>
    <t>Tajikistan</t>
  </si>
  <si>
    <t>United Republic of Tanzania</t>
  </si>
  <si>
    <t>Thailand</t>
  </si>
  <si>
    <t>Togo</t>
  </si>
  <si>
    <t>Trinidad and Tobago</t>
  </si>
  <si>
    <t>Tunisia</t>
  </si>
  <si>
    <t>Turkey</t>
  </si>
  <si>
    <t>Turkmenistan</t>
  </si>
  <si>
    <t>United Kingdom</t>
  </si>
  <si>
    <t>Ukraine</t>
  </si>
  <si>
    <t>Uruguay</t>
  </si>
  <si>
    <t>Uzbekistan</t>
  </si>
  <si>
    <t>Bolivarian Republic of Venezuela</t>
  </si>
  <si>
    <t>Viet Nam</t>
  </si>
  <si>
    <t>Yemen</t>
  </si>
  <si>
    <t>Zambia</t>
  </si>
  <si>
    <t>Zimbabwe</t>
  </si>
  <si>
    <t>Other Africa</t>
  </si>
  <si>
    <t>Other non-OECD Americas</t>
  </si>
  <si>
    <t>Other non-OECD Asia</t>
  </si>
  <si>
    <t>Memo: Greenland</t>
  </si>
  <si>
    <t>Memo: Madagascar</t>
  </si>
  <si>
    <t>Memo: Mali</t>
  </si>
  <si>
    <t>Memo: Palestinian Authority</t>
  </si>
  <si>
    <t>Memo: Uganda</t>
  </si>
  <si>
    <t>Memo: Americas (UN)</t>
  </si>
  <si>
    <t>Memo: Asia (UN)</t>
  </si>
  <si>
    <t>Memo: Europe (UN)</t>
  </si>
  <si>
    <t>Memo: Oceania (UN)</t>
  </si>
  <si>
    <t>Non-OECD Total</t>
  </si>
  <si>
    <t>Memo: IEA Total</t>
  </si>
  <si>
    <t>Memo: IEA and Accession/Association countries</t>
  </si>
  <si>
    <t>Memo: European Union - 28 (with UK)</t>
  </si>
  <si>
    <t>Memo: European Union - 27</t>
  </si>
  <si>
    <t>Memo: FSU 15</t>
  </si>
  <si>
    <t>Memo: Former Yugoslavia</t>
  </si>
  <si>
    <t>Annex I Countries (UNFCCC)</t>
  </si>
  <si>
    <t>Annex II Countries (UNFCCC)</t>
  </si>
  <si>
    <t>Annex II North America (UNFCCC)</t>
  </si>
  <si>
    <t>Annex II Europe (UNFCCC)</t>
  </si>
  <si>
    <t>Annex II Asia Oceania (UNFCCC)</t>
  </si>
  <si>
    <t>Annex I EIT (UNFCCC)</t>
  </si>
  <si>
    <t>Non-annex I Countries (UNFCCC)</t>
  </si>
  <si>
    <t>Annex B Countries (Kyoto Protocol)</t>
  </si>
  <si>
    <t>Memo: OPEC</t>
  </si>
  <si>
    <t>Memo: ASEAN</t>
  </si>
  <si>
    <t>Memo: G7</t>
  </si>
  <si>
    <t>Memo: G8</t>
  </si>
  <si>
    <t>Memo: G20</t>
  </si>
  <si>
    <t>Water supply</t>
  </si>
  <si>
    <t>Up-downstream transportation</t>
  </si>
  <si>
    <t>Water source</t>
  </si>
  <si>
    <t>DEFRA category</t>
  </si>
  <si>
    <t>FE 2021</t>
  </si>
  <si>
    <t>DEFRA Carbon Factors - Water supply</t>
  </si>
  <si>
    <t>Road</t>
  </si>
  <si>
    <t>kgCO2e/tonne*km</t>
  </si>
  <si>
    <t>DEFRA Carbon Factors - Water treatment</t>
  </si>
  <si>
    <t>Business travel (km traveled)</t>
  </si>
  <si>
    <t>Sea</t>
  </si>
  <si>
    <t>kg CO2e/km</t>
  </si>
  <si>
    <t>Defra Carbon Factors - Business travel - land - Cars (by size) - Average car - Unknown fuel - km</t>
  </si>
  <si>
    <t>Defra Carbon Factors - Business travel - air - Flights - Short Haul - Average passenger - Without RF</t>
  </si>
  <si>
    <t>Defra Carbon Factors - Business travel - land - Rail - National rail</t>
  </si>
  <si>
    <t>Defra Carbon Factors - Business travel - land - Motorbike - Medium - km</t>
  </si>
  <si>
    <t>Defra Carbon Factors - Business travel - land - Bus - Average local bus</t>
  </si>
  <si>
    <t>Columna2</t>
  </si>
  <si>
    <t>Columna3</t>
  </si>
  <si>
    <t>Columna4</t>
  </si>
  <si>
    <t>Aggregates</t>
  </si>
  <si>
    <t>kgCO2e/t</t>
  </si>
  <si>
    <t>DEFRA Carbon Factors - Material use - Primary material production</t>
  </si>
  <si>
    <t>Employee commuting (km traveled)</t>
  </si>
  <si>
    <t>Asbestos</t>
  </si>
  <si>
    <t>Asphalt</t>
  </si>
  <si>
    <t>Bricks</t>
  </si>
  <si>
    <t>Concrete</t>
  </si>
  <si>
    <t>Plug-in hybrid car</t>
  </si>
  <si>
    <t>Electric car</t>
  </si>
  <si>
    <t>Metals</t>
  </si>
  <si>
    <t>CNG car</t>
  </si>
  <si>
    <t>DEFRA Carbon Factors - Material use - Closed-loop source</t>
  </si>
  <si>
    <t>Unknown car</t>
  </si>
  <si>
    <t>Plasterboard</t>
  </si>
  <si>
    <t>Tyres</t>
  </si>
  <si>
    <t>Books</t>
  </si>
  <si>
    <t/>
  </si>
  <si>
    <t>Glass</t>
  </si>
  <si>
    <t>kgCO2e/room per night</t>
  </si>
  <si>
    <t>Clothing</t>
  </si>
  <si>
    <t>Food and drink</t>
  </si>
  <si>
    <t>Compost derived from garden waste</t>
  </si>
  <si>
    <t>Compost derived from food and garden waste</t>
  </si>
  <si>
    <t>Electrical items - fridges and freezers</t>
  </si>
  <si>
    <t>Electrical items - large</t>
  </si>
  <si>
    <t>Electrical items - IT</t>
  </si>
  <si>
    <t>Electrical items - small</t>
  </si>
  <si>
    <t>China</t>
  </si>
  <si>
    <t>Batteries - Li ion</t>
  </si>
  <si>
    <t>Batteries - NiMh</t>
  </si>
  <si>
    <t>Metal: aluminium cans and foil (excl. forming)</t>
  </si>
  <si>
    <t>Metal: mixed cans</t>
  </si>
  <si>
    <t>Fiji</t>
  </si>
  <si>
    <t>Metal: steel cans</t>
  </si>
  <si>
    <t>Plastics: average plastic film</t>
  </si>
  <si>
    <t>Hong Kong, China</t>
  </si>
  <si>
    <t>Plastics: HDPE (incl. forming)</t>
  </si>
  <si>
    <t>Plastics: LDPE and LLDPE (incl. forming)</t>
  </si>
  <si>
    <t>Plastics: PET (incl. forming)</t>
  </si>
  <si>
    <t>Plastics: PP (incl. forming)</t>
  </si>
  <si>
    <t>Plastics: PS (incl. forming)</t>
  </si>
  <si>
    <t>Plastics: PVC (incl. forming)</t>
  </si>
  <si>
    <t>Paper and board: board</t>
  </si>
  <si>
    <t>Macau, China</t>
  </si>
  <si>
    <t>Paper and board: paper</t>
  </si>
  <si>
    <t>Maldives</t>
  </si>
  <si>
    <t>Taiwan, China</t>
  </si>
  <si>
    <t>Vietnam</t>
  </si>
  <si>
    <t>LER - DEFRA category equivalence</t>
  </si>
  <si>
    <t>DEFRA 2021 - Waste Disposal</t>
  </si>
  <si>
    <t>LER</t>
  </si>
  <si>
    <t>DEFRA Waste type</t>
  </si>
  <si>
    <t>Re-use</t>
  </si>
  <si>
    <t>Open-loop</t>
  </si>
  <si>
    <t>Closed-loop</t>
  </si>
  <si>
    <t>Combustion</t>
  </si>
  <si>
    <t>Composting</t>
  </si>
  <si>
    <t>Landfill</t>
  </si>
  <si>
    <t>Anaerobic digestion</t>
  </si>
  <si>
    <t>Activity</t>
  </si>
  <si>
    <t>Waste type</t>
  </si>
  <si>
    <r>
      <t>kg CO</t>
    </r>
    <r>
      <rPr>
        <vertAlign val="subscript"/>
        <sz val="10"/>
        <color indexed="56"/>
        <rFont val="Calibri Light"/>
        <family val="2"/>
        <scheme val="major"/>
      </rPr>
      <t>2</t>
    </r>
    <r>
      <rPr>
        <sz val="10"/>
        <color indexed="56"/>
        <rFont val="Calibri Light"/>
        <family val="2"/>
        <scheme val="major"/>
      </rPr>
      <t>e</t>
    </r>
  </si>
  <si>
    <t>Construction</t>
  </si>
  <si>
    <t>tonnes</t>
  </si>
  <si>
    <t>Refuse</t>
  </si>
  <si>
    <t>Household residual waste</t>
  </si>
  <si>
    <t>060101</t>
  </si>
  <si>
    <t>Organic: food and drink waste</t>
  </si>
  <si>
    <t>060201</t>
  </si>
  <si>
    <t>060204</t>
  </si>
  <si>
    <t>Organic: mixed food and garden waste</t>
  </si>
  <si>
    <t>060205</t>
  </si>
  <si>
    <t>080111</t>
  </si>
  <si>
    <t>080317</t>
  </si>
  <si>
    <t>130701</t>
  </si>
  <si>
    <t>Electrical items</t>
  </si>
  <si>
    <t>WEEE - fridges and freezers</t>
  </si>
  <si>
    <t>WEEE - large</t>
  </si>
  <si>
    <t>WEEE - small</t>
  </si>
  <si>
    <t>Metal</t>
  </si>
  <si>
    <t>Plastic</t>
  </si>
  <si>
    <t>020101</t>
  </si>
  <si>
    <t>020103</t>
  </si>
  <si>
    <t>030301</t>
  </si>
  <si>
    <t>030311</t>
  </si>
  <si>
    <t>080318</t>
  </si>
  <si>
    <t xml:space="preserve">200199 </t>
  </si>
  <si>
    <t>Paper</t>
  </si>
  <si>
    <t>060206</t>
  </si>
  <si>
    <t>Clasification for emissions calculation</t>
  </si>
  <si>
    <t>Cod.</t>
  </si>
  <si>
    <t>R</t>
  </si>
  <si>
    <t>Type cod.</t>
  </si>
  <si>
    <t>R/D</t>
  </si>
  <si>
    <t>Treatment cod.</t>
  </si>
  <si>
    <t>EF cod.</t>
  </si>
  <si>
    <t>EF (kgCO2e/t)</t>
  </si>
  <si>
    <t>D</t>
  </si>
  <si>
    <t>DEFRA - Waste disposal - Paper - Paper and board: mixed - Closed-loop</t>
  </si>
  <si>
    <t>DEFRA - Waste disposal - Paper - Paper and board: mixed - Landfill</t>
  </si>
  <si>
    <t>DEFRA - Waste disposal - Metal - Mixed cans - Closed-loop</t>
  </si>
  <si>
    <t>DEFRA - Waste disposal - Metal - Mixed cans - Landfill</t>
  </si>
  <si>
    <t>DEFRA - Waste disposal - Metal - Metal: scrap metal - Closed-loop</t>
  </si>
  <si>
    <t>DEFRA - Waste disposal - Metal - Metal: scrap metal - Landfill</t>
  </si>
  <si>
    <t>DEFRA - Waste disposal - Plastic - Plastics: average plastics - Closed-loop</t>
  </si>
  <si>
    <t>DEFRA - Waste disposal - Plastic - Plastics: average plastics - Landfill</t>
  </si>
  <si>
    <t>DEFRA - Waste disposal - Plastic - Plastics: average plastic rigid - Closed-loop</t>
  </si>
  <si>
    <t>DEFRA - Waste disposal - Plastic - Plastics: average plastic rigid - Landfill</t>
  </si>
  <si>
    <t>DEFRA - Waste disposal - Construction - Average construction - Closed-loop</t>
  </si>
  <si>
    <t>DEFRA - Waste disposal - Construction - Wood - Closed-loop</t>
  </si>
  <si>
    <t>DEFRA - Waste disposal - Construction - Wood - Landfill</t>
  </si>
  <si>
    <t>DEFRA - Waste disposal - Construction - Insulation - Closed-loop</t>
  </si>
  <si>
    <t>DEFRA - Waste disposal - Construction - Insulation - Landfill</t>
  </si>
  <si>
    <t>DEFRA - Waste disposal - Construction - Mineral oil - Closed-loop</t>
  </si>
  <si>
    <t>DEFRA - Waste disposal - Construction - Mineral oil - Landfill</t>
  </si>
  <si>
    <t>DEFRA - Waste disposal - Construction - Soils - Closed-loop</t>
  </si>
  <si>
    <t>DEFRA - Waste disposal - Construction - Soils - Landfill</t>
  </si>
  <si>
    <t>DEFRA - Waste disposal - Construction - Asbestos - Landfill</t>
  </si>
  <si>
    <t>DEFRA - Waste disposal - Electrical items - WEEE - mixed - Closed-loop</t>
  </si>
  <si>
    <t>DEFRA - Waste disposal - Electrical items - WEEE - mixed - Landfill</t>
  </si>
  <si>
    <t>DEFRA - Waste disposal - Electrical items - Batteries - Closed-loop</t>
  </si>
  <si>
    <t>DEFRA - Waste disposal - Electrical items - Batteries - Landfill</t>
  </si>
  <si>
    <t>DEFRA - Waste disposal - Refuse - Municipal waste - Closed-loop</t>
  </si>
  <si>
    <t>DEFRA - Waste disposal - Refuse - Municipal waste - Landfill</t>
  </si>
  <si>
    <t>DEFRA - Waste disposal - Refuse - Commercial and industrial waste - Closed-loop</t>
  </si>
  <si>
    <t>DEFRA - Waste disposal - Refuse - Commercial and industrial waste - Landfill</t>
  </si>
  <si>
    <t>DEFRA - Waste disposal - Refuse - Organic: garden waste - Closed-loop</t>
  </si>
  <si>
    <t>DEFRA - Waste disposal - Refuse - Organic: garden waste - Landfill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</si>
</sst>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
    <numFmt numFmtId="44" formatCode="_-* #,##0.00\ &quot;€&quot;_-;\-* #,##0.00\ &quot;€&quot;_-;_-* &quot;-&quot;??\ &quot;€&quot;_-;_-@_-"/>
    <numFmt numFmtId="43" formatCode="_-* #,##0.00_-;\-* #,##0.00_-;_-* &quot;-&quot;??_-;_-@_-"/>
    <numFmt numFmtId="164" formatCode="_-* #,##0_-;\-* #,##0_-;_-* &quot;-&quot;??_-;_-@_-"/>
    <numFmt numFmtId="165" formatCode="0.000000"/>
    <numFmt numFmtId="166" formatCode="_-* #,##0.00\ _€_-;\-* #,##0.00\ _€_-;_-* &quot;-&quot;??\ _€_-;_-@_-"/>
    <numFmt numFmtId="167" formatCode="#,##0.000"/>
    <numFmt numFmtId="168" formatCode="#,##0.0000"/>
    <numFmt numFmtId="169" formatCode="_-* #,##0.00&quot; €&quot;_-;\-* #,##0.00&quot; €&quot;_-;_-* \-??&quot; €&quot;_-;_-@_-"/>
    <numFmt numFmtId="170" formatCode="[$-C0A]General"/>
    <numFmt numFmtId="171" formatCode="&quot; &quot;#,##0.00&quot; &quot;;&quot;-&quot;#,##0.00&quot; &quot;;&quot; -&quot;#&quot; &quot;;&quot; &quot;@&quot; &quot;"/>
    <numFmt numFmtId="172" formatCode="#,##0.00&quot; &quot;[$€-C0A];[Red]&quot;-&quot;#,##0.00&quot; &quot;[$€-C0A]"/>
    <numFmt numFmtId="173" formatCode="#,##0.000000_ ;\-#,##0.000000\ "/>
    <numFmt numFmtId="174" formatCode="0.0000"/>
    <numFmt numFmtId="175" formatCode="#,##0.0_ ;\-#,##0.0\ "/>
    <numFmt numFmtId="176" formatCode="#,##0.000_ ;\-#,##0.000\ "/>
    <numFmt numFmtId="177" formatCode="0.0"/>
    <numFmt numFmtId="178" formatCode="#,##0;[Red]\(#,##0\);&quot;---&quot;"/>
    <numFmt numFmtId="179" formatCode="_-* #,##0.00\ &quot;Pts&quot;_-;\-* #,##0.00\ &quot;Pts&quot;_-;_-* &quot;-&quot;??\ &quot;Pts&quot;_-;_-@_-"/>
    <numFmt numFmtId="180" formatCode="#,##0.00000_ ;\-#,##0.00000\ "/>
  </numFmts>
  <fonts count="114" x14ac:knownFonts="1">
    <font>
      <sz val="11"/>
      <color theme="1"/>
      <name val="Calibri"/>
      <family val="2"/>
      <scheme val="minor"/>
    </font>
    <font>
      <sz val="11"/>
      <color theme="1"/>
      <name val="Calibri Light"/>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b/>
      <sz val="10"/>
      <color theme="0"/>
      <name val="Calibri"/>
      <family val="2"/>
      <scheme val="minor"/>
    </font>
    <font>
      <b/>
      <sz val="10"/>
      <color indexed="9"/>
      <name val="Calibri"/>
      <family val="2"/>
      <scheme val="minor"/>
    </font>
    <font>
      <sz val="11"/>
      <name val="Calibri"/>
      <family val="2"/>
      <scheme val="minor"/>
    </font>
    <font>
      <sz val="10"/>
      <color theme="1"/>
      <name val="Calibri Light"/>
      <family val="2"/>
      <scheme val="major"/>
    </font>
    <font>
      <b/>
      <sz val="10"/>
      <color theme="0"/>
      <name val="Calibri Light"/>
      <family val="2"/>
      <scheme val="major"/>
    </font>
    <font>
      <b/>
      <sz val="10"/>
      <color rgb="FFFFFFFF"/>
      <name val="Calibri Light"/>
      <family val="2"/>
      <scheme val="major"/>
    </font>
    <font>
      <b/>
      <vertAlign val="subscript"/>
      <sz val="10"/>
      <color indexed="9"/>
      <name val="Calibri Light"/>
      <family val="2"/>
      <scheme val="major"/>
    </font>
    <font>
      <b/>
      <sz val="10"/>
      <color indexed="9"/>
      <name val="Calibri Light"/>
      <family val="2"/>
      <scheme val="major"/>
    </font>
    <font>
      <sz val="10"/>
      <name val="Calibri Light"/>
      <family val="2"/>
      <scheme val="major"/>
    </font>
    <font>
      <sz val="8"/>
      <name val="Calibri"/>
      <family val="2"/>
      <scheme val="minor"/>
    </font>
    <font>
      <sz val="10"/>
      <name val="Arial"/>
      <family val="2"/>
    </font>
    <font>
      <sz val="10"/>
      <color theme="1"/>
      <name val="Arial"/>
      <family val="2"/>
    </font>
    <font>
      <vertAlign val="subscript"/>
      <sz val="11"/>
      <name val="Calibri"/>
      <family val="2"/>
      <scheme val="minor"/>
    </font>
    <font>
      <b/>
      <vertAlign val="subscript"/>
      <sz val="11"/>
      <name val="Calibri"/>
      <family val="2"/>
      <scheme val="minor"/>
    </font>
    <font>
      <sz val="10"/>
      <color rgb="FF000000"/>
      <name val="Arial"/>
      <family val="2"/>
    </font>
    <font>
      <sz val="10"/>
      <color theme="9" tint="-0.499984740745262"/>
      <name val="Arial"/>
      <family val="2"/>
    </font>
    <font>
      <i/>
      <sz val="10"/>
      <color rgb="FFFF0000"/>
      <name val="Arial"/>
      <family val="2"/>
    </font>
    <font>
      <u/>
      <sz val="11"/>
      <color indexed="12"/>
      <name val="Calibri"/>
      <family val="2"/>
    </font>
    <font>
      <u/>
      <sz val="10"/>
      <color theme="11"/>
      <name val="Arial"/>
      <family val="2"/>
    </font>
    <font>
      <b/>
      <sz val="10"/>
      <color theme="0"/>
      <name val="Arial"/>
      <family val="2"/>
    </font>
    <font>
      <sz val="11"/>
      <color theme="1"/>
      <name val="Arial"/>
      <family val="2"/>
    </font>
    <font>
      <sz val="11"/>
      <color theme="1"/>
      <name val="Calibri"/>
      <family val="2"/>
      <charset val="238"/>
      <scheme val="minor"/>
    </font>
    <font>
      <sz val="11"/>
      <color indexed="8"/>
      <name val="Calibri"/>
      <family val="2"/>
      <scheme val="minor"/>
    </font>
    <font>
      <sz val="11"/>
      <color theme="1"/>
      <name val="Calibri"/>
      <family val="2"/>
      <charset val="161"/>
      <scheme val="minor"/>
    </font>
    <font>
      <sz val="10"/>
      <color indexed="9"/>
      <name val="Arial"/>
      <family val="2"/>
    </font>
    <font>
      <sz val="10"/>
      <color indexed="44"/>
      <name val="Arial"/>
      <family val="2"/>
    </font>
    <font>
      <sz val="10"/>
      <color indexed="55"/>
      <name val="Arial"/>
      <family val="2"/>
    </font>
    <font>
      <sz val="10"/>
      <color indexed="27"/>
      <name val="Arial"/>
      <family val="2"/>
    </font>
    <font>
      <sz val="10"/>
      <color indexed="31"/>
      <name val="Arial"/>
      <family val="2"/>
    </font>
    <font>
      <sz val="10"/>
      <color indexed="11"/>
      <name val="Arial"/>
      <family val="2"/>
    </font>
    <font>
      <sz val="10"/>
      <color indexed="60"/>
      <name val="Arial"/>
      <family val="2"/>
    </font>
    <font>
      <sz val="10"/>
      <color indexed="10"/>
      <name val="Arial"/>
      <family val="2"/>
    </font>
    <font>
      <sz val="10"/>
      <color indexed="63"/>
      <name val="Arial"/>
      <family val="2"/>
    </font>
    <font>
      <sz val="10"/>
      <color indexed="23"/>
      <name val="Arial"/>
      <family val="2"/>
    </font>
    <font>
      <sz val="10"/>
      <color indexed="22"/>
      <name val="Arial"/>
      <family val="2"/>
    </font>
    <font>
      <sz val="10"/>
      <color indexed="43"/>
      <name val="Arial"/>
      <family val="2"/>
    </font>
    <font>
      <sz val="10"/>
      <color indexed="24"/>
      <name val="Arial"/>
      <family val="2"/>
    </font>
    <font>
      <sz val="10"/>
      <color indexed="54"/>
      <name val="Arial"/>
      <family val="2"/>
    </font>
    <font>
      <sz val="11"/>
      <color rgb="FF000000"/>
      <name val="Calibri"/>
      <family val="2"/>
    </font>
    <font>
      <sz val="11"/>
      <color rgb="FFFFFFFF"/>
      <name val="Calibri"/>
      <family val="2"/>
    </font>
    <font>
      <sz val="11"/>
      <color rgb="FF9C0006"/>
      <name val="Calibri"/>
      <family val="2"/>
    </font>
    <font>
      <b/>
      <sz val="11"/>
      <color rgb="FFFA7D00"/>
      <name val="Calibri"/>
      <family val="2"/>
    </font>
    <font>
      <b/>
      <sz val="11"/>
      <color rgb="FFFFFFFF"/>
      <name val="Calibri"/>
      <family val="2"/>
    </font>
    <font>
      <i/>
      <sz val="11"/>
      <color rgb="FF7F7F7F"/>
      <name val="Calibri"/>
      <family val="2"/>
    </font>
    <font>
      <sz val="11"/>
      <color rgb="FF006100"/>
      <name val="Calibri"/>
      <family val="2"/>
    </font>
    <font>
      <b/>
      <sz val="15"/>
      <color rgb="FF44546A"/>
      <name val="Calibri"/>
      <family val="2"/>
    </font>
    <font>
      <b/>
      <sz val="13"/>
      <color rgb="FF44546A"/>
      <name val="Calibri"/>
      <family val="2"/>
    </font>
    <font>
      <b/>
      <sz val="11"/>
      <color rgb="FF44546A"/>
      <name val="Calibri"/>
      <family val="2"/>
    </font>
    <font>
      <sz val="11"/>
      <color rgb="FF3F3F76"/>
      <name val="Calibri"/>
      <family val="2"/>
    </font>
    <font>
      <sz val="11"/>
      <color rgb="FFFA7D00"/>
      <name val="Calibri"/>
      <family val="2"/>
    </font>
    <font>
      <sz val="11"/>
      <color rgb="FF9C5700"/>
      <name val="Calibri"/>
      <family val="2"/>
    </font>
    <font>
      <b/>
      <sz val="11"/>
      <color rgb="FF3F3F3F"/>
      <name val="Calibri"/>
      <family val="2"/>
    </font>
    <font>
      <sz val="18"/>
      <color rgb="FF44546A"/>
      <name val="Calibri Light"/>
      <family val="2"/>
    </font>
    <font>
      <b/>
      <sz val="11"/>
      <color rgb="FF000000"/>
      <name val="Calibri"/>
      <family val="2"/>
    </font>
    <font>
      <sz val="11"/>
      <color rgb="FFFF0000"/>
      <name val="Calibri"/>
      <family val="2"/>
    </font>
    <font>
      <b/>
      <i/>
      <sz val="16"/>
      <color theme="1"/>
      <name val="Arial"/>
      <family val="2"/>
    </font>
    <font>
      <b/>
      <i/>
      <u/>
      <sz val="11"/>
      <color theme="1"/>
      <name val="Arial"/>
      <family val="2"/>
    </font>
    <font>
      <sz val="10"/>
      <name val="Georgia"/>
      <family val="1"/>
    </font>
    <font>
      <sz val="11"/>
      <color rgb="FF9C6500"/>
      <name val="Calibri"/>
      <family val="2"/>
      <scheme val="minor"/>
    </font>
    <font>
      <u/>
      <sz val="10"/>
      <color theme="10"/>
      <name val="Georgia"/>
      <family val="1"/>
    </font>
    <font>
      <sz val="11"/>
      <color theme="1"/>
      <name val="Calibri"/>
      <family val="2"/>
    </font>
    <font>
      <sz val="10"/>
      <color theme="0"/>
      <name val="Calibri Light"/>
      <family val="2"/>
      <scheme val="major"/>
    </font>
    <font>
      <sz val="10"/>
      <color rgb="FF002060"/>
      <name val="Calibri Light"/>
      <family val="2"/>
      <scheme val="major"/>
    </font>
    <font>
      <vertAlign val="subscript"/>
      <sz val="10"/>
      <color indexed="56"/>
      <name val="Calibri Light"/>
      <family val="2"/>
      <scheme val="major"/>
    </font>
    <font>
      <sz val="10"/>
      <color indexed="56"/>
      <name val="Calibri Light"/>
      <family val="2"/>
      <scheme val="major"/>
    </font>
    <font>
      <sz val="11"/>
      <color indexed="8"/>
      <name val="Calibri"/>
      <family val="2"/>
    </font>
    <font>
      <sz val="11"/>
      <color indexed="9"/>
      <name val="Calibri"/>
      <family val="2"/>
    </font>
    <font>
      <sz val="11"/>
      <color indexed="10"/>
      <name val="Calibri"/>
      <family val="2"/>
    </font>
    <font>
      <b/>
      <sz val="11"/>
      <color indexed="52"/>
      <name val="Calibri"/>
      <family val="2"/>
    </font>
    <font>
      <sz val="11"/>
      <color indexed="52"/>
      <name val="Calibri"/>
      <family val="2"/>
    </font>
    <font>
      <sz val="11"/>
      <color indexed="62"/>
      <name val="Calibri"/>
      <family val="2"/>
    </font>
    <font>
      <sz val="11"/>
      <color indexed="20"/>
      <name val="Calibri"/>
      <family val="2"/>
    </font>
    <font>
      <sz val="11"/>
      <name val="Arial"/>
      <family val="2"/>
    </font>
    <font>
      <sz val="11"/>
      <color indexed="60"/>
      <name val="Calibri"/>
      <family val="2"/>
    </font>
    <font>
      <sz val="11"/>
      <color indexed="17"/>
      <name val="Calibri"/>
      <family val="2"/>
    </font>
    <font>
      <b/>
      <sz val="11"/>
      <color indexed="63"/>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9"/>
      <name val="Calibri"/>
      <family val="2"/>
    </font>
    <font>
      <b/>
      <sz val="11"/>
      <color theme="0"/>
      <name val="Calibri Light"/>
      <family val="2"/>
    </font>
    <font>
      <b/>
      <sz val="11"/>
      <color theme="1"/>
      <name val="Calibri Light"/>
      <family val="2"/>
    </font>
    <font>
      <u/>
      <sz val="11"/>
      <color indexed="12"/>
      <name val="Calibri Light"/>
      <family val="2"/>
    </font>
    <font>
      <sz val="10"/>
      <color theme="1"/>
      <name val="Calibri Light"/>
      <family val="2"/>
    </font>
    <font>
      <sz val="28"/>
      <color theme="1"/>
      <name val="Calibri Light"/>
      <family val="2"/>
      <scheme val="major"/>
    </font>
    <font>
      <b/>
      <sz val="28"/>
      <color theme="0"/>
      <name val="Calibri Light"/>
      <family val="2"/>
      <scheme val="major"/>
    </font>
    <font>
      <sz val="28"/>
      <color theme="1"/>
      <name val="Calibri"/>
      <family val="2"/>
      <scheme val="minor"/>
    </font>
    <font>
      <sz val="28"/>
      <color theme="1"/>
      <name val="Calibri Light"/>
      <family val="2"/>
    </font>
    <font>
      <b/>
      <sz val="28"/>
      <color theme="0"/>
      <name val="Calibri"/>
      <family val="2"/>
      <scheme val="minor"/>
    </font>
    <font>
      <b/>
      <sz val="28"/>
      <color theme="1"/>
      <name val="Calibri Light"/>
      <family val="2"/>
      <scheme val="major"/>
    </font>
    <font>
      <b/>
      <sz val="28"/>
      <color theme="1"/>
      <name val="Calibri Light"/>
      <family val="2"/>
    </font>
    <font>
      <b/>
      <sz val="28"/>
      <color theme="0"/>
      <name val="Calibri Light"/>
      <family val="2"/>
    </font>
  </fonts>
  <fills count="111">
    <fill>
      <patternFill patternType="none"/>
    </fill>
    <fill>
      <patternFill patternType="gray125"/>
    </fill>
    <fill>
      <patternFill patternType="solid">
        <fgColor theme="9"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theme="0" tint="-0.34998626667073579"/>
        <bgColor indexed="64"/>
      </patternFill>
    </fill>
    <fill>
      <patternFill patternType="solid">
        <fgColor theme="0"/>
        <bgColor indexed="64"/>
      </patternFill>
    </fill>
    <fill>
      <patternFill patternType="solid">
        <fgColor rgb="FFD9D9D9"/>
        <bgColor indexed="64"/>
      </patternFill>
    </fill>
    <fill>
      <patternFill patternType="solid">
        <fgColor rgb="FFFF0000"/>
        <bgColor indexed="64"/>
      </patternFill>
    </fill>
    <fill>
      <patternFill patternType="lightGray">
        <bgColor theme="9" tint="0.79998168889431442"/>
      </patternFill>
    </fill>
    <fill>
      <patternFill patternType="solid">
        <fgColor theme="7" tint="0.39997558519241921"/>
        <bgColor rgb="FF000000"/>
      </patternFill>
    </fill>
    <fill>
      <patternFill patternType="solid">
        <fgColor rgb="FFFFFF99"/>
        <bgColor rgb="FF000000"/>
      </patternFill>
    </fill>
    <fill>
      <patternFill patternType="solid">
        <fgColor theme="4" tint="0.79998168889431442"/>
        <bgColor rgb="FF000000"/>
      </patternFill>
    </fill>
    <fill>
      <patternFill patternType="solid">
        <fgColor rgb="FFCC99FF"/>
        <bgColor indexed="64"/>
      </patternFill>
    </fill>
    <fill>
      <patternFill patternType="solid">
        <fgColor rgb="FFFFFF99"/>
        <bgColor indexed="64"/>
      </patternFill>
    </fill>
    <fill>
      <patternFill patternType="solid">
        <fgColor rgb="FF92D050"/>
        <bgColor indexed="64"/>
      </patternFill>
    </fill>
    <fill>
      <patternFill patternType="solid">
        <fgColor rgb="FF002060"/>
        <bgColor indexed="64"/>
      </patternFill>
    </fill>
    <fill>
      <patternFill patternType="solid">
        <fgColor indexed="60"/>
        <bgColor indexed="10"/>
      </patternFill>
    </fill>
    <fill>
      <patternFill patternType="solid">
        <fgColor rgb="FFDEEBF7"/>
        <bgColor rgb="FFDEEBF7"/>
      </patternFill>
    </fill>
    <fill>
      <patternFill patternType="solid">
        <fgColor rgb="FFFBE5D6"/>
        <bgColor rgb="FFFBE5D6"/>
      </patternFill>
    </fill>
    <fill>
      <patternFill patternType="solid">
        <fgColor rgb="FFEDEDED"/>
        <bgColor rgb="FFEDEDED"/>
      </patternFill>
    </fill>
    <fill>
      <patternFill patternType="solid">
        <fgColor rgb="FFFFF2CC"/>
        <bgColor rgb="FFFFF2CC"/>
      </patternFill>
    </fill>
    <fill>
      <patternFill patternType="solid">
        <fgColor rgb="FFDAE3F3"/>
        <bgColor rgb="FFDAE3F3"/>
      </patternFill>
    </fill>
    <fill>
      <patternFill patternType="solid">
        <fgColor rgb="FFE2F0D9"/>
        <bgColor rgb="FFE2F0D9"/>
      </patternFill>
    </fill>
    <fill>
      <patternFill patternType="solid">
        <fgColor rgb="FFBDD7EE"/>
        <bgColor rgb="FFBDD7EE"/>
      </patternFill>
    </fill>
    <fill>
      <patternFill patternType="solid">
        <fgColor rgb="FFF8CBAD"/>
        <bgColor rgb="FFF8CBAD"/>
      </patternFill>
    </fill>
    <fill>
      <patternFill patternType="solid">
        <fgColor rgb="FFDBDBDB"/>
        <bgColor rgb="FFDBDBDB"/>
      </patternFill>
    </fill>
    <fill>
      <patternFill patternType="solid">
        <fgColor rgb="FFFFE699"/>
        <bgColor rgb="FFFFE699"/>
      </patternFill>
    </fill>
    <fill>
      <patternFill patternType="solid">
        <fgColor rgb="FFB4C7E7"/>
        <bgColor rgb="FFB4C7E7"/>
      </patternFill>
    </fill>
    <fill>
      <patternFill patternType="solid">
        <fgColor rgb="FFC5E0B4"/>
        <bgColor rgb="FFC5E0B4"/>
      </patternFill>
    </fill>
    <fill>
      <patternFill patternType="solid">
        <fgColor rgb="FF9DC3E6"/>
        <bgColor rgb="FF9DC3E6"/>
      </patternFill>
    </fill>
    <fill>
      <patternFill patternType="solid">
        <fgColor rgb="FFF4B183"/>
        <bgColor rgb="FFF4B183"/>
      </patternFill>
    </fill>
    <fill>
      <patternFill patternType="solid">
        <fgColor rgb="FFC9C9C9"/>
        <bgColor rgb="FFC9C9C9"/>
      </patternFill>
    </fill>
    <fill>
      <patternFill patternType="solid">
        <fgColor rgb="FFFFD966"/>
        <bgColor rgb="FFFFD966"/>
      </patternFill>
    </fill>
    <fill>
      <patternFill patternType="solid">
        <fgColor rgb="FF8FAADC"/>
        <bgColor rgb="FF8FAADC"/>
      </patternFill>
    </fill>
    <fill>
      <patternFill patternType="solid">
        <fgColor rgb="FFA9D18E"/>
        <bgColor rgb="FFA9D18E"/>
      </patternFill>
    </fill>
    <fill>
      <patternFill patternType="solid">
        <fgColor rgb="FF5B9BD5"/>
        <bgColor rgb="FF5B9BD5"/>
      </patternFill>
    </fill>
    <fill>
      <patternFill patternType="solid">
        <fgColor rgb="FFED7D31"/>
        <bgColor rgb="FFED7D31"/>
      </patternFill>
    </fill>
    <fill>
      <patternFill patternType="solid">
        <fgColor rgb="FFA5A5A5"/>
        <bgColor rgb="FFA5A5A5"/>
      </patternFill>
    </fill>
    <fill>
      <patternFill patternType="solid">
        <fgColor rgb="FFFFC000"/>
        <bgColor rgb="FFFFC000"/>
      </patternFill>
    </fill>
    <fill>
      <patternFill patternType="solid">
        <fgColor rgb="FF4472C4"/>
        <bgColor rgb="FF4472C4"/>
      </patternFill>
    </fill>
    <fill>
      <patternFill patternType="solid">
        <fgColor rgb="FF70AD47"/>
        <bgColor rgb="FF70AD47"/>
      </patternFill>
    </fill>
    <fill>
      <patternFill patternType="solid">
        <fgColor rgb="FFFFC7CE"/>
        <bgColor rgb="FFFFC7CE"/>
      </patternFill>
    </fill>
    <fill>
      <patternFill patternType="solid">
        <fgColor rgb="FFF2F2F2"/>
        <bgColor rgb="FFF2F2F2"/>
      </patternFill>
    </fill>
    <fill>
      <patternFill patternType="solid">
        <fgColor rgb="FFC6EFCE"/>
        <bgColor rgb="FFC6EFCE"/>
      </patternFill>
    </fill>
    <fill>
      <patternFill patternType="solid">
        <fgColor rgb="FFFFCC99"/>
        <bgColor rgb="FFFFCC99"/>
      </patternFill>
    </fill>
    <fill>
      <patternFill patternType="solid">
        <fgColor rgb="FFFFEB9C"/>
        <bgColor rgb="FFFFEB9C"/>
      </patternFill>
    </fill>
    <fill>
      <patternFill patternType="solid">
        <fgColor rgb="FFFFFFCC"/>
        <bgColor rgb="FFFFFFCC"/>
      </patternFill>
    </fill>
    <fill>
      <patternFill patternType="solid">
        <fgColor theme="2" tint="-9.9978637043366805E-2"/>
        <bgColor indexed="64"/>
      </patternFill>
    </fill>
    <fill>
      <patternFill patternType="solid">
        <fgColor rgb="FF1D3B59"/>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theme="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1A6332"/>
        <bgColor indexed="64"/>
      </patternFill>
    </fill>
    <fill>
      <patternFill patternType="solid">
        <fgColor rgb="FF11A944"/>
        <bgColor indexed="64"/>
      </patternFill>
    </fill>
    <fill>
      <patternFill patternType="solid">
        <fgColor rgb="FFF4F4F4"/>
        <bgColor indexed="64"/>
      </patternFill>
    </fill>
    <fill>
      <patternFill patternType="solid">
        <fgColor rgb="FF138C32"/>
        <bgColor indexed="64"/>
      </patternFill>
    </fill>
  </fills>
  <borders count="115">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style="thin">
        <color theme="0"/>
      </right>
      <top/>
      <bottom/>
      <diagonal/>
    </border>
    <border>
      <left style="thin">
        <color theme="0"/>
      </left>
      <right/>
      <top style="thin">
        <color theme="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0"/>
      </bottom>
      <diagonal/>
    </border>
    <border>
      <left/>
      <right/>
      <top style="thin">
        <color theme="0"/>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theme="0"/>
      </right>
      <top style="thin">
        <color theme="0"/>
      </top>
      <bottom style="thin">
        <color theme="0"/>
      </bottom>
      <diagonal/>
    </border>
    <border>
      <left style="thin">
        <color indexed="64"/>
      </left>
      <right style="thin">
        <color indexed="64"/>
      </right>
      <top/>
      <bottom/>
      <diagonal/>
    </border>
    <border>
      <left style="thin">
        <color rgb="FF053D5F"/>
      </left>
      <right style="thin">
        <color rgb="FF053D5F"/>
      </right>
      <top style="thin">
        <color rgb="FF053D5F"/>
      </top>
      <bottom style="thin">
        <color rgb="FF053D5F"/>
      </bottom>
      <diagonal/>
    </border>
    <border>
      <left style="thin">
        <color rgb="FF053D5F"/>
      </left>
      <right style="thin">
        <color indexed="64"/>
      </right>
      <top style="thin">
        <color rgb="FF053D5F"/>
      </top>
      <bottom style="thin">
        <color rgb="FF053D5F"/>
      </bottom>
      <diagonal/>
    </border>
    <border>
      <left style="thin">
        <color rgb="FFBFBFBF"/>
      </left>
      <right style="thin">
        <color rgb="FFBFBFBF"/>
      </right>
      <top style="thin">
        <color rgb="FFBFBFBF"/>
      </top>
      <bottom style="thin">
        <color rgb="FFBFBFBF"/>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053D5F"/>
      </left>
      <right style="thin">
        <color rgb="FF053D5F"/>
      </right>
      <top style="thin">
        <color rgb="FF053D5F"/>
      </top>
      <bottom/>
      <diagonal/>
    </border>
    <border>
      <left style="thin">
        <color rgb="FF053D5F"/>
      </left>
      <right style="thin">
        <color rgb="FF053D5F"/>
      </right>
      <top/>
      <bottom style="thin">
        <color rgb="FF053D5F"/>
      </bottom>
      <diagonal/>
    </border>
    <border>
      <left style="thin">
        <color rgb="FF053D5F"/>
      </left>
      <right style="thin">
        <color rgb="FF053D5F"/>
      </right>
      <top/>
      <bottom/>
      <diagonal/>
    </border>
    <border>
      <left/>
      <right/>
      <top/>
      <bottom style="thin">
        <color rgb="FF5B9BD5"/>
      </bottom>
      <diagonal/>
    </border>
    <border>
      <left/>
      <right/>
      <top/>
      <bottom style="thin">
        <color rgb="FFADCDEA"/>
      </bottom>
      <diagonal/>
    </border>
    <border>
      <left/>
      <right/>
      <top/>
      <bottom style="thin">
        <color rgb="FF9DC3E6"/>
      </bottom>
      <diagonal/>
    </border>
    <border>
      <left/>
      <right/>
      <top style="thin">
        <color rgb="FF5B9BD5"/>
      </top>
      <bottom style="double">
        <color rgb="FF5B9BD5"/>
      </bottom>
      <diagonal/>
    </border>
    <border>
      <left style="thin">
        <color theme="2" tint="-0.499984740745262"/>
      </left>
      <right style="thin">
        <color theme="2" tint="-0.499984740745262"/>
      </right>
      <top style="thin">
        <color theme="2" tint="-0.499984740745262"/>
      </top>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theme="2" tint="-0.499984740745262"/>
      </right>
      <top style="medium">
        <color indexed="64"/>
      </top>
      <bottom style="thin">
        <color theme="2" tint="-0.499984740745262"/>
      </bottom>
      <diagonal/>
    </border>
    <border>
      <left style="thin">
        <color theme="2" tint="-0.499984740745262"/>
      </left>
      <right style="thin">
        <color theme="2" tint="-0.499984740745262"/>
      </right>
      <top style="medium">
        <color indexed="64"/>
      </top>
      <bottom/>
      <diagonal/>
    </border>
    <border>
      <left style="thin">
        <color theme="2" tint="-0.499984740745262"/>
      </left>
      <right/>
      <top style="medium">
        <color indexed="64"/>
      </top>
      <bottom style="thin">
        <color theme="2" tint="-0.499984740745262"/>
      </bottom>
      <diagonal/>
    </border>
    <border>
      <left style="thin">
        <color theme="2" tint="-0.499984740745262"/>
      </left>
      <right style="medium">
        <color indexed="64"/>
      </right>
      <top style="medium">
        <color indexed="64"/>
      </top>
      <bottom style="thin">
        <color theme="2" tint="-0.499984740745262"/>
      </bottom>
      <diagonal/>
    </border>
    <border>
      <left style="thin">
        <color theme="2" tint="-0.499984740745262"/>
      </left>
      <right style="thin">
        <color theme="2" tint="-0.499984740745262"/>
      </right>
      <top/>
      <bottom style="medium">
        <color indexed="64"/>
      </bottom>
      <diagonal/>
    </border>
    <border>
      <left style="thin">
        <color theme="2" tint="-0.499984740745262"/>
      </left>
      <right/>
      <top style="thin">
        <color theme="2" tint="-0.499984740745262"/>
      </top>
      <bottom style="medium">
        <color indexed="64"/>
      </bottom>
      <diagonal/>
    </border>
    <border>
      <left style="thin">
        <color theme="2" tint="-0.499984740745262"/>
      </left>
      <right style="medium">
        <color indexed="64"/>
      </right>
      <top style="thin">
        <color theme="2" tint="-0.499984740745262"/>
      </top>
      <bottom style="medium">
        <color indexed="64"/>
      </bottom>
      <diagonal/>
    </border>
    <border>
      <left style="medium">
        <color indexed="64"/>
      </left>
      <right style="thin">
        <color theme="2" tint="-0.499984740745262"/>
      </right>
      <top/>
      <bottom/>
      <diagonal/>
    </border>
    <border>
      <left style="thin">
        <color theme="2" tint="-0.499984740745262"/>
      </left>
      <right style="thin">
        <color theme="2" tint="-0.499984740745262"/>
      </right>
      <top/>
      <bottom style="thin">
        <color theme="2" tint="-0.499984740745262"/>
      </bottom>
      <diagonal/>
    </border>
    <border>
      <left style="thin">
        <color theme="2" tint="-0.499984740745262"/>
      </left>
      <right/>
      <top style="thin">
        <color theme="2" tint="-0.499984740745262"/>
      </top>
      <bottom style="thin">
        <color theme="2" tint="-0.499984740745262"/>
      </bottom>
      <diagonal/>
    </border>
    <border>
      <left style="thin">
        <color theme="2" tint="-0.499984740745262"/>
      </left>
      <right style="medium">
        <color indexed="64"/>
      </right>
      <top style="thin">
        <color theme="2" tint="-0.499984740745262"/>
      </top>
      <bottom style="thin">
        <color theme="2" tint="-0.499984740745262"/>
      </bottom>
      <diagonal/>
    </border>
    <border>
      <left style="medium">
        <color indexed="64"/>
      </left>
      <right style="thin">
        <color theme="2" tint="-0.499984740745262"/>
      </right>
      <top style="medium">
        <color indexed="64"/>
      </top>
      <bottom/>
      <diagonal/>
    </border>
    <border>
      <left style="thin">
        <color theme="2" tint="-0.499984740745262"/>
      </left>
      <right/>
      <top/>
      <bottom/>
      <diagonal/>
    </border>
    <border>
      <left style="thin">
        <color theme="2" tint="-0.499984740745262"/>
      </left>
      <right style="medium">
        <color indexed="64"/>
      </right>
      <top/>
      <bottom/>
      <diagonal/>
    </border>
    <border>
      <left style="thin">
        <color theme="2" tint="-0.499984740745262"/>
      </left>
      <right style="thin">
        <color theme="2" tint="-0.499984740745262"/>
      </right>
      <top style="medium">
        <color indexed="64"/>
      </top>
      <bottom style="thin">
        <color theme="2" tint="-0.499984740745262"/>
      </bottom>
      <diagonal/>
    </border>
    <border>
      <left style="medium">
        <color indexed="64"/>
      </left>
      <right style="thin">
        <color theme="2" tint="-0.499984740745262"/>
      </right>
      <top style="thin">
        <color theme="2" tint="-0.499984740745262"/>
      </top>
      <bottom style="thin">
        <color theme="2" tint="-0.499984740745262"/>
      </bottom>
      <diagonal/>
    </border>
    <border>
      <left style="medium">
        <color indexed="64"/>
      </left>
      <right style="thin">
        <color theme="2" tint="-0.499984740745262"/>
      </right>
      <top/>
      <bottom style="thin">
        <color theme="2" tint="-0.499984740745262"/>
      </bottom>
      <diagonal/>
    </border>
    <border>
      <left style="thin">
        <color theme="2" tint="-0.499984740745262"/>
      </left>
      <right style="thin">
        <color theme="2" tint="-0.499984740745262"/>
      </right>
      <top/>
      <bottom/>
      <diagonal/>
    </border>
    <border>
      <left style="thin">
        <color theme="2" tint="-0.499984740745262"/>
      </left>
      <right/>
      <top/>
      <bottom style="thin">
        <color theme="2" tint="-0.499984740745262"/>
      </bottom>
      <diagonal/>
    </border>
    <border>
      <left style="thin">
        <color theme="2" tint="-0.499984740745262"/>
      </left>
      <right style="medium">
        <color indexed="64"/>
      </right>
      <top/>
      <bottom style="thin">
        <color theme="2" tint="-0.499984740745262"/>
      </bottom>
      <diagonal/>
    </border>
    <border>
      <left style="thin">
        <color theme="0"/>
      </left>
      <right/>
      <top style="thin">
        <color theme="0"/>
      </top>
      <bottom style="thin">
        <color indexed="64"/>
      </bottom>
      <diagonal/>
    </border>
    <border>
      <left/>
      <right style="thin">
        <color theme="0"/>
      </right>
      <top style="thin">
        <color theme="0"/>
      </top>
      <bottom style="thin">
        <color indexed="64"/>
      </bottom>
      <diagonal/>
    </border>
    <border>
      <left/>
      <right/>
      <top style="thin">
        <color theme="0"/>
      </top>
      <bottom style="thin">
        <color indexed="64"/>
      </bottom>
      <diagonal/>
    </border>
    <border>
      <left style="thin">
        <color indexed="64"/>
      </left>
      <right/>
      <top style="thin">
        <color theme="0"/>
      </top>
      <bottom style="thin">
        <color indexed="64"/>
      </bottom>
      <diagonal/>
    </border>
    <border>
      <left/>
      <right style="thin">
        <color theme="0"/>
      </right>
      <top style="thin">
        <color theme="0"/>
      </top>
      <bottom/>
      <diagonal/>
    </border>
    <border>
      <left style="thin">
        <color indexed="64"/>
      </left>
      <right/>
      <top/>
      <bottom style="thin">
        <color indexed="64"/>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theme="2" tint="-0.24994659260841701"/>
      </left>
      <right style="thin">
        <color theme="2" tint="-0.24994659260841701"/>
      </right>
      <top/>
      <bottom style="thin">
        <color theme="2" tint="-0.24994659260841701"/>
      </bottom>
      <diagonal/>
    </border>
    <border>
      <left style="thin">
        <color theme="2" tint="-0.24994659260841701"/>
      </left>
      <right style="thin">
        <color theme="2" tint="-0.24994659260841701"/>
      </right>
      <top style="thin">
        <color theme="2" tint="-0.24994659260841701"/>
      </top>
      <bottom style="thin">
        <color indexed="64"/>
      </bottom>
      <diagonal/>
    </border>
    <border>
      <left style="thin">
        <color theme="2" tint="-0.24994659260841701"/>
      </left>
      <right style="thin">
        <color theme="2" tint="-0.24994659260841701"/>
      </right>
      <top style="thin">
        <color indexed="64"/>
      </top>
      <bottom style="thin">
        <color theme="2" tint="-0.24994659260841701"/>
      </bottom>
      <diagonal/>
    </border>
    <border>
      <left style="thin">
        <color theme="2" tint="-0.24994659260841701"/>
      </left>
      <right style="thin">
        <color indexed="64"/>
      </right>
      <top style="thin">
        <color indexed="64"/>
      </top>
      <bottom style="thin">
        <color theme="2" tint="-0.24994659260841701"/>
      </bottom>
      <diagonal/>
    </border>
    <border>
      <left style="thin">
        <color theme="2" tint="-0.24994659260841701"/>
      </left>
      <right style="thin">
        <color indexed="64"/>
      </right>
      <top style="thin">
        <color theme="2" tint="-0.24994659260841701"/>
      </top>
      <bottom style="thin">
        <color theme="2" tint="-0.24994659260841701"/>
      </bottom>
      <diagonal/>
    </border>
    <border>
      <left style="thin">
        <color theme="2" tint="-0.24994659260841701"/>
      </left>
      <right style="thin">
        <color indexed="64"/>
      </right>
      <top style="thin">
        <color theme="2" tint="-0.24994659260841701"/>
      </top>
      <bottom style="thin">
        <color indexed="64"/>
      </bottom>
      <diagonal/>
    </border>
    <border>
      <left style="thin">
        <color indexed="64"/>
      </left>
      <right style="thin">
        <color theme="2" tint="-0.24994659260841701"/>
      </right>
      <top style="thin">
        <color indexed="64"/>
      </top>
      <bottom/>
      <diagonal/>
    </border>
    <border>
      <left style="thin">
        <color indexed="64"/>
      </left>
      <right style="thin">
        <color theme="2" tint="-0.24994659260841701"/>
      </right>
      <top/>
      <bottom/>
      <diagonal/>
    </border>
    <border>
      <left style="thin">
        <color indexed="64"/>
      </left>
      <right style="thin">
        <color theme="2" tint="-0.24994659260841701"/>
      </right>
      <top/>
      <bottom style="thin">
        <color indexed="64"/>
      </bottom>
      <diagonal/>
    </border>
    <border>
      <left style="thin">
        <color indexed="64"/>
      </left>
      <right style="thin">
        <color theme="0"/>
      </right>
      <top style="thin">
        <color theme="0"/>
      </top>
      <bottom style="thin">
        <color indexed="64"/>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style="thin">
        <color indexed="64"/>
      </left>
      <right/>
      <top style="thin">
        <color indexed="64"/>
      </top>
      <bottom style="thin">
        <color theme="0"/>
      </bottom>
      <diagonal/>
    </border>
    <border>
      <left/>
      <right/>
      <top style="thin">
        <color indexed="64"/>
      </top>
      <bottom style="thin">
        <color theme="0"/>
      </bottom>
      <diagonal/>
    </border>
    <border>
      <left style="thin">
        <color indexed="64"/>
      </left>
      <right style="thin">
        <color indexed="64"/>
      </right>
      <top style="thin">
        <color theme="0"/>
      </top>
      <bottom style="thin">
        <color theme="0"/>
      </bottom>
      <diagonal/>
    </border>
    <border>
      <left style="thin">
        <color indexed="64"/>
      </left>
      <right style="thin">
        <color theme="0"/>
      </right>
      <top/>
      <bottom style="thin">
        <color indexed="64"/>
      </bottom>
      <diagonal/>
    </border>
    <border>
      <left style="thin">
        <color theme="0"/>
      </left>
      <right style="thin">
        <color theme="0"/>
      </right>
      <top/>
      <bottom style="thin">
        <color indexed="64"/>
      </bottom>
      <diagonal/>
    </border>
    <border>
      <left style="thin">
        <color theme="0"/>
      </left>
      <right/>
      <top/>
      <bottom style="thin">
        <color indexed="64"/>
      </bottom>
      <diagonal/>
    </border>
    <border>
      <left style="thin">
        <color theme="0"/>
      </left>
      <right style="thin">
        <color indexed="64"/>
      </right>
      <top/>
      <bottom style="thin">
        <color indexed="64"/>
      </bottom>
      <diagonal/>
    </border>
    <border>
      <left style="thin">
        <color theme="0"/>
      </left>
      <right style="thin">
        <color indexed="64"/>
      </right>
      <top style="thin">
        <color theme="0"/>
      </top>
      <bottom style="thin">
        <color theme="0"/>
      </bottom>
      <diagonal/>
    </border>
    <border>
      <left/>
      <right style="thin">
        <color theme="0"/>
      </right>
      <top/>
      <bottom style="thin">
        <color theme="0"/>
      </bottom>
      <diagonal/>
    </border>
    <border>
      <left style="thin">
        <color theme="0"/>
      </left>
      <right/>
      <top/>
      <bottom style="thin">
        <color theme="0"/>
      </bottom>
      <diagonal/>
    </border>
    <border>
      <left style="thin">
        <color theme="2" tint="-0.24994659260841701"/>
      </left>
      <right style="thin">
        <color theme="2" tint="-0.24994659260841701"/>
      </right>
      <top style="thin">
        <color indexed="64"/>
      </top>
      <bottom style="thin">
        <color indexed="64"/>
      </bottom>
      <diagonal/>
    </border>
    <border>
      <left style="thin">
        <color theme="2" tint="-0.24994659260841701"/>
      </left>
      <right style="thin">
        <color indexed="64"/>
      </right>
      <top style="thin">
        <color indexed="64"/>
      </top>
      <bottom style="thin">
        <color indexed="64"/>
      </bottom>
      <diagonal/>
    </border>
    <border>
      <left style="thin">
        <color indexed="64"/>
      </left>
      <right style="thin">
        <color theme="2" tint="-0.24994659260841701"/>
      </right>
      <top style="thin">
        <color indexed="64"/>
      </top>
      <bottom style="thin">
        <color indexed="64"/>
      </bottom>
      <diagonal/>
    </border>
    <border>
      <left/>
      <right/>
      <top style="thin">
        <color theme="2" tint="-9.9948118533890809E-2"/>
      </top>
      <bottom style="thin">
        <color theme="2" tint="-9.9948118533890809E-2"/>
      </bottom>
      <diagonal/>
    </border>
  </borders>
  <cellStyleXfs count="4497">
    <xf numFmtId="0" fontId="0" fillId="0" borderId="0"/>
    <xf numFmtId="43" fontId="2" fillId="0" borderId="0" applyFont="0" applyFill="0" applyBorder="0" applyAlignment="0" applyProtection="0"/>
    <xf numFmtId="0" fontId="3" fillId="0" borderId="0" applyNumberFormat="0" applyFill="0" applyBorder="0" applyAlignment="0" applyProtection="0"/>
    <xf numFmtId="0" fontId="4" fillId="0" borderId="16" applyNumberFormat="0" applyFill="0" applyAlignment="0" applyProtection="0"/>
    <xf numFmtId="0" fontId="5" fillId="0" borderId="17" applyNumberFormat="0" applyFill="0" applyAlignment="0" applyProtection="0"/>
    <xf numFmtId="0" fontId="6" fillId="0" borderId="18" applyNumberFormat="0" applyFill="0" applyAlignment="0" applyProtection="0"/>
    <xf numFmtId="0" fontId="6" fillId="0" borderId="0" applyNumberFormat="0" applyFill="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0" applyNumberFormat="0" applyBorder="0" applyAlignment="0" applyProtection="0"/>
    <xf numFmtId="0" fontId="10" fillId="6" borderId="19" applyNumberFormat="0" applyAlignment="0" applyProtection="0"/>
    <xf numFmtId="0" fontId="11" fillId="7" borderId="20" applyNumberFormat="0" applyAlignment="0" applyProtection="0"/>
    <xf numFmtId="0" fontId="12" fillId="7" borderId="19" applyNumberFormat="0" applyAlignment="0" applyProtection="0"/>
    <xf numFmtId="0" fontId="13" fillId="0" borderId="21" applyNumberFormat="0" applyFill="0" applyAlignment="0" applyProtection="0"/>
    <xf numFmtId="0" fontId="14" fillId="8" borderId="22" applyNumberFormat="0" applyAlignment="0" applyProtection="0"/>
    <xf numFmtId="0" fontId="15" fillId="0" borderId="0" applyNumberFormat="0" applyFill="0" applyBorder="0" applyAlignment="0" applyProtection="0"/>
    <xf numFmtId="0" fontId="2" fillId="9" borderId="23" applyNumberFormat="0" applyFont="0" applyAlignment="0" applyProtection="0"/>
    <xf numFmtId="0" fontId="16" fillId="0" borderId="0" applyNumberFormat="0" applyFill="0" applyBorder="0" applyAlignment="0" applyProtection="0"/>
    <xf numFmtId="0" fontId="17" fillId="0" borderId="24" applyNumberFormat="0" applyFill="0" applyAlignment="0" applyProtection="0"/>
    <xf numFmtId="0" fontId="18"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18"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18"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18"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18"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18"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44" fontId="2" fillId="0" borderId="0" applyFont="0" applyFill="0" applyBorder="0" applyAlignment="0" applyProtection="0"/>
    <xf numFmtId="0" fontId="30" fillId="0" borderId="0"/>
    <xf numFmtId="0" fontId="31" fillId="0" borderId="0"/>
    <xf numFmtId="0" fontId="34" fillId="0" borderId="0"/>
    <xf numFmtId="43" fontId="2" fillId="0" borderId="0" applyFont="0" applyFill="0" applyBorder="0" applyAlignment="0" applyProtection="0"/>
    <xf numFmtId="0" fontId="31" fillId="0" borderId="0"/>
    <xf numFmtId="0" fontId="35" fillId="40" borderId="36" applyNumberFormat="0" applyProtection="0">
      <alignment vertical="center"/>
    </xf>
    <xf numFmtId="43" fontId="31" fillId="0" borderId="0" applyFont="0" applyFill="0" applyBorder="0" applyAlignment="0" applyProtection="0"/>
    <xf numFmtId="0" fontId="36" fillId="0" borderId="0" applyNumberFormat="0" applyFill="0" applyBorder="0" applyAlignment="0" applyProtection="0"/>
    <xf numFmtId="0" fontId="30" fillId="41" borderId="0">
      <alignment vertical="center"/>
    </xf>
    <xf numFmtId="0" fontId="30" fillId="42" borderId="37" applyNumberFormat="0" applyProtection="0">
      <alignment vertical="center"/>
    </xf>
    <xf numFmtId="43" fontId="2" fillId="0" borderId="0" applyFont="0" applyFill="0" applyBorder="0" applyAlignment="0" applyProtection="0"/>
    <xf numFmtId="43" fontId="2" fillId="0" borderId="0" applyFont="0" applyFill="0" applyBorder="0" applyAlignment="0" applyProtection="0"/>
    <xf numFmtId="0" fontId="30" fillId="43" borderId="38" applyNumberFormat="0" applyAlignment="0" applyProtection="0"/>
    <xf numFmtId="43" fontId="31" fillId="0" borderId="0" applyFont="0" applyFill="0" applyBorder="0" applyAlignment="0" applyProtection="0"/>
    <xf numFmtId="0" fontId="38" fillId="0" borderId="0" applyNumberFormat="0" applyFill="0" applyBorder="0" applyAlignment="0" applyProtection="0"/>
    <xf numFmtId="0" fontId="37" fillId="0" borderId="0" applyNumberFormat="0" applyFill="0" applyBorder="0" applyAlignment="0" applyProtection="0">
      <alignment vertical="top"/>
      <protection locked="0"/>
    </xf>
    <xf numFmtId="0" fontId="30" fillId="44" borderId="19" applyNumberFormat="0" applyBorder="0" applyAlignment="0" applyProtection="0"/>
    <xf numFmtId="0" fontId="30" fillId="45" borderId="39" applyNumberFormat="0" applyAlignment="0" applyProtection="0"/>
    <xf numFmtId="0" fontId="31" fillId="9" borderId="23" applyNumberFormat="0" applyFont="0" applyAlignment="0" applyProtection="0"/>
    <xf numFmtId="0" fontId="39" fillId="46" borderId="40" applyNumberFormat="0" applyAlignment="0" applyProtection="0"/>
    <xf numFmtId="9" fontId="40" fillId="0" borderId="0" applyFont="0" applyFill="0" applyBorder="0" applyAlignment="0" applyProtection="0"/>
    <xf numFmtId="0" fontId="39" fillId="38"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6"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41" fillId="0" borderId="0"/>
    <xf numFmtId="0" fontId="41" fillId="0" borderId="0"/>
    <xf numFmtId="0" fontId="42" fillId="0" borderId="0"/>
    <xf numFmtId="0" fontId="43" fillId="0" borderId="0"/>
    <xf numFmtId="0" fontId="34" fillId="0" borderId="0"/>
    <xf numFmtId="0" fontId="2" fillId="0" borderId="0"/>
    <xf numFmtId="0" fontId="3" fillId="0" borderId="0" applyNumberFormat="0" applyFill="0" applyBorder="0" applyAlignment="0" applyProtection="0"/>
    <xf numFmtId="0" fontId="4" fillId="0" borderId="16" applyNumberFormat="0" applyFill="0" applyAlignment="0" applyProtection="0"/>
    <xf numFmtId="0" fontId="5" fillId="0" borderId="17" applyNumberFormat="0" applyFill="0" applyAlignment="0" applyProtection="0"/>
    <xf numFmtId="0" fontId="6" fillId="0" borderId="18" applyNumberFormat="0" applyFill="0" applyAlignment="0" applyProtection="0"/>
    <xf numFmtId="0" fontId="6" fillId="0" borderId="0" applyNumberFormat="0" applyFill="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0" applyNumberFormat="0" applyBorder="0" applyAlignment="0" applyProtection="0"/>
    <xf numFmtId="0" fontId="10" fillId="6" borderId="19" applyNumberFormat="0" applyAlignment="0" applyProtection="0"/>
    <xf numFmtId="0" fontId="11" fillId="7" borderId="20" applyNumberFormat="0" applyAlignment="0" applyProtection="0"/>
    <xf numFmtId="0" fontId="12" fillId="7" borderId="19" applyNumberFormat="0" applyAlignment="0" applyProtection="0"/>
    <xf numFmtId="0" fontId="13" fillId="0" borderId="21" applyNumberFormat="0" applyFill="0" applyAlignment="0" applyProtection="0"/>
    <xf numFmtId="0" fontId="14" fillId="8" borderId="22" applyNumberFormat="0" applyAlignment="0" applyProtection="0"/>
    <xf numFmtId="0" fontId="15" fillId="0" borderId="0" applyNumberFormat="0" applyFill="0" applyBorder="0" applyAlignment="0" applyProtection="0"/>
    <xf numFmtId="0" fontId="2" fillId="9" borderId="23" applyNumberFormat="0" applyFont="0" applyAlignment="0" applyProtection="0"/>
    <xf numFmtId="0" fontId="16" fillId="0" borderId="0" applyNumberFormat="0" applyFill="0" applyBorder="0" applyAlignment="0" applyProtection="0"/>
    <xf numFmtId="0" fontId="17" fillId="0" borderId="24" applyNumberFormat="0" applyFill="0" applyAlignment="0" applyProtection="0"/>
    <xf numFmtId="0" fontId="18"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18"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18"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18"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18"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18"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9" fillId="5" borderId="0" applyNumberFormat="0" applyBorder="0" applyAlignment="0" applyProtection="0"/>
    <xf numFmtId="0" fontId="2" fillId="13" borderId="0" applyNumberFormat="0" applyBorder="0" applyAlignment="0" applyProtection="0"/>
    <xf numFmtId="0" fontId="2" fillId="17" borderId="0" applyNumberFormat="0" applyBorder="0" applyAlignment="0" applyProtection="0"/>
    <xf numFmtId="0" fontId="2" fillId="21" borderId="0" applyNumberFormat="0" applyBorder="0" applyAlignment="0" applyProtection="0"/>
    <xf numFmtId="0" fontId="2" fillId="25" borderId="0" applyNumberFormat="0" applyBorder="0" applyAlignment="0" applyProtection="0"/>
    <xf numFmtId="0" fontId="2" fillId="29" borderId="0" applyNumberFormat="0" applyBorder="0" applyAlignment="0" applyProtection="0"/>
    <xf numFmtId="0" fontId="2" fillId="33" borderId="0" applyNumberFormat="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30" fillId="47" borderId="0" applyNumberFormat="0" applyBorder="0" applyAlignment="0" applyProtection="0"/>
    <xf numFmtId="0" fontId="30" fillId="0" borderId="0" applyNumberFormat="0" applyFill="0" applyBorder="0" applyAlignment="0" applyProtection="0"/>
    <xf numFmtId="169" fontId="30" fillId="0" borderId="0" applyFill="0" applyBorder="0" applyAlignment="0" applyProtection="0"/>
    <xf numFmtId="0" fontId="44" fillId="0" borderId="0" applyNumberFormat="0" applyFill="0" applyBorder="0" applyAlignment="0" applyProtection="0"/>
    <xf numFmtId="0" fontId="30" fillId="0" borderId="0" applyNumberFormat="0" applyFill="0" applyBorder="0" applyAlignment="0" applyProtection="0"/>
    <xf numFmtId="0" fontId="44" fillId="0" borderId="0" applyNumberFormat="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6"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6"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30"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9" fillId="0" borderId="0" applyNumberFormat="0" applyFill="0" applyBorder="0" applyAlignment="0" applyProtection="0"/>
    <xf numFmtId="0" fontId="50"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30" fillId="0" borderId="0" applyNumberFormat="0" applyFill="0" applyBorder="0" applyAlignment="0" applyProtection="0"/>
    <xf numFmtId="0" fontId="51"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2" fillId="0" borderId="0" applyNumberFormat="0" applyFill="0" applyBorder="0" applyAlignment="0" applyProtection="0"/>
    <xf numFmtId="0" fontId="44" fillId="0" borderId="0" applyNumberFormat="0" applyFill="0" applyBorder="0" applyAlignment="0" applyProtection="0"/>
    <xf numFmtId="0" fontId="49"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30"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9" fillId="0" borderId="0" applyNumberFormat="0" applyFill="0" applyBorder="0" applyAlignment="0" applyProtection="0"/>
    <xf numFmtId="0" fontId="51" fillId="0" borderId="0" applyNumberFormat="0" applyFill="0" applyBorder="0" applyAlignment="0" applyProtection="0"/>
    <xf numFmtId="0" fontId="44" fillId="0" borderId="0" applyNumberFormat="0" applyFill="0" applyBorder="0" applyAlignment="0" applyProtection="0"/>
    <xf numFmtId="0" fontId="49" fillId="0" borderId="0" applyNumberFormat="0" applyFill="0" applyBorder="0" applyAlignment="0" applyProtection="0"/>
    <xf numFmtId="0" fontId="51" fillId="0" borderId="0" applyNumberFormat="0" applyFill="0" applyBorder="0" applyAlignment="0" applyProtection="0"/>
    <xf numFmtId="0" fontId="45" fillId="0" borderId="0" applyNumberFormat="0" applyFill="0" applyBorder="0" applyAlignment="0" applyProtection="0"/>
    <xf numFmtId="0" fontId="44" fillId="0" borderId="0" applyNumberFormat="0" applyFill="0" applyBorder="0" applyAlignment="0" applyProtection="0"/>
    <xf numFmtId="0" fontId="49" fillId="0" borderId="0" applyNumberFormat="0" applyFill="0" applyBorder="0" applyAlignment="0" applyProtection="0"/>
    <xf numFmtId="0" fontId="53" fillId="0" borderId="0" applyNumberFormat="0" applyFill="0" applyBorder="0" applyAlignment="0" applyProtection="0"/>
    <xf numFmtId="0" fontId="30" fillId="0" borderId="0" applyNumberFormat="0" applyFill="0" applyBorder="0" applyAlignment="0" applyProtection="0"/>
    <xf numFmtId="0" fontId="49" fillId="0" borderId="0" applyNumberFormat="0" applyFill="0" applyBorder="0" applyAlignment="0" applyProtection="0"/>
    <xf numFmtId="0" fontId="44" fillId="0" borderId="0" applyNumberFormat="0" applyFill="0" applyBorder="0" applyAlignment="0" applyProtection="0"/>
    <xf numFmtId="0" fontId="54" fillId="0" borderId="0" applyNumberFormat="0" applyFill="0" applyBorder="0" applyAlignment="0" applyProtection="0"/>
    <xf numFmtId="0" fontId="51" fillId="0" borderId="0" applyNumberFormat="0" applyFill="0" applyBorder="0" applyAlignment="0" applyProtection="0"/>
    <xf numFmtId="0" fontId="44" fillId="0" borderId="0" applyNumberFormat="0" applyFill="0" applyBorder="0" applyAlignment="0" applyProtection="0"/>
    <xf numFmtId="0" fontId="55" fillId="0" borderId="0" applyNumberFormat="0" applyFill="0" applyBorder="0" applyAlignment="0" applyProtection="0"/>
    <xf numFmtId="0" fontId="56" fillId="0" borderId="0" applyNumberFormat="0" applyFill="0" applyBorder="0" applyAlignment="0" applyProtection="0"/>
    <xf numFmtId="0" fontId="30" fillId="0" borderId="0" applyNumberFormat="0" applyFill="0" applyBorder="0" applyAlignment="0" applyProtection="0"/>
    <xf numFmtId="0" fontId="44" fillId="0" borderId="0" applyNumberFormat="0" applyFill="0" applyBorder="0" applyAlignment="0" applyProtection="0"/>
    <xf numFmtId="0" fontId="57"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55" fillId="0" borderId="0" applyNumberFormat="0" applyFill="0" applyBorder="0" applyAlignment="0" applyProtection="0"/>
    <xf numFmtId="0" fontId="44" fillId="0" borderId="0" applyNumberFormat="0" applyFill="0" applyBorder="0" applyAlignment="0" applyProtection="0"/>
    <xf numFmtId="0" fontId="51" fillId="0" borderId="0" applyNumberFormat="0" applyFill="0" applyBorder="0" applyAlignment="0" applyProtection="0"/>
    <xf numFmtId="0" fontId="44" fillId="0" borderId="0" applyNumberFormat="0" applyFill="0" applyBorder="0" applyAlignment="0" applyProtection="0"/>
    <xf numFmtId="0" fontId="57" fillId="0" borderId="0" applyNumberFormat="0" applyFill="0" applyBorder="0" applyAlignment="0" applyProtection="0"/>
    <xf numFmtId="0" fontId="51" fillId="0" borderId="0" applyNumberFormat="0" applyFill="0" applyBorder="0" applyAlignment="0" applyProtection="0"/>
    <xf numFmtId="0" fontId="47" fillId="0" borderId="0" applyNumberFormat="0" applyFill="0" applyBorder="0" applyAlignment="0" applyProtection="0"/>
    <xf numFmtId="0" fontId="44" fillId="0" borderId="0" applyNumberFormat="0" applyFill="0" applyBorder="0" applyAlignment="0" applyProtection="0"/>
    <xf numFmtId="0" fontId="51" fillId="0" borderId="0" applyNumberFormat="0" applyFill="0" applyBorder="0" applyAlignment="0" applyProtection="0"/>
    <xf numFmtId="0" fontId="57" fillId="0" borderId="0" applyNumberFormat="0" applyFill="0" applyBorder="0" applyAlignment="0" applyProtection="0"/>
    <xf numFmtId="0" fontId="45" fillId="0" borderId="0" applyNumberFormat="0" applyFill="0" applyBorder="0" applyAlignment="0" applyProtection="0"/>
    <xf numFmtId="9" fontId="30" fillId="0" borderId="0" applyFill="0" applyBorder="0" applyAlignment="0" applyProtection="0"/>
    <xf numFmtId="166" fontId="30" fillId="0" borderId="0" applyFont="0" applyFill="0" applyBorder="0" applyAlignment="0" applyProtection="0"/>
    <xf numFmtId="0" fontId="30" fillId="0" borderId="0"/>
    <xf numFmtId="0" fontId="58" fillId="50" borderId="0"/>
    <xf numFmtId="0" fontId="58" fillId="59" borderId="0"/>
    <xf numFmtId="0" fontId="58" fillId="55" borderId="0"/>
    <xf numFmtId="0" fontId="40" fillId="77" borderId="23"/>
    <xf numFmtId="0" fontId="65" fillId="0" borderId="44"/>
    <xf numFmtId="0" fontId="59" fillId="70" borderId="0"/>
    <xf numFmtId="0" fontId="60" fillId="72" borderId="0"/>
    <xf numFmtId="0" fontId="59" fillId="71" borderId="0"/>
    <xf numFmtId="0" fontId="70" fillId="76" borderId="0"/>
    <xf numFmtId="0" fontId="59" fillId="66" borderId="0"/>
    <xf numFmtId="0" fontId="75" fillId="0" borderId="0">
      <alignment horizontal="center"/>
    </xf>
    <xf numFmtId="0" fontId="59" fillId="68" borderId="0"/>
    <xf numFmtId="0" fontId="59" fillId="69" borderId="0"/>
    <xf numFmtId="0" fontId="58" fillId="56" borderId="0"/>
    <xf numFmtId="0" fontId="75" fillId="0" borderId="0">
      <alignment horizontal="center" textRotation="90"/>
    </xf>
    <xf numFmtId="0" fontId="58" fillId="53" borderId="0"/>
    <xf numFmtId="171" fontId="40" fillId="0" borderId="0"/>
    <xf numFmtId="0" fontId="73" fillId="0" borderId="47"/>
    <xf numFmtId="0" fontId="59" fillId="67" borderId="0"/>
    <xf numFmtId="0" fontId="58" fillId="52" borderId="0"/>
    <xf numFmtId="0" fontId="67" fillId="0" borderId="0"/>
    <xf numFmtId="0" fontId="58" fillId="64" borderId="0"/>
    <xf numFmtId="0" fontId="62" fillId="68" borderId="22"/>
    <xf numFmtId="0" fontId="72" fillId="0" borderId="0"/>
    <xf numFmtId="0" fontId="64" fillId="74" borderId="0"/>
    <xf numFmtId="0" fontId="58" fillId="48" borderId="0"/>
    <xf numFmtId="0" fontId="67" fillId="0" borderId="46"/>
    <xf numFmtId="0" fontId="58" fillId="63" borderId="0"/>
    <xf numFmtId="0" fontId="69" fillId="0" borderId="21"/>
    <xf numFmtId="0" fontId="58" fillId="51" borderId="0"/>
    <xf numFmtId="0" fontId="71" fillId="73" borderId="20"/>
    <xf numFmtId="0" fontId="63" fillId="0" borderId="0"/>
    <xf numFmtId="0" fontId="74" fillId="0" borderId="0"/>
    <xf numFmtId="0" fontId="58" fillId="49" borderId="0"/>
    <xf numFmtId="0" fontId="58" fillId="62" borderId="0"/>
    <xf numFmtId="0" fontId="68" fillId="75" borderId="19"/>
    <xf numFmtId="0" fontId="58" fillId="65" borderId="0"/>
    <xf numFmtId="0" fontId="61" fillId="73" borderId="19"/>
    <xf numFmtId="0" fontId="58" fillId="60" borderId="0"/>
    <xf numFmtId="43" fontId="2" fillId="0" borderId="0" applyFont="0" applyFill="0" applyBorder="0" applyAlignment="0" applyProtection="0"/>
    <xf numFmtId="0" fontId="58" fillId="57" borderId="0"/>
    <xf numFmtId="0" fontId="66" fillId="0" borderId="45"/>
    <xf numFmtId="0" fontId="58" fillId="61" borderId="0"/>
    <xf numFmtId="0" fontId="40" fillId="0" borderId="0"/>
    <xf numFmtId="0" fontId="58" fillId="58" borderId="0"/>
    <xf numFmtId="0" fontId="58" fillId="54" borderId="0"/>
    <xf numFmtId="171" fontId="40" fillId="0" borderId="0"/>
    <xf numFmtId="170" fontId="34" fillId="0" borderId="0"/>
    <xf numFmtId="170" fontId="34" fillId="0" borderId="0"/>
    <xf numFmtId="170" fontId="34" fillId="0" borderId="0"/>
    <xf numFmtId="170" fontId="31" fillId="0" borderId="0"/>
    <xf numFmtId="0" fontId="76" fillId="0" borderId="0"/>
    <xf numFmtId="172" fontId="76" fillId="0" borderId="0"/>
    <xf numFmtId="0" fontId="34" fillId="0" borderId="0"/>
    <xf numFmtId="43" fontId="2" fillId="0" borderId="0" applyFont="0" applyFill="0" applyBorder="0" applyAlignment="0" applyProtection="0"/>
    <xf numFmtId="0" fontId="34" fillId="0" borderId="0"/>
    <xf numFmtId="0" fontId="30" fillId="0" borderId="0"/>
    <xf numFmtId="0" fontId="30" fillId="0" borderId="0"/>
    <xf numFmtId="0" fontId="31" fillId="0" borderId="0"/>
    <xf numFmtId="0" fontId="2" fillId="0" borderId="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0" fontId="38" fillId="0" borderId="0" applyNumberForma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77" fillId="0" borderId="0"/>
    <xf numFmtId="0" fontId="77" fillId="0" borderId="0"/>
    <xf numFmtId="9" fontId="77" fillId="0" borderId="0" applyFont="0" applyFill="0" applyBorder="0" applyAlignment="0" applyProtection="0"/>
    <xf numFmtId="9" fontId="77" fillId="0" borderId="0" applyFont="0" applyFill="0" applyBorder="0" applyAlignment="0" applyProtection="0"/>
    <xf numFmtId="0" fontId="78" fillId="5" borderId="0" applyNumberFormat="0" applyBorder="0" applyAlignment="0" applyProtection="0"/>
    <xf numFmtId="0" fontId="18" fillId="13" borderId="0" applyNumberFormat="0" applyBorder="0" applyAlignment="0" applyProtection="0"/>
    <xf numFmtId="0" fontId="18" fillId="17" borderId="0" applyNumberFormat="0" applyBorder="0" applyAlignment="0" applyProtection="0"/>
    <xf numFmtId="0" fontId="18" fillId="21" borderId="0" applyNumberFormat="0" applyBorder="0" applyAlignment="0" applyProtection="0"/>
    <xf numFmtId="0" fontId="18" fillId="25" borderId="0" applyNumberFormat="0" applyBorder="0" applyAlignment="0" applyProtection="0"/>
    <xf numFmtId="0" fontId="18" fillId="29" borderId="0" applyNumberFormat="0" applyBorder="0" applyAlignment="0" applyProtection="0"/>
    <xf numFmtId="0" fontId="18" fillId="33" borderId="0" applyNumberFormat="0" applyBorder="0" applyAlignment="0" applyProtection="0"/>
    <xf numFmtId="0" fontId="2" fillId="9" borderId="23" applyNumberFormat="0" applyFont="0" applyAlignment="0" applyProtection="0"/>
    <xf numFmtId="0" fontId="2" fillId="11" borderId="0" applyNumberFormat="0" applyBorder="0" applyAlignment="0" applyProtection="0"/>
    <xf numFmtId="0" fontId="2" fillId="12"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9" borderId="23" applyNumberFormat="0" applyFont="0" applyAlignment="0" applyProtection="0"/>
    <xf numFmtId="0" fontId="2" fillId="11" borderId="0" applyNumberFormat="0" applyBorder="0" applyAlignment="0" applyProtection="0"/>
    <xf numFmtId="0" fontId="2" fillId="12"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9" borderId="23" applyNumberFormat="0" applyFont="0" applyAlignment="0" applyProtection="0"/>
    <xf numFmtId="0" fontId="2" fillId="9" borderId="23" applyNumberFormat="0" applyFont="0" applyAlignment="0" applyProtection="0"/>
    <xf numFmtId="0" fontId="2" fillId="11" borderId="0" applyNumberFormat="0" applyBorder="0" applyAlignment="0" applyProtection="0"/>
    <xf numFmtId="0" fontId="2" fillId="12"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9" borderId="23" applyNumberFormat="0" applyFont="0" applyAlignment="0" applyProtection="0"/>
    <xf numFmtId="0" fontId="2" fillId="9" borderId="23" applyNumberFormat="0" applyFont="0" applyAlignment="0" applyProtection="0"/>
    <xf numFmtId="0" fontId="2" fillId="11" borderId="0" applyNumberFormat="0" applyBorder="0" applyAlignment="0" applyProtection="0"/>
    <xf numFmtId="0" fontId="2" fillId="12"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9" borderId="23" applyNumberFormat="0" applyFont="0" applyAlignment="0" applyProtection="0"/>
    <xf numFmtId="0" fontId="2" fillId="9" borderId="23" applyNumberFormat="0" applyFont="0" applyAlignment="0" applyProtection="0"/>
    <xf numFmtId="0" fontId="2" fillId="11" borderId="0" applyNumberFormat="0" applyBorder="0" applyAlignment="0" applyProtection="0"/>
    <xf numFmtId="0" fontId="2" fillId="12"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166" fontId="77" fillId="0" borderId="0" applyFont="0" applyFill="0" applyBorder="0" applyAlignment="0" applyProtection="0"/>
    <xf numFmtId="166" fontId="77" fillId="0" borderId="0" applyFont="0" applyFill="0" applyBorder="0" applyAlignment="0" applyProtection="0"/>
    <xf numFmtId="166" fontId="77" fillId="0" borderId="0" applyFont="0" applyFill="0" applyBorder="0" applyAlignment="0" applyProtection="0"/>
    <xf numFmtId="0" fontId="77" fillId="0" borderId="0"/>
    <xf numFmtId="166" fontId="77" fillId="0" borderId="0" applyFont="0" applyFill="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9" borderId="23" applyNumberFormat="0" applyFont="0" applyAlignment="0" applyProtection="0"/>
    <xf numFmtId="0" fontId="2" fillId="11" borderId="0" applyNumberFormat="0" applyBorder="0" applyAlignment="0" applyProtection="0"/>
    <xf numFmtId="0" fontId="2" fillId="12"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9" borderId="23" applyNumberFormat="0" applyFont="0" applyAlignment="0" applyProtection="0"/>
    <xf numFmtId="0" fontId="2" fillId="11" borderId="0" applyNumberFormat="0" applyBorder="0" applyAlignment="0" applyProtection="0"/>
    <xf numFmtId="0" fontId="2" fillId="12"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9" borderId="23" applyNumberFormat="0" applyFont="0" applyAlignment="0" applyProtection="0"/>
    <xf numFmtId="0" fontId="2" fillId="9" borderId="23" applyNumberFormat="0" applyFont="0" applyAlignment="0" applyProtection="0"/>
    <xf numFmtId="0" fontId="2" fillId="11" borderId="0" applyNumberFormat="0" applyBorder="0" applyAlignment="0" applyProtection="0"/>
    <xf numFmtId="0" fontId="2" fillId="12"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9" borderId="23" applyNumberFormat="0" applyFont="0" applyAlignment="0" applyProtection="0"/>
    <xf numFmtId="0" fontId="2" fillId="9" borderId="23" applyNumberFormat="0" applyFont="0" applyAlignment="0" applyProtection="0"/>
    <xf numFmtId="0" fontId="2" fillId="11" borderId="0" applyNumberFormat="0" applyBorder="0" applyAlignment="0" applyProtection="0"/>
    <xf numFmtId="0" fontId="2" fillId="12"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9" borderId="23" applyNumberFormat="0" applyFont="0" applyAlignment="0" applyProtection="0"/>
    <xf numFmtId="0" fontId="2" fillId="9" borderId="23" applyNumberFormat="0" applyFont="0" applyAlignment="0" applyProtection="0"/>
    <xf numFmtId="0" fontId="2" fillId="11" borderId="0" applyNumberFormat="0" applyBorder="0" applyAlignment="0" applyProtection="0"/>
    <xf numFmtId="0" fontId="2" fillId="12"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79" fillId="0" borderId="0" applyNumberForma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6"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0" fontId="77" fillId="0" borderId="0"/>
    <xf numFmtId="9" fontId="77" fillId="0" borderId="0" applyFont="0" applyFill="0" applyBorder="0" applyAlignment="0" applyProtection="0"/>
    <xf numFmtId="9" fontId="77" fillId="0" borderId="0" applyFont="0" applyFill="0" applyBorder="0" applyAlignment="0" applyProtection="0"/>
    <xf numFmtId="166" fontId="77" fillId="0" borderId="0" applyFont="0" applyFill="0" applyBorder="0" applyAlignment="0" applyProtection="0"/>
    <xf numFmtId="166" fontId="77" fillId="0" borderId="0" applyFont="0" applyFill="0" applyBorder="0" applyAlignment="0" applyProtection="0"/>
    <xf numFmtId="166" fontId="77" fillId="0" borderId="0" applyFont="0" applyFill="0" applyBorder="0" applyAlignment="0" applyProtection="0"/>
    <xf numFmtId="0" fontId="77" fillId="0" borderId="0"/>
    <xf numFmtId="166" fontId="7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80" fillId="0" borderId="0"/>
    <xf numFmtId="43" fontId="2" fillId="0" borderId="0" applyFont="0" applyFill="0" applyBorder="0" applyAlignment="0" applyProtection="0"/>
    <xf numFmtId="43" fontId="2" fillId="0" borderId="0" applyFont="0" applyFill="0" applyBorder="0" applyAlignment="0" applyProtection="0"/>
    <xf numFmtId="0" fontId="34" fillId="0" borderId="0"/>
    <xf numFmtId="0" fontId="31" fillId="0" borderId="0"/>
    <xf numFmtId="0" fontId="41" fillId="0" borderId="0"/>
    <xf numFmtId="170" fontId="31" fillId="0" borderId="0"/>
    <xf numFmtId="0" fontId="38" fillId="0" borderId="0" applyNumberFormat="0" applyFill="0" applyBorder="0" applyAlignment="0" applyProtection="0"/>
    <xf numFmtId="166" fontId="77"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6"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166" fontId="7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6" fontId="77" fillId="0" borderId="0" applyFont="0" applyFill="0" applyBorder="0" applyAlignment="0" applyProtection="0"/>
    <xf numFmtId="166" fontId="77" fillId="0" borderId="0" applyFont="0" applyFill="0" applyBorder="0" applyAlignment="0" applyProtection="0"/>
    <xf numFmtId="166" fontId="77" fillId="0" borderId="0" applyFont="0" applyFill="0" applyBorder="0" applyAlignment="0" applyProtection="0"/>
    <xf numFmtId="166" fontId="7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6"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166" fontId="7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0" fontId="37" fillId="0" borderId="0" applyNumberFormat="0" applyFill="0" applyBorder="0" applyAlignment="0" applyProtection="0">
      <alignment vertical="top"/>
      <protection locked="0"/>
    </xf>
    <xf numFmtId="9" fontId="2" fillId="0" borderId="0" applyFont="0" applyFill="0" applyBorder="0" applyAlignment="0" applyProtection="0"/>
    <xf numFmtId="0" fontId="85" fillId="87" borderId="0" applyNumberFormat="0" applyBorder="0" applyAlignment="0" applyProtection="0"/>
    <xf numFmtId="0" fontId="85" fillId="86" borderId="0" applyNumberFormat="0" applyBorder="0" applyAlignment="0" applyProtection="0"/>
    <xf numFmtId="0" fontId="86" fillId="93" borderId="0" applyNumberFormat="0" applyBorder="0" applyAlignment="0" applyProtection="0"/>
    <xf numFmtId="43" fontId="2" fillId="0" borderId="0" applyFont="0" applyFill="0" applyBorder="0" applyAlignment="0" applyProtection="0"/>
    <xf numFmtId="0" fontId="86" fillId="89" borderId="0" applyNumberFormat="0" applyBorder="0" applyAlignment="0" applyProtection="0"/>
    <xf numFmtId="0" fontId="85" fillId="88" borderId="0" applyNumberFormat="0" applyBorder="0" applyAlignment="0" applyProtection="0"/>
    <xf numFmtId="0" fontId="85" fillId="91" borderId="0" applyNumberFormat="0" applyBorder="0" applyAlignment="0" applyProtection="0"/>
    <xf numFmtId="0" fontId="85" fillId="85" borderId="0" applyNumberFormat="0" applyBorder="0" applyAlignment="0" applyProtection="0"/>
    <xf numFmtId="0" fontId="85" fillId="101" borderId="95" applyNumberFormat="0" applyFont="0" applyAlignment="0" applyProtection="0"/>
    <xf numFmtId="0" fontId="85" fillId="84" borderId="0" applyNumberFormat="0" applyBorder="0" applyAlignment="0" applyProtection="0"/>
    <xf numFmtId="0" fontId="85" fillId="101" borderId="95" applyNumberFormat="0" applyFont="0" applyAlignment="0" applyProtection="0"/>
    <xf numFmtId="0" fontId="85" fillId="83" borderId="0" applyNumberFormat="0" applyBorder="0" applyAlignment="0" applyProtection="0"/>
    <xf numFmtId="0" fontId="85" fillId="101" borderId="95" applyNumberFormat="0" applyFont="0" applyAlignment="0" applyProtection="0"/>
    <xf numFmtId="0" fontId="85" fillId="82" borderId="0" applyNumberFormat="0" applyBorder="0" applyAlignment="0" applyProtection="0"/>
    <xf numFmtId="0" fontId="85" fillId="101" borderId="95" applyNumberFormat="0" applyFont="0" applyAlignment="0" applyProtection="0"/>
    <xf numFmtId="166" fontId="30" fillId="0" borderId="0" applyFont="0" applyFill="0" applyBorder="0" applyAlignment="0" applyProtection="0"/>
    <xf numFmtId="0" fontId="99" fillId="0" borderId="98" applyNumberFormat="0" applyFill="0" applyAlignment="0" applyProtection="0"/>
    <xf numFmtId="166" fontId="30" fillId="0" borderId="0" applyFont="0" applyFill="0" applyBorder="0" applyAlignment="0" applyProtection="0"/>
    <xf numFmtId="0" fontId="85" fillId="0" borderId="0"/>
    <xf numFmtId="0" fontId="88" fillId="100" borderId="93" applyNumberFormat="0" applyAlignment="0" applyProtection="0"/>
    <xf numFmtId="43" fontId="2" fillId="0" borderId="0" applyFont="0" applyFill="0" applyBorder="0" applyAlignment="0" applyProtection="0"/>
    <xf numFmtId="0" fontId="86" fillId="90" borderId="0" applyNumberFormat="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86" fillId="92" borderId="0" applyNumberFormat="0" applyBorder="0" applyAlignment="0" applyProtection="0"/>
    <xf numFmtId="43" fontId="31" fillId="0" borderId="0" applyFont="0" applyFill="0" applyBorder="0" applyAlignment="0" applyProtection="0"/>
    <xf numFmtId="0" fontId="42" fillId="0" borderId="0"/>
    <xf numFmtId="0" fontId="85" fillId="85" borderId="0" applyNumberFormat="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85" fillId="88" borderId="0" applyNumberFormat="0" applyBorder="0" applyAlignment="0" applyProtection="0"/>
    <xf numFmtId="0" fontId="85" fillId="90" borderId="0" applyNumberFormat="0" applyBorder="0" applyAlignment="0" applyProtection="0"/>
    <xf numFmtId="0" fontId="85" fillId="89" borderId="0" applyNumberFormat="0" applyBorder="0" applyAlignment="0" applyProtection="0"/>
    <xf numFmtId="0" fontId="86" fillId="94" borderId="0" applyNumberFormat="0" applyBorder="0" applyAlignment="0" applyProtection="0"/>
    <xf numFmtId="0" fontId="85" fillId="101" borderId="95" applyNumberFormat="0" applyFont="0" applyAlignment="0" applyProtection="0"/>
    <xf numFmtId="0" fontId="86" fillId="93" borderId="0" applyNumberFormat="0" applyBorder="0" applyAlignment="0" applyProtection="0"/>
    <xf numFmtId="0" fontId="85" fillId="101" borderId="95" applyNumberFormat="0" applyFont="0" applyAlignment="0" applyProtection="0"/>
    <xf numFmtId="0" fontId="86" fillId="98" borderId="0" applyNumberFormat="0" applyBorder="0" applyAlignment="0" applyProtection="0"/>
    <xf numFmtId="0" fontId="85" fillId="101" borderId="95" applyNumberFormat="0" applyFont="0" applyAlignment="0" applyProtection="0"/>
    <xf numFmtId="0" fontId="86" fillId="97" borderId="0" applyNumberFormat="0" applyBorder="0" applyAlignment="0" applyProtection="0"/>
    <xf numFmtId="0" fontId="85" fillId="101" borderId="95" applyNumberFormat="0" applyFont="0" applyAlignment="0" applyProtection="0"/>
    <xf numFmtId="0" fontId="86" fillId="96" borderId="0" applyNumberFormat="0" applyBorder="0" applyAlignment="0" applyProtection="0"/>
    <xf numFmtId="0" fontId="85" fillId="101" borderId="95" applyNumberFormat="0" applyFont="0" applyAlignment="0" applyProtection="0"/>
    <xf numFmtId="0" fontId="86" fillId="95" borderId="0" applyNumberFormat="0" applyBorder="0" applyAlignment="0" applyProtection="0"/>
    <xf numFmtId="0" fontId="85" fillId="101" borderId="95" applyNumberFormat="0" applyFont="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178" fontId="30" fillId="0" borderId="0"/>
    <xf numFmtId="0" fontId="87" fillId="0" borderId="0" applyNumberForma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86" fillId="94" borderId="0" applyNumberFormat="0" applyBorder="0" applyAlignment="0" applyProtection="0"/>
    <xf numFmtId="166" fontId="30" fillId="0" borderId="0" applyFont="0" applyFill="0" applyBorder="0" applyAlignment="0" applyProtection="0"/>
    <xf numFmtId="0" fontId="85" fillId="0" borderId="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30" fillId="101" borderId="95" applyNumberFormat="0" applyFont="0" applyAlignment="0" applyProtection="0"/>
    <xf numFmtId="0" fontId="89" fillId="0" borderId="94" applyNumberFormat="0" applyFill="0" applyAlignment="0" applyProtection="0"/>
    <xf numFmtId="0" fontId="86" fillId="99" borderId="0" applyNumberFormat="0" applyBorder="0" applyAlignment="0" applyProtection="0"/>
    <xf numFmtId="0" fontId="41" fillId="0" borderId="0"/>
    <xf numFmtId="169" fontId="30" fillId="0" borderId="0" applyFill="0" applyBorder="0" applyAlignment="0" applyProtection="0"/>
    <xf numFmtId="43" fontId="2" fillId="0" borderId="0" applyFont="0" applyFill="0" applyBorder="0" applyAlignment="0" applyProtection="0"/>
    <xf numFmtId="0" fontId="98" fillId="0" borderId="97" applyNumberFormat="0" applyFill="0" applyAlignment="0" applyProtection="0"/>
    <xf numFmtId="0" fontId="85" fillId="0" borderId="0"/>
    <xf numFmtId="0" fontId="85" fillId="0" borderId="0"/>
    <xf numFmtId="0" fontId="93" fillId="102" borderId="0" applyNumberFormat="0" applyBorder="0" applyAlignment="0" applyProtection="0"/>
    <xf numFmtId="166" fontId="2" fillId="0" borderId="0" applyFont="0" applyFill="0" applyBorder="0" applyAlignment="0" applyProtection="0"/>
    <xf numFmtId="43" fontId="2" fillId="0" borderId="0" applyFont="0" applyFill="0" applyBorder="0" applyAlignment="0" applyProtection="0"/>
    <xf numFmtId="0" fontId="97" fillId="0" borderId="0" applyNumberFormat="0" applyFill="0" applyBorder="0" applyAlignment="0" applyProtection="0"/>
    <xf numFmtId="0" fontId="85" fillId="0" borderId="0"/>
    <xf numFmtId="43" fontId="2" fillId="0" borderId="0" applyFont="0" applyFill="0" applyBorder="0" applyAlignment="0" applyProtection="0"/>
    <xf numFmtId="0" fontId="85" fillId="0" borderId="0"/>
    <xf numFmtId="166" fontId="30" fillId="0" borderId="0" applyFont="0" applyFill="0" applyBorder="0" applyAlignment="0" applyProtection="0"/>
    <xf numFmtId="43" fontId="2" fillId="0" borderId="0" applyFont="0" applyFill="0" applyBorder="0" applyAlignment="0" applyProtection="0"/>
    <xf numFmtId="0" fontId="95" fillId="100" borderId="96" applyNumberFormat="0" applyAlignment="0" applyProtection="0"/>
    <xf numFmtId="0" fontId="85" fillId="0" borderId="0"/>
    <xf numFmtId="0" fontId="101" fillId="103" borderId="100" applyNumberFormat="0" applyAlignment="0" applyProtection="0"/>
    <xf numFmtId="0" fontId="92" fillId="0" borderId="0"/>
    <xf numFmtId="0" fontId="91" fillId="83" borderId="0" applyNumberFormat="0" applyBorder="0" applyAlignment="0" applyProtection="0"/>
    <xf numFmtId="43" fontId="31" fillId="0" borderId="0" applyFont="0" applyFill="0" applyBorder="0" applyAlignment="0" applyProtection="0"/>
    <xf numFmtId="0" fontId="85" fillId="0" borderId="0"/>
    <xf numFmtId="0" fontId="85" fillId="0" borderId="0"/>
    <xf numFmtId="0" fontId="100" fillId="0" borderId="99" applyNumberFormat="0" applyFill="0" applyAlignment="0" applyProtection="0"/>
    <xf numFmtId="0" fontId="30" fillId="0" borderId="0"/>
    <xf numFmtId="0" fontId="90" fillId="87" borderId="93" applyNumberFormat="0" applyAlignment="0" applyProtection="0"/>
    <xf numFmtId="43" fontId="2" fillId="0" borderId="0" applyFont="0" applyFill="0" applyBorder="0" applyAlignment="0" applyProtection="0"/>
    <xf numFmtId="0" fontId="85" fillId="0" borderId="0"/>
    <xf numFmtId="0" fontId="85" fillId="0" borderId="0"/>
    <xf numFmtId="0" fontId="30" fillId="0" borderId="0"/>
    <xf numFmtId="0" fontId="85" fillId="0" borderId="0"/>
    <xf numFmtId="179" fontId="92" fillId="0" borderId="0" applyFont="0" applyFill="0" applyBorder="0" applyAlignment="0" applyProtection="0"/>
    <xf numFmtId="0" fontId="96" fillId="0" borderId="0" applyNumberFormat="0" applyFill="0" applyBorder="0" applyAlignment="0" applyProtection="0"/>
    <xf numFmtId="0" fontId="85" fillId="0" borderId="0"/>
    <xf numFmtId="166" fontId="2" fillId="0" borderId="0" applyFont="0" applyFill="0" applyBorder="0" applyAlignment="0" applyProtection="0"/>
    <xf numFmtId="0" fontId="85" fillId="0" borderId="0"/>
    <xf numFmtId="166" fontId="30" fillId="0" borderId="0" applyFont="0" applyFill="0" applyBorder="0" applyAlignment="0" applyProtection="0"/>
    <xf numFmtId="0" fontId="94" fillId="84" borderId="0" applyNumberFormat="0" applyBorder="0" applyAlignment="0" applyProtection="0"/>
    <xf numFmtId="0" fontId="85" fillId="0" borderId="0"/>
    <xf numFmtId="0" fontId="34" fillId="0" borderId="0"/>
    <xf numFmtId="0" fontId="100" fillId="0" borderId="0" applyNumberFormat="0" applyFill="0" applyBorder="0" applyAlignment="0" applyProtection="0"/>
    <xf numFmtId="0" fontId="92" fillId="0" borderId="0"/>
    <xf numFmtId="44" fontId="30" fillId="0" borderId="0" applyFont="0" applyFill="0" applyBorder="0" applyAlignment="0" applyProtection="0"/>
    <xf numFmtId="0" fontId="85" fillId="0" borderId="0"/>
    <xf numFmtId="0" fontId="85"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40" fillId="0" borderId="0"/>
    <xf numFmtId="170" fontId="34" fillId="0" borderId="0"/>
    <xf numFmtId="170" fontId="34" fillId="0" borderId="0"/>
    <xf numFmtId="0" fontId="34" fillId="0" borderId="0"/>
    <xf numFmtId="0" fontId="77" fillId="0" borderId="0"/>
    <xf numFmtId="0" fontId="80" fillId="0" borderId="0"/>
    <xf numFmtId="166" fontId="30" fillId="0" borderId="0" applyFont="0" applyFill="0" applyBorder="0" applyAlignment="0" applyProtection="0"/>
    <xf numFmtId="0" fontId="88" fillId="100" borderId="93" applyNumberFormat="0" applyAlignment="0" applyProtection="0"/>
    <xf numFmtId="0" fontId="30"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90" fillId="87" borderId="93" applyNumberFormat="0" applyAlignment="0" applyProtection="0"/>
    <xf numFmtId="44"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0" fontId="92" fillId="0" borderId="0"/>
    <xf numFmtId="0" fontId="85" fillId="0" borderId="0"/>
    <xf numFmtId="0" fontId="85" fillId="0" borderId="0"/>
    <xf numFmtId="0" fontId="85" fillId="0" borderId="0"/>
    <xf numFmtId="0" fontId="85" fillId="0" borderId="0"/>
    <xf numFmtId="0" fontId="85" fillId="0" borderId="0"/>
    <xf numFmtId="0" fontId="85" fillId="0" borderId="0"/>
    <xf numFmtId="0" fontId="95" fillId="100" borderId="96" applyNumberFormat="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41"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43" fontId="2" fillId="0" borderId="0" applyFont="0" applyFill="0" applyBorder="0" applyAlignment="0" applyProtection="0"/>
    <xf numFmtId="0" fontId="30" fillId="101" borderId="95" applyNumberFormat="0" applyFont="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85" fillId="101" borderId="95" applyNumberFormat="0" applyFont="0" applyAlignment="0" applyProtection="0"/>
    <xf numFmtId="0" fontId="85" fillId="101" borderId="95" applyNumberFormat="0" applyFont="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88" fillId="100" borderId="93" applyNumberFormat="0" applyAlignment="0" applyProtection="0"/>
    <xf numFmtId="0" fontId="85" fillId="101" borderId="95" applyNumberFormat="0" applyFont="0" applyAlignment="0" applyProtection="0"/>
    <xf numFmtId="0" fontId="85" fillId="101" borderId="95" applyNumberFormat="0" applyFont="0" applyAlignment="0" applyProtection="0"/>
    <xf numFmtId="43" fontId="2" fillId="0" borderId="0" applyFont="0" applyFill="0" applyBorder="0" applyAlignment="0" applyProtection="0"/>
    <xf numFmtId="0" fontId="85" fillId="101" borderId="95" applyNumberFormat="0" applyFont="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30"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90" fillId="87" borderId="93" applyNumberFormat="0" applyAlignment="0" applyProtection="0"/>
    <xf numFmtId="0" fontId="85" fillId="101" borderId="95" applyNumberFormat="0" applyFont="0" applyAlignment="0" applyProtection="0"/>
    <xf numFmtId="0" fontId="85" fillId="101" borderId="95" applyNumberFormat="0" applyFont="0" applyAlignment="0" applyProtection="0"/>
    <xf numFmtId="0" fontId="88" fillId="100" borderId="93" applyNumberForma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0" fontId="85" fillId="101" borderId="95" applyNumberFormat="0" applyFont="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85" fillId="0" borderId="0"/>
    <xf numFmtId="166" fontId="30" fillId="0" borderId="0" applyFont="0" applyFill="0" applyBorder="0" applyAlignment="0" applyProtection="0"/>
    <xf numFmtId="0" fontId="42" fillId="0" borderId="0"/>
    <xf numFmtId="43" fontId="2" fillId="0" borderId="0" applyFont="0" applyFill="0" applyBorder="0" applyAlignment="0" applyProtection="0"/>
    <xf numFmtId="43" fontId="2" fillId="0" borderId="0" applyFont="0" applyFill="0" applyBorder="0" applyAlignment="0" applyProtection="0"/>
    <xf numFmtId="166" fontId="30" fillId="0" borderId="0" applyFont="0" applyFill="0" applyBorder="0" applyAlignment="0" applyProtection="0"/>
    <xf numFmtId="0" fontId="88" fillId="100" borderId="93" applyNumberFormat="0" applyAlignment="0" applyProtection="0"/>
    <xf numFmtId="0" fontId="30"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90" fillId="87" borderId="93" applyNumberFormat="0" applyAlignment="0" applyProtection="0"/>
    <xf numFmtId="44"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79" fontId="92" fillId="0" borderId="0" applyFont="0" applyFill="0" applyBorder="0" applyAlignment="0" applyProtection="0"/>
    <xf numFmtId="0" fontId="92" fillId="0" borderId="0"/>
    <xf numFmtId="0" fontId="85" fillId="0" borderId="0"/>
    <xf numFmtId="0" fontId="85" fillId="0" borderId="0"/>
    <xf numFmtId="0" fontId="85" fillId="0" borderId="0"/>
    <xf numFmtId="0" fontId="85" fillId="0" borderId="0"/>
    <xf numFmtId="0" fontId="85" fillId="0" borderId="0"/>
    <xf numFmtId="0" fontId="85" fillId="0" borderId="0"/>
    <xf numFmtId="0" fontId="95" fillId="100" borderId="96" applyNumberFormat="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6"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85" fillId="101" borderId="95" applyNumberFormat="0" applyFont="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90" fillId="87" borderId="93" applyNumberFormat="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166" fontId="30" fillId="0" borderId="0" applyFont="0" applyFill="0" applyBorder="0" applyAlignment="0" applyProtection="0"/>
    <xf numFmtId="0" fontId="88" fillId="100" borderId="93" applyNumberFormat="0" applyAlignment="0" applyProtection="0"/>
    <xf numFmtId="0" fontId="30"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90" fillId="87" borderId="93" applyNumberFormat="0" applyAlignment="0" applyProtection="0"/>
    <xf numFmtId="44"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0" fontId="85" fillId="0" borderId="0"/>
    <xf numFmtId="0" fontId="95" fillId="100" borderId="96" applyNumberFormat="0" applyAlignment="0" applyProtection="0"/>
    <xf numFmtId="43" fontId="2" fillId="0" borderId="0" applyFont="0" applyFill="0" applyBorder="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95" fillId="100" borderId="96" applyNumberFormat="0" applyAlignment="0" applyProtection="0"/>
    <xf numFmtId="0" fontId="85" fillId="101" borderId="95" applyNumberFormat="0" applyFont="0" applyAlignment="0" applyProtection="0"/>
    <xf numFmtId="0" fontId="85" fillId="101" borderId="95" applyNumberFormat="0" applyFont="0" applyAlignment="0" applyProtection="0"/>
    <xf numFmtId="0" fontId="95" fillId="100" borderId="96" applyNumberForma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0" fontId="85" fillId="101" borderId="95" applyNumberFormat="0" applyFont="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30"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30"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30"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30"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cellStyleXfs>
  <cellXfs count="362">
    <xf numFmtId="0" fontId="0" fillId="0" borderId="0" xfId="0"/>
    <xf numFmtId="0" fontId="1" fillId="0" borderId="1" xfId="0" applyFont="1" applyBorder="1"/>
    <xf numFmtId="0" fontId="1" fillId="0" borderId="2" xfId="0" applyFont="1" applyBorder="1"/>
    <xf numFmtId="0" fontId="1" fillId="0" borderId="6" xfId="0" applyFont="1" applyBorder="1"/>
    <xf numFmtId="0" fontId="1" fillId="0" borderId="7" xfId="0" applyFont="1" applyBorder="1"/>
    <xf numFmtId="0" fontId="19" fillId="0" borderId="2" xfId="0" applyFont="1" applyBorder="1"/>
    <xf numFmtId="0" fontId="19" fillId="0" borderId="32" xfId="0" applyFont="1" applyBorder="1"/>
    <xf numFmtId="0" fontId="19" fillId="0" borderId="1" xfId="0" applyFont="1" applyBorder="1"/>
    <xf numFmtId="4" fontId="20" fillId="35" borderId="5" xfId="0" applyNumberFormat="1" applyFont="1" applyFill="1" applyBorder="1" applyAlignment="1">
      <alignment horizontal="center" vertical="center" wrapText="1"/>
    </xf>
    <xf numFmtId="0" fontId="19" fillId="0" borderId="7" xfId="0" applyFont="1" applyBorder="1"/>
    <xf numFmtId="43" fontId="19" fillId="36" borderId="5" xfId="1" applyFont="1" applyFill="1" applyBorder="1" applyAlignment="1">
      <alignment horizontal="center" vertical="center" wrapText="1"/>
    </xf>
    <xf numFmtId="0" fontId="19" fillId="0" borderId="4" xfId="0" applyFont="1" applyBorder="1"/>
    <xf numFmtId="0" fontId="19" fillId="0" borderId="25" xfId="0" applyFont="1" applyBorder="1"/>
    <xf numFmtId="0" fontId="23" fillId="0" borderId="1" xfId="0" applyFont="1" applyBorder="1"/>
    <xf numFmtId="0" fontId="23" fillId="0" borderId="6" xfId="0" applyFont="1" applyBorder="1"/>
    <xf numFmtId="0" fontId="23" fillId="0" borderId="2" xfId="0" applyFont="1" applyBorder="1"/>
    <xf numFmtId="0" fontId="23" fillId="0" borderId="4" xfId="0" applyFont="1" applyBorder="1"/>
    <xf numFmtId="4" fontId="24" fillId="35" borderId="5" xfId="0" applyNumberFormat="1" applyFont="1" applyFill="1" applyBorder="1" applyAlignment="1">
      <alignment horizontal="center" vertical="center" wrapText="1"/>
    </xf>
    <xf numFmtId="0" fontId="25" fillId="35" borderId="11" xfId="0" applyFont="1" applyFill="1" applyBorder="1" applyAlignment="1">
      <alignment horizontal="center" vertical="center" wrapText="1"/>
    </xf>
    <xf numFmtId="0" fontId="23" fillId="36" borderId="5" xfId="0" applyFont="1" applyFill="1" applyBorder="1" applyAlignment="1">
      <alignment horizontal="center" vertical="center" wrapText="1"/>
    </xf>
    <xf numFmtId="164" fontId="23" fillId="36" borderId="5" xfId="1" applyNumberFormat="1" applyFont="1" applyFill="1" applyBorder="1" applyAlignment="1">
      <alignment horizontal="center" vertical="center" wrapText="1"/>
    </xf>
    <xf numFmtId="43" fontId="23" fillId="36" borderId="5" xfId="1" applyFont="1" applyFill="1" applyBorder="1" applyAlignment="1">
      <alignment horizontal="center" vertical="center" wrapText="1"/>
    </xf>
    <xf numFmtId="4" fontId="28" fillId="36" borderId="5" xfId="0" applyNumberFormat="1" applyFont="1" applyFill="1" applyBorder="1" applyAlignment="1">
      <alignment horizontal="center" vertical="center" wrapText="1"/>
    </xf>
    <xf numFmtId="0" fontId="23" fillId="0" borderId="8" xfId="0" applyFont="1" applyBorder="1"/>
    <xf numFmtId="0" fontId="23" fillId="36" borderId="0" xfId="0" applyFont="1" applyFill="1"/>
    <xf numFmtId="2" fontId="23" fillId="36" borderId="5" xfId="1" applyNumberFormat="1" applyFont="1" applyFill="1" applyBorder="1" applyAlignment="1">
      <alignment horizontal="center" vertical="center" wrapText="1"/>
    </xf>
    <xf numFmtId="165" fontId="23" fillId="36" borderId="5" xfId="1" applyNumberFormat="1" applyFont="1" applyFill="1" applyBorder="1" applyAlignment="1">
      <alignment horizontal="center" vertical="center" wrapText="1"/>
    </xf>
    <xf numFmtId="0" fontId="23" fillId="36" borderId="5" xfId="0" applyFont="1" applyFill="1" applyBorder="1" applyAlignment="1">
      <alignment vertical="center"/>
    </xf>
    <xf numFmtId="0" fontId="82" fillId="78" borderId="65" xfId="0" applyFont="1" applyFill="1" applyBorder="1"/>
    <xf numFmtId="0" fontId="82" fillId="36" borderId="0" xfId="293" applyFont="1" applyFill="1"/>
    <xf numFmtId="1" fontId="28" fillId="78" borderId="52" xfId="0" applyNumberFormat="1" applyFont="1" applyFill="1" applyBorder="1" applyAlignment="1">
      <alignment horizontal="center" vertical="center"/>
    </xf>
    <xf numFmtId="0" fontId="28" fillId="78" borderId="52" xfId="0" applyFont="1" applyFill="1" applyBorder="1" applyAlignment="1">
      <alignment horizontal="center" vertical="center"/>
    </xf>
    <xf numFmtId="0" fontId="28" fillId="78" borderId="53" xfId="0" applyFont="1" applyFill="1" applyBorder="1"/>
    <xf numFmtId="0" fontId="22" fillId="36" borderId="5" xfId="0" applyFont="1" applyFill="1" applyBorder="1" applyAlignment="1">
      <alignment horizontal="center" vertical="center" wrapText="1"/>
    </xf>
    <xf numFmtId="4" fontId="22" fillId="36" borderId="5" xfId="0" applyNumberFormat="1" applyFont="1" applyFill="1" applyBorder="1" applyAlignment="1">
      <alignment horizontal="center" vertical="center"/>
    </xf>
    <xf numFmtId="0" fontId="14" fillId="35" borderId="5" xfId="0" applyFont="1" applyFill="1" applyBorder="1" applyAlignment="1">
      <alignment horizontal="center" vertical="center"/>
    </xf>
    <xf numFmtId="1" fontId="22" fillId="36" borderId="5" xfId="0" applyNumberFormat="1" applyFont="1" applyFill="1" applyBorder="1" applyAlignment="1">
      <alignment horizontal="center" vertical="center"/>
    </xf>
    <xf numFmtId="1" fontId="22" fillId="36" borderId="5" xfId="0" applyNumberFormat="1" applyFont="1" applyFill="1" applyBorder="1" applyAlignment="1">
      <alignment horizontal="center" vertical="center" wrapText="1"/>
    </xf>
    <xf numFmtId="0" fontId="14" fillId="35" borderId="5" xfId="0" applyFont="1" applyFill="1" applyBorder="1" applyAlignment="1">
      <alignment horizontal="center" vertical="center" wrapText="1"/>
    </xf>
    <xf numFmtId="1" fontId="0" fillId="36" borderId="5" xfId="0" applyNumberFormat="1" applyFill="1" applyBorder="1" applyAlignment="1">
      <alignment horizontal="center" vertical="center" wrapText="1"/>
    </xf>
    <xf numFmtId="0" fontId="82" fillId="78" borderId="48" xfId="0" applyFont="1" applyFill="1" applyBorder="1" applyAlignment="1">
      <alignment horizontal="left" vertical="center"/>
    </xf>
    <xf numFmtId="167" fontId="82" fillId="36" borderId="0" xfId="133" applyNumberFormat="1" applyFont="1" applyFill="1" applyAlignment="1">
      <alignment horizontal="center"/>
    </xf>
    <xf numFmtId="0" fontId="82" fillId="37" borderId="34" xfId="293" applyFont="1" applyFill="1" applyBorder="1" applyAlignment="1">
      <alignment vertical="center"/>
    </xf>
    <xf numFmtId="167" fontId="82" fillId="0" borderId="34" xfId="293" applyNumberFormat="1" applyFont="1" applyBorder="1" applyAlignment="1">
      <alignment horizontal="center"/>
    </xf>
    <xf numFmtId="0" fontId="23" fillId="0" borderId="50" xfId="0" applyFont="1" applyBorder="1" applyAlignment="1">
      <alignment horizontal="center"/>
    </xf>
    <xf numFmtId="167" fontId="82" fillId="39" borderId="34" xfId="293" applyNumberFormat="1" applyFont="1" applyFill="1" applyBorder="1"/>
    <xf numFmtId="0" fontId="82" fillId="78" borderId="48" xfId="0" applyFont="1" applyFill="1" applyBorder="1" applyAlignment="1">
      <alignment vertical="center"/>
    </xf>
    <xf numFmtId="0" fontId="82" fillId="78" borderId="65" xfId="0" applyFont="1" applyFill="1" applyBorder="1" applyAlignment="1">
      <alignment horizontal="center" vertical="center"/>
    </xf>
    <xf numFmtId="167" fontId="23" fillId="78" borderId="66" xfId="0" applyNumberFormat="1" applyFont="1" applyFill="1" applyBorder="1"/>
    <xf numFmtId="174" fontId="23" fillId="36" borderId="5" xfId="1" applyNumberFormat="1" applyFont="1" applyFill="1" applyBorder="1" applyAlignment="1">
      <alignment horizontal="center" vertical="center" wrapText="1"/>
    </xf>
    <xf numFmtId="1" fontId="28" fillId="78" borderId="52" xfId="0" applyNumberFormat="1" applyFont="1" applyFill="1" applyBorder="1" applyAlignment="1">
      <alignment horizontal="center"/>
    </xf>
    <xf numFmtId="167" fontId="82" fillId="39" borderId="34" xfId="133" applyNumberFormat="1" applyFont="1" applyFill="1" applyBorder="1"/>
    <xf numFmtId="0" fontId="82" fillId="78" borderId="60" xfId="0" applyFont="1" applyFill="1" applyBorder="1" applyAlignment="1">
      <alignment vertical="center"/>
    </xf>
    <xf numFmtId="0" fontId="28" fillId="78" borderId="52" xfId="0" applyFont="1" applyFill="1" applyBorder="1" applyAlignment="1">
      <alignment horizontal="center"/>
    </xf>
    <xf numFmtId="0" fontId="28" fillId="78" borderId="53" xfId="0" applyFont="1" applyFill="1" applyBorder="1" applyAlignment="1">
      <alignment vertical="center"/>
    </xf>
    <xf numFmtId="167" fontId="82" fillId="39" borderId="34" xfId="293" applyNumberFormat="1" applyFont="1" applyFill="1" applyBorder="1" applyAlignment="1">
      <alignment horizontal="center" vertical="center"/>
    </xf>
    <xf numFmtId="167" fontId="23" fillId="78" borderId="69" xfId="0" applyNumberFormat="1" applyFont="1" applyFill="1" applyBorder="1"/>
    <xf numFmtId="0" fontId="28" fillId="78" borderId="51" xfId="0" applyFont="1" applyFill="1" applyBorder="1" applyAlignment="1">
      <alignment vertical="center"/>
    </xf>
    <xf numFmtId="167" fontId="82" fillId="2" borderId="34" xfId="293" applyNumberFormat="1" applyFont="1" applyFill="1" applyBorder="1" applyAlignment="1">
      <alignment horizontal="center" vertical="center"/>
    </xf>
    <xf numFmtId="0" fontId="82" fillId="78" borderId="48" xfId="0" applyFont="1" applyFill="1" applyBorder="1" applyAlignment="1">
      <alignment horizontal="right" vertical="center"/>
    </xf>
    <xf numFmtId="0" fontId="82" fillId="78" borderId="74" xfId="0" applyFont="1" applyFill="1" applyBorder="1"/>
    <xf numFmtId="167" fontId="82" fillId="36" borderId="0" xfId="133" applyNumberFormat="1" applyFont="1" applyFill="1"/>
    <xf numFmtId="0" fontId="23" fillId="78" borderId="72" xfId="0" applyFont="1" applyFill="1" applyBorder="1" applyAlignment="1">
      <alignment vertical="center"/>
    </xf>
    <xf numFmtId="0" fontId="82" fillId="78" borderId="57" xfId="0" applyFont="1" applyFill="1" applyBorder="1" applyAlignment="1">
      <alignment vertical="center"/>
    </xf>
    <xf numFmtId="0" fontId="82" fillId="78" borderId="68" xfId="0" applyFont="1" applyFill="1" applyBorder="1"/>
    <xf numFmtId="0" fontId="82" fillId="37" borderId="34" xfId="293" applyFont="1" applyFill="1" applyBorder="1"/>
    <xf numFmtId="0" fontId="82" fillId="78" borderId="58" xfId="0" applyFont="1" applyFill="1" applyBorder="1" applyAlignment="1">
      <alignment horizontal="center" vertical="center"/>
    </xf>
    <xf numFmtId="3" fontId="82" fillId="78" borderId="54" xfId="0" applyNumberFormat="1" applyFont="1" applyFill="1" applyBorder="1" applyAlignment="1">
      <alignment horizontal="center" vertical="center"/>
    </xf>
    <xf numFmtId="0" fontId="82" fillId="78" borderId="61" xfId="0" applyFont="1" applyFill="1" applyBorder="1" applyAlignment="1">
      <alignment horizontal="center" vertical="center"/>
    </xf>
    <xf numFmtId="0" fontId="23" fillId="78" borderId="56" xfId="0" applyFont="1" applyFill="1" applyBorder="1" applyAlignment="1">
      <alignment vertical="center"/>
    </xf>
    <xf numFmtId="173" fontId="23" fillId="36" borderId="5" xfId="84" applyNumberFormat="1" applyFont="1" applyFill="1" applyBorder="1" applyAlignment="1">
      <alignment horizontal="center" vertical="center" wrapText="1"/>
    </xf>
    <xf numFmtId="167" fontId="82" fillId="36" borderId="0" xfId="293" applyNumberFormat="1" applyFont="1" applyFill="1"/>
    <xf numFmtId="167" fontId="82" fillId="2" borderId="34" xfId="293" applyNumberFormat="1" applyFont="1" applyFill="1" applyBorder="1" applyAlignment="1">
      <alignment horizontal="center"/>
    </xf>
    <xf numFmtId="0" fontId="28" fillId="78" borderId="52" xfId="0" quotePrefix="1" applyFont="1" applyFill="1" applyBorder="1" applyAlignment="1">
      <alignment horizontal="center" vertical="center"/>
    </xf>
    <xf numFmtId="43" fontId="23" fillId="0" borderId="5" xfId="84" applyFont="1" applyFill="1" applyBorder="1" applyAlignment="1">
      <alignment horizontal="center" vertical="center" wrapText="1"/>
    </xf>
    <xf numFmtId="0" fontId="82" fillId="78" borderId="58" xfId="0" applyFont="1" applyFill="1" applyBorder="1"/>
    <xf numFmtId="167" fontId="23" fillId="78" borderId="59" xfId="0" applyNumberFormat="1" applyFont="1" applyFill="1" applyBorder="1"/>
    <xf numFmtId="3" fontId="82" fillId="78" borderId="55" xfId="0" applyNumberFormat="1" applyFont="1" applyFill="1" applyBorder="1" applyAlignment="1">
      <alignment horizontal="center" vertical="center"/>
    </xf>
    <xf numFmtId="0" fontId="82" fillId="78" borderId="70" xfId="0" applyFont="1" applyFill="1" applyBorder="1"/>
    <xf numFmtId="0" fontId="82" fillId="78" borderId="74" xfId="0" applyFont="1" applyFill="1" applyBorder="1" applyAlignment="1">
      <alignment horizontal="center" vertical="center"/>
    </xf>
    <xf numFmtId="0" fontId="28" fillId="78" borderId="53" xfId="0" applyFont="1" applyFill="1" applyBorder="1" applyAlignment="1">
      <alignment horizontal="left" vertical="center"/>
    </xf>
    <xf numFmtId="167" fontId="82" fillId="0" borderId="35" xfId="293" applyNumberFormat="1" applyFont="1" applyBorder="1" applyAlignment="1">
      <alignment horizontal="center"/>
    </xf>
    <xf numFmtId="0" fontId="23" fillId="78" borderId="67" xfId="0" applyFont="1" applyFill="1" applyBorder="1" applyAlignment="1">
      <alignment vertical="center"/>
    </xf>
    <xf numFmtId="0" fontId="82" fillId="0" borderId="34" xfId="293" applyFont="1" applyBorder="1"/>
    <xf numFmtId="167" fontId="23" fillId="78" borderId="75" xfId="0" applyNumberFormat="1" applyFont="1" applyFill="1" applyBorder="1"/>
    <xf numFmtId="0" fontId="23" fillId="36" borderId="5" xfId="0" applyFont="1" applyFill="1" applyBorder="1" applyAlignment="1">
      <alignment horizontal="left" vertical="center" wrapText="1"/>
    </xf>
    <xf numFmtId="167" fontId="82" fillId="37" borderId="34" xfId="133" applyNumberFormat="1" applyFont="1" applyFill="1" applyBorder="1" applyAlignment="1">
      <alignment horizontal="center"/>
    </xf>
    <xf numFmtId="0" fontId="82" fillId="78" borderId="61" xfId="0" applyFont="1" applyFill="1" applyBorder="1"/>
    <xf numFmtId="43" fontId="23" fillId="36" borderId="5" xfId="84" applyFont="1" applyFill="1" applyBorder="1" applyAlignment="1">
      <alignment horizontal="center" vertical="center" wrapText="1"/>
    </xf>
    <xf numFmtId="0" fontId="82" fillId="78" borderId="64" xfId="0" applyFont="1" applyFill="1" applyBorder="1" applyAlignment="1">
      <alignment vertical="center"/>
    </xf>
    <xf numFmtId="168" fontId="82" fillId="2" borderId="34" xfId="293" applyNumberFormat="1" applyFont="1" applyFill="1" applyBorder="1" applyAlignment="1">
      <alignment horizontal="center" vertical="center"/>
    </xf>
    <xf numFmtId="0" fontId="23" fillId="0" borderId="49" xfId="0" applyFont="1" applyBorder="1" applyAlignment="1">
      <alignment horizontal="center"/>
    </xf>
    <xf numFmtId="0" fontId="82" fillId="78" borderId="73" xfId="0" applyFont="1" applyFill="1" applyBorder="1" applyAlignment="1">
      <alignment vertical="center"/>
    </xf>
    <xf numFmtId="0" fontId="82" fillId="78" borderId="68" xfId="0" applyFont="1" applyFill="1" applyBorder="1" applyAlignment="1">
      <alignment horizontal="center" vertical="center"/>
    </xf>
    <xf numFmtId="167" fontId="23" fillId="78" borderId="62" xfId="0" applyNumberFormat="1" applyFont="1" applyFill="1" applyBorder="1"/>
    <xf numFmtId="0" fontId="23" fillId="78" borderId="72" xfId="0" applyFont="1" applyFill="1" applyBorder="1" applyAlignment="1">
      <alignment horizontal="left" vertical="center"/>
    </xf>
    <xf numFmtId="0" fontId="23" fillId="0" borderId="0" xfId="0" applyFont="1"/>
    <xf numFmtId="167" fontId="82" fillId="39" borderId="34" xfId="293" applyNumberFormat="1" applyFont="1" applyFill="1" applyBorder="1" applyAlignment="1">
      <alignment horizontal="center"/>
    </xf>
    <xf numFmtId="167" fontId="82" fillId="37" borderId="34" xfId="293" applyNumberFormat="1" applyFont="1" applyFill="1" applyBorder="1" applyAlignment="1">
      <alignment horizontal="center"/>
    </xf>
    <xf numFmtId="1" fontId="28" fillId="78" borderId="50" xfId="0" applyNumberFormat="1" applyFont="1" applyFill="1" applyBorder="1" applyAlignment="1">
      <alignment horizontal="center"/>
    </xf>
    <xf numFmtId="167" fontId="82" fillId="0" borderId="34" xfId="133" applyNumberFormat="1" applyFont="1" applyBorder="1" applyAlignment="1">
      <alignment horizontal="center"/>
    </xf>
    <xf numFmtId="4" fontId="24" fillId="35" borderId="27" xfId="0" applyNumberFormat="1" applyFont="1" applyFill="1" applyBorder="1" applyAlignment="1">
      <alignment horizontal="center" vertical="center" wrapText="1"/>
    </xf>
    <xf numFmtId="0" fontId="23" fillId="36" borderId="30" xfId="0" applyFont="1" applyFill="1" applyBorder="1" applyAlignment="1">
      <alignment horizontal="center" vertical="center" wrapText="1"/>
    </xf>
    <xf numFmtId="0" fontId="23" fillId="36" borderId="13" xfId="0" applyFont="1" applyFill="1" applyBorder="1" applyAlignment="1">
      <alignment horizontal="center" vertical="center" wrapText="1"/>
    </xf>
    <xf numFmtId="0" fontId="23" fillId="36" borderId="12" xfId="0" applyFont="1" applyFill="1" applyBorder="1" applyAlignment="1">
      <alignment horizontal="left" vertical="center"/>
    </xf>
    <xf numFmtId="0" fontId="23" fillId="36" borderId="13" xfId="0" applyFont="1" applyFill="1" applyBorder="1" applyAlignment="1">
      <alignment horizontal="left" vertical="center"/>
    </xf>
    <xf numFmtId="4" fontId="24" fillId="35" borderId="12" xfId="0" applyNumberFormat="1" applyFont="1" applyFill="1" applyBorder="1" applyAlignment="1">
      <alignment horizontal="center" vertical="center" wrapText="1"/>
    </xf>
    <xf numFmtId="4" fontId="24" fillId="35" borderId="13" xfId="0" applyNumberFormat="1" applyFont="1" applyFill="1" applyBorder="1" applyAlignment="1">
      <alignment horizontal="center" vertical="center" wrapText="1"/>
    </xf>
    <xf numFmtId="4" fontId="24" fillId="35" borderId="14" xfId="0" applyNumberFormat="1" applyFont="1" applyFill="1" applyBorder="1" applyAlignment="1">
      <alignment horizontal="center" vertical="center" wrapText="1"/>
    </xf>
    <xf numFmtId="0" fontId="23" fillId="36" borderId="30" xfId="0" applyFont="1" applyFill="1" applyBorder="1" applyAlignment="1">
      <alignment horizontal="left" vertical="center"/>
    </xf>
    <xf numFmtId="0" fontId="28" fillId="34" borderId="13" xfId="0" applyFont="1" applyFill="1" applyBorder="1" applyAlignment="1">
      <alignment horizontal="center" vertical="center" wrapText="1"/>
    </xf>
    <xf numFmtId="175" fontId="23" fillId="36" borderId="5" xfId="1" applyNumberFormat="1" applyFont="1" applyFill="1" applyBorder="1" applyAlignment="1">
      <alignment horizontal="center" vertical="center" wrapText="1"/>
    </xf>
    <xf numFmtId="0" fontId="25" fillId="35" borderId="27" xfId="0" applyFont="1" applyFill="1" applyBorder="1" applyAlignment="1">
      <alignment horizontal="center" vertical="center" wrapText="1"/>
    </xf>
    <xf numFmtId="0" fontId="23" fillId="0" borderId="7" xfId="0" applyFont="1" applyBorder="1"/>
    <xf numFmtId="0" fontId="28" fillId="36" borderId="13" xfId="0" applyFont="1" applyFill="1" applyBorder="1" applyAlignment="1">
      <alignment horizontal="center" vertical="center" wrapText="1"/>
    </xf>
    <xf numFmtId="0" fontId="28" fillId="36" borderId="30" xfId="0" applyFont="1" applyFill="1" applyBorder="1" applyAlignment="1">
      <alignment horizontal="center" vertical="center" wrapText="1"/>
    </xf>
    <xf numFmtId="0" fontId="23" fillId="36" borderId="14" xfId="0" applyFont="1" applyFill="1" applyBorder="1" applyAlignment="1">
      <alignment horizontal="center" vertical="center" wrapText="1"/>
    </xf>
    <xf numFmtId="4" fontId="24" fillId="35" borderId="28" xfId="0" applyNumberFormat="1" applyFont="1" applyFill="1" applyBorder="1" applyAlignment="1">
      <alignment horizontal="center" vertical="center" wrapText="1"/>
    </xf>
    <xf numFmtId="4" fontId="24" fillId="35" borderId="11" xfId="0" applyNumberFormat="1" applyFont="1" applyFill="1" applyBorder="1" applyAlignment="1">
      <alignment horizontal="center" vertical="center" wrapText="1"/>
    </xf>
    <xf numFmtId="4" fontId="24" fillId="35" borderId="81" xfId="0" applyNumberFormat="1" applyFont="1" applyFill="1" applyBorder="1" applyAlignment="1">
      <alignment horizontal="center" vertical="center" wrapText="1"/>
    </xf>
    <xf numFmtId="0" fontId="23" fillId="36" borderId="31" xfId="0" applyFont="1" applyFill="1" applyBorder="1" applyAlignment="1">
      <alignment horizontal="center" vertical="center" wrapText="1"/>
    </xf>
    <xf numFmtId="43" fontId="23" fillId="0" borderId="10" xfId="84" applyFont="1" applyFill="1" applyBorder="1" applyAlignment="1">
      <alignment horizontal="center" vertical="center" wrapText="1"/>
    </xf>
    <xf numFmtId="0" fontId="23" fillId="36" borderId="81" xfId="0" applyFont="1" applyFill="1" applyBorder="1" applyAlignment="1">
      <alignment horizontal="left" vertical="center"/>
    </xf>
    <xf numFmtId="0" fontId="23" fillId="36" borderId="13" xfId="0" applyFont="1" applyFill="1" applyBorder="1" applyAlignment="1">
      <alignment horizontal="left" vertical="center" wrapText="1"/>
    </xf>
    <xf numFmtId="2" fontId="23" fillId="36" borderId="5" xfId="1" applyNumberFormat="1" applyFont="1" applyFill="1" applyBorder="1" applyAlignment="1">
      <alignment horizontal="right" vertical="center" wrapText="1"/>
    </xf>
    <xf numFmtId="0" fontId="23" fillId="0" borderId="108" xfId="0" applyFont="1" applyBorder="1"/>
    <xf numFmtId="0" fontId="1" fillId="0" borderId="4" xfId="0" applyFont="1" applyBorder="1"/>
    <xf numFmtId="0" fontId="1" fillId="0" borderId="3" xfId="0" applyFont="1" applyBorder="1"/>
    <xf numFmtId="0" fontId="1" fillId="2" borderId="5" xfId="0" applyFont="1" applyFill="1" applyBorder="1"/>
    <xf numFmtId="0" fontId="1" fillId="104" borderId="5" xfId="0" applyFont="1" applyFill="1" applyBorder="1"/>
    <xf numFmtId="0" fontId="1" fillId="105" borderId="5" xfId="0" applyFont="1" applyFill="1" applyBorder="1"/>
    <xf numFmtId="0" fontId="104" fillId="0" borderId="0" xfId="1013" applyFont="1" applyFill="1" applyAlignment="1" applyProtection="1"/>
    <xf numFmtId="0" fontId="1" fillId="106" borderId="5" xfId="0" applyFont="1" applyFill="1" applyBorder="1" applyAlignment="1">
      <alignment horizontal="left" vertical="center"/>
    </xf>
    <xf numFmtId="0" fontId="1" fillId="36" borderId="5" xfId="0" applyFont="1" applyFill="1" applyBorder="1" applyAlignment="1">
      <alignment horizontal="left" vertical="center"/>
    </xf>
    <xf numFmtId="0" fontId="103" fillId="0" borderId="5" xfId="0" applyFont="1" applyBorder="1" applyAlignment="1">
      <alignment horizontal="left" vertical="center"/>
    </xf>
    <xf numFmtId="0" fontId="106" fillId="0" borderId="6" xfId="0" applyFont="1" applyBorder="1"/>
    <xf numFmtId="0" fontId="106" fillId="0" borderId="1" xfId="0" applyFont="1" applyBorder="1"/>
    <xf numFmtId="0" fontId="106" fillId="106" borderId="5" xfId="0" applyFont="1" applyFill="1" applyBorder="1" applyAlignment="1">
      <alignment horizontal="center" vertical="center"/>
    </xf>
    <xf numFmtId="0" fontId="106" fillId="0" borderId="80" xfId="0" applyFont="1" applyBorder="1"/>
    <xf numFmtId="0" fontId="106" fillId="0" borderId="4" xfId="0" applyFont="1" applyBorder="1"/>
    <xf numFmtId="0" fontId="106" fillId="0" borderId="25" xfId="0" applyFont="1" applyBorder="1" applyAlignment="1">
      <alignment horizontal="center" vertical="center"/>
    </xf>
    <xf numFmtId="0" fontId="106" fillId="0" borderId="109" xfId="0" applyFont="1" applyBorder="1" applyAlignment="1">
      <alignment horizontal="center" vertical="center"/>
    </xf>
    <xf numFmtId="0" fontId="106" fillId="0" borderId="3" xfId="0" applyFont="1" applyBorder="1" applyAlignment="1">
      <alignment horizontal="center" vertical="center"/>
    </xf>
    <xf numFmtId="0" fontId="108" fillId="0" borderId="1" xfId="0" applyFont="1" applyBorder="1"/>
    <xf numFmtId="0" fontId="106" fillId="0" borderId="1" xfId="0" applyFont="1" applyBorder="1" applyAlignment="1">
      <alignment horizontal="center" vertical="center"/>
    </xf>
    <xf numFmtId="0" fontId="106" fillId="0" borderId="26" xfId="0" applyFont="1" applyBorder="1" applyAlignment="1">
      <alignment horizontal="center" vertical="center"/>
    </xf>
    <xf numFmtId="0" fontId="106" fillId="0" borderId="0" xfId="0" applyFont="1" applyAlignment="1">
      <alignment horizontal="center" vertical="center"/>
    </xf>
    <xf numFmtId="0" fontId="106" fillId="0" borderId="6" xfId="0" applyFont="1" applyBorder="1" applyAlignment="1">
      <alignment horizontal="center" vertical="center"/>
    </xf>
    <xf numFmtId="0" fontId="106" fillId="0" borderId="7" xfId="0" applyFont="1" applyBorder="1"/>
    <xf numFmtId="0" fontId="109" fillId="0" borderId="7" xfId="0" applyFont="1" applyBorder="1"/>
    <xf numFmtId="0" fontId="106" fillId="0" borderId="8" xfId="0" applyFont="1" applyBorder="1"/>
    <xf numFmtId="0" fontId="106" fillId="0" borderId="9" xfId="0" applyFont="1" applyBorder="1"/>
    <xf numFmtId="0" fontId="106" fillId="0" borderId="5" xfId="0" applyFont="1" applyBorder="1" applyAlignment="1">
      <alignment horizontal="center" vertical="center" wrapText="1"/>
    </xf>
    <xf numFmtId="2" fontId="106" fillId="2" borderId="5" xfId="0" applyNumberFormat="1" applyFont="1" applyFill="1" applyBorder="1" applyAlignment="1">
      <alignment horizontal="center" vertical="center" wrapText="1"/>
    </xf>
    <xf numFmtId="0" fontId="106" fillId="106" borderId="5" xfId="0" applyFont="1" applyFill="1" applyBorder="1" applyAlignment="1">
      <alignment horizontal="center"/>
    </xf>
    <xf numFmtId="0" fontId="106" fillId="104" borderId="5" xfId="0" applyFont="1" applyFill="1" applyBorder="1" applyAlignment="1">
      <alignment horizontal="center" vertical="center" wrapText="1"/>
    </xf>
    <xf numFmtId="43" fontId="106" fillId="105" borderId="5" xfId="1" applyFont="1" applyFill="1" applyBorder="1" applyAlignment="1">
      <alignment horizontal="center" vertical="center" wrapText="1"/>
    </xf>
    <xf numFmtId="0" fontId="109" fillId="106" borderId="5" xfId="0" applyFont="1" applyFill="1" applyBorder="1" applyAlignment="1">
      <alignment vertical="center"/>
    </xf>
    <xf numFmtId="0" fontId="106" fillId="2" borderId="5" xfId="0" applyFont="1" applyFill="1" applyBorder="1" applyAlignment="1">
      <alignment horizontal="center" vertical="center" wrapText="1"/>
    </xf>
    <xf numFmtId="0" fontId="106" fillId="106" borderId="5" xfId="0" applyFont="1" applyFill="1" applyBorder="1" applyAlignment="1">
      <alignment horizontal="center" vertical="center" wrapText="1"/>
    </xf>
    <xf numFmtId="0" fontId="106" fillId="106" borderId="5" xfId="0" applyFont="1" applyFill="1" applyBorder="1" applyAlignment="1">
      <alignment vertical="center"/>
    </xf>
    <xf numFmtId="0" fontId="109" fillId="0" borderId="6" xfId="0" applyFont="1" applyBorder="1"/>
    <xf numFmtId="0" fontId="109" fillId="0" borderId="1" xfId="0" applyFont="1" applyBorder="1"/>
    <xf numFmtId="0" fontId="108" fillId="0" borderId="6" xfId="0" applyFont="1" applyBorder="1"/>
    <xf numFmtId="0" fontId="108" fillId="0" borderId="4" xfId="0" applyFont="1" applyBorder="1"/>
    <xf numFmtId="0" fontId="108" fillId="0" borderId="7" xfId="0" applyFont="1" applyBorder="1"/>
    <xf numFmtId="0" fontId="106" fillId="0" borderId="4" xfId="0" applyFont="1" applyBorder="1" applyAlignment="1">
      <alignment horizontal="center" vertical="center"/>
    </xf>
    <xf numFmtId="176" fontId="106" fillId="104" borderId="5" xfId="0" applyNumberFormat="1" applyFont="1" applyFill="1" applyBorder="1" applyAlignment="1">
      <alignment horizontal="center" vertical="center" wrapText="1"/>
    </xf>
    <xf numFmtId="0" fontId="108" fillId="0" borderId="4" xfId="0" applyFont="1" applyBorder="1" applyAlignment="1">
      <alignment horizontal="center"/>
    </xf>
    <xf numFmtId="0" fontId="108" fillId="0" borderId="25" xfId="0" applyFont="1" applyBorder="1" applyAlignment="1">
      <alignment horizontal="center" vertical="center"/>
    </xf>
    <xf numFmtId="0" fontId="108" fillId="0" borderId="3" xfId="0" applyFont="1" applyBorder="1" applyAlignment="1">
      <alignment horizontal="center" vertical="center"/>
    </xf>
    <xf numFmtId="0" fontId="106" fillId="106" borderId="5" xfId="0" applyFont="1" applyFill="1" applyBorder="1"/>
    <xf numFmtId="0" fontId="106" fillId="2" borderId="5" xfId="0" applyFont="1" applyFill="1" applyBorder="1" applyAlignment="1">
      <alignment vertical="center" wrapText="1"/>
    </xf>
    <xf numFmtId="176" fontId="106" fillId="105" borderId="5" xfId="0" applyNumberFormat="1" applyFont="1" applyFill="1" applyBorder="1" applyAlignment="1">
      <alignment horizontal="center" vertical="center" wrapText="1"/>
    </xf>
    <xf numFmtId="0" fontId="108" fillId="0" borderId="26" xfId="0" applyFont="1" applyBorder="1" applyAlignment="1">
      <alignment horizontal="center" vertical="center"/>
    </xf>
    <xf numFmtId="0" fontId="111" fillId="0" borderId="5" xfId="0" applyFont="1" applyBorder="1" applyAlignment="1">
      <alignment horizontal="center" vertical="center" wrapText="1"/>
    </xf>
    <xf numFmtId="4" fontId="107" fillId="35" borderId="27" xfId="0" applyNumberFormat="1" applyFont="1" applyFill="1" applyBorder="1" applyAlignment="1">
      <alignment horizontal="center" vertical="center" wrapText="1"/>
    </xf>
    <xf numFmtId="0" fontId="106" fillId="36" borderId="13" xfId="0" applyFont="1" applyFill="1" applyBorder="1" applyAlignment="1">
      <alignment horizontal="center" vertical="center" wrapText="1"/>
    </xf>
    <xf numFmtId="168" fontId="106" fillId="2" borderId="5" xfId="0" applyNumberFormat="1" applyFont="1" applyFill="1" applyBorder="1" applyAlignment="1">
      <alignment horizontal="center" vertical="center" wrapText="1"/>
    </xf>
    <xf numFmtId="43" fontId="106" fillId="104" borderId="5" xfId="1" applyFont="1" applyFill="1" applyBorder="1" applyAlignment="1">
      <alignment horizontal="center" vertical="center" wrapText="1"/>
    </xf>
    <xf numFmtId="0" fontId="106" fillId="36" borderId="30" xfId="0" applyFont="1" applyFill="1" applyBorder="1" applyAlignment="1">
      <alignment horizontal="center" vertical="center" wrapText="1"/>
    </xf>
    <xf numFmtId="43" fontId="108" fillId="0" borderId="1" xfId="1" applyFont="1" applyBorder="1"/>
    <xf numFmtId="0" fontId="109" fillId="0" borderId="4" xfId="0" applyFont="1" applyBorder="1"/>
    <xf numFmtId="0" fontId="109" fillId="0" borderId="25" xfId="0" applyFont="1" applyBorder="1" applyAlignment="1">
      <alignment horizontal="center" vertical="center"/>
    </xf>
    <xf numFmtId="0" fontId="109" fillId="0" borderId="4" xfId="0" applyFont="1" applyBorder="1" applyAlignment="1">
      <alignment horizontal="center" vertical="center"/>
    </xf>
    <xf numFmtId="0" fontId="109" fillId="0" borderId="5" xfId="0" applyFont="1" applyBorder="1" applyAlignment="1">
      <alignment horizontal="center" vertical="center" wrapText="1"/>
    </xf>
    <xf numFmtId="0" fontId="109" fillId="0" borderId="3" xfId="0" applyFont="1" applyBorder="1" applyAlignment="1">
      <alignment horizontal="center" vertical="center"/>
    </xf>
    <xf numFmtId="0" fontId="109" fillId="0" borderId="1" xfId="0" applyFont="1" applyBorder="1" applyAlignment="1">
      <alignment horizontal="center" vertical="center"/>
    </xf>
    <xf numFmtId="0" fontId="109" fillId="106" borderId="5" xfId="0" applyFont="1" applyFill="1" applyBorder="1"/>
    <xf numFmtId="0" fontId="109" fillId="2" borderId="5" xfId="0" applyFont="1" applyFill="1" applyBorder="1" applyAlignment="1">
      <alignment horizontal="center" vertical="center" wrapText="1"/>
    </xf>
    <xf numFmtId="0" fontId="109" fillId="104" borderId="5" xfId="0" applyFont="1" applyFill="1" applyBorder="1" applyAlignment="1">
      <alignment horizontal="center" vertical="center" wrapText="1"/>
    </xf>
    <xf numFmtId="43" fontId="109" fillId="105" borderId="5" xfId="1" applyFont="1" applyFill="1" applyBorder="1" applyAlignment="1">
      <alignment horizontal="center" vertical="center" wrapText="1"/>
    </xf>
    <xf numFmtId="0" fontId="109" fillId="0" borderId="26" xfId="0" applyFont="1" applyBorder="1" applyAlignment="1">
      <alignment horizontal="center" vertical="center"/>
    </xf>
    <xf numFmtId="43" fontId="109" fillId="104" borderId="5" xfId="1" applyFont="1" applyFill="1" applyBorder="1" applyAlignment="1">
      <alignment horizontal="center" vertical="center" wrapText="1"/>
    </xf>
    <xf numFmtId="0" fontId="109" fillId="0" borderId="8" xfId="0" applyFont="1" applyBorder="1"/>
    <xf numFmtId="0" fontId="109" fillId="0" borderId="9" xfId="0" applyFont="1" applyBorder="1"/>
    <xf numFmtId="0" fontId="109" fillId="2" borderId="5" xfId="0" applyFont="1" applyFill="1" applyBorder="1"/>
    <xf numFmtId="177" fontId="109" fillId="104" borderId="5" xfId="0" applyNumberFormat="1" applyFont="1" applyFill="1" applyBorder="1" applyAlignment="1">
      <alignment horizontal="center" vertical="center" wrapText="1"/>
    </xf>
    <xf numFmtId="4" fontId="109" fillId="104" borderId="5" xfId="0" applyNumberFormat="1" applyFont="1" applyFill="1" applyBorder="1" applyAlignment="1">
      <alignment horizontal="center" vertical="center" wrapText="1"/>
    </xf>
    <xf numFmtId="180" fontId="106" fillId="105" borderId="5" xfId="0" applyNumberFormat="1" applyFont="1" applyFill="1" applyBorder="1" applyAlignment="1">
      <alignment horizontal="center" vertical="center" wrapText="1"/>
    </xf>
    <xf numFmtId="0" fontId="109" fillId="106" borderId="5" xfId="0" applyFont="1" applyFill="1" applyBorder="1" applyAlignment="1">
      <alignment horizontal="center" vertical="center" wrapText="1"/>
    </xf>
    <xf numFmtId="0" fontId="109" fillId="0" borderId="103" xfId="0" applyFont="1" applyBorder="1"/>
    <xf numFmtId="0" fontId="109" fillId="0" borderId="32" xfId="0" applyFont="1" applyBorder="1"/>
    <xf numFmtId="0" fontId="109" fillId="0" borderId="2" xfId="0" applyFont="1" applyBorder="1"/>
    <xf numFmtId="0" fontId="109" fillId="0" borderId="111" xfId="0" applyFont="1" applyBorder="1" applyAlignment="1">
      <alignment vertical="center"/>
    </xf>
    <xf numFmtId="43" fontId="109" fillId="2" borderId="112" xfId="1035" applyFont="1" applyFill="1" applyBorder="1" applyAlignment="1">
      <alignment vertical="center"/>
    </xf>
    <xf numFmtId="0" fontId="109" fillId="0" borderId="7" xfId="0" applyFont="1" applyBorder="1" applyAlignment="1">
      <alignment vertical="center"/>
    </xf>
    <xf numFmtId="0" fontId="109" fillId="0" borderId="110" xfId="0" applyFont="1" applyBorder="1" applyAlignment="1">
      <alignment vertical="center"/>
    </xf>
    <xf numFmtId="0" fontId="109" fillId="0" borderId="8" xfId="0" applyFont="1" applyBorder="1" applyAlignment="1">
      <alignment vertical="center"/>
    </xf>
    <xf numFmtId="0" fontId="109" fillId="0" borderId="85" xfId="0" applyFont="1" applyBorder="1" applyAlignment="1">
      <alignment vertical="center"/>
    </xf>
    <xf numFmtId="43" fontId="109" fillId="2" borderId="86" xfId="1035" applyFont="1" applyFill="1" applyBorder="1" applyAlignment="1">
      <alignment vertical="center"/>
    </xf>
    <xf numFmtId="0" fontId="109" fillId="0" borderId="82" xfId="0" applyFont="1" applyBorder="1" applyAlignment="1">
      <alignment vertical="center"/>
    </xf>
    <xf numFmtId="43" fontId="109" fillId="2" borderId="87" xfId="1035" applyFont="1" applyFill="1" applyBorder="1" applyAlignment="1">
      <alignment vertical="center"/>
    </xf>
    <xf numFmtId="0" fontId="109" fillId="0" borderId="84" xfId="0" applyFont="1" applyBorder="1" applyAlignment="1">
      <alignment vertical="center"/>
    </xf>
    <xf numFmtId="43" fontId="109" fillId="2" borderId="88" xfId="1035" applyFont="1" applyFill="1" applyBorder="1" applyAlignment="1">
      <alignment vertical="center"/>
    </xf>
    <xf numFmtId="43" fontId="109" fillId="2" borderId="85" xfId="1035" applyFont="1" applyFill="1" applyBorder="1" applyAlignment="1">
      <alignment vertical="center"/>
    </xf>
    <xf numFmtId="10" fontId="109" fillId="36" borderId="85" xfId="1014" applyNumberFormat="1" applyFont="1" applyFill="1" applyBorder="1" applyAlignment="1">
      <alignment vertical="center"/>
    </xf>
    <xf numFmtId="10" fontId="109" fillId="36" borderId="86" xfId="1014" applyNumberFormat="1" applyFont="1" applyFill="1" applyBorder="1" applyAlignment="1">
      <alignment vertical="center"/>
    </xf>
    <xf numFmtId="43" fontId="109" fillId="2" borderId="82" xfId="1035" applyFont="1" applyFill="1" applyBorder="1" applyAlignment="1">
      <alignment vertical="center"/>
    </xf>
    <xf numFmtId="10" fontId="109" fillId="36" borderId="83" xfId="1014" applyNumberFormat="1" applyFont="1" applyFill="1" applyBorder="1" applyAlignment="1">
      <alignment vertical="center"/>
    </xf>
    <xf numFmtId="10" fontId="109" fillId="36" borderId="87" xfId="1014" applyNumberFormat="1" applyFont="1" applyFill="1" applyBorder="1" applyAlignment="1">
      <alignment vertical="center"/>
    </xf>
    <xf numFmtId="0" fontId="112" fillId="0" borderId="84" xfId="0" applyFont="1" applyBorder="1" applyAlignment="1">
      <alignment vertical="center"/>
    </xf>
    <xf numFmtId="43" fontId="112" fillId="81" borderId="84" xfId="0" applyNumberFormat="1" applyFont="1" applyFill="1" applyBorder="1" applyAlignment="1">
      <alignment vertical="center"/>
    </xf>
    <xf numFmtId="10" fontId="112" fillId="80" borderId="84" xfId="1014" applyNumberFormat="1" applyFont="1" applyFill="1" applyBorder="1" applyAlignment="1">
      <alignment vertical="center"/>
    </xf>
    <xf numFmtId="10" fontId="112" fillId="80" borderId="88" xfId="1014" applyNumberFormat="1" applyFont="1" applyFill="1" applyBorder="1" applyAlignment="1">
      <alignment vertical="center"/>
    </xf>
    <xf numFmtId="0" fontId="109" fillId="0" borderId="1" xfId="0" applyFont="1" applyBorder="1" applyAlignment="1">
      <alignment vertical="center"/>
    </xf>
    <xf numFmtId="0" fontId="112" fillId="36" borderId="84" xfId="0" applyFont="1" applyFill="1" applyBorder="1" applyAlignment="1">
      <alignment vertical="center"/>
    </xf>
    <xf numFmtId="0" fontId="109" fillId="36" borderId="0" xfId="0" applyFont="1" applyFill="1" applyAlignment="1">
      <alignment vertical="center"/>
    </xf>
    <xf numFmtId="0" fontId="109" fillId="0" borderId="0" xfId="0" applyFont="1" applyAlignment="1">
      <alignment vertical="center"/>
    </xf>
    <xf numFmtId="10" fontId="109" fillId="36" borderId="0" xfId="1014" applyNumberFormat="1" applyFont="1" applyFill="1" applyAlignment="1">
      <alignment vertical="center"/>
    </xf>
    <xf numFmtId="43" fontId="109" fillId="2" borderId="83" xfId="1035" applyFont="1" applyFill="1" applyBorder="1" applyAlignment="1">
      <alignment vertical="center"/>
    </xf>
    <xf numFmtId="0" fontId="109" fillId="0" borderId="83" xfId="0" applyFont="1" applyBorder="1" applyAlignment="1">
      <alignment vertical="center"/>
    </xf>
    <xf numFmtId="43" fontId="112" fillId="81" borderId="84" xfId="1035" applyFont="1" applyFill="1" applyBorder="1" applyAlignment="1">
      <alignment vertical="center"/>
    </xf>
    <xf numFmtId="167" fontId="102" fillId="108" borderId="15" xfId="0" applyNumberFormat="1" applyFont="1" applyFill="1" applyBorder="1" applyAlignment="1">
      <alignment horizontal="center" vertical="center"/>
    </xf>
    <xf numFmtId="0" fontId="107" fillId="107" borderId="5" xfId="0" applyFont="1" applyFill="1" applyBorder="1" applyAlignment="1">
      <alignment horizontal="center"/>
    </xf>
    <xf numFmtId="0" fontId="110" fillId="110" borderId="2" xfId="0" applyFont="1" applyFill="1" applyBorder="1" applyAlignment="1">
      <alignment horizontal="center" vertical="center"/>
    </xf>
    <xf numFmtId="0" fontId="110" fillId="110" borderId="3" xfId="0" applyFont="1" applyFill="1" applyBorder="1" applyAlignment="1">
      <alignment horizontal="center" vertical="center"/>
    </xf>
    <xf numFmtId="0" fontId="110" fillId="108" borderId="1" xfId="0" applyFont="1" applyFill="1" applyBorder="1" applyAlignment="1">
      <alignment horizontal="center" vertical="center" wrapText="1"/>
    </xf>
    <xf numFmtId="4" fontId="110" fillId="108" borderId="1" xfId="0" applyNumberFormat="1" applyFont="1" applyFill="1" applyBorder="1" applyAlignment="1">
      <alignment horizontal="center" vertical="center" wrapText="1"/>
    </xf>
    <xf numFmtId="0" fontId="110" fillId="110" borderId="1" xfId="0" applyFont="1" applyFill="1" applyBorder="1" applyAlignment="1">
      <alignment horizontal="center" vertical="center" wrapText="1"/>
    </xf>
    <xf numFmtId="0" fontId="110" fillId="110" borderId="3" xfId="0" applyFont="1" applyFill="1" applyBorder="1" applyAlignment="1">
      <alignment horizontal="center" vertical="center" wrapText="1"/>
    </xf>
    <xf numFmtId="0" fontId="113" fillId="110" borderId="3" xfId="0" applyFont="1" applyFill="1" applyBorder="1" applyAlignment="1">
      <alignment horizontal="center" vertical="center" wrapText="1"/>
    </xf>
    <xf numFmtId="4" fontId="113" fillId="108" borderId="1" xfId="0" applyNumberFormat="1" applyFont="1" applyFill="1" applyBorder="1" applyAlignment="1">
      <alignment horizontal="center" vertical="center" wrapText="1"/>
    </xf>
    <xf numFmtId="0" fontId="113" fillId="108" borderId="1" xfId="0" applyFont="1" applyFill="1" applyBorder="1" applyAlignment="1">
      <alignment horizontal="center" vertical="center" wrapText="1"/>
    </xf>
    <xf numFmtId="0" fontId="113" fillId="107" borderId="104" xfId="0" applyFont="1" applyFill="1" applyBorder="1" applyAlignment="1">
      <alignment horizontal="center" vertical="center" wrapText="1"/>
    </xf>
    <xf numFmtId="0" fontId="113" fillId="107" borderId="105" xfId="0" applyFont="1" applyFill="1" applyBorder="1" applyAlignment="1">
      <alignment horizontal="center" vertical="center" wrapText="1"/>
    </xf>
    <xf numFmtId="0" fontId="113" fillId="107" borderId="92" xfId="0" applyFont="1" applyFill="1" applyBorder="1" applyAlignment="1">
      <alignment horizontal="center" vertical="center" wrapText="1"/>
    </xf>
    <xf numFmtId="0" fontId="113" fillId="110" borderId="113" xfId="0" applyFont="1" applyFill="1" applyBorder="1" applyAlignment="1">
      <alignment vertical="center" wrapText="1"/>
    </xf>
    <xf numFmtId="0" fontId="113" fillId="108" borderId="106" xfId="0" applyFont="1" applyFill="1" applyBorder="1" applyAlignment="1">
      <alignment horizontal="center" vertical="center" wrapText="1"/>
    </xf>
    <xf numFmtId="0" fontId="113" fillId="108" borderId="107" xfId="0" applyFont="1" applyFill="1" applyBorder="1" applyAlignment="1">
      <alignment horizontal="center" vertical="center" wrapText="1"/>
    </xf>
    <xf numFmtId="0" fontId="113" fillId="108" borderId="76" xfId="0" applyFont="1" applyFill="1" applyBorder="1" applyAlignment="1">
      <alignment horizontal="center" vertical="center" wrapText="1"/>
    </xf>
    <xf numFmtId="166" fontId="112" fillId="108" borderId="14" xfId="0" applyNumberFormat="1" applyFont="1" applyFill="1" applyBorder="1" applyAlignment="1">
      <alignment vertical="center"/>
    </xf>
    <xf numFmtId="167" fontId="24" fillId="107" borderId="1" xfId="0" applyNumberFormat="1" applyFont="1" applyFill="1" applyBorder="1" applyAlignment="1">
      <alignment horizontal="center"/>
    </xf>
    <xf numFmtId="0" fontId="81" fillId="107" borderId="49" xfId="0" applyFont="1" applyFill="1" applyBorder="1" applyAlignment="1">
      <alignment horizontal="center"/>
    </xf>
    <xf numFmtId="0" fontId="81" fillId="107" borderId="54" xfId="0" applyFont="1" applyFill="1" applyBorder="1" applyAlignment="1">
      <alignment horizontal="center"/>
    </xf>
    <xf numFmtId="0" fontId="24" fillId="107" borderId="1" xfId="0" applyFont="1" applyFill="1" applyBorder="1"/>
    <xf numFmtId="0" fontId="24" fillId="107" borderId="8" xfId="0" applyFont="1" applyFill="1" applyBorder="1"/>
    <xf numFmtId="43" fontId="108" fillId="0" borderId="6" xfId="1" applyFont="1" applyBorder="1"/>
    <xf numFmtId="4" fontId="106" fillId="2" borderId="5" xfId="0" applyNumberFormat="1" applyFont="1" applyFill="1" applyBorder="1" applyAlignment="1">
      <alignment horizontal="center" vertical="center" wrapText="1"/>
    </xf>
    <xf numFmtId="167" fontId="102" fillId="108" borderId="15" xfId="0" applyNumberFormat="1" applyFont="1" applyFill="1" applyBorder="1" applyAlignment="1">
      <alignment horizontal="center" vertical="center"/>
    </xf>
    <xf numFmtId="167" fontId="102" fillId="108" borderId="0" xfId="0" applyNumberFormat="1" applyFont="1" applyFill="1" applyAlignment="1">
      <alignment horizontal="center" vertical="center"/>
    </xf>
    <xf numFmtId="0" fontId="104" fillId="107" borderId="114" xfId="1013" applyFont="1" applyFill="1" applyBorder="1" applyAlignment="1" applyProtection="1">
      <alignment horizontal="center" vertical="center"/>
    </xf>
    <xf numFmtId="0" fontId="103" fillId="0" borderId="5" xfId="0" applyFont="1" applyBorder="1" applyAlignment="1">
      <alignment horizontal="center" vertical="center" wrapText="1"/>
    </xf>
    <xf numFmtId="0" fontId="105" fillId="109" borderId="5" xfId="0" applyFont="1" applyFill="1" applyBorder="1" applyAlignment="1">
      <alignment horizontal="left" vertical="center" wrapText="1"/>
    </xf>
    <xf numFmtId="0" fontId="107" fillId="79" borderId="12" xfId="0" applyFont="1" applyFill="1" applyBorder="1" applyAlignment="1">
      <alignment horizontal="center"/>
    </xf>
    <xf numFmtId="0" fontId="107" fillId="79" borderId="13" xfId="0" applyFont="1" applyFill="1" applyBorder="1" applyAlignment="1">
      <alignment horizontal="center"/>
    </xf>
    <xf numFmtId="0" fontId="107" fillId="79" borderId="14" xfId="0" applyFont="1" applyFill="1" applyBorder="1" applyAlignment="1">
      <alignment horizontal="center"/>
    </xf>
    <xf numFmtId="0" fontId="111" fillId="0" borderId="12" xfId="0" applyFont="1" applyBorder="1" applyAlignment="1">
      <alignment horizontal="center" vertical="center"/>
    </xf>
    <xf numFmtId="0" fontId="111" fillId="0" borderId="13" xfId="0" applyFont="1" applyBorder="1" applyAlignment="1">
      <alignment horizontal="center" vertical="center"/>
    </xf>
    <xf numFmtId="0" fontId="111" fillId="0" borderId="14" xfId="0" applyFont="1" applyBorder="1" applyAlignment="1">
      <alignment horizontal="center" vertical="center"/>
    </xf>
    <xf numFmtId="0" fontId="110" fillId="110" borderId="2" xfId="0" applyFont="1" applyFill="1" applyBorder="1" applyAlignment="1">
      <alignment horizontal="center" vertical="center"/>
    </xf>
    <xf numFmtId="0" fontId="110" fillId="110" borderId="4" xfId="0" applyFont="1" applyFill="1" applyBorder="1" applyAlignment="1">
      <alignment horizontal="center" vertical="center"/>
    </xf>
    <xf numFmtId="0" fontId="110" fillId="110" borderId="3" xfId="0" applyFont="1" applyFill="1" applyBorder="1" applyAlignment="1">
      <alignment horizontal="center" vertical="center"/>
    </xf>
    <xf numFmtId="0" fontId="110" fillId="107" borderId="76" xfId="0" applyFont="1" applyFill="1" applyBorder="1" applyAlignment="1">
      <alignment horizontal="center" vertical="center"/>
    </xf>
    <xf numFmtId="0" fontId="110" fillId="107" borderId="78" xfId="0" applyFont="1" applyFill="1" applyBorder="1" applyAlignment="1">
      <alignment horizontal="center" vertical="center"/>
    </xf>
    <xf numFmtId="0" fontId="110" fillId="107" borderId="77" xfId="0" applyFont="1" applyFill="1" applyBorder="1" applyAlignment="1">
      <alignment horizontal="center" vertical="center"/>
    </xf>
    <xf numFmtId="0" fontId="112" fillId="0" borderId="12" xfId="0" applyFont="1" applyBorder="1" applyAlignment="1">
      <alignment horizontal="center" vertical="center"/>
    </xf>
    <xf numFmtId="0" fontId="112" fillId="0" borderId="13" xfId="0" applyFont="1" applyBorder="1" applyAlignment="1">
      <alignment horizontal="center" vertical="center"/>
    </xf>
    <xf numFmtId="0" fontId="112" fillId="0" borderId="14" xfId="0" applyFont="1" applyBorder="1" applyAlignment="1">
      <alignment horizontal="center" vertical="center"/>
    </xf>
    <xf numFmtId="0" fontId="110" fillId="107" borderId="12" xfId="0" applyFont="1" applyFill="1" applyBorder="1" applyAlignment="1">
      <alignment horizontal="center" vertical="center"/>
    </xf>
    <xf numFmtId="0" fontId="110" fillId="107" borderId="13" xfId="0" applyFont="1" applyFill="1" applyBorder="1" applyAlignment="1">
      <alignment horizontal="center" vertical="center"/>
    </xf>
    <xf numFmtId="0" fontId="110" fillId="107" borderId="14" xfId="0" applyFont="1" applyFill="1" applyBorder="1" applyAlignment="1">
      <alignment horizontal="center" vertical="center"/>
    </xf>
    <xf numFmtId="0" fontId="111" fillId="0" borderId="5" xfId="0" applyFont="1" applyBorder="1" applyAlignment="1">
      <alignment horizontal="center" vertical="center" wrapText="1"/>
    </xf>
    <xf numFmtId="43" fontId="110" fillId="107" borderId="76" xfId="1" applyFont="1" applyFill="1" applyBorder="1" applyAlignment="1">
      <alignment horizontal="center" vertical="center"/>
    </xf>
    <xf numFmtId="43" fontId="110" fillId="107" borderId="78" xfId="1" applyFont="1" applyFill="1" applyBorder="1" applyAlignment="1">
      <alignment horizontal="center" vertical="center"/>
    </xf>
    <xf numFmtId="43" fontId="110" fillId="107" borderId="77" xfId="1" applyFont="1" applyFill="1" applyBorder="1" applyAlignment="1">
      <alignment horizontal="center" vertical="center"/>
    </xf>
    <xf numFmtId="0" fontId="112" fillId="0" borderId="5" xfId="0" applyFont="1" applyBorder="1" applyAlignment="1">
      <alignment horizontal="center" vertical="center" wrapText="1"/>
    </xf>
    <xf numFmtId="0" fontId="113" fillId="110" borderId="2" xfId="0" applyFont="1" applyFill="1" applyBorder="1" applyAlignment="1">
      <alignment horizontal="center" vertical="center"/>
    </xf>
    <xf numFmtId="0" fontId="113" fillId="110" borderId="4" xfId="0" applyFont="1" applyFill="1" applyBorder="1" applyAlignment="1">
      <alignment horizontal="center" vertical="center"/>
    </xf>
    <xf numFmtId="0" fontId="113" fillId="107" borderId="9" xfId="0" applyFont="1" applyFill="1" applyBorder="1" applyAlignment="1">
      <alignment horizontal="center" vertical="center"/>
    </xf>
    <xf numFmtId="0" fontId="113" fillId="107" borderId="26" xfId="0" applyFont="1" applyFill="1" applyBorder="1" applyAlignment="1">
      <alignment horizontal="center" vertical="center"/>
    </xf>
    <xf numFmtId="0" fontId="113" fillId="107" borderId="80" xfId="0" applyFont="1" applyFill="1" applyBorder="1" applyAlignment="1">
      <alignment horizontal="center" vertical="center"/>
    </xf>
    <xf numFmtId="0" fontId="113" fillId="107" borderId="78" xfId="0" applyFont="1" applyFill="1" applyBorder="1" applyAlignment="1">
      <alignment horizontal="center" vertical="center"/>
    </xf>
    <xf numFmtId="0" fontId="113" fillId="107" borderId="77" xfId="0" applyFont="1" applyFill="1" applyBorder="1" applyAlignment="1">
      <alignment horizontal="center" vertical="center"/>
    </xf>
    <xf numFmtId="0" fontId="113" fillId="107" borderId="76" xfId="0" applyFont="1" applyFill="1" applyBorder="1" applyAlignment="1">
      <alignment horizontal="center" vertical="center"/>
    </xf>
    <xf numFmtId="0" fontId="112" fillId="0" borderId="12" xfId="0" applyFont="1" applyBorder="1" applyAlignment="1">
      <alignment horizontal="center" vertical="center" wrapText="1"/>
    </xf>
    <xf numFmtId="0" fontId="112" fillId="0" borderId="13" xfId="0" applyFont="1" applyBorder="1" applyAlignment="1">
      <alignment horizontal="center" vertical="center" wrapText="1"/>
    </xf>
    <xf numFmtId="0" fontId="112" fillId="0" borderId="14" xfId="0" applyFont="1" applyBorder="1" applyAlignment="1">
      <alignment horizontal="center" vertical="center" wrapText="1"/>
    </xf>
    <xf numFmtId="0" fontId="113" fillId="107" borderId="76" xfId="0" applyFont="1" applyFill="1" applyBorder="1" applyAlignment="1">
      <alignment horizontal="center" vertical="center" wrapText="1"/>
    </xf>
    <xf numFmtId="0" fontId="113" fillId="107" borderId="77" xfId="0" applyFont="1" applyFill="1" applyBorder="1" applyAlignment="1">
      <alignment horizontal="center" vertical="center" wrapText="1"/>
    </xf>
    <xf numFmtId="0" fontId="109" fillId="2" borderId="5" xfId="0" applyFont="1" applyFill="1" applyBorder="1" applyAlignment="1">
      <alignment horizontal="center"/>
    </xf>
    <xf numFmtId="0" fontId="113" fillId="107" borderId="101" xfId="0" applyFont="1" applyFill="1" applyBorder="1" applyAlignment="1">
      <alignment horizontal="center" vertical="center"/>
    </xf>
    <xf numFmtId="0" fontId="113" fillId="107" borderId="102" xfId="0" applyFont="1" applyFill="1" applyBorder="1" applyAlignment="1">
      <alignment horizontal="center" vertical="center"/>
    </xf>
    <xf numFmtId="0" fontId="113" fillId="107" borderId="12" xfId="0" applyFont="1" applyFill="1" applyBorder="1" applyAlignment="1">
      <alignment horizontal="center" vertical="center"/>
    </xf>
    <xf numFmtId="0" fontId="113" fillId="107" borderId="13" xfId="0" applyFont="1" applyFill="1" applyBorder="1" applyAlignment="1">
      <alignment horizontal="center" vertical="center"/>
    </xf>
    <xf numFmtId="0" fontId="113" fillId="107" borderId="14" xfId="0" applyFont="1" applyFill="1" applyBorder="1" applyAlignment="1">
      <alignment horizontal="center" vertical="center"/>
    </xf>
    <xf numFmtId="0" fontId="113" fillId="108" borderId="12" xfId="0" applyFont="1" applyFill="1" applyBorder="1" applyAlignment="1">
      <alignment horizontal="left" vertical="center"/>
    </xf>
    <xf numFmtId="0" fontId="113" fillId="108" borderId="13" xfId="0" applyFont="1" applyFill="1" applyBorder="1" applyAlignment="1">
      <alignment horizontal="left" vertical="center"/>
    </xf>
    <xf numFmtId="0" fontId="113" fillId="110" borderId="89" xfId="0" applyFont="1" applyFill="1" applyBorder="1" applyAlignment="1">
      <alignment horizontal="left" vertical="center" wrapText="1"/>
    </xf>
    <xf numFmtId="0" fontId="113" fillId="110" borderId="90" xfId="0" applyFont="1" applyFill="1" applyBorder="1" applyAlignment="1">
      <alignment horizontal="left" vertical="center" wrapText="1"/>
    </xf>
    <xf numFmtId="0" fontId="113" fillId="110" borderId="91" xfId="0" applyFont="1" applyFill="1" applyBorder="1" applyAlignment="1">
      <alignment horizontal="left" vertical="center" wrapText="1"/>
    </xf>
    <xf numFmtId="0" fontId="23" fillId="0" borderId="10" xfId="0" applyFont="1" applyBorder="1" applyAlignment="1">
      <alignment horizontal="left" vertical="center"/>
    </xf>
    <xf numFmtId="0" fontId="23" fillId="0" borderId="33" xfId="0" applyFont="1" applyBorder="1" applyAlignment="1">
      <alignment horizontal="left" vertical="center"/>
    </xf>
    <xf numFmtId="0" fontId="23" fillId="0" borderId="11" xfId="0" applyFont="1" applyBorder="1" applyAlignment="1">
      <alignment horizontal="left" vertical="center"/>
    </xf>
    <xf numFmtId="4" fontId="24" fillId="107" borderId="79" xfId="0" applyNumberFormat="1" applyFont="1" applyFill="1" applyBorder="1" applyAlignment="1">
      <alignment horizontal="center" vertical="center" wrapText="1"/>
    </xf>
    <xf numFmtId="4" fontId="24" fillId="107" borderId="78" xfId="0" applyNumberFormat="1" applyFont="1" applyFill="1" applyBorder="1" applyAlignment="1">
      <alignment horizontal="center" vertical="center" wrapText="1"/>
    </xf>
    <xf numFmtId="4" fontId="24" fillId="107" borderId="77" xfId="0" applyNumberFormat="1" applyFont="1" applyFill="1" applyBorder="1" applyAlignment="1">
      <alignment horizontal="center" vertical="center" wrapText="1"/>
    </xf>
    <xf numFmtId="4" fontId="24" fillId="35" borderId="5" xfId="0" applyNumberFormat="1" applyFont="1" applyFill="1" applyBorder="1" applyAlignment="1">
      <alignment horizontal="center" vertical="center" wrapText="1"/>
    </xf>
    <xf numFmtId="0" fontId="25" fillId="107" borderId="5" xfId="0" applyFont="1" applyFill="1" applyBorder="1" applyAlignment="1">
      <alignment horizontal="center" vertical="center" wrapText="1"/>
    </xf>
    <xf numFmtId="0" fontId="23" fillId="36" borderId="5" xfId="0" applyFont="1" applyFill="1" applyBorder="1" applyAlignment="1">
      <alignment horizontal="left" vertical="center"/>
    </xf>
    <xf numFmtId="0" fontId="23" fillId="36" borderId="5" xfId="0" applyFont="1" applyFill="1" applyBorder="1" applyAlignment="1">
      <alignment horizontal="center" vertical="center" wrapText="1"/>
    </xf>
    <xf numFmtId="4" fontId="24" fillId="107" borderId="5" xfId="0" applyNumberFormat="1" applyFont="1" applyFill="1" applyBorder="1" applyAlignment="1">
      <alignment horizontal="center" vertical="center" wrapText="1"/>
    </xf>
    <xf numFmtId="4" fontId="28" fillId="36" borderId="12" xfId="0" applyNumberFormat="1" applyFont="1" applyFill="1" applyBorder="1" applyAlignment="1">
      <alignment horizontal="center" vertical="center" wrapText="1"/>
    </xf>
    <xf numFmtId="4" fontId="28" fillId="36" borderId="14" xfId="0" applyNumberFormat="1" applyFont="1" applyFill="1" applyBorder="1" applyAlignment="1">
      <alignment horizontal="center" vertical="center" wrapText="1"/>
    </xf>
    <xf numFmtId="0" fontId="25" fillId="107" borderId="29" xfId="0" applyFont="1" applyFill="1" applyBorder="1" applyAlignment="1">
      <alignment horizontal="center" vertical="center" wrapText="1"/>
    </xf>
    <xf numFmtId="0" fontId="25" fillId="107" borderId="13" xfId="0" applyFont="1" applyFill="1" applyBorder="1" applyAlignment="1">
      <alignment horizontal="center" vertical="center" wrapText="1"/>
    </xf>
    <xf numFmtId="0" fontId="25" fillId="107" borderId="14" xfId="0" applyFont="1" applyFill="1" applyBorder="1" applyAlignment="1">
      <alignment horizontal="center" vertical="center" wrapText="1"/>
    </xf>
    <xf numFmtId="0" fontId="25" fillId="35" borderId="5" xfId="0" applyFont="1" applyFill="1" applyBorder="1" applyAlignment="1">
      <alignment horizontal="center" vertical="center" wrapText="1"/>
    </xf>
    <xf numFmtId="0" fontId="19" fillId="36" borderId="10" xfId="0" applyFont="1" applyFill="1" applyBorder="1" applyAlignment="1">
      <alignment horizontal="center" vertical="center" wrapText="1"/>
    </xf>
    <xf numFmtId="0" fontId="19" fillId="36" borderId="33" xfId="0" applyFont="1" applyFill="1" applyBorder="1" applyAlignment="1">
      <alignment horizontal="center" vertical="center" wrapText="1"/>
    </xf>
    <xf numFmtId="0" fontId="19" fillId="36" borderId="11" xfId="0" applyFont="1" applyFill="1" applyBorder="1" applyAlignment="1">
      <alignment horizontal="center" vertical="center" wrapText="1"/>
    </xf>
    <xf numFmtId="4" fontId="14" fillId="107" borderId="12" xfId="0" applyNumberFormat="1" applyFont="1" applyFill="1" applyBorder="1" applyAlignment="1">
      <alignment horizontal="center" vertical="center" wrapText="1"/>
    </xf>
    <xf numFmtId="4" fontId="14" fillId="107" borderId="14" xfId="0" applyNumberFormat="1" applyFont="1" applyFill="1" applyBorder="1" applyAlignment="1">
      <alignment horizontal="center" vertical="center" wrapText="1"/>
    </xf>
    <xf numFmtId="4" fontId="20" fillId="35" borderId="0" xfId="0" applyNumberFormat="1" applyFont="1" applyFill="1" applyAlignment="1">
      <alignment horizontal="center" vertical="center" wrapText="1"/>
    </xf>
    <xf numFmtId="4" fontId="14" fillId="107" borderId="5" xfId="0" applyNumberFormat="1" applyFont="1" applyFill="1" applyBorder="1" applyAlignment="1">
      <alignment horizontal="center" vertical="center" wrapText="1"/>
    </xf>
    <xf numFmtId="0" fontId="25" fillId="107" borderId="12" xfId="0" applyFont="1" applyFill="1" applyBorder="1" applyAlignment="1">
      <alignment horizontal="center" vertical="center" wrapText="1"/>
    </xf>
    <xf numFmtId="0" fontId="23" fillId="36" borderId="12" xfId="0" applyFont="1" applyFill="1" applyBorder="1" applyAlignment="1">
      <alignment horizontal="left" vertical="center"/>
    </xf>
    <xf numFmtId="0" fontId="23" fillId="36" borderId="13" xfId="0" applyFont="1" applyFill="1" applyBorder="1" applyAlignment="1">
      <alignment horizontal="left" vertical="center"/>
    </xf>
    <xf numFmtId="0" fontId="23" fillId="36" borderId="14" xfId="0" applyFont="1" applyFill="1" applyBorder="1" applyAlignment="1">
      <alignment horizontal="left" vertical="center"/>
    </xf>
    <xf numFmtId="0" fontId="23" fillId="36" borderId="29" xfId="0" applyFont="1" applyFill="1" applyBorder="1" applyAlignment="1">
      <alignment horizontal="left" vertical="center"/>
    </xf>
    <xf numFmtId="0" fontId="23" fillId="36" borderId="30" xfId="0" applyFont="1" applyFill="1" applyBorder="1" applyAlignment="1">
      <alignment horizontal="left" vertical="center"/>
    </xf>
    <xf numFmtId="0" fontId="23" fillId="36" borderId="31" xfId="0" applyFont="1" applyFill="1" applyBorder="1" applyAlignment="1">
      <alignment horizontal="left" vertical="center"/>
    </xf>
    <xf numFmtId="4" fontId="24" fillId="107" borderId="27" xfId="0" applyNumberFormat="1" applyFont="1" applyFill="1" applyBorder="1" applyAlignment="1">
      <alignment horizontal="center" vertical="center" wrapText="1"/>
    </xf>
    <xf numFmtId="4" fontId="24" fillId="107" borderId="28" xfId="0" applyNumberFormat="1" applyFont="1" applyFill="1" applyBorder="1" applyAlignment="1">
      <alignment horizontal="center" vertical="center" wrapText="1"/>
    </xf>
    <xf numFmtId="4" fontId="24" fillId="35" borderId="12" xfId="0" applyNumberFormat="1" applyFont="1" applyFill="1" applyBorder="1" applyAlignment="1">
      <alignment horizontal="center" vertical="center" wrapText="1"/>
    </xf>
    <xf numFmtId="4" fontId="24" fillId="35" borderId="13" xfId="0" applyNumberFormat="1" applyFont="1" applyFill="1" applyBorder="1" applyAlignment="1">
      <alignment horizontal="center" vertical="center" wrapText="1"/>
    </xf>
    <xf numFmtId="4" fontId="24" fillId="35" borderId="14" xfId="0" applyNumberFormat="1" applyFont="1" applyFill="1" applyBorder="1" applyAlignment="1">
      <alignment horizontal="center" vertical="center" wrapText="1"/>
    </xf>
    <xf numFmtId="0" fontId="24" fillId="107" borderId="1" xfId="0" applyFont="1" applyFill="1" applyBorder="1" applyAlignment="1">
      <alignment horizontal="center"/>
    </xf>
    <xf numFmtId="0" fontId="24" fillId="107" borderId="15" xfId="0" applyFont="1" applyFill="1" applyBorder="1" applyAlignment="1">
      <alignment horizontal="center"/>
    </xf>
    <xf numFmtId="0" fontId="24" fillId="107" borderId="0" xfId="0" applyFont="1" applyFill="1" applyAlignment="1">
      <alignment horizontal="center"/>
    </xf>
    <xf numFmtId="0" fontId="24" fillId="107" borderId="2" xfId="0" applyFont="1" applyFill="1" applyBorder="1" applyAlignment="1">
      <alignment horizontal="center"/>
    </xf>
    <xf numFmtId="0" fontId="24" fillId="107" borderId="3" xfId="0" applyFont="1" applyFill="1" applyBorder="1" applyAlignment="1">
      <alignment horizontal="center"/>
    </xf>
    <xf numFmtId="0" fontId="24" fillId="107" borderId="4" xfId="0" applyFont="1" applyFill="1" applyBorder="1" applyAlignment="1">
      <alignment horizontal="center"/>
    </xf>
    <xf numFmtId="0" fontId="23" fillId="78" borderId="56" xfId="0" applyFont="1" applyFill="1" applyBorder="1" applyAlignment="1">
      <alignment horizontal="left" vertical="center"/>
    </xf>
    <xf numFmtId="0" fontId="23" fillId="78" borderId="71" xfId="0" applyFont="1" applyFill="1" applyBorder="1" applyAlignment="1">
      <alignment horizontal="left" vertical="center"/>
    </xf>
    <xf numFmtId="0" fontId="23" fillId="78" borderId="63" xfId="0" applyFont="1" applyFill="1" applyBorder="1" applyAlignment="1">
      <alignment horizontal="left" vertical="center"/>
    </xf>
    <xf numFmtId="0" fontId="23" fillId="78" borderId="67" xfId="0" applyFont="1" applyFill="1" applyBorder="1" applyAlignment="1">
      <alignment horizontal="center" vertical="center"/>
    </xf>
    <xf numFmtId="0" fontId="23" fillId="78" borderId="63" xfId="0" applyFont="1" applyFill="1" applyBorder="1" applyAlignment="1">
      <alignment horizontal="center" vertical="center"/>
    </xf>
    <xf numFmtId="0" fontId="82" fillId="37" borderId="41" xfId="293" applyFont="1" applyFill="1" applyBorder="1" applyAlignment="1">
      <alignment horizontal="left" vertical="center"/>
    </xf>
    <xf numFmtId="0" fontId="82" fillId="37" borderId="43" xfId="293" applyFont="1" applyFill="1" applyBorder="1" applyAlignment="1">
      <alignment horizontal="left" vertical="center"/>
    </xf>
    <xf numFmtId="0" fontId="82" fillId="37" borderId="42" xfId="293" applyFont="1" applyFill="1" applyBorder="1" applyAlignment="1">
      <alignment horizontal="left" vertical="center"/>
    </xf>
    <xf numFmtId="0" fontId="23" fillId="78" borderId="67" xfId="0" applyFont="1" applyFill="1" applyBorder="1" applyAlignment="1">
      <alignment horizontal="left" vertical="center"/>
    </xf>
  </cellXfs>
  <cellStyles count="4497">
    <cellStyle name="&lt;&gt;Fondo Rojo" xfId="155" xr:uid="{DB3FFCBF-29C0-4253-94B1-D3447BA38B9D}"/>
    <cellStyle name="20 % - Accent1" xfId="1028" xr:uid="{57B5D329-10B4-4952-9E6B-49D9E97E939E}"/>
    <cellStyle name="20 % - Accent2" xfId="1026" xr:uid="{D208AEBC-6530-4294-A53B-646639110F33}"/>
    <cellStyle name="20 % - Accent3" xfId="1024" xr:uid="{4EB3AF73-8AAF-47AB-850F-ABD6A54C41E5}"/>
    <cellStyle name="20 % - Accent4" xfId="1022" xr:uid="{373D9404-0DB1-4C46-8DC2-303FB7ACCEBF}"/>
    <cellStyle name="20 % - Accent5" xfId="1016" xr:uid="{38022A16-435F-478D-9017-332E030FF48F}"/>
    <cellStyle name="20 % - Accent6" xfId="1015" xr:uid="{19254CAF-7F0A-4CEA-A33E-41E88F0F9251}"/>
    <cellStyle name="20% — akcent 1 2" xfId="110" xr:uid="{1EE6BF4A-531C-4764-BF18-D5211B01FFC0}"/>
    <cellStyle name="20% — akcent 2 2" xfId="114" xr:uid="{146285DE-46B0-471A-9C7A-5D16C72A528C}"/>
    <cellStyle name="20% — akcent 3 2" xfId="118" xr:uid="{730B07FA-E3C9-4E32-9320-3FD23A35A0FC}"/>
    <cellStyle name="20% — akcent 4 2" xfId="122" xr:uid="{AAC058A4-8939-43B6-8AFB-B9B93EDC8125}"/>
    <cellStyle name="20% — akcent 5 2" xfId="126" xr:uid="{3D6C9375-8092-4B1F-8760-49CBAE77CEFF}"/>
    <cellStyle name="20% — akcent 6 2" xfId="130" xr:uid="{5F711551-4ED1-44F9-9341-00EF873A7E25}"/>
    <cellStyle name="20% - Énfasis1" xfId="20" builtinId="30" customBuiltin="1"/>
    <cellStyle name="20% - Énfasis1 2" xfId="385" xr:uid="{47BBD77E-87DB-4925-AFE5-BDF6336ECCDE}"/>
    <cellStyle name="20% - Énfasis1 2 2" xfId="412" xr:uid="{C357ED89-15D0-4747-80A2-3FE92A77EA24}"/>
    <cellStyle name="20% - Énfasis1 2 2 2" xfId="521" xr:uid="{B7CFC646-CE57-42EB-BBB8-4E84DE49B453}"/>
    <cellStyle name="20% - Énfasis1 2 3" xfId="438" xr:uid="{17091196-D3FD-44AF-A26B-50B98DE17BE3}"/>
    <cellStyle name="20% - Énfasis1 2 3 2" xfId="547" xr:uid="{76EE156E-59B9-4D02-B2A9-0595DEB28E0B}"/>
    <cellStyle name="20% - Énfasis1 2 4" xfId="464" xr:uid="{980838F4-DF62-4D84-96B1-743E10E5B7BA}"/>
    <cellStyle name="20% - Énfasis1 2 4 2" xfId="573" xr:uid="{F018A42B-D1EC-49C1-88D9-D9BF0A789839}"/>
    <cellStyle name="20% - Énfasis1 2 5" xfId="494" xr:uid="{9BA184FD-441F-4BA0-9020-70899B7C30B9}"/>
    <cellStyle name="20% - Énfasis1 3" xfId="398" xr:uid="{6D172967-3456-4DE4-8B48-CF741858F51A}"/>
    <cellStyle name="20% - Énfasis1 3 2" xfId="507" xr:uid="{A10190F3-57BB-4077-8A73-2569DC1EFDC2}"/>
    <cellStyle name="20% - Énfasis1 4" xfId="424" xr:uid="{82F2FE8B-FF2B-4BF2-A4F6-F6E7CC7C3DA8}"/>
    <cellStyle name="20% - Énfasis1 4 2" xfId="533" xr:uid="{AE52E92C-C732-4AED-824E-13EC35BB63A5}"/>
    <cellStyle name="20% - Énfasis1 5" xfId="450" xr:uid="{299C7EC4-8739-4DA4-BF01-E8769706B5AB}"/>
    <cellStyle name="20% - Énfasis1 5 2" xfId="559" xr:uid="{6052AD89-67E6-48D1-B395-5C94CBC76479}"/>
    <cellStyle name="20% - Énfasis1 6" xfId="481" xr:uid="{7A6E72B1-8256-4463-B2F0-46F767FCDEDD}"/>
    <cellStyle name="20% - Énfasis2" xfId="24" builtinId="34" customBuiltin="1"/>
    <cellStyle name="20% - Énfasis2 2" xfId="387" xr:uid="{88032C5A-9A6F-43B6-AF05-9B8DC71DEA0D}"/>
    <cellStyle name="20% - Énfasis2 2 2" xfId="414" xr:uid="{F20145A9-7295-408D-81BE-7281213ED906}"/>
    <cellStyle name="20% - Énfasis2 2 2 2" xfId="523" xr:uid="{18A4E987-AE9A-46ED-9CCC-3CCEA2E246D7}"/>
    <cellStyle name="20% - Énfasis2 2 3" xfId="440" xr:uid="{DD180049-D8C0-4CBF-B37C-41517FDD305F}"/>
    <cellStyle name="20% - Énfasis2 2 3 2" xfId="549" xr:uid="{940A00E4-11AA-4E98-87C6-15C4D94D1A11}"/>
    <cellStyle name="20% - Énfasis2 2 4" xfId="466" xr:uid="{1458A391-662F-47BD-A7B1-ED1618EDD6A7}"/>
    <cellStyle name="20% - Énfasis2 2 4 2" xfId="575" xr:uid="{05521998-5725-4B14-AA16-3C1DF5974B67}"/>
    <cellStyle name="20% - Énfasis2 2 5" xfId="496" xr:uid="{DF50AE9C-9AB8-4D7D-8C90-2382C5D4FE29}"/>
    <cellStyle name="20% - Énfasis2 3" xfId="400" xr:uid="{9DA73039-394E-4D16-A08D-CFB0225A46E9}"/>
    <cellStyle name="20% - Énfasis2 3 2" xfId="509" xr:uid="{299521E6-D480-4053-A8D6-D98E59124892}"/>
    <cellStyle name="20% - Énfasis2 4" xfId="426" xr:uid="{9B9EF891-8B06-447F-ACBE-6B4CEAEDBA9E}"/>
    <cellStyle name="20% - Énfasis2 4 2" xfId="535" xr:uid="{019F9C4F-84CA-41B6-BD8F-09329E95C35F}"/>
    <cellStyle name="20% - Énfasis2 5" xfId="452" xr:uid="{9118FF10-2FE1-49D4-B06E-EB8B1A13EB20}"/>
    <cellStyle name="20% - Énfasis2 5 2" xfId="561" xr:uid="{95507A0E-040C-4E56-BEBC-2DA5E6C10E7C}"/>
    <cellStyle name="20% - Énfasis2 6" xfId="483" xr:uid="{7BD9B4F6-0CE3-4894-BBD6-8C1649184682}"/>
    <cellStyle name="20% - Énfasis3" xfId="28" builtinId="38" customBuiltin="1"/>
    <cellStyle name="20% - Énfasis3 2" xfId="389" xr:uid="{71B7F94E-62E2-48B4-A788-9B55CFA1C1D4}"/>
    <cellStyle name="20% - Énfasis3 2 2" xfId="416" xr:uid="{85ABC42A-AF45-4193-A251-7F65B8FF1560}"/>
    <cellStyle name="20% - Énfasis3 2 2 2" xfId="525" xr:uid="{3C9082F4-61F5-438E-80B6-652132E94A86}"/>
    <cellStyle name="20% - Énfasis3 2 3" xfId="442" xr:uid="{90C1E0AB-5379-46EE-A66C-339A1FF35491}"/>
    <cellStyle name="20% - Énfasis3 2 3 2" xfId="551" xr:uid="{B5B58628-4B8B-486B-8410-8DD04C80760B}"/>
    <cellStyle name="20% - Énfasis3 2 4" xfId="468" xr:uid="{04D413D0-0680-4BD1-A818-B838A9352A90}"/>
    <cellStyle name="20% - Énfasis3 2 4 2" xfId="577" xr:uid="{CF85B8FB-18BC-4F22-8444-7437265CADFD}"/>
    <cellStyle name="20% - Énfasis3 2 5" xfId="498" xr:uid="{D3DBEAC2-EFEB-4CFB-BFFC-DA4B8F4D534C}"/>
    <cellStyle name="20% - Énfasis3 3" xfId="402" xr:uid="{396090B7-D112-4555-ACDB-A346A5346B86}"/>
    <cellStyle name="20% - Énfasis3 3 2" xfId="511" xr:uid="{9F186FD5-69E7-4868-BB5A-7999378D05F6}"/>
    <cellStyle name="20% - Énfasis3 4" xfId="428" xr:uid="{EF62D7F8-AFD0-4014-AF31-26727E1314C0}"/>
    <cellStyle name="20% - Énfasis3 4 2" xfId="537" xr:uid="{98290DA7-AEB1-4E52-9B2C-0BCFD4C61A61}"/>
    <cellStyle name="20% - Énfasis3 5" xfId="454" xr:uid="{93B5A4C5-EB60-46F6-BEE3-C0C1C3CF2213}"/>
    <cellStyle name="20% - Énfasis3 5 2" xfId="563" xr:uid="{E7C48FC9-2AAE-45AF-8A2F-DFDBEDB5660F}"/>
    <cellStyle name="20% - Énfasis3 6" xfId="485" xr:uid="{6332E2B8-ADF2-4256-9A9C-191C478A0A4C}"/>
    <cellStyle name="20% - Énfasis4" xfId="32" builtinId="42" customBuiltin="1"/>
    <cellStyle name="20% - Énfasis4 2" xfId="391" xr:uid="{B46F09B4-8C24-4D57-9D68-01176DF9341E}"/>
    <cellStyle name="20% - Énfasis4 2 2" xfId="418" xr:uid="{E2CFF0A7-1B08-4E9E-97B0-9C9127D97965}"/>
    <cellStyle name="20% - Énfasis4 2 2 2" xfId="527" xr:uid="{0DCBEC89-64C3-402A-8BCF-7FFBCE7EEFD8}"/>
    <cellStyle name="20% - Énfasis4 2 3" xfId="444" xr:uid="{6EBC7C34-D548-4114-ACB8-D302504FAC08}"/>
    <cellStyle name="20% - Énfasis4 2 3 2" xfId="553" xr:uid="{F13BFA00-5756-4753-B140-3F393DE1D9AF}"/>
    <cellStyle name="20% - Énfasis4 2 4" xfId="470" xr:uid="{43184FA6-9C79-4C9B-9D76-3A67E0BF00C0}"/>
    <cellStyle name="20% - Énfasis4 2 4 2" xfId="579" xr:uid="{299F16D1-BB5F-4223-B46C-2C765E10CA81}"/>
    <cellStyle name="20% - Énfasis4 2 5" xfId="500" xr:uid="{1503569D-F2A8-431C-B91E-E990F2E3FEB1}"/>
    <cellStyle name="20% - Énfasis4 3" xfId="404" xr:uid="{E45CD14F-BD69-44F6-B899-C8008401324D}"/>
    <cellStyle name="20% - Énfasis4 3 2" xfId="513" xr:uid="{3A53EDC8-665C-4072-AB0F-5E34747F487A}"/>
    <cellStyle name="20% - Énfasis4 4" xfId="430" xr:uid="{0A399E83-93B2-4C95-A7CD-457AC2D7B8FE}"/>
    <cellStyle name="20% - Énfasis4 4 2" xfId="539" xr:uid="{E717DC56-BC71-4273-8BEB-27DCC4C2300D}"/>
    <cellStyle name="20% - Énfasis4 5" xfId="456" xr:uid="{81D475F8-17C4-4057-B171-8B6C78DD1535}"/>
    <cellStyle name="20% - Énfasis4 5 2" xfId="565" xr:uid="{2FD8CA9A-EFB9-4E5D-8541-9A9BCA0C3A26}"/>
    <cellStyle name="20% - Énfasis4 6" xfId="487" xr:uid="{DEAE726C-61C0-44FF-9242-CA859D153D07}"/>
    <cellStyle name="20% - Énfasis5" xfId="36" builtinId="46" customBuiltin="1"/>
    <cellStyle name="20% - Énfasis5 2" xfId="393" xr:uid="{5A9AFB33-14C0-4166-B22F-81FBB5CBB0DB}"/>
    <cellStyle name="20% - Énfasis5 2 2" xfId="420" xr:uid="{7D814207-93DB-4640-892A-DC7EC4677E50}"/>
    <cellStyle name="20% - Énfasis5 2 2 2" xfId="529" xr:uid="{15B663B9-C5E4-4EF2-A81E-074A6DA4C9F0}"/>
    <cellStyle name="20% - Énfasis5 2 3" xfId="446" xr:uid="{34041FBD-D907-4D0D-A2CC-85A8EC56588E}"/>
    <cellStyle name="20% - Énfasis5 2 3 2" xfId="555" xr:uid="{E4C8E8F1-F75F-43D5-8C5D-E73F574AA884}"/>
    <cellStyle name="20% - Énfasis5 2 4" xfId="472" xr:uid="{8934CBF4-F2B0-4BA3-81FC-028A14D047F4}"/>
    <cellStyle name="20% - Énfasis5 2 4 2" xfId="581" xr:uid="{85B03D9A-D0E3-43F2-BAB7-16772672843D}"/>
    <cellStyle name="20% - Énfasis5 2 5" xfId="502" xr:uid="{197A9C0C-0844-4071-B86A-D50CED3D8B58}"/>
    <cellStyle name="20% - Énfasis5 3" xfId="406" xr:uid="{E466B538-21C6-413E-996E-8398A52CA7EA}"/>
    <cellStyle name="20% - Énfasis5 3 2" xfId="515" xr:uid="{276B77FD-7BB5-4D02-9F1C-1E4C39949CC3}"/>
    <cellStyle name="20% - Énfasis5 4" xfId="432" xr:uid="{DF53BEB3-0641-4C5A-B590-E565642822DA}"/>
    <cellStyle name="20% - Énfasis5 4 2" xfId="541" xr:uid="{58B3AACB-52DC-4D5B-BECA-F78B0DF2E788}"/>
    <cellStyle name="20% - Énfasis5 5" xfId="458" xr:uid="{DBF5AD06-071C-4738-92DF-F4258D1ADDA2}"/>
    <cellStyle name="20% - Énfasis5 5 2" xfId="567" xr:uid="{A4C2FB70-E8A7-4E45-B384-7A8A1FA31135}"/>
    <cellStyle name="20% - Énfasis5 6" xfId="489" xr:uid="{BA0DD7FA-49ED-4A56-9609-E76B4C6A09E8}"/>
    <cellStyle name="20% - Énfasis6" xfId="40" builtinId="50" customBuiltin="1"/>
    <cellStyle name="20% - Énfasis6 2" xfId="395" xr:uid="{D24FDA3C-4854-494C-9CC6-C541E2B40AC3}"/>
    <cellStyle name="20% - Énfasis6 2 2" xfId="422" xr:uid="{C8B8300F-7A13-4B30-854A-3C80A071116E}"/>
    <cellStyle name="20% - Énfasis6 2 2 2" xfId="531" xr:uid="{FF725533-BAB4-455E-8D6C-66374382AB8A}"/>
    <cellStyle name="20% - Énfasis6 2 3" xfId="448" xr:uid="{B9610F56-EB00-4B22-AF03-DE4E0FFEA202}"/>
    <cellStyle name="20% - Énfasis6 2 3 2" xfId="557" xr:uid="{013123DB-6D43-4946-B6A8-BD163C2D6B6B}"/>
    <cellStyle name="20% - Énfasis6 2 4" xfId="474" xr:uid="{CF8A2083-0902-4579-A0ED-572C1F3E35D9}"/>
    <cellStyle name="20% - Énfasis6 2 4 2" xfId="583" xr:uid="{A1FD09C6-7450-4862-ACB4-28C6D68C17BA}"/>
    <cellStyle name="20% - Énfasis6 2 5" xfId="504" xr:uid="{DB415095-1A50-4CBF-81B8-1D891BF83F30}"/>
    <cellStyle name="20% - Énfasis6 3" xfId="408" xr:uid="{8944F09C-EBA3-4E76-AAFF-67CF4BFF8CC1}"/>
    <cellStyle name="20% - Énfasis6 3 2" xfId="517" xr:uid="{32A0A5AC-3CFF-4016-8960-0C5FE3ED4041}"/>
    <cellStyle name="20% - Énfasis6 4" xfId="434" xr:uid="{3963F9C9-9ACA-4BD6-B162-EF0650503363}"/>
    <cellStyle name="20% - Énfasis6 4 2" xfId="543" xr:uid="{EF3E52EB-0ED2-4FB0-8986-B37070DAA01C}"/>
    <cellStyle name="20% - Énfasis6 5" xfId="460" xr:uid="{CDD6D5E2-3FA0-49E6-93B0-C95481450508}"/>
    <cellStyle name="20% - Énfasis6 5 2" xfId="569" xr:uid="{CD84476E-6921-4602-BE48-05D2359FF3BE}"/>
    <cellStyle name="20% - Énfasis6 6" xfId="491" xr:uid="{ED189990-4796-4AAD-8B62-0E93846937EE}"/>
    <cellStyle name="40 % - Accent1" xfId="1063" xr:uid="{5C35C135-4133-44A3-9978-F01B3B4FE74B}"/>
    <cellStyle name="40 % - Accent2" xfId="1065" xr:uid="{609376D0-237D-4D8E-AC19-43B56D66D2CA}"/>
    <cellStyle name="40 % - Accent3" xfId="1064" xr:uid="{34082946-04F7-4B9F-A703-7A6EC764F096}"/>
    <cellStyle name="40 % - Accent4" xfId="1043" xr:uid="{AF02BE41-E48F-4D8E-B21C-6F0C28BFE94F}"/>
    <cellStyle name="40 % - Accent5" xfId="1020" xr:uid="{4C1F60F9-ADE7-47A2-BC44-CD3B69C00810}"/>
    <cellStyle name="40 % - Accent6" xfId="1021" xr:uid="{2C12B1BD-BEAD-4191-B543-AB63B8A0DE0B}"/>
    <cellStyle name="40% — akcent 1 2" xfId="111" xr:uid="{EB173FB7-2F06-4A46-BE4A-B7EC0AFF3AFA}"/>
    <cellStyle name="40% — akcent 2 2" xfId="115" xr:uid="{AD158410-469E-44A6-9764-303B19494DCB}"/>
    <cellStyle name="40% — akcent 3 2" xfId="119" xr:uid="{FCE17408-22B4-4E0B-A9B8-A9C3A6B6ED33}"/>
    <cellStyle name="40% — akcent 4 2" xfId="123" xr:uid="{0AD1B3A8-43FF-48D0-B03F-27FF25DC8846}"/>
    <cellStyle name="40% — akcent 5 2" xfId="127" xr:uid="{B9C41E8F-8D85-4A2D-BC70-D0645582154A}"/>
    <cellStyle name="40% — akcent 6 2" xfId="131" xr:uid="{47516EFB-E1F2-45EB-B229-2E3ADF4F7D9D}"/>
    <cellStyle name="40% - Énfasis1" xfId="21" builtinId="31" customBuiltin="1"/>
    <cellStyle name="40% - Énfasis1 2" xfId="386" xr:uid="{CD069C4D-015B-4614-A391-33BF8261B7B8}"/>
    <cellStyle name="40% - Énfasis1 2 2" xfId="413" xr:uid="{F5C3B6CF-D3E2-40CA-8BC1-E3524C05DAC0}"/>
    <cellStyle name="40% - Énfasis1 2 2 2" xfId="522" xr:uid="{8883D2B8-1538-47CC-9FBE-252E09081266}"/>
    <cellStyle name="40% - Énfasis1 2 3" xfId="439" xr:uid="{0B5383DF-0F2B-460F-99D9-70AE00822EF0}"/>
    <cellStyle name="40% - Énfasis1 2 3 2" xfId="548" xr:uid="{355D3AF8-0349-47BC-AB79-1459F3E960E2}"/>
    <cellStyle name="40% - Énfasis1 2 4" xfId="465" xr:uid="{F3F45520-6F33-48AA-8839-99E8236CE34B}"/>
    <cellStyle name="40% - Énfasis1 2 4 2" xfId="574" xr:uid="{B445D47F-8642-4430-8CD7-76F75146DBB8}"/>
    <cellStyle name="40% - Énfasis1 2 5" xfId="495" xr:uid="{171F2221-105E-416C-BA47-C3938C31A68D}"/>
    <cellStyle name="40% - Énfasis1 3" xfId="399" xr:uid="{DADDA7EC-C2C9-431D-92CE-B94AF19A52D4}"/>
    <cellStyle name="40% - Énfasis1 3 2" xfId="508" xr:uid="{C7F22554-C5D9-4EBD-AA02-BF59E8428AB6}"/>
    <cellStyle name="40% - Énfasis1 4" xfId="425" xr:uid="{9CB864B1-23DB-48B6-9B06-FBBC0789D2D8}"/>
    <cellStyle name="40% - Énfasis1 4 2" xfId="534" xr:uid="{A76E4447-4EA4-4F11-BBC4-1C8E62708838}"/>
    <cellStyle name="40% - Énfasis1 5" xfId="451" xr:uid="{26489E13-B920-43BA-AADA-A0F88DAB644E}"/>
    <cellStyle name="40% - Énfasis1 5 2" xfId="560" xr:uid="{8D3605AC-E6AC-4C75-8BBA-97BA680AB80F}"/>
    <cellStyle name="40% - Énfasis1 6" xfId="482" xr:uid="{824B9E6F-0273-454D-A11E-387AFB565535}"/>
    <cellStyle name="40% - Énfasis2" xfId="25" builtinId="35" customBuiltin="1"/>
    <cellStyle name="40% - Énfasis2 2" xfId="388" xr:uid="{1031E93A-06CA-4452-BCD3-6F55628AD793}"/>
    <cellStyle name="40% - Énfasis2 2 2" xfId="415" xr:uid="{72067ADD-E070-4480-AF1C-E5D4FAB79D43}"/>
    <cellStyle name="40% - Énfasis2 2 2 2" xfId="524" xr:uid="{DEDBD4E9-D80A-4F4E-A309-696A9F40612E}"/>
    <cellStyle name="40% - Énfasis2 2 3" xfId="441" xr:uid="{18A737DE-7748-474C-B7B8-F1C7B31DA56B}"/>
    <cellStyle name="40% - Énfasis2 2 3 2" xfId="550" xr:uid="{81569449-A115-47D4-A18A-28CFA190A9C3}"/>
    <cellStyle name="40% - Énfasis2 2 4" xfId="467" xr:uid="{9758BD8C-EA5C-4E1C-8687-FE92B43A878E}"/>
    <cellStyle name="40% - Énfasis2 2 4 2" xfId="576" xr:uid="{38BEB330-9CFE-4898-AF95-E26F0A929CAD}"/>
    <cellStyle name="40% - Énfasis2 2 5" xfId="497" xr:uid="{9635D49D-5CC8-4F0D-8FF3-4C99E1710FBA}"/>
    <cellStyle name="40% - Énfasis2 3" xfId="401" xr:uid="{7786A7B9-94DD-44E0-83AC-B66ACCBE5F71}"/>
    <cellStyle name="40% - Énfasis2 3 2" xfId="510" xr:uid="{ECC8918B-0622-45A4-BBF9-414598E1B513}"/>
    <cellStyle name="40% - Énfasis2 4" xfId="427" xr:uid="{181C425D-2136-4F74-85EB-42CA289D910B}"/>
    <cellStyle name="40% - Énfasis2 4 2" xfId="536" xr:uid="{A3E8131C-BABD-46FD-93FC-46C3E00A849D}"/>
    <cellStyle name="40% - Énfasis2 5" xfId="453" xr:uid="{5C82850B-9068-43DD-853F-57180BC50517}"/>
    <cellStyle name="40% - Énfasis2 5 2" xfId="562" xr:uid="{61686060-D248-4632-8E0B-C6B61CA5D14B}"/>
    <cellStyle name="40% - Énfasis2 6" xfId="484" xr:uid="{F526EB82-BF4D-4296-85C4-33132022BD27}"/>
    <cellStyle name="40% - Énfasis3" xfId="29" builtinId="39" customBuiltin="1"/>
    <cellStyle name="40% - Énfasis3 2" xfId="390" xr:uid="{AD1EC2BA-3004-49C5-9C00-2EAEC6931895}"/>
    <cellStyle name="40% - Énfasis3 2 2" xfId="417" xr:uid="{E872E03F-7A1A-47BE-9B47-8F0D8899A5F0}"/>
    <cellStyle name="40% - Énfasis3 2 2 2" xfId="526" xr:uid="{5A6B103A-8F51-407F-8A2B-64A5F9D583DC}"/>
    <cellStyle name="40% - Énfasis3 2 3" xfId="443" xr:uid="{356BF9E7-ECD5-4053-9C6F-CF45400DEABB}"/>
    <cellStyle name="40% - Énfasis3 2 3 2" xfId="552" xr:uid="{20578A18-66BC-4D67-913C-F791279C3E62}"/>
    <cellStyle name="40% - Énfasis3 2 4" xfId="469" xr:uid="{BA22DA9D-7F43-4371-A45E-B94B5E0A3B1C}"/>
    <cellStyle name="40% - Énfasis3 2 4 2" xfId="578" xr:uid="{AC221D67-2198-4A76-88D8-85BE50B2085D}"/>
    <cellStyle name="40% - Énfasis3 2 5" xfId="499" xr:uid="{B8805AFE-EFCA-400A-83FE-7892431DF970}"/>
    <cellStyle name="40% - Énfasis3 3" xfId="403" xr:uid="{58D48DFF-6F71-4788-97F7-09E2632CE719}"/>
    <cellStyle name="40% - Énfasis3 3 2" xfId="512" xr:uid="{92E49B5C-5B87-4915-8C17-AC9F4B6FF3C9}"/>
    <cellStyle name="40% - Énfasis3 4" xfId="429" xr:uid="{2428ED15-B16F-421D-8685-EB21812CC696}"/>
    <cellStyle name="40% - Énfasis3 4 2" xfId="538" xr:uid="{D0D172F7-11DB-4DB9-AECC-A649D152A809}"/>
    <cellStyle name="40% - Énfasis3 5" xfId="455" xr:uid="{1A029E3F-4471-48AA-AE40-4DC66B3F776C}"/>
    <cellStyle name="40% - Énfasis3 5 2" xfId="564" xr:uid="{CD59AAD9-B259-4BB9-8952-061D368B9C8A}"/>
    <cellStyle name="40% - Énfasis3 6" xfId="486" xr:uid="{8BD73417-D486-4BD0-9049-218B26819FFC}"/>
    <cellStyle name="40% - Énfasis4" xfId="33" builtinId="43" customBuiltin="1"/>
    <cellStyle name="40% - Énfasis4 2" xfId="392" xr:uid="{C9F6FD51-7FD3-43EF-B21A-E34207D1C5A1}"/>
    <cellStyle name="40% - Énfasis4 2 2" xfId="419" xr:uid="{7F18D9E1-2CCF-4B86-AB04-5603C7AACA9D}"/>
    <cellStyle name="40% - Énfasis4 2 2 2" xfId="528" xr:uid="{DEABE6B2-C5E1-4A98-B948-6C480D263E93}"/>
    <cellStyle name="40% - Énfasis4 2 3" xfId="445" xr:uid="{D67BC9A8-C3AD-4C20-926E-65AADD45D71B}"/>
    <cellStyle name="40% - Énfasis4 2 3 2" xfId="554" xr:uid="{8E658696-CBB3-402F-96F8-514F0CD3C342}"/>
    <cellStyle name="40% - Énfasis4 2 4" xfId="471" xr:uid="{EEB9B187-05E3-41A5-A97C-6378E72663BB}"/>
    <cellStyle name="40% - Énfasis4 2 4 2" xfId="580" xr:uid="{849EF082-FD66-42C8-B86C-18EC50C4FD45}"/>
    <cellStyle name="40% - Énfasis4 2 5" xfId="501" xr:uid="{B69A6258-43A4-4486-A36E-78FE91C7EE48}"/>
    <cellStyle name="40% - Énfasis4 3" xfId="405" xr:uid="{36DC22DF-AFE2-4DEA-9EF6-0A23DD5C8134}"/>
    <cellStyle name="40% - Énfasis4 3 2" xfId="514" xr:uid="{C2F95E92-607D-432F-8D90-FA34A2AB999C}"/>
    <cellStyle name="40% - Énfasis4 4" xfId="431" xr:uid="{48FFC15C-89E2-4475-B404-FB699DD47742}"/>
    <cellStyle name="40% - Énfasis4 4 2" xfId="540" xr:uid="{B918DC01-930F-4FC9-BA0B-0A5927D7C67D}"/>
    <cellStyle name="40% - Énfasis4 5" xfId="457" xr:uid="{B6A00571-5252-4042-9E9F-974F2DC04E22}"/>
    <cellStyle name="40% - Énfasis4 5 2" xfId="566" xr:uid="{4149493A-6C53-4596-83CD-76FE3BE37F96}"/>
    <cellStyle name="40% - Énfasis4 6" xfId="488" xr:uid="{37260583-4A70-4E66-9B74-75A9B52BCF36}"/>
    <cellStyle name="40% - Énfasis5" xfId="37" builtinId="47" customBuiltin="1"/>
    <cellStyle name="40% - Énfasis5 2" xfId="394" xr:uid="{B123AE1B-0444-448F-A449-34564D156AB1}"/>
    <cellStyle name="40% - Énfasis5 2 2" xfId="421" xr:uid="{3F64C47D-BF36-4905-86F8-05D65B40AD34}"/>
    <cellStyle name="40% - Énfasis5 2 2 2" xfId="530" xr:uid="{9D3D228D-3D9B-4E45-BD39-8A2B9FDADABE}"/>
    <cellStyle name="40% - Énfasis5 2 3" xfId="447" xr:uid="{09A5BB1F-E613-482B-BCB6-4E6C9252BB75}"/>
    <cellStyle name="40% - Énfasis5 2 3 2" xfId="556" xr:uid="{E9293053-B3D9-4189-BA78-0017ED93D876}"/>
    <cellStyle name="40% - Énfasis5 2 4" xfId="473" xr:uid="{C44FA13A-BEF5-4FDA-BA01-1E6B61F81437}"/>
    <cellStyle name="40% - Énfasis5 2 4 2" xfId="582" xr:uid="{E0D70ECF-CDE6-4868-AB8E-9ED390F9878C}"/>
    <cellStyle name="40% - Énfasis5 2 5" xfId="503" xr:uid="{3E42F0A3-8A5C-49E3-83F4-BD465823B3C5}"/>
    <cellStyle name="40% - Énfasis5 3" xfId="407" xr:uid="{A2273C96-36C9-4220-AFD8-7765CCF0C6CF}"/>
    <cellStyle name="40% - Énfasis5 3 2" xfId="516" xr:uid="{BA84901E-ED01-4C63-9260-8920B5A1D46C}"/>
    <cellStyle name="40% - Énfasis5 4" xfId="433" xr:uid="{113C547E-6406-42CC-B9E2-722141F462A9}"/>
    <cellStyle name="40% - Énfasis5 4 2" xfId="542" xr:uid="{9D08A774-1D3E-40E1-AFCC-F499288A70CC}"/>
    <cellStyle name="40% - Énfasis5 5" xfId="459" xr:uid="{D63B930C-CBEF-484A-A182-71B9C64A02E0}"/>
    <cellStyle name="40% - Énfasis5 5 2" xfId="568" xr:uid="{2AC200FF-CBBE-4033-9127-6607D0CED664}"/>
    <cellStyle name="40% - Énfasis5 6" xfId="490" xr:uid="{611EC5C0-A5BD-4C4B-9171-A65B4B3A6454}"/>
    <cellStyle name="40% - Énfasis6" xfId="41" builtinId="51" customBuiltin="1"/>
    <cellStyle name="40% - Énfasis6 2" xfId="396" xr:uid="{F8990F01-1494-4CBF-AB1D-21067E003156}"/>
    <cellStyle name="40% - Énfasis6 2 2" xfId="423" xr:uid="{53035EB6-A239-4835-A5C6-EAC0AA740241}"/>
    <cellStyle name="40% - Énfasis6 2 2 2" xfId="532" xr:uid="{4B217532-55AA-4814-805C-AF87B3877B93}"/>
    <cellStyle name="40% - Énfasis6 2 3" xfId="449" xr:uid="{B0F4D339-0D64-4872-A0C8-186B31EDC172}"/>
    <cellStyle name="40% - Énfasis6 2 3 2" xfId="558" xr:uid="{C8B79418-4C5C-4EB5-B311-040544E8030F}"/>
    <cellStyle name="40% - Énfasis6 2 4" xfId="475" xr:uid="{324E9BA6-5107-4628-976C-AAA0361BC274}"/>
    <cellStyle name="40% - Énfasis6 2 4 2" xfId="584" xr:uid="{481D452F-A5A2-4675-9E77-E98DE9B3F9B4}"/>
    <cellStyle name="40% - Énfasis6 2 5" xfId="505" xr:uid="{6B16D404-CB59-4678-9A33-72DDD25A302F}"/>
    <cellStyle name="40% - Énfasis6 3" xfId="409" xr:uid="{A400B001-F62E-4F24-B37B-7C875797D401}"/>
    <cellStyle name="40% - Énfasis6 3 2" xfId="518" xr:uid="{D3D4AC5A-373E-4214-B6C6-9E6B7470A1AE}"/>
    <cellStyle name="40% - Énfasis6 4" xfId="435" xr:uid="{9ACA68F9-00D7-46FC-9970-E3A731BCC00C}"/>
    <cellStyle name="40% - Énfasis6 4 2" xfId="544" xr:uid="{59BD1973-3A5D-4F10-A486-643E63CC5C03}"/>
    <cellStyle name="40% - Énfasis6 5" xfId="461" xr:uid="{FB99877A-F8D1-495F-AB1A-87146C84E0AA}"/>
    <cellStyle name="40% - Énfasis6 5 2" xfId="570" xr:uid="{D4C24392-E08F-48D8-9757-903E9D15EB2C}"/>
    <cellStyle name="40% - Énfasis6 6" xfId="492" xr:uid="{B11734F9-1DFC-4B05-BA5A-6EFDB3E20A59}"/>
    <cellStyle name="60 % - Accent1" xfId="1040" xr:uid="{BEEAC3AA-D1FB-4C26-86CF-FF536C1EC107}"/>
    <cellStyle name="60 % - Accent2" xfId="1019" xr:uid="{9F75886C-DE50-4880-AFE5-DD9A9AD37A9A}"/>
    <cellStyle name="60 % - Accent3" xfId="1036" xr:uid="{9E479B8A-9CAF-4B25-8299-DD5ED6E2590E}"/>
    <cellStyle name="60 % - Accent4" xfId="1017" xr:uid="{5D8E6BDD-41E6-4810-8613-B3ECE472243E}"/>
    <cellStyle name="60 % - Accent5" xfId="1099" xr:uid="{6BFEEDC9-CC8D-408C-A6EB-9CB3B9D64BE1}"/>
    <cellStyle name="60 % - Accent6" xfId="1076" xr:uid="{A0240A3B-DAC6-4EBD-A6AE-AEC3DAE4D356}"/>
    <cellStyle name="60% — akcent 1 2" xfId="112" xr:uid="{CE64BB5D-89FA-4E93-9B75-C0801E087DE0}"/>
    <cellStyle name="60% — akcent 2 2" xfId="116" xr:uid="{0A4FE3FD-4EF0-43FD-86BE-3637A5CF72B4}"/>
    <cellStyle name="60% — akcent 3 2" xfId="120" xr:uid="{6FEE720D-56FC-418A-88C6-80D5A3460A46}"/>
    <cellStyle name="60% — akcent 4 2" xfId="124" xr:uid="{91903872-7A31-4FC5-B142-766DBF0EAB9B}"/>
    <cellStyle name="60% — akcent 5 2" xfId="128" xr:uid="{A08A0A68-3CE7-4D2E-94CC-45E11E2BCA5F}"/>
    <cellStyle name="60% — akcent 6 2" xfId="132" xr:uid="{DF584194-F755-46AE-A159-40C247FF27E1}"/>
    <cellStyle name="60% - Énfasis1" xfId="22" builtinId="32" customBuiltin="1"/>
    <cellStyle name="60% - Énfasis1 2" xfId="139" xr:uid="{27035052-9CE0-4A23-A332-41DEE991877B}"/>
    <cellStyle name="60% - Énfasis1 2 2" xfId="378" xr:uid="{A4C99C06-12E6-419C-BAB2-209C3F0E2B3D}"/>
    <cellStyle name="60% - Énfasis2" xfId="26" builtinId="36" customBuiltin="1"/>
    <cellStyle name="60% - Énfasis2 2" xfId="140" xr:uid="{B68D22D7-1EF6-4D53-9928-DC0081BE3BB1}"/>
    <cellStyle name="60% - Énfasis2 2 2" xfId="379" xr:uid="{BC703F35-1E57-4DB4-8E05-D9569866B4CA}"/>
    <cellStyle name="60% - Énfasis3" xfId="30" builtinId="40" customBuiltin="1"/>
    <cellStyle name="60% - Énfasis3 2" xfId="141" xr:uid="{D37C3B27-B98D-469C-95FC-A462D1415D92}"/>
    <cellStyle name="60% - Énfasis3 2 2" xfId="380" xr:uid="{8E546729-4F14-46D7-89A2-8EF8820A05E5}"/>
    <cellStyle name="60% - Énfasis4" xfId="34" builtinId="44" customBuiltin="1"/>
    <cellStyle name="60% - Énfasis4 2" xfId="142" xr:uid="{B72968CC-517C-493F-ABAD-3C8553EDADA2}"/>
    <cellStyle name="60% - Énfasis4 2 2" xfId="381" xr:uid="{041ECE84-5639-42A0-BA1D-BE1F307FB2CF}"/>
    <cellStyle name="60% - Énfasis5" xfId="38" builtinId="48" customBuiltin="1"/>
    <cellStyle name="60% - Énfasis5 2" xfId="143" xr:uid="{C63544D2-9ACC-42B9-A256-8D87A46D5A1C}"/>
    <cellStyle name="60% - Énfasis5 2 2" xfId="382" xr:uid="{CB74E404-B47D-41A9-9C60-5144DCD6FD94}"/>
    <cellStyle name="60% - Énfasis6" xfId="42" builtinId="52" customBuiltin="1"/>
    <cellStyle name="60% - Énfasis6 2" xfId="144" xr:uid="{BAE56D8D-DB64-47B1-B72A-26BEFB1F99ED}"/>
    <cellStyle name="60% - Énfasis6 2 2" xfId="383" xr:uid="{B3E65EB8-95B1-4083-99C1-4C7BD1767116}"/>
    <cellStyle name="Accent1" xfId="1074" xr:uid="{3D7B1775-080F-46D2-8152-7DB981A40C28}"/>
    <cellStyle name="Accent2" xfId="1072" xr:uid="{3ECA952E-5C6D-4621-9832-2CAD0DA313CF}"/>
    <cellStyle name="Accent3" xfId="1070" xr:uid="{9A4F9D22-7F05-4C1F-A130-2E3E8E18500D}"/>
    <cellStyle name="Accent4" xfId="1068" xr:uid="{E2013DED-56DF-46A7-8FDC-1F1536761B32}"/>
    <cellStyle name="Accent5" xfId="1066" xr:uid="{C3F5A991-27D9-48BF-A5E5-1EA3BC24BE1F}"/>
    <cellStyle name="Accent6" xfId="1186" xr:uid="{2B4FD699-8829-45F1-B499-F416E21E12A9}"/>
    <cellStyle name="Akcent 1 2" xfId="109" xr:uid="{694CE711-EA09-437E-8F89-B1433E913FDA}"/>
    <cellStyle name="Akcent 2 2" xfId="113" xr:uid="{20FD1AB9-3180-4F26-BC63-DD09F95BE5B7}"/>
    <cellStyle name="Akcent 3 2" xfId="117" xr:uid="{A0956057-89A2-493A-B931-91BAAAD9E60A}"/>
    <cellStyle name="Akcent 4 2" xfId="121" xr:uid="{35E29FD0-6F8E-4776-957C-D0F14FC2DDE7}"/>
    <cellStyle name="Akcent 5 2" xfId="125" xr:uid="{D5CCC10C-AC95-4BEC-936A-14475C6DF955}"/>
    <cellStyle name="Akcent 6 2" xfId="129" xr:uid="{AB8CA58E-DBEB-44B1-B707-E19A093D8782}"/>
    <cellStyle name="Avertissement" xfId="1088" xr:uid="{E63390F7-29E1-4384-A45A-71F13DAB0A00}"/>
    <cellStyle name="bl" xfId="156" xr:uid="{E6960C37-4A6D-44D0-8BB2-983FF6DC7CF5}"/>
    <cellStyle name="Bueno" xfId="7" builtinId="26" customBuiltin="1"/>
    <cellStyle name="Calcul" xfId="1034" xr:uid="{885DBC37-5CFA-41F5-B335-091192FF4F47}"/>
    <cellStyle name="Calcul 2" xfId="1252" xr:uid="{E56BBF93-BF7A-4325-B8ED-1AD4E44680B7}"/>
    <cellStyle name="Calcul 2 2" xfId="2312" xr:uid="{9A69AF1C-EBF9-4E6D-AFFB-2CC8E51E3330}"/>
    <cellStyle name="Calcul 2 3" xfId="1809" xr:uid="{6340DAF9-B3B8-4750-B01A-864E49195056}"/>
    <cellStyle name="Calcul 3" xfId="2250" xr:uid="{B02AEEC3-4F8D-493A-907C-D757B2BC202F}"/>
    <cellStyle name="Calcul 4" xfId="1724" xr:uid="{6789E6A0-F770-48AE-9A64-47699A71347C}"/>
    <cellStyle name="Calculation 2" xfId="49" xr:uid="{FD9257BA-1A40-40BA-986B-0508737657D2}"/>
    <cellStyle name="Cálculo" xfId="12" builtinId="22" customBuiltin="1"/>
    <cellStyle name="Cálculo 2" xfId="56" xr:uid="{2AF30C4E-ACB6-4B73-9851-C68C195D949B}"/>
    <cellStyle name="Celda de comprobación" xfId="14" builtinId="23" customBuiltin="1"/>
    <cellStyle name="Celda vinculada" xfId="13" builtinId="24" customBuiltin="1"/>
    <cellStyle name="Celda vinculada 2" xfId="61" xr:uid="{6FDC41FF-30AE-4A0A-816C-2E5F21A8C56A}"/>
    <cellStyle name="Cellule liée" xfId="1185" xr:uid="{13B16DA5-D55A-4E60-8247-40B07F3D8684}"/>
    <cellStyle name="Cero Guiones" xfId="1087" xr:uid="{6B41875A-B0C7-425B-B20D-1B0139514A09}"/>
    <cellStyle name="Comma 2" xfId="57" xr:uid="{996A403C-1C94-4A9F-A383-B4184C8ED083}"/>
    <cellStyle name="Comma 2 10" xfId="1012" xr:uid="{8EA11D91-89A5-481A-A3D5-9D952B64FD6B}"/>
    <cellStyle name="Comma 2 10 2" xfId="2226" xr:uid="{6E43F632-8471-461C-8F11-B2C5D616C1B9}"/>
    <cellStyle name="Comma 2 10 2 2" xfId="3822" xr:uid="{E55EB492-3342-41A2-9847-7FC1ADE235EA}"/>
    <cellStyle name="Comma 2 10 3" xfId="1673" xr:uid="{A63319B4-049E-4361-AA38-B588B263DE8D}"/>
    <cellStyle name="Comma 2 10 4" xfId="3276" xr:uid="{C2B07CF8-3BCD-4CD0-9077-59F33CC7C66C}"/>
    <cellStyle name="Comma 2 11" xfId="1041" xr:uid="{CF9CF605-58A9-4DD6-AB6E-DF7EAA9DE019}"/>
    <cellStyle name="Comma 2 11 2" xfId="3848" xr:uid="{9BCFDA9A-2F20-499B-8E9F-3587ABB06916}"/>
    <cellStyle name="Comma 2 12" xfId="1687" xr:uid="{C7865F70-2A05-4656-831C-6795EACEBE7E}"/>
    <cellStyle name="Comma 2 12 2" xfId="3297" xr:uid="{1DD34997-8DF8-425F-A0FD-EA145B0E2766}"/>
    <cellStyle name="Comma 2 13" xfId="2358" xr:uid="{81FECFCD-EF84-43C8-A624-B443433B89BA}"/>
    <cellStyle name="Comma 2 13 2" xfId="3980" xr:uid="{54D0B8DC-B8E1-4394-B993-939291AA1A9B}"/>
    <cellStyle name="Comma 2 14" xfId="4371" xr:uid="{2BF48C3B-83C7-4589-97FA-17986D3E2C9A}"/>
    <cellStyle name="Comma 2 15" xfId="2756" xr:uid="{EBAD96F6-34B9-4FEE-93AF-49FD6BF09031}"/>
    <cellStyle name="Comma 2 2" xfId="300" xr:uid="{B4314543-359A-46EB-A16A-F447AADA03AE}"/>
    <cellStyle name="Comma 2 2 10" xfId="1734" xr:uid="{CFED8DC7-426D-45E3-9ABE-BBC73FC2FCF0}"/>
    <cellStyle name="Comma 2 2 10 2" xfId="3338" xr:uid="{C3CF8D41-57EF-4BDA-8838-A12862081F32}"/>
    <cellStyle name="Comma 2 2 11" xfId="2400" xr:uid="{4305F8B7-B9D2-41C1-929D-E9D0C35C1658}"/>
    <cellStyle name="Comma 2 2 11 2" xfId="4022" xr:uid="{94AF8A88-2C67-4880-91A9-CE601146F369}"/>
    <cellStyle name="Comma 2 2 12" xfId="4412" xr:uid="{CE583D5C-72E7-480B-8C20-297F006755E0}"/>
    <cellStyle name="Comma 2 2 13" xfId="2797" xr:uid="{D4EB3A42-8A7F-479F-A036-71D67D59DB55}"/>
    <cellStyle name="Comma 2 2 2" xfId="354" xr:uid="{9122701A-4328-44FD-ADD3-204FCEA2E7FC}"/>
    <cellStyle name="Comma 2 2 2 10" xfId="2850" xr:uid="{E237423F-1DFB-4A79-8EFE-A19BAA65A365}"/>
    <cellStyle name="Comma 2 2 2 2" xfId="594" xr:uid="{2CF232EE-F126-48CB-97C3-6C6422D98F3A}"/>
    <cellStyle name="Comma 2 2 2 2 2" xfId="1006" xr:uid="{E9B6C9EC-DF9B-4F5E-B169-9370B93398A0}"/>
    <cellStyle name="Comma 2 2 2 2 2 2" xfId="2106" xr:uid="{8F7C18B3-7404-4080-85E7-7F03097D11BC}"/>
    <cellStyle name="Comma 2 2 2 2 2 2 2" xfId="3702" xr:uid="{A15A5E03-4730-4AA1-955B-AA6705624A10}"/>
    <cellStyle name="Comma 2 2 2 2 2 3" xfId="1560" xr:uid="{6B64EB96-9354-472A-BF1B-02B27793E7AE}"/>
    <cellStyle name="Comma 2 2 2 2 2 4" xfId="3159" xr:uid="{918EA81F-7F2C-444B-940A-EEE0FC9BF011}"/>
    <cellStyle name="Comma 2 2 2 2 3" xfId="1239" xr:uid="{7BC394D5-F99F-4CCD-9A2D-39D5202CF2D9}"/>
    <cellStyle name="Comma 2 2 2 2 3 2" xfId="3968" xr:uid="{96AF6443-9960-4651-9F78-06CF4D7F2503}"/>
    <cellStyle name="Comma 2 2 2 2 4" xfId="1820" xr:uid="{8E6C7906-702F-4DD6-B29C-E90B1A1F64C8}"/>
    <cellStyle name="Comma 2 2 2 2 4 2" xfId="3417" xr:uid="{EF1CB3A5-800B-4C10-AD1A-16EF26B4FBED}"/>
    <cellStyle name="Comma 2 2 2 2 5" xfId="2479" xr:uid="{8C5B0EED-870B-4680-8CE3-1779DD16DC80}"/>
    <cellStyle name="Comma 2 2 2 2 5 2" xfId="4101" xr:uid="{FDA30AC3-B660-49B6-9DE8-B38710408E46}"/>
    <cellStyle name="Comma 2 2 2 2 6" xfId="4491" xr:uid="{FA8A4EFD-06B0-402E-A911-B6194BAA6778}"/>
    <cellStyle name="Comma 2 2 2 2 7" xfId="2876" xr:uid="{A30CF5A3-3E84-4849-A95D-CA271FBE90FF}"/>
    <cellStyle name="Comma 2 2 2 3" xfId="980" xr:uid="{CEC6806E-6C97-4314-B4DB-9D13C8733802}"/>
    <cellStyle name="Comma 2 2 2 3 2" xfId="1839" xr:uid="{856A3F25-10D4-4A80-A1EC-B01028E82E60}"/>
    <cellStyle name="Comma 2 2 2 3 2 2" xfId="3436" xr:uid="{087E21C9-583D-4DE8-9955-E859C0A236F9}"/>
    <cellStyle name="Comma 2 2 2 3 3" xfId="1296" xr:uid="{DCA20156-6709-4E61-8000-7ED5860037E0}"/>
    <cellStyle name="Comma 2 2 2 3 4" xfId="2896" xr:uid="{F3048384-1814-45AD-96F8-9C26B226A196}"/>
    <cellStyle name="Comma 2 2 2 4" xfId="1162" xr:uid="{C185582B-05F3-48BC-A51F-656A4B26FAEF}"/>
    <cellStyle name="Comma 2 2 2 4 2" xfId="2212" xr:uid="{17818403-8ECA-4A8E-9C61-33AF17086758}"/>
    <cellStyle name="Comma 2 2 2 4 2 2" xfId="3808" xr:uid="{4C1C19C6-12BB-4480-B328-DE15C93667DC}"/>
    <cellStyle name="Comma 2 2 2 4 3" xfId="3263" xr:uid="{9D9762C8-AFAD-469A-94E4-5B03F6CE5C11}"/>
    <cellStyle name="Comma 2 2 2 5" xfId="1675" xr:uid="{FA06D6A6-0A3E-46CA-BBD3-3336E4E98ABD}"/>
    <cellStyle name="Comma 2 2 2 5 2" xfId="2235" xr:uid="{04773326-5651-4F1C-83AD-90C2C431CD28}"/>
    <cellStyle name="Comma 2 2 2 5 2 2" xfId="3831" xr:uid="{483B710B-459B-4CE2-A140-2909C2DA7836}"/>
    <cellStyle name="Comma 2 2 2 5 3" xfId="3285" xr:uid="{257184DE-32A7-49CB-AE58-A493E8E91F31}"/>
    <cellStyle name="Comma 2 2 2 6" xfId="2309" xr:uid="{2E647C32-3ED4-4345-8E29-FFAD575F9E7C}"/>
    <cellStyle name="Comma 2 2 2 6 2" xfId="3942" xr:uid="{A8B6D483-C40E-47C2-9470-FEB90BA72B1A}"/>
    <cellStyle name="Comma 2 2 2 7" xfId="1782" xr:uid="{08A4E434-DF2E-430E-B273-7CE774FF0F70}"/>
    <cellStyle name="Comma 2 2 2 7 2" xfId="3391" xr:uid="{26C8B3CA-0E53-4100-BE23-F820F55B2A3B}"/>
    <cellStyle name="Comma 2 2 2 8" xfId="2453" xr:uid="{344DBE2E-C657-4F0B-95E1-2B4BBAE90C44}"/>
    <cellStyle name="Comma 2 2 2 8 2" xfId="4075" xr:uid="{F8CF5E98-FDBE-4E4D-AC8B-1F800A948A9B}"/>
    <cellStyle name="Comma 2 2 2 9" xfId="4465" xr:uid="{69844784-C3E7-43F9-B454-07D82182D440}"/>
    <cellStyle name="Comma 2 2 3" xfId="369" xr:uid="{A30A1113-DCE1-4406-8EE4-5D9ACBD39101}"/>
    <cellStyle name="Comma 2 2 3 2" xfId="862" xr:uid="{6600E315-0347-42AC-B69E-A3141DAFFEEC}"/>
    <cellStyle name="Comma 2 2 3 2 2" xfId="2185" xr:uid="{47FB3D0A-9BE4-448D-9645-3B56B220B61B}"/>
    <cellStyle name="Comma 2 2 3 2 2 2" xfId="3781" xr:uid="{E7A930A9-56A3-4258-9208-30922D1274F3}"/>
    <cellStyle name="Comma 2 2 3 2 3" xfId="2731" xr:uid="{ECCA1DD6-BC5C-4CD4-AB7D-86EF820CA58C}"/>
    <cellStyle name="Comma 2 2 3 2 3 2" xfId="4353" xr:uid="{37E1093B-2163-4FFE-9965-D1179034DBC5}"/>
    <cellStyle name="Comma 2 2 3 2 4" xfId="1638" xr:uid="{C9EF8404-1A7E-4683-872A-FFF1359E80F1}"/>
    <cellStyle name="Comma 2 2 3 2 5" xfId="3237" xr:uid="{EBE8B7E1-445F-4D03-8994-E0DEF0119CFA}"/>
    <cellStyle name="Comma 2 2 3 3" xfId="995" xr:uid="{BBD8D0B4-0B70-4C20-83E4-A9925DFDD826}"/>
    <cellStyle name="Comma 2 2 3 3 2" xfId="1936" xr:uid="{19BD45B2-8709-40FA-A321-005FD8605CD6}"/>
    <cellStyle name="Comma 2 2 3 3 2 2" xfId="3532" xr:uid="{799C947C-110A-441C-BDED-29C577D1C07A}"/>
    <cellStyle name="Comma 2 2 3 3 3" xfId="1392" xr:uid="{4B12624B-C30C-4E59-9B8A-D9DFCEF5B776}"/>
    <cellStyle name="Comma 2 2 3 3 4" xfId="2991" xr:uid="{A3328FC1-DFC1-471D-8BA3-D7CEB0CE8CB4}"/>
    <cellStyle name="Comma 2 2 3 4" xfId="1177" xr:uid="{BEEA4905-DB25-4BCD-8EEC-ACFFEC167553}"/>
    <cellStyle name="Comma 2 2 3 4 2" xfId="3957" xr:uid="{21192F24-2FD0-4AC5-B7CD-4435BE9465A2}"/>
    <cellStyle name="Comma 2 2 3 5" xfId="1797" xr:uid="{44FE1811-E510-4C9A-9F91-87421A1F60D2}"/>
    <cellStyle name="Comma 2 2 3 5 2" xfId="3406" xr:uid="{C8D45164-1883-4B1E-B4A5-A0CAB9CAEBFF}"/>
    <cellStyle name="Comma 2 2 3 6" xfId="2468" xr:uid="{6F221C06-AD90-41E1-8F9F-5CADF652CEC1}"/>
    <cellStyle name="Comma 2 2 3 6 2" xfId="4090" xr:uid="{880DDB0F-A785-4755-A0A7-C9D0522A2B2B}"/>
    <cellStyle name="Comma 2 2 3 7" xfId="4480" xr:uid="{56399A33-2011-4B9E-AF68-F43762A7DD25}"/>
    <cellStyle name="Comma 2 2 3 8" xfId="2865" xr:uid="{294F31F7-CF98-4447-B0A4-9734072750E8}"/>
    <cellStyle name="Comma 2 2 4" xfId="696" xr:uid="{C79DA287-3621-4B98-80FB-64C59C1285AD}"/>
    <cellStyle name="Comma 2 2 4 2" xfId="1831" xr:uid="{AF4C6FB9-40FE-41A1-988A-CDBC4BC2D726}"/>
    <cellStyle name="Comma 2 2 4 2 2" xfId="3428" xr:uid="{EA7C39E6-654C-4AC7-A9CB-9D8D57B68832}"/>
    <cellStyle name="Comma 2 2 4 3" xfId="2566" xr:uid="{BAFB045E-19A0-42A2-B299-8747C8070AB4}"/>
    <cellStyle name="Comma 2 2 4 3 2" xfId="4188" xr:uid="{3F0C0154-0511-44FC-8778-E60144884CFE}"/>
    <cellStyle name="Comma 2 2 4 4" xfId="1288" xr:uid="{4A131168-9D67-4400-AEE4-17622005A0C5}"/>
    <cellStyle name="Comma 2 2 4 5" xfId="2888" xr:uid="{953BF624-7E5F-4DBA-95A2-7C63F34EC2D6}"/>
    <cellStyle name="Comma 2 2 5" xfId="744" xr:uid="{C4E4CCAD-54DD-4B18-9162-A25EF8F42B28}"/>
    <cellStyle name="Comma 2 2 5 2" xfId="2065" xr:uid="{AC16AB97-B7BD-4174-B8EF-7990214A8BC9}"/>
    <cellStyle name="Comma 2 2 5 2 2" xfId="3661" xr:uid="{E8D37801-C664-4F8F-8ABA-31BCA45E23F0}"/>
    <cellStyle name="Comma 2 2 5 3" xfId="2615" xr:uid="{F0DD6E9A-6692-4DBE-ABEA-1944E9CBD48D}"/>
    <cellStyle name="Comma 2 2 5 3 2" xfId="4237" xr:uid="{CF9EEF8F-C95E-4D40-AF13-F785A562D202}"/>
    <cellStyle name="Comma 2 2 5 4" xfId="1521" xr:uid="{07B1B41D-5729-457C-9201-A8D7DEBCCD68}"/>
    <cellStyle name="Comma 2 2 5 5" xfId="3120" xr:uid="{DCE3E6B2-AC97-4C04-B20A-2D8933AFB669}"/>
    <cellStyle name="Comma 2 2 6" xfId="755" xr:uid="{28B1B161-83DE-4FE7-B59F-E3195DDC10B2}"/>
    <cellStyle name="Comma 2 2 6 2" xfId="2076" xr:uid="{00BC5AC4-CB81-465E-8B2F-D24688F47A80}"/>
    <cellStyle name="Comma 2 2 6 2 2" xfId="3672" xr:uid="{5ABBF38D-CFE2-4DC5-B7E9-67746CF1EB95}"/>
    <cellStyle name="Comma 2 2 6 3" xfId="2626" xr:uid="{3AC1DA66-A917-4F30-A395-75D8CAF2447F}"/>
    <cellStyle name="Comma 2 2 6 3 2" xfId="4248" xr:uid="{B310BE88-DC46-4738-A395-67906BF80226}"/>
    <cellStyle name="Comma 2 2 6 4" xfId="1530" xr:uid="{EF7A011A-364E-4ACD-ABD3-771FEA7AD841}"/>
    <cellStyle name="Comma 2 2 6 5" xfId="3129" xr:uid="{7E2EEDE8-C277-4BF6-BACC-7E6F73FFEE3D}"/>
    <cellStyle name="Comma 2 2 7" xfId="927" xr:uid="{D4ECB84D-A3E7-497A-980F-DF009A11CD68}"/>
    <cellStyle name="Comma 2 2 7 2" xfId="2204" xr:uid="{693BC37A-E422-41BB-860D-9D2BD1E5EE69}"/>
    <cellStyle name="Comma 2 2 7 2 2" xfId="3800" xr:uid="{3B4CD1DE-80A9-4532-A5E3-FCD3D2F358AE}"/>
    <cellStyle name="Comma 2 2 7 3" xfId="1656" xr:uid="{8BD67316-2F54-43E5-B562-F0C5FBCEC96F}"/>
    <cellStyle name="Comma 2 2 7 4" xfId="3255" xr:uid="{AB9BF00E-DD36-4EDA-BD77-271A6CC9ECD9}"/>
    <cellStyle name="Comma 2 2 8" xfId="1109" xr:uid="{DCE5E9C3-EF71-4413-882E-E3CC5B53C211}"/>
    <cellStyle name="Comma 2 2 8 2" xfId="2227" xr:uid="{9DA987BC-EA93-4D95-81B7-75ADD6EFA9E5}"/>
    <cellStyle name="Comma 2 2 8 2 2" xfId="3823" xr:uid="{9AC7D8B1-DA5E-41FC-8EF1-6B1DE6775D87}"/>
    <cellStyle name="Comma 2 2 8 3" xfId="3277" xr:uid="{1081FAF7-AC33-42A8-BAE6-A25AF7821AED}"/>
    <cellStyle name="Comma 2 2 9" xfId="2301" xr:uid="{5BC0F8BD-2131-4170-88C0-4B2FB7424032}"/>
    <cellStyle name="Comma 2 2 9 2" xfId="3889" xr:uid="{FC42B2D9-A7D2-4402-B9C4-AC8B35227084}"/>
    <cellStyle name="Comma 2 3" xfId="299" xr:uid="{72CC1B2C-CED7-4418-9FC3-B59E8380117A}"/>
    <cellStyle name="Comma 2 3 10" xfId="1733" xr:uid="{6E503037-7A8C-4B20-8585-39DF05CAAE04}"/>
    <cellStyle name="Comma 2 3 10 2" xfId="3337" xr:uid="{55CF95F3-39C9-4638-8B51-657CEAE9A452}"/>
    <cellStyle name="Comma 2 3 11" xfId="2399" xr:uid="{AFF301E9-B377-455F-AE47-BE94367BEF1F}"/>
    <cellStyle name="Comma 2 3 11 2" xfId="4021" xr:uid="{3504AC15-9B4E-4D33-AE76-164178D158F6}"/>
    <cellStyle name="Comma 2 3 12" xfId="4411" xr:uid="{6DEF97D8-B964-4E77-9A93-D791B68A5827}"/>
    <cellStyle name="Comma 2 3 13" xfId="2796" xr:uid="{E065E2CC-4599-4E50-86E6-2597686316F7}"/>
    <cellStyle name="Comma 2 3 2" xfId="353" xr:uid="{94ED5247-1C7A-474C-A1B6-9C5C3BEF1EE4}"/>
    <cellStyle name="Comma 2 3 2 2" xfId="849" xr:uid="{8D4AC0A2-6DC2-41CB-9FBD-3AFD3F2BE9CF}"/>
    <cellStyle name="Comma 2 3 2 2 2" xfId="2170" xr:uid="{094B695E-859A-4632-9D2E-CDD5B9A3F70F}"/>
    <cellStyle name="Comma 2 3 2 2 2 2" xfId="3766" xr:uid="{F19168F5-2199-455A-82E1-46C3E0E3DDB0}"/>
    <cellStyle name="Comma 2 3 2 2 3" xfId="2718" xr:uid="{1CFEF5B8-027A-43AF-ACE7-CA34D9C806EF}"/>
    <cellStyle name="Comma 2 3 2 2 3 2" xfId="4340" xr:uid="{875E242B-03C1-4218-8F57-C6F205BCCF8A}"/>
    <cellStyle name="Comma 2 3 2 2 4" xfId="1623" xr:uid="{6E6641B0-3656-49E9-8AE8-FAAC101500EE}"/>
    <cellStyle name="Comma 2 3 2 2 5" xfId="3222" xr:uid="{01F8BC65-9F4A-41B9-A589-937A7B2DFCD2}"/>
    <cellStyle name="Comma 2 3 2 3" xfId="979" xr:uid="{DC1C4A59-7786-460F-9E4C-86282D422B77}"/>
    <cellStyle name="Comma 2 3 2 3 2" xfId="1927" xr:uid="{532B6C42-734B-483E-8C9B-98B0E4C0004C}"/>
    <cellStyle name="Comma 2 3 2 3 2 2" xfId="3523" xr:uid="{8DAC05C2-AFF2-4FFA-BE82-080972B01576}"/>
    <cellStyle name="Comma 2 3 2 3 3" xfId="1383" xr:uid="{BC42CEE4-5F0D-4C7F-A15C-A87B776EC66C}"/>
    <cellStyle name="Comma 2 3 2 3 4" xfId="2982" xr:uid="{2B5B823A-5D4A-41E9-A20A-1A0259B73430}"/>
    <cellStyle name="Comma 2 3 2 4" xfId="1161" xr:uid="{DF16A795-D51E-4736-8311-5E15293A89BD}"/>
    <cellStyle name="Comma 2 3 2 4 2" xfId="3941" xr:uid="{BC675A89-0872-4FEA-B6E7-04F0AB68F476}"/>
    <cellStyle name="Comma 2 3 2 5" xfId="1781" xr:uid="{69431AA2-B295-435F-BF46-89E92C6AE96B}"/>
    <cellStyle name="Comma 2 3 2 5 2" xfId="3390" xr:uid="{C57943F7-206C-4C94-8EC7-92B424A150CD}"/>
    <cellStyle name="Comma 2 3 2 6" xfId="2452" xr:uid="{D21E1843-1CFC-4459-AAD3-714BCE2E7E22}"/>
    <cellStyle name="Comma 2 3 2 6 2" xfId="4074" xr:uid="{FBE677B7-74D0-4A5A-8CD9-0CEB7C172906}"/>
    <cellStyle name="Comma 2 3 2 7" xfId="4464" xr:uid="{D2FA84F0-88C2-4450-8094-35D29D7C4C47}"/>
    <cellStyle name="Comma 2 3 2 8" xfId="2849" xr:uid="{E5559B93-DB5E-4E4F-A596-7595CBED47AC}"/>
    <cellStyle name="Comma 2 3 3" xfId="593" xr:uid="{B3693DEF-15B7-41CF-92A3-04EDF814CAD8}"/>
    <cellStyle name="Comma 2 3 3 2" xfId="877" xr:uid="{FE2D18CE-547D-46C4-8F54-99C91C6BDE7F}"/>
    <cellStyle name="Comma 2 3 3 2 2" xfId="2195" xr:uid="{1CD20D3F-F2A1-4FD6-9001-8D84DA81B818}"/>
    <cellStyle name="Comma 2 3 3 2 2 2" xfId="3791" xr:uid="{FF3667FE-B9EC-418A-98EF-D8D1A273CB45}"/>
    <cellStyle name="Comma 2 3 3 2 3" xfId="2741" xr:uid="{B8263533-40A8-4079-A4CA-787E5D0F4F0F}"/>
    <cellStyle name="Comma 2 3 3 2 3 2" xfId="4363" xr:uid="{C72CB493-BDD5-4386-9376-5E9E2B82AF6B}"/>
    <cellStyle name="Comma 2 3 3 2 4" xfId="1648" xr:uid="{15C0C122-7F8D-40EF-AB3A-12279EF1BB7F}"/>
    <cellStyle name="Comma 2 3 3 2 5" xfId="3247" xr:uid="{769C3110-2B57-4309-A444-B02F8529F1C8}"/>
    <cellStyle name="Comma 2 3 3 3" xfId="1005" xr:uid="{F83B129E-E00B-4760-9E13-6E2935084451}"/>
    <cellStyle name="Comma 2 3 3 3 2" xfId="1977" xr:uid="{67B9FD6A-09AC-4CD1-886D-12B8ED2FA2F5}"/>
    <cellStyle name="Comma 2 3 3 3 2 2" xfId="3573" xr:uid="{6E7DAF81-905E-4406-808A-363044F0A8E4}"/>
    <cellStyle name="Comma 2 3 3 3 3" xfId="1433" xr:uid="{BD1834B8-782F-4DE8-9F4C-640D17B72961}"/>
    <cellStyle name="Comma 2 3 3 3 4" xfId="3032" xr:uid="{3B5B036A-BF12-4DBB-BA03-CEBE6586ADD2}"/>
    <cellStyle name="Comma 2 3 3 4" xfId="1238" xr:uid="{39AF88D0-3254-42E5-97EE-D0306236B2AF}"/>
    <cellStyle name="Comma 2 3 3 4 2" xfId="3967" xr:uid="{5A3333AA-7CC1-4A58-9815-CCAC7EC022AD}"/>
    <cellStyle name="Comma 2 3 3 5" xfId="1819" xr:uid="{72871FCB-35A2-45A4-855E-3C8E85FB7737}"/>
    <cellStyle name="Comma 2 3 3 5 2" xfId="3416" xr:uid="{DA3E8E84-9149-408E-8AA1-7AE85CF2304A}"/>
    <cellStyle name="Comma 2 3 3 6" xfId="2478" xr:uid="{56463FAE-8481-4D0B-9739-39661F94F770}"/>
    <cellStyle name="Comma 2 3 3 6 2" xfId="4100" xr:uid="{4AA85617-9566-49D0-BE88-8A0D30BF2389}"/>
    <cellStyle name="Comma 2 3 3 7" xfId="4490" xr:uid="{9F6ABB5E-5E43-4D4D-A5D7-A9E1696604B3}"/>
    <cellStyle name="Comma 2 3 3 8" xfId="2875" xr:uid="{921BE596-CD5F-4E9F-BAE2-0326E51F9A80}"/>
    <cellStyle name="Comma 2 3 4" xfId="695" xr:uid="{C4031736-3CEE-4529-A8A7-3BCFF41B8711}"/>
    <cellStyle name="Comma 2 3 4 2" xfId="1838" xr:uid="{C4D0F1C9-02E8-430B-88DA-72CA21A17739}"/>
    <cellStyle name="Comma 2 3 4 2 2" xfId="3435" xr:uid="{5A5742E2-BD94-43D1-9DF7-C09C548B5797}"/>
    <cellStyle name="Comma 2 3 4 3" xfId="2565" xr:uid="{B2E2A2DA-A427-4B62-9D9A-462DD8E6B4FB}"/>
    <cellStyle name="Comma 2 3 4 3 2" xfId="4187" xr:uid="{3B5E4875-FE4C-42E5-B056-E269C9ABD02C}"/>
    <cellStyle name="Comma 2 3 4 4" xfId="1295" xr:uid="{D4C92322-3256-4A24-AF76-ADD6A4C98662}"/>
    <cellStyle name="Comma 2 3 4 5" xfId="2895" xr:uid="{A45B281A-B666-4417-A457-7D9CDD9966E9}"/>
    <cellStyle name="Comma 2 3 5" xfId="743" xr:uid="{3A989C95-E321-4881-A03B-03082C8D8C42}"/>
    <cellStyle name="Comma 2 3 5 2" xfId="2064" xr:uid="{3753BE0F-6444-4D5B-BA8B-0883B2520C1C}"/>
    <cellStyle name="Comma 2 3 5 2 2" xfId="3660" xr:uid="{7ECCB53E-94F3-49A4-A6B0-7795835FDE03}"/>
    <cellStyle name="Comma 2 3 5 3" xfId="2614" xr:uid="{769A2F0B-96C7-4405-A4AA-9E120BBA319B}"/>
    <cellStyle name="Comma 2 3 5 3 2" xfId="4236" xr:uid="{1B71AC21-4B95-41F3-9DA8-3D01BEB2066E}"/>
    <cellStyle name="Comma 2 3 5 4" xfId="1520" xr:uid="{151ACBB6-4EE7-4651-A37C-9AA78F829F5D}"/>
    <cellStyle name="Comma 2 3 5 5" xfId="3119" xr:uid="{BC36E303-A1D6-43E6-812B-D286ECB49970}"/>
    <cellStyle name="Comma 2 3 6" xfId="785" xr:uid="{85960927-8A18-4D82-AF9A-DE8A562DF45F}"/>
    <cellStyle name="Comma 2 3 6 2" xfId="2105" xr:uid="{E645BC01-0293-4B98-8C48-ACF78B8039C4}"/>
    <cellStyle name="Comma 2 3 6 2 2" xfId="3701" xr:uid="{09A10264-2114-45D6-8C22-9F0CF7B8436A}"/>
    <cellStyle name="Comma 2 3 6 3" xfId="2655" xr:uid="{67355A03-78CC-4759-BFE8-CA516B71EC5B}"/>
    <cellStyle name="Comma 2 3 6 3 2" xfId="4277" xr:uid="{7CCBCD50-2993-4A58-9C0B-ED6068809F43}"/>
    <cellStyle name="Comma 2 3 6 4" xfId="1559" xr:uid="{3E1AB2FB-FF49-4EEA-9748-6076D4B19CF9}"/>
    <cellStyle name="Comma 2 3 6 5" xfId="3158" xr:uid="{3DE72A13-37FF-4511-88F7-83D01E1FE689}"/>
    <cellStyle name="Comma 2 3 7" xfId="926" xr:uid="{CDF74728-DA01-4E3E-89A5-895F900AA8AF}"/>
    <cellStyle name="Comma 2 3 7 2" xfId="2211" xr:uid="{57BF72A2-EFB7-48EC-9241-639EE1BAB680}"/>
    <cellStyle name="Comma 2 3 7 2 2" xfId="3807" xr:uid="{01BC89A3-0347-4297-94F0-6FE24FF565B4}"/>
    <cellStyle name="Comma 2 3 7 3" xfId="1663" xr:uid="{B7FF1A40-B2BC-4F24-8417-F76AE380A244}"/>
    <cellStyle name="Comma 2 3 7 4" xfId="3262" xr:uid="{D8CD8F21-37BB-4A0C-980C-332A7099BA05}"/>
    <cellStyle name="Comma 2 3 8" xfId="1108" xr:uid="{C993C84D-718D-427D-8B3A-8CC87948115A}"/>
    <cellStyle name="Comma 2 3 8 2" xfId="2234" xr:uid="{5ECFCD57-EAB5-4E08-AA31-D7F0DE7C36F0}"/>
    <cellStyle name="Comma 2 3 8 2 2" xfId="3830" xr:uid="{C0D8C3F5-7546-45F2-96E7-5122AF2EAE30}"/>
    <cellStyle name="Comma 2 3 8 3" xfId="3284" xr:uid="{A978BDEF-B526-4104-98A9-D92E6E78A46D}"/>
    <cellStyle name="Comma 2 3 9" xfId="2300" xr:uid="{F8C57A84-9E23-44F4-8A06-C8E9DA2BCCB2}"/>
    <cellStyle name="Comma 2 3 9 2" xfId="3888" xr:uid="{4E8C1261-DA58-45F3-BB21-21C09C46AEB9}"/>
    <cellStyle name="Comma 2 4" xfId="313" xr:uid="{6C1B0671-169C-45F2-A130-A3790F7E7231}"/>
    <cellStyle name="Comma 2 4 2" xfId="811" xr:uid="{EF5372A5-8F26-44D2-9673-3C02A4AC47B0}"/>
    <cellStyle name="Comma 2 4 2 2" xfId="2132" xr:uid="{FD9786A4-5221-4AA4-8A37-380058C80CDC}"/>
    <cellStyle name="Comma 2 4 2 2 2" xfId="3728" xr:uid="{22D9A6D9-5538-4B7B-9DF8-8E2216AC853A}"/>
    <cellStyle name="Comma 2 4 2 3" xfId="2680" xr:uid="{665A4F22-244B-40BB-B48C-DA61F3595EA7}"/>
    <cellStyle name="Comma 2 4 2 3 2" xfId="4302" xr:uid="{592B6689-E3A4-4686-B739-CD1E12B6D0F1}"/>
    <cellStyle name="Comma 2 4 2 4" xfId="1585" xr:uid="{ABFF7BC0-514D-4DC6-9031-F22304639B37}"/>
    <cellStyle name="Comma 2 4 2 5" xfId="3184" xr:uid="{A6C4CC64-047E-4DA5-BF64-4801C661DAFA}"/>
    <cellStyle name="Comma 2 4 3" xfId="939" xr:uid="{45F71AD0-7D95-4BA1-83B0-38C2FFD97946}"/>
    <cellStyle name="Comma 2 4 3 2" xfId="1889" xr:uid="{AE2F0179-1000-4246-B38E-B73929FDAB4D}"/>
    <cellStyle name="Comma 2 4 3 2 2" xfId="3485" xr:uid="{B1EAA79B-09F3-4A9A-A4ED-37C28D6F099A}"/>
    <cellStyle name="Comma 2 4 3 3" xfId="1345" xr:uid="{3CD75B43-C1DF-49CB-B712-648CFCADBE5D}"/>
    <cellStyle name="Comma 2 4 3 4" xfId="2944" xr:uid="{067122BB-8FE2-47FC-B099-2B479D6074D7}"/>
    <cellStyle name="Comma 2 4 4" xfId="1121" xr:uid="{8916103A-B977-4430-AB0D-53566823E57C}"/>
    <cellStyle name="Comma 2 4 4 2" xfId="3901" xr:uid="{988DA0BF-19C3-4B3A-83D5-1F0C68FD3561}"/>
    <cellStyle name="Comma 2 4 5" xfId="1744" xr:uid="{49EF370C-2C57-4471-A05B-789F7D4B5D1A}"/>
    <cellStyle name="Comma 2 4 5 2" xfId="3350" xr:uid="{50225B28-B073-4CCE-A562-4748B548C3C7}"/>
    <cellStyle name="Comma 2 4 6" xfId="2412" xr:uid="{11DCC495-D315-4A42-B8C9-B3003D56A327}"/>
    <cellStyle name="Comma 2 4 6 2" xfId="4034" xr:uid="{D6E94894-6248-4368-BF93-ABA16B631607}"/>
    <cellStyle name="Comma 2 4 7" xfId="4424" xr:uid="{CC3589E7-2176-4A6F-AC3B-88C682C339C9}"/>
    <cellStyle name="Comma 2 4 8" xfId="2809" xr:uid="{94385543-5284-4724-966E-A1755B3EC25B}"/>
    <cellStyle name="Comma 2 5" xfId="366" xr:uid="{3EAA7C8E-D6C8-4FC6-A088-2042D7498689}"/>
    <cellStyle name="Comma 2 5 2" xfId="859" xr:uid="{43FBC1E3-23D7-4151-8AB4-FE425995FFDD}"/>
    <cellStyle name="Comma 2 5 2 2" xfId="2182" xr:uid="{F6F1A25F-2850-4366-B336-1B1262B78F89}"/>
    <cellStyle name="Comma 2 5 2 2 2" xfId="3778" xr:uid="{2F406353-AE21-41BE-8F44-05889A572474}"/>
    <cellStyle name="Comma 2 5 2 3" xfId="2728" xr:uid="{B58439D4-EB06-4AD7-AE1E-B319527C7AC5}"/>
    <cellStyle name="Comma 2 5 2 3 2" xfId="4350" xr:uid="{9B1509D3-F776-4C13-83B5-49E3471D5A72}"/>
    <cellStyle name="Comma 2 5 2 4" xfId="1635" xr:uid="{0AB21D0A-1B71-4845-948A-44B9C97B09D0}"/>
    <cellStyle name="Comma 2 5 2 5" xfId="3234" xr:uid="{5A130EED-1A8E-41A3-817E-E5D67AF5EF57}"/>
    <cellStyle name="Comma 2 5 3" xfId="992" xr:uid="{0C8DCC74-C9BC-400D-80ED-4C095FDBAE7E}"/>
    <cellStyle name="Comma 2 5 3 2" xfId="1935" xr:uid="{EA76515F-A1F2-4377-84B7-8BECDE8E4E5B}"/>
    <cellStyle name="Comma 2 5 3 2 2" xfId="3531" xr:uid="{17CE594B-EE5F-492C-93FD-93867AA9F5E0}"/>
    <cellStyle name="Comma 2 5 3 3" xfId="1391" xr:uid="{D120B130-31CF-426D-9570-7DDD6BCD5F69}"/>
    <cellStyle name="Comma 2 5 3 4" xfId="2990" xr:uid="{627E189C-C103-4D8D-B482-E73E6E1D74AE}"/>
    <cellStyle name="Comma 2 5 4" xfId="1174" xr:uid="{EA00F7F1-614B-40BE-8601-287D70701CB2}"/>
    <cellStyle name="Comma 2 5 4 2" xfId="3954" xr:uid="{211CA771-4805-43B6-83C4-DA006BDAC9DF}"/>
    <cellStyle name="Comma 2 5 5" xfId="1794" xr:uid="{CE076879-86BD-4A98-B692-FE06DE4C63B5}"/>
    <cellStyle name="Comma 2 5 5 2" xfId="3403" xr:uid="{89DE7696-CB1D-45D9-9F36-F679B1CD9EAE}"/>
    <cellStyle name="Comma 2 5 6" xfId="2465" xr:uid="{F570D24B-F1B2-4827-8BC0-B72A7113D433}"/>
    <cellStyle name="Comma 2 5 6 2" xfId="4087" xr:uid="{2B68EFEF-E36A-42F4-89F7-ADD3BE9E6C89}"/>
    <cellStyle name="Comma 2 5 7" xfId="4477" xr:uid="{44395DEE-9356-4F07-911C-7E264DD19107}"/>
    <cellStyle name="Comma 2 5 8" xfId="2862" xr:uid="{B5B4B1FD-ADB4-4C0E-8776-E62A56493760}"/>
    <cellStyle name="Comma 2 6" xfId="654" xr:uid="{FA3F33E1-6D3C-459B-8D63-8014BA9C92C9}"/>
    <cellStyle name="Comma 2 6 2" xfId="1830" xr:uid="{6C1DFF6A-C779-4BE5-83D7-2125715F17D9}"/>
    <cellStyle name="Comma 2 6 2 2" xfId="3427" xr:uid="{1B7A71A2-F48D-48F5-9307-F87DAB0AFF4D}"/>
    <cellStyle name="Comma 2 6 3" xfId="2524" xr:uid="{960BD20A-79B6-40E8-949B-399BF3C50A12}"/>
    <cellStyle name="Comma 2 6 3 2" xfId="4146" xr:uid="{39036638-5767-4D98-A2A6-D14E805C7B1F}"/>
    <cellStyle name="Comma 2 6 4" xfId="1287" xr:uid="{5BFEBCDA-1178-464C-91C3-2A9B36F6728D}"/>
    <cellStyle name="Comma 2 6 5" xfId="2887" xr:uid="{8866C3C0-A7D3-4076-82FD-4A6A8E1F6E4D}"/>
    <cellStyle name="Comma 2 7" xfId="703" xr:uid="{153F57BB-9ED1-4C75-9EDD-794663D45E3E}"/>
    <cellStyle name="Comma 2 7 2" xfId="2024" xr:uid="{09BDDCFE-296C-42F4-BDE6-3388D71DEDD8}"/>
    <cellStyle name="Comma 2 7 2 2" xfId="3620" xr:uid="{14808D1A-0AB6-4D3A-B0C0-18910156EA00}"/>
    <cellStyle name="Comma 2 7 3" xfId="2574" xr:uid="{37DED2BB-913D-4263-91E3-D81290CA2AD0}"/>
    <cellStyle name="Comma 2 7 3 2" xfId="4196" xr:uid="{67D7C3A6-9479-4B17-AF0E-A23E38F6CFF0}"/>
    <cellStyle name="Comma 2 7 4" xfId="1480" xr:uid="{BFD04E8B-378C-4207-908B-25289887CA09}"/>
    <cellStyle name="Comma 2 7 5" xfId="3079" xr:uid="{5AF7321C-1AEC-4956-B0C7-B24744BADF18}"/>
    <cellStyle name="Comma 2 8" xfId="754" xr:uid="{5A25ACE5-16C1-4D4F-A92E-D90D1A051704}"/>
    <cellStyle name="Comma 2 8 2" xfId="2075" xr:uid="{79C2007C-4FEF-401B-9C11-7766350D8AEE}"/>
    <cellStyle name="Comma 2 8 2 2" xfId="3671" xr:uid="{9FF88BF9-33FC-4D01-A38E-80163CF6DF87}"/>
    <cellStyle name="Comma 2 8 3" xfId="2625" xr:uid="{AF912805-87E4-4CFA-98C9-BEED8EDAD59B}"/>
    <cellStyle name="Comma 2 8 3 2" xfId="4247" xr:uid="{BBE9F960-EE22-4940-9F15-681CFA632DF1}"/>
    <cellStyle name="Comma 2 8 4" xfId="1529" xr:uid="{EC2459B9-F97E-48F9-85E0-E91E184AF0F8}"/>
    <cellStyle name="Comma 2 8 5" xfId="3128" xr:uid="{BF9157F5-79F4-4C78-A49A-55B95D573507}"/>
    <cellStyle name="Comma 2 9" xfId="886" xr:uid="{48ED293A-8BA8-41D9-B982-E96D93E663BF}"/>
    <cellStyle name="Comma 2 9 2" xfId="2203" xr:uid="{50E43F3B-9063-4BB0-B91C-C752BA5F24AF}"/>
    <cellStyle name="Comma 2 9 2 2" xfId="3799" xr:uid="{AD46E738-2E8B-44DF-BEF9-33F6F78EC431}"/>
    <cellStyle name="Comma 2 9 3" xfId="1655" xr:uid="{BD9286D4-4AA0-4CA0-A5B3-80592F6CCC3F}"/>
    <cellStyle name="Comma 2 9 4" xfId="3254" xr:uid="{AC669C30-AD28-4D76-B33C-67CD135D4FF5}"/>
    <cellStyle name="Comma_Garda UK economic data 2010" xfId="1032" xr:uid="{2558C47E-B000-4A15-864E-EDCB2AA76E42}"/>
    <cellStyle name="Commentaire" xfId="1184" xr:uid="{F0025B22-BB56-4552-ACD4-07318E3240EA}"/>
    <cellStyle name="Commentaire 10" xfId="1086" xr:uid="{8A4483CB-7720-40FA-A056-CBA6621EAB33}"/>
    <cellStyle name="Commentaire 10 2" xfId="1254" xr:uid="{0EF65572-E581-43AB-AD68-DD2221CAC719}"/>
    <cellStyle name="Commentaire 10 2 2" xfId="2314" xr:uid="{A21852C9-34D9-4EE2-AD11-200A07614B8D}"/>
    <cellStyle name="Commentaire 10 2 3" xfId="1725" xr:uid="{43121EB5-7F15-4C7A-8FE9-336025DE7295}"/>
    <cellStyle name="Commentaire 10 3" xfId="2252" xr:uid="{019CFFBC-6C04-4594-AC62-615A9D511211}"/>
    <cellStyle name="Commentaire 10 4" xfId="1849" xr:uid="{990C0F8A-9ABE-47E1-A312-53933C8D6219}"/>
    <cellStyle name="Commentaire 11" xfId="1029" xr:uid="{52B7633E-9C87-4DBA-8AA3-D8F1B26BD80C}"/>
    <cellStyle name="Commentaire 11 2" xfId="1255" xr:uid="{CB2A25CC-D160-4535-B2C0-E9FD7B49887E}"/>
    <cellStyle name="Commentaire 11 2 2" xfId="2315" xr:uid="{79E9DE81-666D-47D4-8A02-F4F6D654586C}"/>
    <cellStyle name="Commentaire 11 2 3" xfId="1813" xr:uid="{A8C4DDD0-4844-471A-A87D-A3935AE2643A}"/>
    <cellStyle name="Commentaire 11 3" xfId="2253" xr:uid="{C657465D-45EA-4184-9590-74126A03A052}"/>
    <cellStyle name="Commentaire 11 4" xfId="2294" xr:uid="{DF82BEBB-361E-4357-8D02-0A9A5CF4ECCF}"/>
    <cellStyle name="Commentaire 12" xfId="1183" xr:uid="{750FCF0C-BA42-43F4-A259-7E24B2B7A22D}"/>
    <cellStyle name="Commentaire 12 2" xfId="1256" xr:uid="{5569EBAD-2264-4EFE-8A8F-03ECA751FF95}"/>
    <cellStyle name="Commentaire 12 2 2" xfId="2316" xr:uid="{5368289B-EB2B-4D8A-9E3D-58A03E0FDE0B}"/>
    <cellStyle name="Commentaire 12 2 3" xfId="2343" xr:uid="{5B4B5780-A365-4AB6-B56B-597E41D6A4DF}"/>
    <cellStyle name="Commentaire 12 3" xfId="2254" xr:uid="{232D8414-7F13-4BE2-83D6-03663461AEEE}"/>
    <cellStyle name="Commentaire 12 4" xfId="1728" xr:uid="{846B567A-050C-4AC7-A5E3-F303640F1F09}"/>
    <cellStyle name="Commentaire 13" xfId="1085" xr:uid="{03D431B5-183C-4A17-871E-A912F49F4651}"/>
    <cellStyle name="Commentaire 13 2" xfId="1257" xr:uid="{C8D2224F-4045-495D-9557-E9CEFA56F4D7}"/>
    <cellStyle name="Commentaire 13 2 2" xfId="2317" xr:uid="{597ED94B-B78D-473C-8A19-27018353BA2D}"/>
    <cellStyle name="Commentaire 13 2 3" xfId="1805" xr:uid="{94B98DA6-B955-4C97-9887-858CB46C195F}"/>
    <cellStyle name="Commentaire 13 3" xfId="2255" xr:uid="{5F93C597-9AC9-4008-A014-3E7440EC8DA2}"/>
    <cellStyle name="Commentaire 13 4" xfId="1681" xr:uid="{233D3928-0237-44D3-A961-F89919207A9D}"/>
    <cellStyle name="Commentaire 14" xfId="1027" xr:uid="{FC5E8F07-843C-485D-AFC8-AE261126199E}"/>
    <cellStyle name="Commentaire 14 2" xfId="1258" xr:uid="{216CE2CC-6309-4B05-9BAB-38DECCD9B48C}"/>
    <cellStyle name="Commentaire 14 2 2" xfId="2318" xr:uid="{6C108329-C09D-4FED-8832-9FEAB370DAB1}"/>
    <cellStyle name="Commentaire 14 2 3" xfId="2340" xr:uid="{370F5C13-A1BB-480D-AF9C-430D991C9AA1}"/>
    <cellStyle name="Commentaire 14 3" xfId="2256" xr:uid="{EF43FAE3-BD0F-4863-9CAB-1AE20FDBEF5D}"/>
    <cellStyle name="Commentaire 14 4" xfId="1680" xr:uid="{96FB5254-38CC-40D9-AB5A-1AB364C9F81A}"/>
    <cellStyle name="Commentaire 15" xfId="1182" xr:uid="{0402B7EF-D5E6-4840-B6A0-18967B819C3F}"/>
    <cellStyle name="Commentaire 15 2" xfId="1259" xr:uid="{AD004EC3-238F-4C47-B10C-F3C10D06581C}"/>
    <cellStyle name="Commentaire 15 2 2" xfId="2319" xr:uid="{5F9BCA1E-9524-4F0D-A87D-04672E6DB0FD}"/>
    <cellStyle name="Commentaire 15 2 3" xfId="1679" xr:uid="{6F36107C-F43B-45D7-9C0A-DC9CDA1FEE41}"/>
    <cellStyle name="Commentaire 15 3" xfId="2257" xr:uid="{15652F58-4917-4606-B71B-C2380BE6633A}"/>
    <cellStyle name="Commentaire 15 4" xfId="2353" xr:uid="{8587C29B-A491-4FAF-8BF6-A7AD4E39DD6B}"/>
    <cellStyle name="Commentaire 16" xfId="1084" xr:uid="{CFDC555E-4281-466F-AF88-4BC8B90D6AFD}"/>
    <cellStyle name="Commentaire 16 2" xfId="1260" xr:uid="{07B3AF80-E384-48B4-8C7D-B95F82201A7E}"/>
    <cellStyle name="Commentaire 16 2 2" xfId="2320" xr:uid="{6F952B8D-254E-49BC-93EA-FA412B75F5CD}"/>
    <cellStyle name="Commentaire 16 2 3" xfId="1707" xr:uid="{60D4CFF5-2200-4242-89BD-9BB1E20FB9AD}"/>
    <cellStyle name="Commentaire 16 3" xfId="2258" xr:uid="{027213E2-3722-4161-A230-AC67840F53DC}"/>
    <cellStyle name="Commentaire 16 4" xfId="2352" xr:uid="{E6531318-9007-4066-B0BC-7B14B356CB08}"/>
    <cellStyle name="Commentaire 17" xfId="1025" xr:uid="{E8866028-076A-4261-9F7F-CF6EB875C95C}"/>
    <cellStyle name="Commentaire 17 2" xfId="1261" xr:uid="{B8AF8B7B-0478-45BB-BA66-20F690F9C5EC}"/>
    <cellStyle name="Commentaire 17 2 2" xfId="2321" xr:uid="{7C320149-80AE-435A-8B46-C6CBC9F469BD}"/>
    <cellStyle name="Commentaire 17 2 3" xfId="1708" xr:uid="{6427E0EB-8F52-4409-8E3B-4E4BCA8743CD}"/>
    <cellStyle name="Commentaire 17 3" xfId="2259" xr:uid="{9F8B95F0-E4FB-4D40-948F-128437A8858C}"/>
    <cellStyle name="Commentaire 17 4" xfId="2351" xr:uid="{F1AC2FD6-DD04-4FF9-A2BC-4E1F4502FC23}"/>
    <cellStyle name="Commentaire 18" xfId="1181" xr:uid="{92074F38-490B-4B33-9885-7DB75C27CF68}"/>
    <cellStyle name="Commentaire 18 2" xfId="1262" xr:uid="{C943248C-C986-49A4-A527-419634BD886A}"/>
    <cellStyle name="Commentaire 18 2 2" xfId="2322" xr:uid="{378E249B-8DA9-4781-BDD1-B886BA9F9F85}"/>
    <cellStyle name="Commentaire 18 2 3" xfId="1808" xr:uid="{80D19489-4924-4E06-B9D0-DFED7FF44B89}"/>
    <cellStyle name="Commentaire 18 3" xfId="2260" xr:uid="{1B50253C-18CC-4CD1-915D-59F55D03ACA5}"/>
    <cellStyle name="Commentaire 18 4" xfId="2350" xr:uid="{5E9D708A-B3D0-46B1-BB4A-07F7C526C65B}"/>
    <cellStyle name="Commentaire 19" xfId="1253" xr:uid="{2EA0F3D4-517B-49F4-9F11-18492D2C6710}"/>
    <cellStyle name="Commentaire 19 2" xfId="2313" xr:uid="{668476C9-772C-4722-A77B-7CDA415D9DDE}"/>
    <cellStyle name="Commentaire 19 3" xfId="1801" xr:uid="{8B8009B7-0F00-45E8-AC75-58A664FF8994}"/>
    <cellStyle name="Commentaire 2" xfId="1083" xr:uid="{82CE3760-94FD-48C4-950B-D044F6516422}"/>
    <cellStyle name="Commentaire 2 2" xfId="1263" xr:uid="{02248F27-8019-4929-A797-7810E0A1075C}"/>
    <cellStyle name="Commentaire 2 2 2" xfId="2323" xr:uid="{35EA35E7-859E-4D23-9E0F-E0C6F9CDA7E5}"/>
    <cellStyle name="Commentaire 2 2 3" xfId="2346" xr:uid="{C09A036C-B167-4DAA-A418-29212F41BB2A}"/>
    <cellStyle name="Commentaire 2 3" xfId="2261" xr:uid="{8E25F04F-3D71-45EE-959F-B1C2340C58BE}"/>
    <cellStyle name="Commentaire 2 4" xfId="2349" xr:uid="{4A36508D-E4D7-4A0E-9526-6DEB861FF99C}"/>
    <cellStyle name="Commentaire 20" xfId="2251" xr:uid="{4B5C4839-BE8E-48E2-9B42-F41EE07829B6}"/>
    <cellStyle name="Commentaire 21" xfId="1683" xr:uid="{BC27EF02-579D-44F6-93F3-24BBD27C67E8}"/>
    <cellStyle name="Commentaire 3" xfId="1023" xr:uid="{B59EAE2E-2B9B-48F4-85A8-4C138E0D880D}"/>
    <cellStyle name="Commentaire 3 2" xfId="1264" xr:uid="{A446EB11-4F7A-4D96-AB15-26BD2CBD27DA}"/>
    <cellStyle name="Commentaire 3 2 2" xfId="2324" xr:uid="{161C93F4-CE6A-4B83-A312-EE96C63E5200}"/>
    <cellStyle name="Commentaire 3 2 3" xfId="1807" xr:uid="{70CF3AE3-C9DA-4294-B821-18CFE2FE6533}"/>
    <cellStyle name="Commentaire 3 3" xfId="2262" xr:uid="{5586489F-0F85-476C-9696-3E743149B45E}"/>
    <cellStyle name="Commentaire 3 4" xfId="2348" xr:uid="{4AE2E55E-FFB8-4DCD-BEF3-B6AC2E3AF823}"/>
    <cellStyle name="Commentaire 4" xfId="1077" xr:uid="{FB483419-3805-4543-80E9-CE965FD084E4}"/>
    <cellStyle name="Commentaire 4 2" xfId="1265" xr:uid="{0059EA0D-A7F8-4440-9DAC-63A09A9D83DB}"/>
    <cellStyle name="Commentaire 4 2 2" xfId="2325" xr:uid="{FFA2C2B4-EC94-44E4-B4B3-6B0DA70DD6CD}"/>
    <cellStyle name="Commentaire 4 2 3" xfId="2342" xr:uid="{2061BBAF-9D2D-48E4-A207-533694EF8AEE}"/>
    <cellStyle name="Commentaire 4 3" xfId="2263" xr:uid="{479FF604-AE81-458F-BE04-52DE1CFEF479}"/>
    <cellStyle name="Commentaire 4 4" xfId="1810" xr:uid="{11F3A55E-43DA-4DE1-BACC-CB0575690958}"/>
    <cellStyle name="Commentaire 5" xfId="1075" xr:uid="{C2A720C4-3B1B-4BC2-AFD8-7AB492A5BCD6}"/>
    <cellStyle name="Commentaire 5 2" xfId="1266" xr:uid="{83C65676-E180-440A-9327-A8FB80DCC3D4}"/>
    <cellStyle name="Commentaire 5 2 2" xfId="2326" xr:uid="{2B8F40F2-3854-4AC0-805E-BA13B6E25D04}"/>
    <cellStyle name="Commentaire 5 2 3" xfId="1802" xr:uid="{D31ECE26-3213-4921-94E1-FD8A8C1A3533}"/>
    <cellStyle name="Commentaire 5 3" xfId="2264" xr:uid="{13AA354A-2D8B-42F0-BCFC-5CCBAB2F8153}"/>
    <cellStyle name="Commentaire 5 4" xfId="2345" xr:uid="{836D38F8-034E-4319-B6BF-A2CEB61FC837}"/>
    <cellStyle name="Commentaire 6" xfId="1073" xr:uid="{6B8A8CC8-56D1-4AEB-BD01-919FC33B81B4}"/>
    <cellStyle name="Commentaire 6 2" xfId="1267" xr:uid="{AFBB271B-B72D-4FE5-AB49-7D96A0BACAF1}"/>
    <cellStyle name="Commentaire 6 2 2" xfId="2327" xr:uid="{294A8F71-FBDB-4737-BE67-55F719167615}"/>
    <cellStyle name="Commentaire 6 2 3" xfId="2339" xr:uid="{58964531-3338-4171-9A33-6AD8E31C3425}"/>
    <cellStyle name="Commentaire 6 3" xfId="2265" xr:uid="{347C5033-F4E7-4BC0-BF05-BEA8AD9D50C3}"/>
    <cellStyle name="Commentaire 6 4" xfId="1804" xr:uid="{A3AAF9ED-3528-49F7-B5B2-C25CFA9B2BC7}"/>
    <cellStyle name="Commentaire 7" xfId="1071" xr:uid="{3CAC873E-A3CC-4B16-9F95-BD0D3A7A5621}"/>
    <cellStyle name="Commentaire 7 2" xfId="1268" xr:uid="{A416E99A-F4B9-4314-BEC5-2D5B296E51C6}"/>
    <cellStyle name="Commentaire 7 2 2" xfId="2328" xr:uid="{38FEEE34-7132-4FC4-87EB-7734CDB5DE44}"/>
    <cellStyle name="Commentaire 7 2 3" xfId="1811" xr:uid="{97CD8902-848D-4567-A7A5-0CB2A2EED703}"/>
    <cellStyle name="Commentaire 7 3" xfId="2266" xr:uid="{B3DF0184-AD18-405C-BC4F-B980D68E5006}"/>
    <cellStyle name="Commentaire 7 4" xfId="2341" xr:uid="{1ADAAE4E-D6F0-46B6-BD47-0F1071A6400D}"/>
    <cellStyle name="Commentaire 8" xfId="1069" xr:uid="{8BFAC60A-0C23-44AD-8783-C579104D210B}"/>
    <cellStyle name="Commentaire 8 2" xfId="1269" xr:uid="{397CFE2C-D3FB-404E-8176-4B3EA68C678E}"/>
    <cellStyle name="Commentaire 8 2 2" xfId="2329" xr:uid="{236D8B15-69D0-474E-8B29-7B715339A731}"/>
    <cellStyle name="Commentaire 8 2 3" xfId="1803" xr:uid="{AF84E8CE-9EC5-4EF8-B01E-5FD13FEAF1B5}"/>
    <cellStyle name="Commentaire 8 3" xfId="2267" xr:uid="{FDB2AA7E-10C6-4A75-8704-B52F2DB3F46D}"/>
    <cellStyle name="Commentaire 8 4" xfId="1812" xr:uid="{DA253A26-0DDF-49EB-BA66-1B7A98C5FAB8}"/>
    <cellStyle name="Commentaire 9" xfId="1067" xr:uid="{FFCFD728-9316-4792-9369-38541464B476}"/>
    <cellStyle name="Commentaire 9 2" xfId="1270" xr:uid="{975D7BF5-6C09-47BA-8E7B-EB4BFA935034}"/>
    <cellStyle name="Commentaire 9 2 2" xfId="2330" xr:uid="{5242C2E5-254A-4888-AD07-1A9F7F8087E9}"/>
    <cellStyle name="Commentaire 9 2 3" xfId="1726" xr:uid="{C2D15BAC-0B23-48C0-864C-7A67EC88A6E2}"/>
    <cellStyle name="Commentaire 9 3" xfId="2268" xr:uid="{3FCC47DF-AA86-43CD-BA5A-3DFADE32B6AA}"/>
    <cellStyle name="Commentaire 9 4" xfId="2338" xr:uid="{708838D3-3296-4E90-B1B6-BF5F802FD319}"/>
    <cellStyle name="Dane wejściowe 2" xfId="100" xr:uid="{45F542AE-DC9F-4A84-802C-AA842C23838E}"/>
    <cellStyle name="Dane wyjściowe 2" xfId="101" xr:uid="{3DBC8F8C-7DC6-4D7A-83B2-1BAC2958BE4F}"/>
    <cellStyle name="Dobry 2" xfId="97" xr:uid="{AE49E580-9DB8-4178-A595-C2AC47BB0E76}"/>
    <cellStyle name="Encabezado 1" xfId="3" builtinId="16" customBuiltin="1"/>
    <cellStyle name="Encabezado 4" xfId="6" builtinId="19" customBuiltin="1"/>
    <cellStyle name="Énfasis1" xfId="19" builtinId="29" customBuiltin="1"/>
    <cellStyle name="Énfasis2" xfId="23" builtinId="33" customBuiltin="1"/>
    <cellStyle name="Énfasis3" xfId="27" builtinId="37" customBuiltin="1"/>
    <cellStyle name="Énfasis4" xfId="31" builtinId="41" customBuiltin="1"/>
    <cellStyle name="Énfasis5" xfId="35" builtinId="45" customBuiltin="1"/>
    <cellStyle name="Énfasis6" xfId="39" builtinId="49" customBuiltin="1"/>
    <cellStyle name="Entrada" xfId="10" builtinId="20" customBuiltin="1"/>
    <cellStyle name="Entrada 2" xfId="60" xr:uid="{B96B253C-8530-451C-9A79-AF631125FC58}"/>
    <cellStyle name="Entrée" xfId="1212" xr:uid="{C2FA48DA-BBE7-47CA-8817-DC309DE6FAAF}"/>
    <cellStyle name="Entrée 2" xfId="1271" xr:uid="{1D43EA66-408A-48BB-BBFC-790FE838B790}"/>
    <cellStyle name="Entrée 2 2" xfId="2331" xr:uid="{F6D6516D-0053-42D0-BB59-1E51D376C3FB}"/>
    <cellStyle name="Entrée 2 3" xfId="2298" xr:uid="{F8F7ECE3-A890-4596-8824-7F091E85C820}"/>
    <cellStyle name="Entrée 3" xfId="2269" xr:uid="{CAD4FC0C-8008-4BCF-814F-0C6C43912D64}"/>
    <cellStyle name="Entrée 4" xfId="1806" xr:uid="{E9E1D610-68EA-4F51-860F-B49979293EC8}"/>
    <cellStyle name="Euro" xfId="157" xr:uid="{0310C885-D716-48E6-91CC-7D2D660C9BEC}"/>
    <cellStyle name="Euro 2" xfId="1272" xr:uid="{A78D32F0-D3E1-4D76-B61A-19C84D709D3B}"/>
    <cellStyle name="Euro 2 2" xfId="2332" xr:uid="{2C41AAD3-7446-4285-A1B5-39D1DBDB1680}"/>
    <cellStyle name="Euro 2 2 2" xfId="3974" xr:uid="{9790B5A9-0E6F-4684-BEE9-9C26111910A5}"/>
    <cellStyle name="Euro 2 3" xfId="2882" xr:uid="{E0CAB8EF-329B-45E1-B782-CB89CC5117C9}"/>
    <cellStyle name="Euro 3" xfId="1188" xr:uid="{C1D74EA3-6B04-4E21-B70C-E16AD9982339}"/>
    <cellStyle name="Euro 4" xfId="2270" xr:uid="{72EE9A2A-77B7-4A7F-BDDC-CC0BB195C833}"/>
    <cellStyle name="Euro 4 2" xfId="3842" xr:uid="{0D1B7F97-FED8-4ADC-9D50-F1B39D8ED8C8}"/>
    <cellStyle name="Euro 5" xfId="1229" xr:uid="{31C92E0F-A066-4369-83A7-DB4C0E2A60BF}"/>
    <cellStyle name="Euro 6" xfId="2750" xr:uid="{C465913F-25B3-4D6F-9B94-129E69F16FBE}"/>
    <cellStyle name="Excel Built-in 20% - Accent1" xfId="261" xr:uid="{F516432F-3E2B-4681-895B-9569923AB798}"/>
    <cellStyle name="Excel Built-in 20% - Accent2" xfId="269" xr:uid="{104B7762-AD12-482E-B794-E25D6275C300}"/>
    <cellStyle name="Excel Built-in 20% - Accent3" xfId="236" xr:uid="{64C4C153-C112-4B9C-9D9F-9D5701381A4D}"/>
    <cellStyle name="Excel Built-in 20% - Accent4" xfId="265" xr:uid="{15DD7E6E-362A-420A-AFA6-475B3A1C9EA6}"/>
    <cellStyle name="Excel Built-in 20% - Accent5" xfId="255" xr:uid="{BBA137E0-9801-43CA-A134-DE01AA051EE4}"/>
    <cellStyle name="Excel Built-in 20% - Accent6" xfId="251" xr:uid="{8C4F796B-2130-4B2C-BA23-04E1E64641F5}"/>
    <cellStyle name="Excel Built-in 40% - Accent1" xfId="281" xr:uid="{675D2A7F-3DB7-48EB-B975-FBE4E4EA7042}"/>
    <cellStyle name="Excel Built-in 40% - Accent2" xfId="238" xr:uid="{95458864-58D2-42BC-8B16-A4CCAB242BCA}"/>
    <cellStyle name="Excel Built-in 40% - Accent3" xfId="249" xr:uid="{AB622520-1E66-496B-8882-B2B312DA5626}"/>
    <cellStyle name="Excel Built-in 40% - Accent4" xfId="276" xr:uid="{04C6F1C0-77F3-4CF0-8D77-282F6D466A0F}"/>
    <cellStyle name="Excel Built-in 40% - Accent5" xfId="280" xr:uid="{031B2D9C-1CB5-469A-B3B6-1A9C2CCE4F45}"/>
    <cellStyle name="Excel Built-in 40% - Accent6" xfId="237" xr:uid="{D00787CD-6596-47F2-AF65-C81AE816C912}"/>
    <cellStyle name="Excel Built-in 60% - Accent1" xfId="274" xr:uid="{2D0C797A-F713-4C76-BDFC-0D190F5EE6D6}"/>
    <cellStyle name="Excel Built-in 60% - Accent2" xfId="278" xr:uid="{3A2C8700-905D-4834-A792-6BDBCD7DE16B}"/>
    <cellStyle name="Excel Built-in 60% - Accent3" xfId="270" xr:uid="{8F19CADF-5BA4-491E-8775-A5879D300232}"/>
    <cellStyle name="Excel Built-in 60% - Accent4" xfId="263" xr:uid="{A5F76BD5-D729-47C9-8BF9-F25681A3D184}"/>
    <cellStyle name="Excel Built-in 60% - Accent5" xfId="257" xr:uid="{1E0FE1F9-71BE-4976-A46A-10628AF24216}"/>
    <cellStyle name="Excel Built-in 60% - Accent6" xfId="272" xr:uid="{8703D4EC-68EF-4517-944D-2D31EE2397AB}"/>
    <cellStyle name="Excel Built-in Accent1" xfId="245" xr:uid="{9BAE0BEE-2944-4AC2-8CC2-82DE25F4FE24}"/>
    <cellStyle name="Excel Built-in Accent2" xfId="254" xr:uid="{42D44122-4573-4050-8498-99F078A2DE30}"/>
    <cellStyle name="Excel Built-in Accent3" xfId="247" xr:uid="{CD53C49D-969F-4326-818C-9E6243BA56E4}"/>
    <cellStyle name="Excel Built-in Accent4" xfId="248" xr:uid="{82261242-65C4-4C3C-BE5B-02EDD05C0172}"/>
    <cellStyle name="Excel Built-in Accent5" xfId="241" xr:uid="{BE45BE28-125E-4B67-9A6E-0E0FFCBEE658}"/>
    <cellStyle name="Excel Built-in Accent6" xfId="243" xr:uid="{EED9016F-88A7-4600-83E1-2560EA78771D}"/>
    <cellStyle name="Excel Built-in Bad" xfId="242" xr:uid="{1151B1FB-3317-41C2-99DB-B44CE3207F71}"/>
    <cellStyle name="Excel Built-in Calculation" xfId="273" xr:uid="{53699330-CDBA-46B3-B05B-3101D8E50E19}"/>
    <cellStyle name="Excel Built-in Check Cell" xfId="258" xr:uid="{D26512F8-3B92-4FCF-BBA9-0CE79692BEA9}"/>
    <cellStyle name="Excel Built-in Comma" xfId="252" xr:uid="{7968B950-B785-4D2E-A28E-3EE0BBB2E630}"/>
    <cellStyle name="Excel Built-in Explanatory Text" xfId="267" xr:uid="{CB06C05D-A306-4760-A918-7374637EDE74}"/>
    <cellStyle name="Excel Built-in Good" xfId="260" xr:uid="{C7EC7C49-F96A-42B9-BEF4-95ABF905265D}"/>
    <cellStyle name="Excel Built-in Heading 1" xfId="240" xr:uid="{1129AA99-F30B-4F73-B417-42F335638B17}"/>
    <cellStyle name="Excel Built-in Heading 2" xfId="277" xr:uid="{F1CA2F68-6976-44E2-8522-456D3E6F5F8B}"/>
    <cellStyle name="Excel Built-in Heading 3" xfId="262" xr:uid="{4AEA0555-8200-4865-8918-EC17A655FDAD}"/>
    <cellStyle name="Excel Built-in Heading 4" xfId="256" xr:uid="{28700A7B-7156-4FCF-9AFE-0707BF29AE52}"/>
    <cellStyle name="Excel Built-in Input" xfId="271" xr:uid="{BAFAD64C-B77C-45D8-B6B6-C5F4485834A0}"/>
    <cellStyle name="Excel Built-in Linked Cell" xfId="264" xr:uid="{A7CD4BF8-51D1-42BF-BA50-F7110DF6E518}"/>
    <cellStyle name="Excel Built-in Neutral" xfId="244" xr:uid="{3BE9CA7B-0DE4-41A9-97C0-C5D3B5C5AF27}"/>
    <cellStyle name="Excel Built-in Note" xfId="239" xr:uid="{02A7BED3-DAEA-4F77-B7DF-232A81FB5934}"/>
    <cellStyle name="Excel Built-in Output" xfId="266" xr:uid="{E450C80C-5F64-4CE8-9055-ACD7ABEE9BE2}"/>
    <cellStyle name="Excel Built-in Title" xfId="259" xr:uid="{CD635B8D-61FD-4EFA-A547-9F4ED4038BE6}"/>
    <cellStyle name="Excel Built-in Total" xfId="253" xr:uid="{EC9096E3-FA52-4F6E-A6B7-E4410E73DEB0}"/>
    <cellStyle name="Excel Built-in Warning Text" xfId="268" xr:uid="{89D3B9E2-BD7D-4437-AAF4-503CC8D3B969}"/>
    <cellStyle name="Heading" xfId="246" xr:uid="{2FF98395-3210-4C3B-B84A-98660F8BC89C}"/>
    <cellStyle name="Heading1" xfId="250" xr:uid="{96CE19CE-4351-4CA1-9F13-C404E90622AF}"/>
    <cellStyle name="Hipervínculo" xfId="1013" builtinId="8" customBuiltin="1"/>
    <cellStyle name="Hipervínculo 2" xfId="59" xr:uid="{9041DA8C-1738-4ECE-88B3-A64CF22EC215}"/>
    <cellStyle name="Hipervínculo 3" xfId="585" xr:uid="{6D708226-D24D-4EC1-98E7-250DBC0B64E1}"/>
    <cellStyle name="Hipervínculo visitado" xfId="303" builtinId="9" customBuiltin="1"/>
    <cellStyle name="Hipervínculo visitado 2" xfId="58" xr:uid="{D4203C46-7771-4791-A7FC-966E32B27ABB}"/>
    <cellStyle name="Hipervínculo visitado 3" xfId="613" xr:uid="{862091A7-076E-416C-BC0E-C9E452C309B7}"/>
    <cellStyle name="Igual 0 Blanco" xfId="158" xr:uid="{703ECE01-1B16-493D-B5C9-856EC22310E5}"/>
    <cellStyle name="Incorrecto" xfId="8" builtinId="27" customBuiltin="1"/>
    <cellStyle name="Input data" xfId="52" xr:uid="{DA1E8257-89DC-4579-9E34-2B1CD40BA48C}"/>
    <cellStyle name="Insatisfaisant" xfId="1206" xr:uid="{C1EA39AE-E057-44CF-B455-F2630CC85D2B}"/>
    <cellStyle name="Komórka połączona 2" xfId="103" xr:uid="{7D53485D-2699-4E95-B1E5-3963EB9AD756}"/>
    <cellStyle name="Komórka zaznaczona 2" xfId="104" xr:uid="{A193BAB5-1495-44D6-B650-4913D311AAAB}"/>
    <cellStyle name="Mayor 0 Negro" xfId="159" xr:uid="{2B82E45E-D54B-4615-B08A-FCBBD54C5873}"/>
    <cellStyle name="Millares" xfId="1" builtinId="3"/>
    <cellStyle name="Millares 10" xfId="84" xr:uid="{A0F8DC8D-AC9C-41DC-AE58-CF297D730E23}"/>
    <cellStyle name="Millares 10 10" xfId="1705" xr:uid="{05E016BC-908A-4866-B5EC-0EE854A99BE0}"/>
    <cellStyle name="Millares 10 10 2" xfId="3315" xr:uid="{87647A07-5F29-4690-B71B-702AC0759E8C}"/>
    <cellStyle name="Millares 10 11" xfId="2376" xr:uid="{4098C270-8FE2-4D71-A01A-A595DB429BE5}"/>
    <cellStyle name="Millares 10 11 2" xfId="3998" xr:uid="{F36F4F86-5CA8-44C0-B5C5-042CDDDBDF7B}"/>
    <cellStyle name="Millares 10 12" xfId="4389" xr:uid="{8755687F-C727-4A62-8EF8-D17FCA67EB87}"/>
    <cellStyle name="Millares 10 13" xfId="2749" xr:uid="{B413B5F6-3591-4721-8AC0-350A5BE0220B}"/>
    <cellStyle name="Millares 10 2" xfId="331" xr:uid="{19E99784-10A8-4A09-AF11-2121D721DF39}"/>
    <cellStyle name="Millares 10 2 2" xfId="827" xr:uid="{A7442590-FE9D-4586-85DF-0D1C450B202F}"/>
    <cellStyle name="Millares 10 2 2 2" xfId="2148" xr:uid="{FC795475-BCA7-4ED1-BFBD-34716BB926A5}"/>
    <cellStyle name="Millares 10 2 2 2 2" xfId="3744" xr:uid="{055CA9D5-CF71-4DE7-B3AE-E81C6810969E}"/>
    <cellStyle name="Millares 10 2 2 3" xfId="2696" xr:uid="{3969BF63-50A5-4CF1-ADF4-910E145B5438}"/>
    <cellStyle name="Millares 10 2 2 3 2" xfId="4318" xr:uid="{963D6EB6-19F4-4058-B362-4E06A018A644}"/>
    <cellStyle name="Millares 10 2 2 4" xfId="1601" xr:uid="{95759276-729E-4622-922C-D33B05D68A3B}"/>
    <cellStyle name="Millares 10 2 2 5" xfId="3200" xr:uid="{0B930F03-6ECB-47AF-A3F4-5AE972636541}"/>
    <cellStyle name="Millares 10 2 3" xfId="957" xr:uid="{B7FEE44D-D0C3-4684-9389-24BA9CFFFFDB}"/>
    <cellStyle name="Millares 10 2 3 2" xfId="1905" xr:uid="{88D6109A-9C77-41EA-8DB0-E24E82C80DD5}"/>
    <cellStyle name="Millares 10 2 3 2 2" xfId="3501" xr:uid="{5F23D7B4-DDD6-4EBE-8CE5-315AF509CDC9}"/>
    <cellStyle name="Millares 10 2 3 3" xfId="1361" xr:uid="{F6DFEA2A-AD88-41D2-905D-4EAA9CCE73F3}"/>
    <cellStyle name="Millares 10 2 3 4" xfId="2960" xr:uid="{791E4714-0206-4539-AE01-124AEBB8F3FC}"/>
    <cellStyle name="Millares 10 2 4" xfId="1139" xr:uid="{7C295379-778F-453C-92B4-3CC636905450}"/>
    <cellStyle name="Millares 10 2 4 2" xfId="3919" xr:uid="{0391D7DA-C285-49A7-BD3D-F6728D13AB04}"/>
    <cellStyle name="Millares 10 2 5" xfId="1760" xr:uid="{07FEC2BE-BBFC-4D70-A77C-38923A8D7270}"/>
    <cellStyle name="Millares 10 2 5 2" xfId="3368" xr:uid="{2F515027-760A-4F44-ADE4-795C2603F380}"/>
    <cellStyle name="Millares 10 2 6" xfId="2430" xr:uid="{E8FD433E-5989-47C2-8C9C-7B67FD1C59D1}"/>
    <cellStyle name="Millares 10 2 6 2" xfId="4052" xr:uid="{7A993699-35B6-4A35-8A81-389235B5CC44}"/>
    <cellStyle name="Millares 10 2 7" xfId="4442" xr:uid="{B849448B-B6E9-40A7-A71E-8B60DCBF3CF3}"/>
    <cellStyle name="Millares 10 2 8" xfId="2827" xr:uid="{42493F56-69CF-4AEF-AC47-BD8B2421C265}"/>
    <cellStyle name="Millares 10 3" xfId="605" xr:uid="{FC7F3C3B-8BF3-4972-8E87-976DDDE35EC7}"/>
    <cellStyle name="Millares 10 3 2" xfId="879" xr:uid="{0E80AF34-8E7F-4768-A3F8-FDAE21AFBE26}"/>
    <cellStyle name="Millares 10 3 2 2" xfId="2196" xr:uid="{C89D5B83-D734-489A-BD91-14EABD5F42DB}"/>
    <cellStyle name="Millares 10 3 2 2 2" xfId="3792" xr:uid="{84B74CB4-182B-40E8-8171-44B12C801395}"/>
    <cellStyle name="Millares 10 3 2 3" xfId="2742" xr:uid="{94138BCA-3AC0-401E-882B-562D903370C0}"/>
    <cellStyle name="Millares 10 3 2 3 2" xfId="4364" xr:uid="{71DA63C6-34A2-450D-A5AA-76D882DC29F8}"/>
    <cellStyle name="Millares 10 3 2 4" xfId="1649" xr:uid="{94FEA485-0451-4A7B-B293-68AC73C943D1}"/>
    <cellStyle name="Millares 10 3 2 5" xfId="3248" xr:uid="{19BCC875-1346-4A71-B076-17C5A8F51FD1}"/>
    <cellStyle name="Millares 10 3 3" xfId="1009" xr:uid="{27FB4FE2-6305-45D9-B531-F82AF8DE0D26}"/>
    <cellStyle name="Millares 10 3 3 2" xfId="1950" xr:uid="{8DFC34FC-1AF7-4425-BDB8-5413EB903E33}"/>
    <cellStyle name="Millares 10 3 3 2 2" xfId="3546" xr:uid="{8864A0B2-0F08-4CD5-90D7-1502F8EA225A}"/>
    <cellStyle name="Millares 10 3 3 3" xfId="1406" xr:uid="{A2B31EBA-4433-43F3-89A3-D1FAF494DB5E}"/>
    <cellStyle name="Millares 10 3 3 4" xfId="3005" xr:uid="{06847C0C-DE2B-455F-8C93-F895E443166A}"/>
    <cellStyle name="Millares 10 3 4" xfId="1242" xr:uid="{49E10458-DD58-4E82-81C6-0E598C4AA195}"/>
    <cellStyle name="Millares 10 3 4 2" xfId="3971" xr:uid="{8A031202-876F-4C00-8A01-6141CDB36861}"/>
    <cellStyle name="Millares 10 3 5" xfId="1823" xr:uid="{F0638831-C595-4E61-A9F0-A6AA8608FA83}"/>
    <cellStyle name="Millares 10 3 5 2" xfId="3420" xr:uid="{E3BF2AC1-E954-4C1B-A9F2-948C1237EEEC}"/>
    <cellStyle name="Millares 10 3 6" xfId="2482" xr:uid="{46E48E12-8996-492A-9B50-A5F51F61A2C8}"/>
    <cellStyle name="Millares 10 3 6 2" xfId="4104" xr:uid="{DA8FCD98-E4E9-41A5-8F1F-2C7A5A8B15D4}"/>
    <cellStyle name="Millares 10 3 7" xfId="4494" xr:uid="{D5695575-3218-4119-9089-DE814411919B}"/>
    <cellStyle name="Millares 10 3 8" xfId="2879" xr:uid="{AEBA76D0-2CF2-4B38-B739-9D64E8B3A612}"/>
    <cellStyle name="Millares 10 4" xfId="672" xr:uid="{0A1E7D74-5A16-438A-B270-4A3CB2047C16}"/>
    <cellStyle name="Millares 10 4 2" xfId="2293" xr:uid="{000E0E20-F33D-43E2-9E70-9312AD2073C7}"/>
    <cellStyle name="Millares 10 4 2 2" xfId="3866" xr:uid="{F5F602B9-F525-461F-B2CC-14EC94716AFD}"/>
    <cellStyle name="Millares 10 4 3" xfId="1842" xr:uid="{EDDCD1AC-1337-48F7-AAAD-C8EF3ABB6646}"/>
    <cellStyle name="Millares 10 4 3 2" xfId="3439" xr:uid="{D9367AF6-DB51-4827-A672-CCF35182DF98}"/>
    <cellStyle name="Millares 10 4 4" xfId="2542" xr:uid="{8E905C9B-2D4B-475D-A049-64F2A66DBF35}"/>
    <cellStyle name="Millares 10 4 4 2" xfId="4164" xr:uid="{38F5D5D6-7200-4187-A780-5842BAF85837}"/>
    <cellStyle name="Millares 10 4 5" xfId="1201" xr:uid="{2A0D2DA7-54CD-4A74-89A6-D17BE1DDCFE0}"/>
    <cellStyle name="Millares 10 4 6" xfId="2774" xr:uid="{E86D08E6-AB76-419A-818F-77BEC1EC6056}"/>
    <cellStyle name="Millares 10 5" xfId="721" xr:uid="{5540493C-BB16-4717-A00C-2B740D34CDE9}"/>
    <cellStyle name="Millares 10 5 2" xfId="2042" xr:uid="{99221B3B-F3C8-452E-B583-A89B0BEFA7F0}"/>
    <cellStyle name="Millares 10 5 2 2" xfId="3638" xr:uid="{60B7D7A9-80AE-4530-B592-5BB21250920B}"/>
    <cellStyle name="Millares 10 5 3" xfId="2592" xr:uid="{564F4D27-069C-473F-B97F-B2520F55A0E2}"/>
    <cellStyle name="Millares 10 5 3 2" xfId="4214" xr:uid="{3D9909E4-92D1-4E78-9E81-8FFEE0D68B20}"/>
    <cellStyle name="Millares 10 5 4" xfId="1498" xr:uid="{2BA4A62E-566B-45CB-89A0-23E9399B9DEB}"/>
    <cellStyle name="Millares 10 5 5" xfId="3097" xr:uid="{0BCAF277-03AF-4ED0-BD20-DE949417F376}"/>
    <cellStyle name="Millares 10 6" xfId="788" xr:uid="{918F2825-8969-46DE-8E0C-235B32529531}"/>
    <cellStyle name="Millares 10 6 2" xfId="2110" xr:uid="{8DC84F1D-92DB-4A4C-BEDF-771DB4316F90}"/>
    <cellStyle name="Millares 10 6 2 2" xfId="3706" xr:uid="{76280B14-7697-4F6C-9546-CAA48AB6733B}"/>
    <cellStyle name="Millares 10 6 3" xfId="2657" xr:uid="{D578716C-84E9-4DF3-AF86-3602E39FD07C}"/>
    <cellStyle name="Millares 10 6 3 2" xfId="4279" xr:uid="{D3D1EB8B-089D-4760-998F-B913A6505F34}"/>
    <cellStyle name="Millares 10 6 4" xfId="1564" xr:uid="{1EEA9015-FB10-4F86-BD11-7F62968BEBFB}"/>
    <cellStyle name="Millares 10 6 5" xfId="3163" xr:uid="{A3C582AE-2525-4DDC-832A-33A3A0E79AA3}"/>
    <cellStyle name="Millares 10 7" xfId="904" xr:uid="{52708F90-F6B7-455C-B82E-F9537B01A7D4}"/>
    <cellStyle name="Millares 10 7 2" xfId="2215" xr:uid="{8DE09500-09E6-41BB-B0B6-B6FF224831C6}"/>
    <cellStyle name="Millares 10 7 2 2" xfId="3811" xr:uid="{0AB529FC-F71F-4D5E-9378-92F4D0BC80F0}"/>
    <cellStyle name="Millares 10 7 3" xfId="1664" xr:uid="{9C14E8C3-ADB2-4480-BD4B-D1B56A6110F3}"/>
    <cellStyle name="Millares 10 7 4" xfId="3266" xr:uid="{243AEAF4-0460-44CF-80B5-E7ADA0F5FA74}"/>
    <cellStyle name="Millares 10 8" xfId="1061" xr:uid="{C30489EE-199E-4ECC-90CA-6337556F85BB}"/>
    <cellStyle name="Millares 10 8 2" xfId="2238" xr:uid="{7163DF6F-20CC-41AC-9B9E-5E8AD5A94FC2}"/>
    <cellStyle name="Millares 10 8 2 2" xfId="3834" xr:uid="{0C962D25-D5CD-4FF6-8CE6-9CA46B03E2F6}"/>
    <cellStyle name="Millares 10 8 3" xfId="3288" xr:uid="{2AA34473-A82F-4C19-89B7-7809A72A75C9}"/>
    <cellStyle name="Millares 10 9" xfId="2248" xr:uid="{600562A7-31AE-4D8C-BE29-D978F3E567F8}"/>
    <cellStyle name="Millares 10 9 2" xfId="3841" xr:uid="{C997D0A5-E1EF-41A4-A11D-9DE8EB72A015}"/>
    <cellStyle name="Millares 11" xfId="135" xr:uid="{B3E61A27-CA18-4B47-832D-71B32B7FC385}"/>
    <cellStyle name="Millares 11 10" xfId="1711" xr:uid="{000805C1-B9DC-4EA1-8B2A-080B7811D4A1}"/>
    <cellStyle name="Millares 11 10 2" xfId="3319" xr:uid="{C3453398-CED1-4675-AFAD-2706DF5DD811}"/>
    <cellStyle name="Millares 11 11" xfId="2380" xr:uid="{7F3835E3-BE32-4123-9E3F-42CB633BF2AC}"/>
    <cellStyle name="Millares 11 11 2" xfId="4002" xr:uid="{BD5F0885-8264-4CFE-B2DD-BD7171DFB029}"/>
    <cellStyle name="Millares 11 12" xfId="4393" xr:uid="{1CC7EC92-BF04-438B-953F-2A949EA882BE}"/>
    <cellStyle name="Millares 11 13" xfId="2778" xr:uid="{6B503652-59B0-4120-BBA7-BA259259873F}"/>
    <cellStyle name="Millares 11 2" xfId="335" xr:uid="{0DFCE3D5-C075-49E0-A8AE-5B8F3182AE38}"/>
    <cellStyle name="Millares 11 2 2" xfId="831" xr:uid="{B6DFC32A-76BA-492E-92CF-FF1DD6A1258F}"/>
    <cellStyle name="Millares 11 2 2 2" xfId="2152" xr:uid="{B4CCDD19-1058-4E15-A0B4-04BECF8C82D1}"/>
    <cellStyle name="Millares 11 2 2 2 2" xfId="3748" xr:uid="{0094D0EC-A3DD-4E60-B093-C9E1E610C3A4}"/>
    <cellStyle name="Millares 11 2 2 3" xfId="2700" xr:uid="{F8A9B3C9-7BDC-422B-B423-4EB0C6D1BC8A}"/>
    <cellStyle name="Millares 11 2 2 3 2" xfId="4322" xr:uid="{5EF8DF1F-EF8C-4664-9D9B-6CFBA27F7485}"/>
    <cellStyle name="Millares 11 2 2 4" xfId="1605" xr:uid="{68159376-010D-458A-AF1E-6F968597074D}"/>
    <cellStyle name="Millares 11 2 2 5" xfId="3204" xr:uid="{2A0D27A2-5FF3-442D-AD42-3B04A27C3A6F}"/>
    <cellStyle name="Millares 11 2 3" xfId="961" xr:uid="{2E83C710-72AA-4D01-BF72-B4543EC2BA3A}"/>
    <cellStyle name="Millares 11 2 3 2" xfId="1909" xr:uid="{1BAC8E51-6D24-45BA-931D-64051DEA671A}"/>
    <cellStyle name="Millares 11 2 3 2 2" xfId="3505" xr:uid="{093A0811-51A2-488F-8ED5-7DEED2504B6A}"/>
    <cellStyle name="Millares 11 2 3 3" xfId="1365" xr:uid="{2E3C60C9-7E0B-4A72-A993-B7D38CC1AFB2}"/>
    <cellStyle name="Millares 11 2 3 4" xfId="2964" xr:uid="{BACAAB74-88DF-4A0B-AF80-F40137655374}"/>
    <cellStyle name="Millares 11 2 4" xfId="1143" xr:uid="{1ABC1382-393C-4734-B567-928A489D632D}"/>
    <cellStyle name="Millares 11 2 4 2" xfId="3923" xr:uid="{1CFEAE25-AD23-4358-A9C4-E721A63FE212}"/>
    <cellStyle name="Millares 11 2 5" xfId="1764" xr:uid="{7F995FF6-B2AD-4794-82D9-B7E7FEB4055C}"/>
    <cellStyle name="Millares 11 2 5 2" xfId="3372" xr:uid="{9E90E528-B7C6-4648-A97F-C3AE6DB8BB96}"/>
    <cellStyle name="Millares 11 2 6" xfId="2434" xr:uid="{427AC28F-36D9-4F21-9E47-C5998344BE71}"/>
    <cellStyle name="Millares 11 2 6 2" xfId="4056" xr:uid="{AA3D8532-84F3-430F-BD46-3A432BC368FD}"/>
    <cellStyle name="Millares 11 2 7" xfId="4446" xr:uid="{4E45549A-968E-44CC-A2EA-E1505A6588B0}"/>
    <cellStyle name="Millares 11 2 8" xfId="2831" xr:uid="{7A56E1EB-E2AC-43C4-9F25-618A90BF7445}"/>
    <cellStyle name="Millares 11 3" xfId="607" xr:uid="{38D6C634-1B65-41C4-8158-7124113D12E7}"/>
    <cellStyle name="Millares 11 3 2" xfId="880" xr:uid="{843D4A0A-E2A4-4710-A47B-A024CD5FA91B}"/>
    <cellStyle name="Millares 11 3 2 2" xfId="2197" xr:uid="{9EF1DD96-FE7A-4072-894E-764A20625338}"/>
    <cellStyle name="Millares 11 3 2 2 2" xfId="3793" xr:uid="{30EB635A-6AA3-4A82-A281-C19A8E50F429}"/>
    <cellStyle name="Millares 11 3 2 3" xfId="2743" xr:uid="{D2DC4A6A-6FD8-44A5-AEDB-2320B798B713}"/>
    <cellStyle name="Millares 11 3 2 3 2" xfId="4365" xr:uid="{209FD3B3-E317-4612-B7DE-8CD26BE81B65}"/>
    <cellStyle name="Millares 11 3 2 4" xfId="1650" xr:uid="{62E33375-163C-4EE7-8A0A-12928AF3FD46}"/>
    <cellStyle name="Millares 11 3 2 5" xfId="3249" xr:uid="{8CB956C5-50DD-4353-8176-638F3D3C1285}"/>
    <cellStyle name="Millares 11 3 3" xfId="1010" xr:uid="{BB03F9C9-299B-4A43-B111-54981A3F08D9}"/>
    <cellStyle name="Millares 11 3 3 2" xfId="1962" xr:uid="{4559C196-B1BA-4A0F-892E-8B6A394D5D8A}"/>
    <cellStyle name="Millares 11 3 3 2 2" xfId="3558" xr:uid="{8A727423-1755-4A20-A5BC-EA2260BF07B1}"/>
    <cellStyle name="Millares 11 3 3 3" xfId="1418" xr:uid="{4A16519D-75FC-40CE-8350-C8102FAB93B3}"/>
    <cellStyle name="Millares 11 3 3 4" xfId="3017" xr:uid="{3642B134-0F5E-4BEA-B780-728DCA15718F}"/>
    <cellStyle name="Millares 11 3 4" xfId="1243" xr:uid="{F6886122-BE84-496F-8261-CBD1B71A3DFA}"/>
    <cellStyle name="Millares 11 3 4 2" xfId="3972" xr:uid="{3AB3E39B-7E76-405F-B8B1-8A924CB72C67}"/>
    <cellStyle name="Millares 11 3 5" xfId="1824" xr:uid="{D420034C-CDA5-47E9-858A-C054DE496332}"/>
    <cellStyle name="Millares 11 3 5 2" xfId="3421" xr:uid="{5F7C90F8-64EC-425D-975F-DE543EE58F8D}"/>
    <cellStyle name="Millares 11 3 6" xfId="2483" xr:uid="{3A53637A-40AE-4FCE-B815-7F696BD46A79}"/>
    <cellStyle name="Millares 11 3 6 2" xfId="4105" xr:uid="{2054F187-4DFA-4EF0-BF3C-8AB917CA7B81}"/>
    <cellStyle name="Millares 11 3 7" xfId="4495" xr:uid="{494020F2-739A-4C99-902F-012F772EB14E}"/>
    <cellStyle name="Millares 11 3 8" xfId="2880" xr:uid="{09B36501-E20D-45C4-B498-CD9A68153955}"/>
    <cellStyle name="Millares 11 4" xfId="676" xr:uid="{AD71CA13-CD1F-46AE-9D95-CA008CEAED7F}"/>
    <cellStyle name="Millares 11 4 2" xfId="1843" xr:uid="{4C83B328-27AF-4E52-B7EA-ECBDEEA36426}"/>
    <cellStyle name="Millares 11 4 2 2" xfId="3440" xr:uid="{919B8090-A3C3-42E9-BD86-54542AC28D3E}"/>
    <cellStyle name="Millares 11 4 3" xfId="2546" xr:uid="{91BE9FAF-71B9-40A0-AA85-4D6B17DAB527}"/>
    <cellStyle name="Millares 11 4 3 2" xfId="4168" xr:uid="{9844B40E-6EE3-459A-A200-8D15548F5C40}"/>
    <cellStyle name="Millares 11 4 4" xfId="1299" xr:uid="{389E7F33-CA21-4577-B614-4AF46580A68A}"/>
    <cellStyle name="Millares 11 4 5" xfId="2899" xr:uid="{4D65E834-EC1C-439A-B1F8-CB2F86AC24A7}"/>
    <cellStyle name="Millares 11 5" xfId="725" xr:uid="{56C19281-14D3-457A-9ED8-E4E56C985FCA}"/>
    <cellStyle name="Millares 11 5 2" xfId="2046" xr:uid="{0CF452FB-4FC6-4617-8B4B-BFD1F21B0AE5}"/>
    <cellStyle name="Millares 11 5 2 2" xfId="3642" xr:uid="{6B80D6D3-2E32-4591-B312-07E471E4AE49}"/>
    <cellStyle name="Millares 11 5 3" xfId="2596" xr:uid="{16FAF16A-7EF3-4C82-B65F-7F0A6F58FA56}"/>
    <cellStyle name="Millares 11 5 3 2" xfId="4218" xr:uid="{19BC7834-7180-4A9A-8E50-4AE1E1E72D78}"/>
    <cellStyle name="Millares 11 5 4" xfId="1502" xr:uid="{E198FE31-47CE-4AAE-AB58-242EB05854F1}"/>
    <cellStyle name="Millares 11 5 5" xfId="3101" xr:uid="{191DE7A2-B541-4A36-BFD6-59783377C188}"/>
    <cellStyle name="Millares 11 6" xfId="789" xr:uid="{F924D796-2023-4E7A-84B4-02F2B1D3421B}"/>
    <cellStyle name="Millares 11 6 2" xfId="2111" xr:uid="{15EFD7BE-AEE2-491E-81DD-F1AE7DE0328E}"/>
    <cellStyle name="Millares 11 6 2 2" xfId="3707" xr:uid="{26AC5EBC-C6A8-4FE1-880C-D691B2B30681}"/>
    <cellStyle name="Millares 11 6 3" xfId="2658" xr:uid="{DDC8964B-D322-45B3-815A-2FBCF0C58FD7}"/>
    <cellStyle name="Millares 11 6 3 2" xfId="4280" xr:uid="{7C9E0EF8-4872-46A5-8BD8-A0B15320964B}"/>
    <cellStyle name="Millares 11 6 4" xfId="1565" xr:uid="{0ACE7155-D891-480E-88B8-56A8B1C9D3D2}"/>
    <cellStyle name="Millares 11 6 5" xfId="3164" xr:uid="{DE10A82D-B734-4AFC-8F50-0580B77FA428}"/>
    <cellStyle name="Millares 11 7" xfId="908" xr:uid="{4416A67A-6DD4-47D0-877C-D1C190026DCF}"/>
    <cellStyle name="Millares 11 7 2" xfId="2216" xr:uid="{DFC858D4-78D6-4BF9-AF3D-F8FFA80A05EB}"/>
    <cellStyle name="Millares 11 7 2 2" xfId="3812" xr:uid="{89C2E164-A551-4764-B90E-2E119F4B668C}"/>
    <cellStyle name="Millares 11 7 3" xfId="1665" xr:uid="{77974A13-A8D3-4EBD-8959-F8BBB6D71D4A}"/>
    <cellStyle name="Millares 11 7 4" xfId="3267" xr:uid="{E6066152-C9A5-40FD-832F-5B404F25A426}"/>
    <cellStyle name="Millares 11 8" xfId="1080" xr:uid="{93AF2AA6-E473-4B10-908D-4C8B55584E90}"/>
    <cellStyle name="Millares 11 8 2" xfId="2239" xr:uid="{294901B5-E2F6-4FFD-BE98-66892A11341F}"/>
    <cellStyle name="Millares 11 8 2 2" xfId="3835" xr:uid="{A6142CE8-A9A5-4ED2-A1E5-30257EDF4BF6}"/>
    <cellStyle name="Millares 11 8 3" xfId="3289" xr:uid="{4A0F0140-D951-454C-BD65-93ACB9270E3A}"/>
    <cellStyle name="Millares 11 9" xfId="2295" xr:uid="{B21CB857-832F-4CE5-A87D-AA49EA0EF0AB}"/>
    <cellStyle name="Millares 11 9 2" xfId="3870" xr:uid="{15A670A3-E169-4908-9C4C-5879B13D8ED2}"/>
    <cellStyle name="Millares 12" xfId="66" xr:uid="{43DB32C4-450A-4698-AB2E-4792952E8F6D}"/>
    <cellStyle name="Millares 12 10" xfId="1688" xr:uid="{BCB3F00E-7B56-4425-9238-6D7373932A3E}"/>
    <cellStyle name="Millares 12 10 2" xfId="3298" xr:uid="{AC00A4B8-652B-4853-A103-8A500F71D993}"/>
    <cellStyle name="Millares 12 11" xfId="2359" xr:uid="{A4FE304B-0FA8-4A23-B2D9-4DD09525932D}"/>
    <cellStyle name="Millares 12 11 2" xfId="3981" xr:uid="{65FD228D-7F7E-4152-AEE5-F2CA0384F6B0}"/>
    <cellStyle name="Millares 12 12" xfId="4372" xr:uid="{85730F76-F171-44F7-AF81-A66FF946579C}"/>
    <cellStyle name="Millares 12 13" xfId="2757" xr:uid="{B42371B8-1E32-41B9-B3C8-297CCB49C38F}"/>
    <cellStyle name="Millares 12 2" xfId="314" xr:uid="{85A0660E-E391-4A63-B065-8D9217F336F7}"/>
    <cellStyle name="Millares 12 2 2" xfId="812" xr:uid="{E2784D6A-5D53-4407-AEED-4E8D3C887695}"/>
    <cellStyle name="Millares 12 2 2 2" xfId="2133" xr:uid="{C9198343-4A17-4ECC-94F1-50F2340F0081}"/>
    <cellStyle name="Millares 12 2 2 2 2" xfId="3729" xr:uid="{0AD889EA-99C4-4873-9B2F-4F2735AF9A49}"/>
    <cellStyle name="Millares 12 2 2 3" xfId="2681" xr:uid="{AB4B4EB0-9EAC-458E-BFA8-DA2CA2836A34}"/>
    <cellStyle name="Millares 12 2 2 3 2" xfId="4303" xr:uid="{72969FD1-8E1D-421C-84D9-D55C47AC29AB}"/>
    <cellStyle name="Millares 12 2 2 4" xfId="1586" xr:uid="{70A55EA9-5EE2-4E1D-AEAB-C69651165315}"/>
    <cellStyle name="Millares 12 2 2 5" xfId="3185" xr:uid="{8060D444-A65D-4F66-ABE9-E50173258890}"/>
    <cellStyle name="Millares 12 2 3" xfId="940" xr:uid="{815714E0-528B-4BF6-8076-0A183131B706}"/>
    <cellStyle name="Millares 12 2 3 2" xfId="1890" xr:uid="{96F0DB9E-3DF7-4650-8F7D-F0DB147A6F19}"/>
    <cellStyle name="Millares 12 2 3 2 2" xfId="3486" xr:uid="{36AF31BB-F8B1-4FCF-BCF0-A81624FBDABC}"/>
    <cellStyle name="Millares 12 2 3 3" xfId="1346" xr:uid="{97328F7E-5F48-44F5-AAA0-B69B74215EC7}"/>
    <cellStyle name="Millares 12 2 3 4" xfId="2945" xr:uid="{CEF9DDE6-235E-4E7A-8F9E-DA898DCDBD15}"/>
    <cellStyle name="Millares 12 2 4" xfId="1122" xr:uid="{E27F7E69-7664-4617-A1CC-9DD69C2E2B2E}"/>
    <cellStyle name="Millares 12 2 4 2" xfId="3902" xr:uid="{DA2ED41C-8503-4025-A2DD-A2C8031CE78B}"/>
    <cellStyle name="Millares 12 2 5" xfId="1745" xr:uid="{AE2BBAEF-F6FD-4A86-A795-3B15B81469D5}"/>
    <cellStyle name="Millares 12 2 5 2" xfId="3351" xr:uid="{EB12FCAC-594A-486E-99A0-BC5F6E0DBB63}"/>
    <cellStyle name="Millares 12 2 6" xfId="2413" xr:uid="{B1E7F6F4-E13A-4174-948E-3815CCDA69E2}"/>
    <cellStyle name="Millares 12 2 6 2" xfId="4035" xr:uid="{A0DA2158-629E-4F55-9A23-67C2BDC45E42}"/>
    <cellStyle name="Millares 12 2 7" xfId="4425" xr:uid="{A14C2625-2FE4-48FA-9CF0-C398F49A18F7}"/>
    <cellStyle name="Millares 12 2 8" xfId="2810" xr:uid="{B4388765-DEEE-48AA-BA69-017161254B89}"/>
    <cellStyle name="Millares 12 3" xfId="608" xr:uid="{C8D73D1A-DDD3-4B0A-9823-5B2BB309B74D}"/>
    <cellStyle name="Millares 12 3 2" xfId="881" xr:uid="{34FD60CE-51B9-4191-896D-0C8705A76E01}"/>
    <cellStyle name="Millares 12 3 2 2" xfId="2198" xr:uid="{DF22E5CC-7218-4A07-A5B6-FF11ABEAF786}"/>
    <cellStyle name="Millares 12 3 2 2 2" xfId="3794" xr:uid="{AFDB240F-166B-4AB4-A502-3A6329A5D3D9}"/>
    <cellStyle name="Millares 12 3 2 3" xfId="2744" xr:uid="{A9F9D560-8CD3-4BC3-88E6-CB924DDDBBEC}"/>
    <cellStyle name="Millares 12 3 2 3 2" xfId="4366" xr:uid="{12926936-59FB-4790-B72D-3F84F4085BD0}"/>
    <cellStyle name="Millares 12 3 2 4" xfId="1651" xr:uid="{09A1165B-EDFC-431C-A584-1CA27686E6AF}"/>
    <cellStyle name="Millares 12 3 2 5" xfId="3250" xr:uid="{622CF0E4-0D05-4AB0-9828-925678143246}"/>
    <cellStyle name="Millares 12 3 3" xfId="1011" xr:uid="{5FA48B56-90ED-4156-9249-B2AC6105204C}"/>
    <cellStyle name="Millares 12 3 3 2" xfId="1955" xr:uid="{A57BC726-FD99-4C12-BCFC-902F3517780B}"/>
    <cellStyle name="Millares 12 3 3 2 2" xfId="3551" xr:uid="{263F0205-8131-416F-9304-8CF2EC0A26D9}"/>
    <cellStyle name="Millares 12 3 3 3" xfId="1411" xr:uid="{2604E50E-C3E9-4EEC-9D39-3F2176DED5F0}"/>
    <cellStyle name="Millares 12 3 3 4" xfId="3010" xr:uid="{EDA7D4F1-696D-4CDB-B791-E160565F61C2}"/>
    <cellStyle name="Millares 12 3 4" xfId="1244" xr:uid="{686A18E1-5031-439D-B1F3-F2131D869392}"/>
    <cellStyle name="Millares 12 3 4 2" xfId="3973" xr:uid="{DF746D83-9050-453A-B553-054DBAF0CFAA}"/>
    <cellStyle name="Millares 12 3 5" xfId="1825" xr:uid="{6B19C5D8-4D65-4EB1-BC56-1728930FFA70}"/>
    <cellStyle name="Millares 12 3 5 2" xfId="3422" xr:uid="{5334C592-8990-4B33-B4DD-DF1C29FA5ED6}"/>
    <cellStyle name="Millares 12 3 6" xfId="2484" xr:uid="{228FBB5F-7064-4995-B79E-F4FDF39C687F}"/>
    <cellStyle name="Millares 12 3 6 2" xfId="4106" xr:uid="{3B2907D4-F15E-40D7-9EB4-AF7275E609C1}"/>
    <cellStyle name="Millares 12 3 7" xfId="4496" xr:uid="{B922C502-B037-474C-AACC-C2A984DE9490}"/>
    <cellStyle name="Millares 12 3 8" xfId="2881" xr:uid="{48D082FD-067E-4223-BB80-F1F84361BDB6}"/>
    <cellStyle name="Millares 12 4" xfId="655" xr:uid="{69BA88CD-E75E-40CD-BF67-48425AD1001C}"/>
    <cellStyle name="Millares 12 4 2" xfId="1844" xr:uid="{A963DAEA-1A19-4F61-8E54-62CBE8BF91F2}"/>
    <cellStyle name="Millares 12 4 2 2" xfId="3441" xr:uid="{3C560850-69CE-4A47-9F5E-80CD011B1077}"/>
    <cellStyle name="Millares 12 4 3" xfId="2525" xr:uid="{9084AB65-C24D-4A69-BAAA-19DD326D8EC9}"/>
    <cellStyle name="Millares 12 4 3 2" xfId="4147" xr:uid="{18A1EED2-803C-4B38-AA0D-A9DF1DC7D94E}"/>
    <cellStyle name="Millares 12 4 4" xfId="1300" xr:uid="{02F35AF4-49ED-42AD-B6CA-2F859F55AB6E}"/>
    <cellStyle name="Millares 12 4 5" xfId="2900" xr:uid="{F9BC101C-2842-4DBC-8E9B-BB3BAA64879B}"/>
    <cellStyle name="Millares 12 5" xfId="704" xr:uid="{85F1C89C-DD60-469D-B103-9F330FDB0D62}"/>
    <cellStyle name="Millares 12 5 2" xfId="2025" xr:uid="{0FC1985C-5EBD-4FBF-A321-EF848AD95071}"/>
    <cellStyle name="Millares 12 5 2 2" xfId="3621" xr:uid="{8C2C1163-FD30-4598-969A-107113DD1AE0}"/>
    <cellStyle name="Millares 12 5 3" xfId="2575" xr:uid="{28D7586F-BE1B-4407-86E4-824DF3C40E83}"/>
    <cellStyle name="Millares 12 5 3 2" xfId="4197" xr:uid="{DEF62F76-5A48-453A-8CD3-BB687A682D04}"/>
    <cellStyle name="Millares 12 5 4" xfId="1481" xr:uid="{0CB86B77-81D7-42C5-A855-7DAD79AAEA4B}"/>
    <cellStyle name="Millares 12 5 5" xfId="3080" xr:uid="{D28342C7-DFD8-4A87-9626-89810F82E561}"/>
    <cellStyle name="Millares 12 6" xfId="790" xr:uid="{D5D16D50-9F88-4692-A848-5BE243A39E0F}"/>
    <cellStyle name="Millares 12 6 2" xfId="2112" xr:uid="{43D01752-2BB3-436F-9501-DCCBF2880580}"/>
    <cellStyle name="Millares 12 6 2 2" xfId="3708" xr:uid="{C9D36B8E-3FE9-44C1-9584-B836289305D5}"/>
    <cellStyle name="Millares 12 6 3" xfId="2659" xr:uid="{AE8A1DBD-0C16-4796-A1F1-14961ECC2121}"/>
    <cellStyle name="Millares 12 6 3 2" xfId="4281" xr:uid="{50302DEE-2CE7-416A-A944-A937CBF655AF}"/>
    <cellStyle name="Millares 12 6 4" xfId="1566" xr:uid="{512C6201-2040-4817-BB9B-A8918E1ED68D}"/>
    <cellStyle name="Millares 12 6 5" xfId="3165" xr:uid="{E6B64CF2-162E-4DAA-8BFB-BB598CD6E5CA}"/>
    <cellStyle name="Millares 12 7" xfId="887" xr:uid="{923781BA-EC53-4293-8CEB-5229BD864E69}"/>
    <cellStyle name="Millares 12 7 2" xfId="2217" xr:uid="{6BA25591-D2D1-4888-A0FF-9951831F0AD8}"/>
    <cellStyle name="Millares 12 7 2 2" xfId="3813" xr:uid="{F9DDE2A9-6484-4FFF-A40C-6668AB00C2C5}"/>
    <cellStyle name="Millares 12 7 3" xfId="1666" xr:uid="{CB01B7DD-6574-49F7-BDB9-AB40BB64B593}"/>
    <cellStyle name="Millares 12 7 4" xfId="3268" xr:uid="{77B195C8-57BA-4C5C-922A-0012B280D3FB}"/>
    <cellStyle name="Millares 12 8" xfId="1044" xr:uid="{BF84092B-23A8-4451-A3C1-4FC59A33A06D}"/>
    <cellStyle name="Millares 12 8 2" xfId="2240" xr:uid="{F511685E-532E-430C-8779-8927E20F3903}"/>
    <cellStyle name="Millares 12 8 2 2" xfId="3836" xr:uid="{5D494C48-94D2-49F0-A9C6-43B3BBA3AEC6}"/>
    <cellStyle name="Millares 12 8 3" xfId="3290" xr:uid="{2A7AB6C6-1D84-4925-8D76-0C1F62115BF4}"/>
    <cellStyle name="Millares 12 9" xfId="2287" xr:uid="{344842A7-4744-4756-A07F-F4CD5E3AAE03}"/>
    <cellStyle name="Millares 12 9 2" xfId="3849" xr:uid="{419282B9-0E7F-42D0-9C34-502EC1BEC95D}"/>
    <cellStyle name="Millares 13" xfId="149" xr:uid="{16EB87E4-5A19-46CA-8032-9F6C378C60F8}"/>
    <cellStyle name="Millares 13 10" xfId="1718" xr:uid="{9225FF8D-454B-4F4B-AD0B-501685E7BA6D}"/>
    <cellStyle name="Millares 13 10 2" xfId="3326" xr:uid="{872031D5-04C4-4A86-8DB9-CB7FE95FA6FD}"/>
    <cellStyle name="Millares 13 11" xfId="2387" xr:uid="{65132EDF-9433-45B7-8144-17D3EE76447F}"/>
    <cellStyle name="Millares 13 11 2" xfId="4009" xr:uid="{1727FBD4-8D26-4D3A-BA5A-78FE7FE3C004}"/>
    <cellStyle name="Millares 13 12" xfId="4400" xr:uid="{FA9676BE-11A6-4C54-9E85-AA90D149E9FB}"/>
    <cellStyle name="Millares 13 13" xfId="2785" xr:uid="{AC40BE04-45EC-4595-9D09-552040A803F3}"/>
    <cellStyle name="Millares 13 2" xfId="342" xr:uid="{0F867E46-EB8F-4A1B-A1B7-2FD85BB7D33C}"/>
    <cellStyle name="Millares 13 2 2" xfId="838" xr:uid="{9CB305B8-E480-4DDC-8296-C4444CF3F2B6}"/>
    <cellStyle name="Millares 13 2 2 2" xfId="2159" xr:uid="{0E8A8E83-2961-4999-87A2-203D4EF3CADA}"/>
    <cellStyle name="Millares 13 2 2 2 2" xfId="3755" xr:uid="{237CEE0B-A8DF-4F3B-AB1C-E50E50A2E83F}"/>
    <cellStyle name="Millares 13 2 2 3" xfId="2707" xr:uid="{AFF4C992-3435-494F-8080-FFFE8C21113E}"/>
    <cellStyle name="Millares 13 2 2 3 2" xfId="4329" xr:uid="{2BEEB9AD-B97A-4DA5-9C6A-8C87B9CC1BA9}"/>
    <cellStyle name="Millares 13 2 2 4" xfId="1612" xr:uid="{CFDD71DC-CB08-47F9-82C3-1109B7BF4F30}"/>
    <cellStyle name="Millares 13 2 2 5" xfId="3211" xr:uid="{4ECB4E27-7DCA-446D-9746-D8F53BDB1460}"/>
    <cellStyle name="Millares 13 2 3" xfId="968" xr:uid="{F0E6E684-71ED-42C7-AE8D-6435004B36EF}"/>
    <cellStyle name="Millares 13 2 3 2" xfId="1916" xr:uid="{849166F6-6599-4CC2-AED3-BBC3309B2B52}"/>
    <cellStyle name="Millares 13 2 3 2 2" xfId="3512" xr:uid="{59EA5D04-8B61-42C2-A925-B4C5847E08A3}"/>
    <cellStyle name="Millares 13 2 3 3" xfId="1372" xr:uid="{1B535533-057E-44C3-B741-13EEC08D327C}"/>
    <cellStyle name="Millares 13 2 3 4" xfId="2971" xr:uid="{DF177934-39E6-4255-AB05-BF2D380FA447}"/>
    <cellStyle name="Millares 13 2 4" xfId="1150" xr:uid="{A1D27C5C-0AFB-4F36-AE3D-D38425FEF7F9}"/>
    <cellStyle name="Millares 13 2 4 2" xfId="3930" xr:uid="{5D3441CA-B617-48D8-BBA7-9A5377488A57}"/>
    <cellStyle name="Millares 13 2 5" xfId="1770" xr:uid="{F8404398-0DF4-4E39-8458-2361AE863A3F}"/>
    <cellStyle name="Millares 13 2 5 2" xfId="3379" xr:uid="{51B22E61-7622-475A-8D85-E907EE7E393F}"/>
    <cellStyle name="Millares 13 2 6" xfId="2441" xr:uid="{F2E51A2A-E69C-474F-8880-54E919A65D2B}"/>
    <cellStyle name="Millares 13 2 6 2" xfId="4063" xr:uid="{7C169F07-DE30-48C8-BBB8-A86015E22829}"/>
    <cellStyle name="Millares 13 2 7" xfId="4453" xr:uid="{C26A12AE-5A10-4AB2-8C57-9D943F06CE4B}"/>
    <cellStyle name="Millares 13 2 8" xfId="2838" xr:uid="{4AD88BB0-6E2B-4ED1-BBF1-AA77B2A8344E}"/>
    <cellStyle name="Millares 13 3" xfId="642" xr:uid="{DEE8F146-2BDA-4FB1-8326-CA0692E4355C}"/>
    <cellStyle name="Millares 13 3 2" xfId="1845" xr:uid="{72D24E88-AB0D-4134-BD95-2A3A6CDE5390}"/>
    <cellStyle name="Millares 13 3 2 2" xfId="3442" xr:uid="{E04AB7A5-59E4-4A16-A244-6EEF98521A10}"/>
    <cellStyle name="Millares 13 3 3" xfId="2512" xr:uid="{D7544774-18B8-4843-B01A-F5B93BD61F89}"/>
    <cellStyle name="Millares 13 3 3 2" xfId="4134" xr:uid="{1E051A30-6E29-4999-80CA-15836BADD590}"/>
    <cellStyle name="Millares 13 3 4" xfId="1301" xr:uid="{FE23B065-E1B0-4E62-89FA-879E69168689}"/>
    <cellStyle name="Millares 13 3 5" xfId="2901" xr:uid="{AE1FF9CB-48D0-4ACF-8CC9-9BD6DCED2388}"/>
    <cellStyle name="Millares 13 4" xfId="683" xr:uid="{3E749BBF-7BE6-4D41-8980-51BB2EF7B73A}"/>
    <cellStyle name="Millares 13 4 2" xfId="2006" xr:uid="{80EEE3A4-77E4-4B79-8389-FB4739C8C92F}"/>
    <cellStyle name="Millares 13 4 2 2" xfId="3602" xr:uid="{5CB83687-E313-452D-B466-255ACDE08FB4}"/>
    <cellStyle name="Millares 13 4 3" xfId="2553" xr:uid="{E6C27D0E-D42A-4896-81D5-941085D45361}"/>
    <cellStyle name="Millares 13 4 3 2" xfId="4175" xr:uid="{BB9FEDCA-1E85-4287-A65F-5CF9ED8148C9}"/>
    <cellStyle name="Millares 13 4 4" xfId="1462" xr:uid="{3893CA19-AAE8-4EF0-AA24-36A64E2C64A9}"/>
    <cellStyle name="Millares 13 4 5" xfId="3061" xr:uid="{EC2CF7BC-171C-4FD2-B157-F7657733BD52}"/>
    <cellStyle name="Millares 13 5" xfId="732" xr:uid="{BA2A77B7-0D15-4F33-88F8-F5E19FAB7EF5}"/>
    <cellStyle name="Millares 13 5 2" xfId="2053" xr:uid="{15982721-E41A-45E8-99B3-6668470A9DC6}"/>
    <cellStyle name="Millares 13 5 2 2" xfId="3649" xr:uid="{04988174-731A-4986-A2FD-DC7011D21E51}"/>
    <cellStyle name="Millares 13 5 3" xfId="2603" xr:uid="{BFF37054-161C-4580-89AE-7B2ABDAE547B}"/>
    <cellStyle name="Millares 13 5 3 2" xfId="4225" xr:uid="{CE20495D-96C3-4957-950D-E2616158B39C}"/>
    <cellStyle name="Millares 13 5 4" xfId="1509" xr:uid="{CFCD965F-C365-419F-AEB1-10B8FE93182C}"/>
    <cellStyle name="Millares 13 5 5" xfId="3108" xr:uid="{00D03E58-9FEF-4641-BA8C-3DAB08972A9D}"/>
    <cellStyle name="Millares 13 6" xfId="791" xr:uid="{7D31A649-B344-43B6-B03F-A35084E1C10D}"/>
    <cellStyle name="Millares 13 6 2" xfId="2113" xr:uid="{C42A254F-0098-4055-BE18-3AA592832584}"/>
    <cellStyle name="Millares 13 6 2 2" xfId="3709" xr:uid="{7A5A99BE-AEBE-4CC0-BC83-C3A24A6FEEA6}"/>
    <cellStyle name="Millares 13 6 3" xfId="2660" xr:uid="{A07674FB-4E4B-400B-9245-31738D7E6F4E}"/>
    <cellStyle name="Millares 13 6 3 2" xfId="4282" xr:uid="{4D659CE3-8E22-42F7-B127-A6A0F811898E}"/>
    <cellStyle name="Millares 13 6 4" xfId="1567" xr:uid="{1B9655D4-5BF9-403A-B7D0-3292476B5EB0}"/>
    <cellStyle name="Millares 13 6 5" xfId="3166" xr:uid="{A6DA4198-F61C-43CA-ADD6-6EEB1392A8EC}"/>
    <cellStyle name="Millares 13 7" xfId="915" xr:uid="{8BE3B78C-DB2C-4A80-8921-8C45EF5DFF18}"/>
    <cellStyle name="Millares 13 7 2" xfId="2218" xr:uid="{915706E4-F14B-4672-93C4-2EAA1CDAC7DA}"/>
    <cellStyle name="Millares 13 7 2 2" xfId="3814" xr:uid="{A4896A62-F48E-44DD-80D7-BDDB778DAA1B}"/>
    <cellStyle name="Millares 13 7 3" xfId="1667" xr:uid="{2093DCF7-04F5-4972-9781-8CDC8129C093}"/>
    <cellStyle name="Millares 13 7 4" xfId="3269" xr:uid="{FA46705F-BA89-4CBC-9BF8-110E17ECBF14}"/>
    <cellStyle name="Millares 13 8" xfId="1093" xr:uid="{9C7BCC30-BE31-45E1-A9CF-BF3EDC626B60}"/>
    <cellStyle name="Millares 13 8 2" xfId="2241" xr:uid="{784A6598-680A-40CA-A596-A88CE2C762D3}"/>
    <cellStyle name="Millares 13 8 2 2" xfId="3837" xr:uid="{D0C28252-761A-4998-B1EC-8AA59319A875}"/>
    <cellStyle name="Millares 13 8 3" xfId="3291" xr:uid="{C0B3A497-6AB7-420B-8F13-DDC852A225D1}"/>
    <cellStyle name="Millares 13 9" xfId="2297" xr:uid="{DE55F41E-2873-4E29-A7E5-4C3AD1EFE996}"/>
    <cellStyle name="Millares 13 9 2" xfId="3877" xr:uid="{425702F3-257D-441C-9178-17C698597CF0}"/>
    <cellStyle name="Millares 14" xfId="234" xr:uid="{6EC7636A-B3A0-4795-B831-BE45D84A6AEF}"/>
    <cellStyle name="Millares 14 2" xfId="792" xr:uid="{43F6B8BA-9B29-44CE-A8DA-9C605759540E}"/>
    <cellStyle name="Millares 14 2 2" xfId="1846" xr:uid="{7EBFA472-F3F0-4056-9E2E-7A8C35FB7C41}"/>
    <cellStyle name="Millares 14 2 2 2" xfId="3443" xr:uid="{7F349F13-2594-4FD6-998C-EA27677105EA}"/>
    <cellStyle name="Millares 14 2 3" xfId="2661" xr:uid="{FE921FFF-F461-4A2F-89B0-48D1816F7E7D}"/>
    <cellStyle name="Millares 14 2 3 2" xfId="4283" xr:uid="{1C6D3DD1-9142-4229-ADE2-2F67B640A077}"/>
    <cellStyle name="Millares 14 2 4" xfId="1302" xr:uid="{91135BC4-F931-47CF-81FD-B44E8AEC60B2}"/>
    <cellStyle name="Millares 14 2 5" xfId="2902" xr:uid="{CD9FEB88-C2EB-44A8-85C0-4F405C10F701}"/>
    <cellStyle name="Millares 14 3" xfId="1668" xr:uid="{FC5D3D75-32DC-4AE3-B21F-952DC7790010}"/>
    <cellStyle name="Millares 14 3 2" xfId="2219" xr:uid="{F91F0271-7781-4804-A286-61D0E14A9277}"/>
    <cellStyle name="Millares 14 3 2 2" xfId="3815" xr:uid="{7629FF3F-BAC9-4EF2-A476-514A089B7A91}"/>
    <cellStyle name="Millares 14 3 3" xfId="3270" xr:uid="{FC14E916-8339-486A-86BD-5F13F3525CA3}"/>
    <cellStyle name="Millares 14 4" xfId="1678" xr:uid="{71125309-90B2-41C8-AD18-471682B35D30}"/>
    <cellStyle name="Millares 14 4 2" xfId="2242" xr:uid="{A045FDC7-AB1A-4DB1-A42D-B158DE08A412}"/>
    <cellStyle name="Millares 14 4 2 2" xfId="3838" xr:uid="{EE864C5F-C898-4D96-81A6-E2EBC15110CF}"/>
    <cellStyle name="Millares 14 4 3" xfId="3292" xr:uid="{9F6D37E4-89FA-4978-8104-5524743D2128}"/>
    <cellStyle name="Millares 15" xfId="154" xr:uid="{C7B1A41E-70D5-4EB6-BEF9-E91053533A4C}"/>
    <cellStyle name="Millares 15 10" xfId="2392" xr:uid="{DFE4A822-CD9E-4E54-ACB0-2B4F6E9DF7BF}"/>
    <cellStyle name="Millares 15 10 2" xfId="4014" xr:uid="{7919B16F-739E-42C8-A65D-660BA43A774F}"/>
    <cellStyle name="Millares 15 11" xfId="4405" xr:uid="{C7B003A3-A863-4EB9-BAB7-D88AAA978BF2}"/>
    <cellStyle name="Millares 15 12" xfId="2790" xr:uid="{F1C295D0-10A1-40FD-AAA6-4F92FD114BAB}"/>
    <cellStyle name="Millares 15 2" xfId="347" xr:uid="{2F6BF449-80E3-42A7-B840-9874BA24FB09}"/>
    <cellStyle name="Millares 15 2 2" xfId="843" xr:uid="{F5BC4584-0663-4193-A4B4-0F09224DC2EE}"/>
    <cellStyle name="Millares 15 2 2 2" xfId="2164" xr:uid="{458474E2-ACF9-4BA0-BBD0-1A6DA42E99E1}"/>
    <cellStyle name="Millares 15 2 2 2 2" xfId="3760" xr:uid="{31BE93F1-E88E-424D-82AB-A7B0631D0A0D}"/>
    <cellStyle name="Millares 15 2 2 3" xfId="2712" xr:uid="{D674B85A-70A8-48C5-88E7-38BD2D6D2B94}"/>
    <cellStyle name="Millares 15 2 2 3 2" xfId="4334" xr:uid="{2EA7240B-27A1-4C0E-AC8B-CF5C220DA40C}"/>
    <cellStyle name="Millares 15 2 2 4" xfId="1617" xr:uid="{DF3AA540-A444-498A-9C70-4AA8E4CCA421}"/>
    <cellStyle name="Millares 15 2 2 5" xfId="3216" xr:uid="{95D12875-6578-43F5-B52A-6B3AB71CF9C1}"/>
    <cellStyle name="Millares 15 2 3" xfId="973" xr:uid="{89CE2E8A-F4CF-4961-9224-DC27615103F0}"/>
    <cellStyle name="Millares 15 2 3 2" xfId="1921" xr:uid="{1D2E9D23-6EB3-4FD8-9826-F5645371547C}"/>
    <cellStyle name="Millares 15 2 3 2 2" xfId="3517" xr:uid="{EDE62086-7F63-4B0E-87BB-F7980130FFC3}"/>
    <cellStyle name="Millares 15 2 3 3" xfId="1377" xr:uid="{9A1EF3AE-F44B-440E-ADC5-FDD5031A14AE}"/>
    <cellStyle name="Millares 15 2 3 4" xfId="2976" xr:uid="{AB405470-55EF-4C41-BFD1-7C12CAC9040C}"/>
    <cellStyle name="Millares 15 2 4" xfId="1155" xr:uid="{99EE4478-9596-43EE-AFD6-805DD676E851}"/>
    <cellStyle name="Millares 15 2 4 2" xfId="3935" xr:uid="{CB14F71D-1A21-439D-BF2F-95FD126177F3}"/>
    <cellStyle name="Millares 15 2 5" xfId="1775" xr:uid="{CB6CEA80-0A40-45FD-BDEF-693A4E9C7EE0}"/>
    <cellStyle name="Millares 15 2 5 2" xfId="3384" xr:uid="{9700E476-F034-46C7-9470-BBF5D92FE62F}"/>
    <cellStyle name="Millares 15 2 6" xfId="2446" xr:uid="{54A01DE1-F045-4F08-89FF-4854B9CB22DB}"/>
    <cellStyle name="Millares 15 2 6 2" xfId="4068" xr:uid="{7397AF3F-C60F-4BC0-91BC-49141908B8E2}"/>
    <cellStyle name="Millares 15 2 7" xfId="4458" xr:uid="{C35592CF-4335-4858-AB08-B23277946AE4}"/>
    <cellStyle name="Millares 15 2 8" xfId="2843" xr:uid="{2C63CBB3-8D61-46B2-99F6-846F428440A5}"/>
    <cellStyle name="Millares 15 3" xfId="619" xr:uid="{A26971F0-1A50-4835-BE04-BADA2208DF7A}"/>
    <cellStyle name="Millares 15 3 2" xfId="1937" xr:uid="{1E660D96-9CF6-4570-94E5-28876EC6F4EE}"/>
    <cellStyle name="Millares 15 3 2 2" xfId="3533" xr:uid="{B0069AC6-C89C-4527-8E89-8CB75835C463}"/>
    <cellStyle name="Millares 15 3 3" xfId="2489" xr:uid="{9474513C-794D-4B12-B85B-2EE9D639C05B}"/>
    <cellStyle name="Millares 15 3 3 2" xfId="4111" xr:uid="{019D3689-2187-494C-8EB0-F568F723DDAB}"/>
    <cellStyle name="Millares 15 3 4" xfId="1393" xr:uid="{3204CE4E-1892-4F3C-85E7-25FF9B447178}"/>
    <cellStyle name="Millares 15 3 5" xfId="2992" xr:uid="{5EFCA864-B0F1-4C8D-A46D-C5D0BCB5E244}"/>
    <cellStyle name="Millares 15 4" xfId="688" xr:uid="{6DA6A0D1-D2B5-49C9-BCEC-B5E9E10377C5}"/>
    <cellStyle name="Millares 15 4 2" xfId="2011" xr:uid="{16B8F18A-55B7-4D09-995B-310FDD5093D0}"/>
    <cellStyle name="Millares 15 4 2 2" xfId="3607" xr:uid="{5318FB21-323F-4920-9080-A4AD32EA4E8B}"/>
    <cellStyle name="Millares 15 4 3" xfId="2558" xr:uid="{D2D2B6DC-D5C2-47D0-ADF7-E6AE10DE76E6}"/>
    <cellStyle name="Millares 15 4 3 2" xfId="4180" xr:uid="{3AAC65FD-36CC-4DB4-B059-601E5352D087}"/>
    <cellStyle name="Millares 15 4 4" xfId="1467" xr:uid="{93249AB6-AEF1-4EE6-B50F-388AE91A2792}"/>
    <cellStyle name="Millares 15 4 5" xfId="3066" xr:uid="{A04F6470-1C1B-43BB-8AB1-ABFFCAA674DC}"/>
    <cellStyle name="Millares 15 5" xfId="737" xr:uid="{66D9C51B-3AE1-47D9-9948-14817724607D}"/>
    <cellStyle name="Millares 15 5 2" xfId="2058" xr:uid="{CECA94BB-2FF8-444F-A7C3-A4C8A9806732}"/>
    <cellStyle name="Millares 15 5 2 2" xfId="3654" xr:uid="{36188156-F9FE-45C8-B69B-10910BBA363B}"/>
    <cellStyle name="Millares 15 5 3" xfId="2608" xr:uid="{5E28A971-66FD-4EEC-8ECE-F07B2AF698FA}"/>
    <cellStyle name="Millares 15 5 3 2" xfId="4230" xr:uid="{8AF72A81-B2DD-4A7D-8D59-ACAD20D5326B}"/>
    <cellStyle name="Millares 15 5 4" xfId="1514" xr:uid="{8EE29E64-0E3A-4AFE-89E6-5B31FFFD94C8}"/>
    <cellStyle name="Millares 15 5 5" xfId="3113" xr:uid="{7C1FB341-E93D-4C7F-BFD3-505DE20268E5}"/>
    <cellStyle name="Millares 15 6" xfId="768" xr:uid="{D15D7405-AF1B-49C6-855A-5B0B319396CD}"/>
    <cellStyle name="Millares 15 6 2" xfId="2089" xr:uid="{D116C6CB-352B-4467-ABB1-3189E06B239F}"/>
    <cellStyle name="Millares 15 6 2 2" xfId="3685" xr:uid="{BE9343B7-69B1-432A-9A19-9EA1307308D1}"/>
    <cellStyle name="Millares 15 6 3" xfId="2639" xr:uid="{8C410BA5-0D69-4C2D-906B-BDBB9445023B}"/>
    <cellStyle name="Millares 15 6 3 2" xfId="4261" xr:uid="{A62B5067-C457-4173-83F3-57FCEDAAE063}"/>
    <cellStyle name="Millares 15 6 4" xfId="1543" xr:uid="{805F61ED-CBD3-40DD-B7C0-A5B5E42D0591}"/>
    <cellStyle name="Millares 15 6 5" xfId="3142" xr:uid="{81F363AA-C17A-4A71-9644-4DA374B67EC4}"/>
    <cellStyle name="Millares 15 7" xfId="920" xr:uid="{56EC5C62-58C4-4D80-91BA-4667BBB3B3A0}"/>
    <cellStyle name="Millares 15 7 2" xfId="1877" xr:uid="{061EF678-B11C-4AF7-9117-60FB892CDD3A}"/>
    <cellStyle name="Millares 15 7 2 2" xfId="3473" xr:uid="{C8E59B6A-5A0D-4081-9363-D9D730B1964C}"/>
    <cellStyle name="Millares 15 7 3" xfId="1333" xr:uid="{5A0484BC-2EA5-4F17-A0D9-F62F81DA7D2E}"/>
    <cellStyle name="Millares 15 7 4" xfId="2932" xr:uid="{217387FE-D70B-4B24-AB55-B46ACF109F02}"/>
    <cellStyle name="Millares 15 8" xfId="1098" xr:uid="{05EFD23C-940F-4E2E-803E-6F1AC7693169}"/>
    <cellStyle name="Millares 15 8 2" xfId="3882" xr:uid="{B51D2A7E-8C66-4901-8C70-222BBBD34FA4}"/>
    <cellStyle name="Millares 15 9" xfId="1723" xr:uid="{F9301DCF-35B1-4A38-92AA-2093EB8D367B}"/>
    <cellStyle name="Millares 15 9 2" xfId="3331" xr:uid="{21B3F277-F071-497B-AAFD-05B1CD1FC083}"/>
    <cellStyle name="Millares 16" xfId="290" xr:uid="{9499D401-9682-425E-898C-6EB4F6D3AAC4}"/>
    <cellStyle name="Millares 16 10" xfId="2395" xr:uid="{BE89B553-CF89-48FF-A1C2-7525E21737C0}"/>
    <cellStyle name="Millares 16 10 2" xfId="4017" xr:uid="{9154CBB4-2962-4D4F-9A36-06937024F499}"/>
    <cellStyle name="Millares 16 11" xfId="4407" xr:uid="{2B07F014-7052-4E50-8BF8-F4AE0ACE0897}"/>
    <cellStyle name="Millares 16 12" xfId="2792" xr:uid="{2715269E-7934-4F2C-A0B2-1A0768E61018}"/>
    <cellStyle name="Millares 16 2" xfId="349" xr:uid="{8431135F-329C-42E3-B39E-597BA32E664A}"/>
    <cellStyle name="Millares 16 2 2" xfId="845" xr:uid="{F0AA0BFF-6635-4364-8177-00B1710852DD}"/>
    <cellStyle name="Millares 16 2 2 2" xfId="2166" xr:uid="{E1E1C4DB-5649-4469-916F-795EF1CB7C9B}"/>
    <cellStyle name="Millares 16 2 2 2 2" xfId="3762" xr:uid="{570DE80A-7E0D-42B8-B8BE-998C62F8093B}"/>
    <cellStyle name="Millares 16 2 2 3" xfId="2714" xr:uid="{FA70EAD6-9E91-488A-9E4C-29EBA3D6FF04}"/>
    <cellStyle name="Millares 16 2 2 3 2" xfId="4336" xr:uid="{A9ACCDFD-05B6-4386-B828-672B1BC829EA}"/>
    <cellStyle name="Millares 16 2 2 4" xfId="1619" xr:uid="{29DA0029-8112-4996-999D-A92EF5FA2387}"/>
    <cellStyle name="Millares 16 2 2 5" xfId="3218" xr:uid="{B00910DE-E163-4D5A-8E99-365702720B05}"/>
    <cellStyle name="Millares 16 2 3" xfId="975" xr:uid="{3976FD9B-CF19-4027-91C2-F229D8B64600}"/>
    <cellStyle name="Millares 16 2 3 2" xfId="1923" xr:uid="{B79AE99D-E3CD-4804-B41B-A887BAB5CF4E}"/>
    <cellStyle name="Millares 16 2 3 2 2" xfId="3519" xr:uid="{7B6C9FAD-321C-4C3B-AD51-3A6E982D72B1}"/>
    <cellStyle name="Millares 16 2 3 3" xfId="1379" xr:uid="{A4FCBF87-A8EB-41B9-B196-B7B0EFA497C0}"/>
    <cellStyle name="Millares 16 2 3 4" xfId="2978" xr:uid="{C9D8EAAB-969B-4483-8CB6-77F284B74038}"/>
    <cellStyle name="Millares 16 2 4" xfId="1157" xr:uid="{73DDA750-83D7-44A8-BF35-4B329D12C565}"/>
    <cellStyle name="Millares 16 2 4 2" xfId="3937" xr:uid="{F2FA5797-52CF-4F13-A2B1-77EB0DF55CB5}"/>
    <cellStyle name="Millares 16 2 5" xfId="1777" xr:uid="{FEF95D73-8020-435E-AAEB-8A7E420093D7}"/>
    <cellStyle name="Millares 16 2 5 2" xfId="3386" xr:uid="{0A199B28-1134-48E7-81D5-907745CBB905}"/>
    <cellStyle name="Millares 16 2 6" xfId="2448" xr:uid="{121458C3-A5C5-415D-A83C-09498F88D836}"/>
    <cellStyle name="Millares 16 2 6 2" xfId="4070" xr:uid="{78CC8197-E983-4637-9A6C-0906AF119721}"/>
    <cellStyle name="Millares 16 2 7" xfId="4460" xr:uid="{A04E7126-3BA7-42E9-B6F8-B13BEACE9235}"/>
    <cellStyle name="Millares 16 2 8" xfId="2845" xr:uid="{C1184232-4AD0-4079-AFD6-F32E8FFBDE05}"/>
    <cellStyle name="Millares 16 3" xfId="647" xr:uid="{503C72A1-EA2C-49EE-A9D8-ED919BB04A1C}"/>
    <cellStyle name="Millares 16 3 2" xfId="1973" xr:uid="{83E24305-BC28-4AB5-B9E4-8270177F1131}"/>
    <cellStyle name="Millares 16 3 2 2" xfId="3569" xr:uid="{E23F6B85-E5F9-498A-BF42-702AF78F0765}"/>
    <cellStyle name="Millares 16 3 3" xfId="2517" xr:uid="{863706A0-FC55-446D-8809-2AF27B4EEFF8}"/>
    <cellStyle name="Millares 16 3 3 2" xfId="4139" xr:uid="{03E08D80-9A6B-4BE5-9E45-6D9BE7767622}"/>
    <cellStyle name="Millares 16 3 4" xfId="1429" xr:uid="{B1A5881B-4AE6-482C-8E03-C936665AEBD3}"/>
    <cellStyle name="Millares 16 3 5" xfId="3028" xr:uid="{F05A79DC-695E-4892-9BF0-CC0F09126866}"/>
    <cellStyle name="Millares 16 4" xfId="691" xr:uid="{35B50B5F-23EB-4946-802A-5185B6DB497D}"/>
    <cellStyle name="Millares 16 4 2" xfId="2014" xr:uid="{F36954E4-A2F7-4DD4-9730-53AACD331ACB}"/>
    <cellStyle name="Millares 16 4 2 2" xfId="3610" xr:uid="{C95D7594-BCBE-4C1A-A3BE-6B0460EC1E21}"/>
    <cellStyle name="Millares 16 4 3" xfId="2561" xr:uid="{55438644-8127-4B09-A8EF-AE21E7B45ED9}"/>
    <cellStyle name="Millares 16 4 3 2" xfId="4183" xr:uid="{6FD9AB0E-D8AD-409B-AA22-5CCECB22A517}"/>
    <cellStyle name="Millares 16 4 4" xfId="1470" xr:uid="{2E815D40-84BA-4AB6-AEF7-0AE37A2B6D87}"/>
    <cellStyle name="Millares 16 4 5" xfId="3069" xr:uid="{5F1873BC-A1BF-4726-9A6D-90FDE078AC57}"/>
    <cellStyle name="Millares 16 5" xfId="739" xr:uid="{CF9F6DD3-7C7D-47CA-B498-86716ED65CDD}"/>
    <cellStyle name="Millares 16 5 2" xfId="2060" xr:uid="{60131B43-D784-4FF5-959E-2A708C33B6CB}"/>
    <cellStyle name="Millares 16 5 2 2" xfId="3656" xr:uid="{8110E818-DD3C-4199-9FC0-39772AB7E275}"/>
    <cellStyle name="Millares 16 5 3" xfId="2610" xr:uid="{8C1AF32D-15AC-4509-A124-10782BF7A072}"/>
    <cellStyle name="Millares 16 5 3 2" xfId="4232" xr:uid="{1E9EF472-B4A7-470B-BAE5-14AA1E740EAE}"/>
    <cellStyle name="Millares 16 5 4" xfId="1516" xr:uid="{80FF270C-5805-4869-8C65-A94464096B85}"/>
    <cellStyle name="Millares 16 5 5" xfId="3115" xr:uid="{9D2BDD0B-CEFE-4551-9680-9A28D6B5FD57}"/>
    <cellStyle name="Millares 16 6" xfId="797" xr:uid="{A4454DF5-B789-4DE8-8F94-90642DB24FE6}"/>
    <cellStyle name="Millares 16 6 2" xfId="2118" xr:uid="{ADD4ED0B-0B73-46C3-BF52-9694F29AC65F}"/>
    <cellStyle name="Millares 16 6 2 2" xfId="3714" xr:uid="{790F07AB-2AAA-4981-B010-3E5CBB27362F}"/>
    <cellStyle name="Millares 16 6 3" xfId="2666" xr:uid="{1F317B03-019D-4057-B4A9-D2FDD4953F6F}"/>
    <cellStyle name="Millares 16 6 3 2" xfId="4288" xr:uid="{9035FCE3-8EBC-452F-B0DE-5CAADEE65BA2}"/>
    <cellStyle name="Millares 16 6 4" xfId="1571" xr:uid="{4AADC635-C109-40AB-A742-FFF6915DA8E9}"/>
    <cellStyle name="Millares 16 6 5" xfId="3170" xr:uid="{3DFB1F07-2861-40CF-9FA8-A87A37752A17}"/>
    <cellStyle name="Millares 16 7" xfId="922" xr:uid="{E001A588-979F-4F8C-AE75-5E9052058FEF}"/>
    <cellStyle name="Millares 16 7 2" xfId="1879" xr:uid="{B7C8EA58-A028-496A-AFFA-4B56C43F0AE6}"/>
    <cellStyle name="Millares 16 7 2 2" xfId="3475" xr:uid="{938241A4-5F78-47F1-80D7-B8767A7CE7DC}"/>
    <cellStyle name="Millares 16 7 3" xfId="1335" xr:uid="{19F050CC-CA76-4D73-A75F-0D096D963E79}"/>
    <cellStyle name="Millares 16 7 4" xfId="2934" xr:uid="{313C4406-4210-40EC-9BBC-6B006CAC4FC9}"/>
    <cellStyle name="Millares 16 8" xfId="1104" xr:uid="{DF413BBC-212C-4930-A2F2-637174098192}"/>
    <cellStyle name="Millares 16 8 2" xfId="3884" xr:uid="{B6AC557A-FB56-4EC2-9926-37A9FB9CD069}"/>
    <cellStyle name="Millares 16 9" xfId="1729" xr:uid="{82CFD348-C43E-488D-B540-36D513A3A81E}"/>
    <cellStyle name="Millares 16 9 2" xfId="3333" xr:uid="{5B3B26C9-C5AE-4CA5-A10C-AA873E5EB704}"/>
    <cellStyle name="Millares 17" xfId="305" xr:uid="{1F9EE0A8-7C8E-4C2D-8462-A51DBCAB0121}"/>
    <cellStyle name="Millares 17 2" xfId="358" xr:uid="{2585F018-CE01-4C46-B5F3-7A985E3940B6}"/>
    <cellStyle name="Millares 17 2 2" xfId="853" xr:uid="{4FB178B2-FF8D-48E6-AB8E-94B49C9F2B91}"/>
    <cellStyle name="Millares 17 2 2 2" xfId="2174" xr:uid="{14BD2D32-E00A-4796-9513-B47101521239}"/>
    <cellStyle name="Millares 17 2 2 2 2" xfId="3770" xr:uid="{0A38B685-AD2E-490F-973B-49E77445B320}"/>
    <cellStyle name="Millares 17 2 2 3" xfId="2722" xr:uid="{20E16DDD-B524-4969-BFA5-3C431A958C2F}"/>
    <cellStyle name="Millares 17 2 2 3 2" xfId="4344" xr:uid="{F1D03C3F-4971-4F46-868D-6C5414091A55}"/>
    <cellStyle name="Millares 17 2 2 4" xfId="1627" xr:uid="{05B111F0-850A-488A-8483-859D9AC8B647}"/>
    <cellStyle name="Millares 17 2 2 5" xfId="3226" xr:uid="{20105A9F-4DE0-4ECE-815F-07D1D797A00C}"/>
    <cellStyle name="Millares 17 2 3" xfId="984" xr:uid="{E7CB57C4-4B85-4EE9-B77B-561E067FC03F}"/>
    <cellStyle name="Millares 17 2 3 2" xfId="2069" xr:uid="{E4A04FA6-8351-4E79-8C81-A61FDA8424EE}"/>
    <cellStyle name="Millares 17 2 3 2 2" xfId="3665" xr:uid="{434C7D63-E974-4BA4-A96A-DFDDC7399022}"/>
    <cellStyle name="Millares 17 2 3 3" xfId="1525" xr:uid="{A949F2EB-25A2-485C-85E8-958A64E17BD2}"/>
    <cellStyle name="Millares 17 2 3 4" xfId="3124" xr:uid="{20BE2C8B-0A4F-43C8-892B-1155D7C498A7}"/>
    <cellStyle name="Millares 17 2 4" xfId="1166" xr:uid="{F38BDEB7-5AE7-4E64-ABAD-A090559014FD}"/>
    <cellStyle name="Millares 17 2 4 2" xfId="3946" xr:uid="{DCD88C36-231A-4197-84DE-C98AE061D616}"/>
    <cellStyle name="Millares 17 2 5" xfId="1786" xr:uid="{BB63033E-6D24-46B5-96EB-CF17F2AE021C}"/>
    <cellStyle name="Millares 17 2 5 2" xfId="3395" xr:uid="{C6B16EA8-A36C-47E1-984B-AC43FE216505}"/>
    <cellStyle name="Millares 17 2 6" xfId="2457" xr:uid="{CF460F45-2D82-4BBE-A7DB-5E0982DF6250}"/>
    <cellStyle name="Millares 17 2 6 2" xfId="4079" xr:uid="{48C65713-C99E-48B1-934F-7D0D598C2BF5}"/>
    <cellStyle name="Millares 17 2 7" xfId="4469" xr:uid="{6459616A-3D3C-4910-A1DE-A3D3485C0191}"/>
    <cellStyle name="Millares 17 2 8" xfId="2854" xr:uid="{0D8430B4-7346-4546-9983-0F5EFE90D7B5}"/>
    <cellStyle name="Millares 17 3" xfId="803" xr:uid="{19BF243C-B472-4C9E-91A8-36821A14DD68}"/>
    <cellStyle name="Millares 17 3 2" xfId="2124" xr:uid="{810FAF73-5A63-4215-A5DE-BDCE0D003125}"/>
    <cellStyle name="Millares 17 3 2 2" xfId="3720" xr:uid="{782CDBF2-3995-4A69-8F55-B27B15BE75A0}"/>
    <cellStyle name="Millares 17 3 3" xfId="2672" xr:uid="{0AB41F1E-EB05-49E2-895F-3E52EE9DFB8E}"/>
    <cellStyle name="Millares 17 3 3 2" xfId="4294" xr:uid="{7D4481A6-5921-451D-BD4D-B42C1F747B7C}"/>
    <cellStyle name="Millares 17 3 4" xfId="1577" xr:uid="{118DE016-8185-41F0-8E2E-DBAB2F15B490}"/>
    <cellStyle name="Millares 17 3 5" xfId="3176" xr:uid="{234DED28-965B-460E-BD6F-A445A7EFA49F}"/>
    <cellStyle name="Millares 17 4" xfId="931" xr:uid="{885787F9-1596-4AEF-A324-E95A3568AF71}"/>
    <cellStyle name="Millares 17 4 2" xfId="1848" xr:uid="{FDD91FBB-B797-4870-80C6-29B5A9218007}"/>
    <cellStyle name="Millares 17 4 2 2" xfId="3445" xr:uid="{00B02565-8058-4F98-AD39-D9D093F9F37C}"/>
    <cellStyle name="Millares 17 4 3" xfId="1304" xr:uid="{260E99C6-A7FE-40EA-9735-DDA93486E327}"/>
    <cellStyle name="Millares 17 4 4" xfId="2904" xr:uid="{933C1456-EDED-4819-9418-C97E7B61841C}"/>
    <cellStyle name="Millares 17 5" xfId="1113" xr:uid="{64B99CBD-4978-4A29-9AE3-C07093D9E8FA}"/>
    <cellStyle name="Millares 17 5 2" xfId="3893" xr:uid="{E572153C-B02A-4B77-B172-B7B4D2148E4B}"/>
    <cellStyle name="Millares 17 6" xfId="1738" xr:uid="{86AC1F6D-79C5-4E19-B436-AD81A64D57FE}"/>
    <cellStyle name="Millares 17 6 2" xfId="3342" xr:uid="{09A6C657-FCAF-41F8-8D58-1BDB0BB05A2E}"/>
    <cellStyle name="Millares 17 7" xfId="2404" xr:uid="{2F908D14-5205-40A0-8CD6-70720EC27B02}"/>
    <cellStyle name="Millares 17 7 2" xfId="4026" xr:uid="{62B85399-3D32-4A9E-A8CC-5E3923F4F042}"/>
    <cellStyle name="Millares 17 8" xfId="4416" xr:uid="{7BEC939F-02D9-4173-8911-A8F2807B7D7E}"/>
    <cellStyle name="Millares 17 9" xfId="2801" xr:uid="{730E5913-8C14-46F3-95DB-C08E136D61A0}"/>
    <cellStyle name="Millares 18" xfId="307" xr:uid="{63E0C8B9-D05D-41EA-97F7-E5DE97DF3C17}"/>
    <cellStyle name="Millares 18 2" xfId="360" xr:uid="{F77AB712-F378-4D25-A0D2-E91AD273392D}"/>
    <cellStyle name="Millares 18 2 2" xfId="986" xr:uid="{8EEB8182-80C4-4C76-AF36-4322D5F25C84}"/>
    <cellStyle name="Millares 18 2 2 2" xfId="2176" xr:uid="{BA991922-ACF1-47CF-9BC7-73EC86E56ABB}"/>
    <cellStyle name="Millares 18 2 2 2 2" xfId="3772" xr:uid="{9F4412A5-D792-40ED-888E-A9DF1D029C26}"/>
    <cellStyle name="Millares 18 2 2 3" xfId="1629" xr:uid="{6095A060-6E21-4F97-B1D7-3BA233A0BBF8}"/>
    <cellStyle name="Millares 18 2 2 4" xfId="3228" xr:uid="{B6C25D06-9261-4109-A91B-2F0AE1ADE562}"/>
    <cellStyle name="Millares 18 2 3" xfId="1168" xr:uid="{83F13DFA-2FCC-4D3D-B971-045AF8327D05}"/>
    <cellStyle name="Millares 18 2 3 2" xfId="3948" xr:uid="{4ABA1409-5F44-4C62-A6ED-C7B7C113BF4C}"/>
    <cellStyle name="Millares 18 2 4" xfId="1788" xr:uid="{EEBA2476-356A-4CC4-B868-E9AE29E2AABC}"/>
    <cellStyle name="Millares 18 2 4 2" xfId="3397" xr:uid="{0600A422-F1A9-4F0E-9BD9-17CE12CA5FC0}"/>
    <cellStyle name="Millares 18 2 5" xfId="2459" xr:uid="{C9E1E22C-DE38-4F12-ADB8-3354AF21E39C}"/>
    <cellStyle name="Millares 18 2 5 2" xfId="4081" xr:uid="{1AA4EFCE-B15B-4FC2-BDEB-DF56043FD8FF}"/>
    <cellStyle name="Millares 18 2 6" xfId="4471" xr:uid="{6E8D0B72-65B0-48D6-A8DC-F53BC38A330B}"/>
    <cellStyle name="Millares 18 2 7" xfId="2856" xr:uid="{4A627319-1143-46EF-A369-339C8E3244C7}"/>
    <cellStyle name="Millares 18 3" xfId="805" xr:uid="{053E09FE-9812-4028-BB0C-D4CDD621F5A6}"/>
    <cellStyle name="Millares 18 3 2" xfId="2126" xr:uid="{A04DBFA2-5810-454B-9928-AF3952A281D1}"/>
    <cellStyle name="Millares 18 3 2 2" xfId="3722" xr:uid="{DCC1C17A-FC79-4B08-9B30-4657F2E4C873}"/>
    <cellStyle name="Millares 18 3 3" xfId="2674" xr:uid="{A2B2E13E-8714-4FC9-8D53-ACCA99B2FFF3}"/>
    <cellStyle name="Millares 18 3 3 2" xfId="4296" xr:uid="{E1AFF466-AB9F-4442-9B19-9F9EAD819F89}"/>
    <cellStyle name="Millares 18 3 4" xfId="1579" xr:uid="{065369C2-1360-48E4-AEBD-AB5AE20FAD7E}"/>
    <cellStyle name="Millares 18 3 5" xfId="3178" xr:uid="{A7EFE519-D5B1-4DC4-8E25-6F569A9124C0}"/>
    <cellStyle name="Millares 18 4" xfId="933" xr:uid="{13A23D6F-9082-4458-AB96-C9A555573F35}"/>
    <cellStyle name="Millares 18 4 2" xfId="1885" xr:uid="{9CE38E7C-EE91-47A0-A7EB-8A424F57F52C}"/>
    <cellStyle name="Millares 18 4 2 2" xfId="3481" xr:uid="{6B96D8BD-3F65-4954-BCC6-5B0A23C5CD64}"/>
    <cellStyle name="Millares 18 4 3" xfId="1341" xr:uid="{20AF0510-8AE0-41E1-AAC2-732594E6B540}"/>
    <cellStyle name="Millares 18 4 4" xfId="2940" xr:uid="{6988D00A-CE12-45E6-96B6-42EF0085B719}"/>
    <cellStyle name="Millares 18 5" xfId="1115" xr:uid="{238AED35-49FB-46AB-AEF5-DEF046C9CDB2}"/>
    <cellStyle name="Millares 18 5 2" xfId="3895" xr:uid="{258AA580-6B35-493B-9325-41130F626775}"/>
    <cellStyle name="Millares 18 6" xfId="1739" xr:uid="{3CE5C22E-0702-4234-AD8C-DBB27E32A44D}"/>
    <cellStyle name="Millares 18 6 2" xfId="3344" xr:uid="{3723A8F4-2633-4025-9E70-540BEA7B465F}"/>
    <cellStyle name="Millares 18 7" xfId="2406" xr:uid="{8B46A9F9-B539-400E-B8E0-72A67DAED030}"/>
    <cellStyle name="Millares 18 7 2" xfId="4028" xr:uid="{6949FEA9-ACD0-4129-BE7C-7A6A64FCD82C}"/>
    <cellStyle name="Millares 18 8" xfId="4418" xr:uid="{E61BAF5A-DB1E-4E56-BD64-981A148C6AEC}"/>
    <cellStyle name="Millares 18 9" xfId="2803" xr:uid="{A3A84311-A4E9-428B-9706-A4FDF45F3049}"/>
    <cellStyle name="Millares 19" xfId="309" xr:uid="{F29BBD68-9366-4B52-8403-5E7ABB28735E}"/>
    <cellStyle name="Millares 19 2" xfId="807" xr:uid="{4F899850-D117-49FC-9A48-9D618662E932}"/>
    <cellStyle name="Millares 19 2 2" xfId="2128" xr:uid="{05EEB2D5-A6D1-47C7-A4EF-3D44C86D6DC4}"/>
    <cellStyle name="Millares 19 2 2 2" xfId="3724" xr:uid="{B2D9F479-9342-4907-99FE-B88C51B8B5D9}"/>
    <cellStyle name="Millares 19 2 3" xfId="2676" xr:uid="{227C496B-ECA9-45C5-A14F-A54B3CE7FE79}"/>
    <cellStyle name="Millares 19 2 3 2" xfId="4298" xr:uid="{CD1E7A3A-CEC3-4A1A-B106-46BC0168C4B1}"/>
    <cellStyle name="Millares 19 2 4" xfId="1581" xr:uid="{A884D4B4-E396-4DD0-A028-C9C083ED4E22}"/>
    <cellStyle name="Millares 19 2 5" xfId="3180" xr:uid="{378496C1-9949-4D69-97DE-FB27611EF56F}"/>
    <cellStyle name="Millares 19 3" xfId="935" xr:uid="{3841FE43-5474-497A-9D02-374C0C7E3AF3}"/>
    <cellStyle name="Millares 19 3 2" xfId="1931" xr:uid="{3412FE04-AE3F-4B1B-AFB1-E3AD53125DD4}"/>
    <cellStyle name="Millares 19 3 2 2" xfId="3527" xr:uid="{0BF8AA88-42D6-4590-8D01-2DB6DF171255}"/>
    <cellStyle name="Millares 19 3 3" xfId="1387" xr:uid="{8A301EE0-B209-4319-A90E-E7EA57BEB44B}"/>
    <cellStyle name="Millares 19 3 4" xfId="2986" xr:uid="{92F35414-6BDC-4ACC-871E-3FA5A4237EC1}"/>
    <cellStyle name="Millares 19 4" xfId="1117" xr:uid="{0BFC9A0A-8059-41AF-BE6D-4CEF73ABE0D9}"/>
    <cellStyle name="Millares 19 4 2" xfId="3897" xr:uid="{BF70AC71-7469-4583-B80D-1862812703D5}"/>
    <cellStyle name="Millares 19 5" xfId="1741" xr:uid="{782B3997-372D-496A-9C3D-23F90BA1B382}"/>
    <cellStyle name="Millares 19 5 2" xfId="3346" xr:uid="{2E296FFC-D6F9-406E-A4A4-886A9E5A30FC}"/>
    <cellStyle name="Millares 19 6" xfId="2408" xr:uid="{8FE91320-46CC-4E9A-A377-67A1B7FEBE26}"/>
    <cellStyle name="Millares 19 6 2" xfId="4030" xr:uid="{E2292BE6-F699-4942-8815-0EDC7F49BB76}"/>
    <cellStyle name="Millares 19 7" xfId="4420" xr:uid="{7B76A91D-F265-4219-8CBF-D14C2C27580B}"/>
    <cellStyle name="Millares 19 8" xfId="2805" xr:uid="{7AF3C802-01A1-4EFA-B9D5-60F0C31A73AC}"/>
    <cellStyle name="Millares 2" xfId="50" xr:uid="{E27F9054-B6BF-455D-82E0-A605043709D3}"/>
    <cellStyle name="Millares 2 10" xfId="133" xr:uid="{E83600C6-F1C2-4155-8E71-C522511A2B46}"/>
    <cellStyle name="Millares 2 10 10" xfId="2378" xr:uid="{8A98E76D-7041-41D1-873A-F356A65C92DD}"/>
    <cellStyle name="Millares 2 10 10 2" xfId="4000" xr:uid="{34649AD8-BD98-4E6B-B41B-4DBAAD9D4871}"/>
    <cellStyle name="Millares 2 10 11" xfId="4391" xr:uid="{43A9B772-0607-46D9-8F79-0C5E394E202C}"/>
    <cellStyle name="Millares 2 10 12" xfId="2776" xr:uid="{B7B88CFF-CDBF-438C-A2B7-03023AD6348C}"/>
    <cellStyle name="Millares 2 10 2" xfId="333" xr:uid="{8D3B03C6-F37D-4F6D-A181-6268F01DD8E6}"/>
    <cellStyle name="Millares 2 10 2 2" xfId="829" xr:uid="{A7C220FB-0C21-4F49-9C13-049FC67FFAB3}"/>
    <cellStyle name="Millares 2 10 2 2 2" xfId="2150" xr:uid="{0A22AD5B-8880-4215-9CD6-BA5156114DBF}"/>
    <cellStyle name="Millares 2 10 2 2 2 2" xfId="3746" xr:uid="{5C42ACA7-FBCF-406E-958F-9B5D221EFEA3}"/>
    <cellStyle name="Millares 2 10 2 2 3" xfId="2698" xr:uid="{A819CAF8-2F21-4997-8F16-A4F73CB71FEF}"/>
    <cellStyle name="Millares 2 10 2 2 3 2" xfId="4320" xr:uid="{A927C6AB-72F9-4280-9913-F10F26FF9BFE}"/>
    <cellStyle name="Millares 2 10 2 2 4" xfId="1603" xr:uid="{FA5C453D-5C20-404C-9844-20D6212D52F6}"/>
    <cellStyle name="Millares 2 10 2 2 5" xfId="3202" xr:uid="{C482F17F-A66E-4D1C-9CDB-D3D7720F785B}"/>
    <cellStyle name="Millares 2 10 2 3" xfId="959" xr:uid="{2D8C0ADB-6153-48B9-AE70-4580033E8217}"/>
    <cellStyle name="Millares 2 10 2 3 2" xfId="1907" xr:uid="{EA1BAC14-5292-4538-8F29-AC5B283965D3}"/>
    <cellStyle name="Millares 2 10 2 3 2 2" xfId="3503" xr:uid="{ABCFC5B4-4E2A-40F9-9D12-111303295F13}"/>
    <cellStyle name="Millares 2 10 2 3 3" xfId="1363" xr:uid="{D7E3328B-C4FB-45EE-81D8-BA8943E1519F}"/>
    <cellStyle name="Millares 2 10 2 3 4" xfId="2962" xr:uid="{DE76C4CE-C185-4172-8EB7-428F53B2D212}"/>
    <cellStyle name="Millares 2 10 2 4" xfId="1141" xr:uid="{957BF302-20CC-42C8-99C7-A6AB1BC93242}"/>
    <cellStyle name="Millares 2 10 2 4 2" xfId="3921" xr:uid="{79506BC7-73BD-4529-A2C7-6855640ED0AD}"/>
    <cellStyle name="Millares 2 10 2 5" xfId="1762" xr:uid="{C1F003AA-2549-455A-AFF5-788E6E3CA3BB}"/>
    <cellStyle name="Millares 2 10 2 5 2" xfId="3370" xr:uid="{0A31C97F-3DDC-4591-86E5-9BCF1C647ABE}"/>
    <cellStyle name="Millares 2 10 2 6" xfId="2432" xr:uid="{126F95D5-4C4E-4350-B956-B9A74434FAEE}"/>
    <cellStyle name="Millares 2 10 2 6 2" xfId="4054" xr:uid="{4B00611B-B90F-457A-84B7-684F9E1982A4}"/>
    <cellStyle name="Millares 2 10 2 7" xfId="4444" xr:uid="{2C77B5E4-6A2D-4E5F-AA9E-6396DE0CBC87}"/>
    <cellStyle name="Millares 2 10 2 8" xfId="2829" xr:uid="{9FF84099-DD03-43C6-BC10-A5839ACA39BC}"/>
    <cellStyle name="Millares 2 10 3" xfId="643" xr:uid="{21B88418-AFD6-49B7-BF18-A82EB4A4B2C4}"/>
    <cellStyle name="Millares 2 10 3 2" xfId="1966" xr:uid="{388C99FB-D9D7-44FE-8BAE-BC1970DD72CB}"/>
    <cellStyle name="Millares 2 10 3 2 2" xfId="3562" xr:uid="{8978C3F0-7DEC-497F-BF95-E080685C1F1B}"/>
    <cellStyle name="Millares 2 10 3 3" xfId="2513" xr:uid="{4C7BBBE6-E223-4FC2-890F-B374533B060C}"/>
    <cellStyle name="Millares 2 10 3 3 2" xfId="4135" xr:uid="{B369DF2A-9574-4AC4-8247-C1AD3866D6BA}"/>
    <cellStyle name="Millares 2 10 3 4" xfId="1422" xr:uid="{7ECFA2CA-E7AB-463F-BDF2-407CC23D4AC4}"/>
    <cellStyle name="Millares 2 10 3 5" xfId="3021" xr:uid="{5428E525-0F35-41AC-BEC4-FA4903401E3A}"/>
    <cellStyle name="Millares 2 10 4" xfId="674" xr:uid="{799B2268-2987-4449-A514-D38AC29A330F}"/>
    <cellStyle name="Millares 2 10 4 2" xfId="1999" xr:uid="{B897C502-9673-4DEB-865F-2B90CD696311}"/>
    <cellStyle name="Millares 2 10 4 2 2" xfId="3595" xr:uid="{2284DCDB-22C6-4C10-9564-5BC675896FAB}"/>
    <cellStyle name="Millares 2 10 4 3" xfId="2544" xr:uid="{D005E848-49DD-495E-9506-86AE3F64479D}"/>
    <cellStyle name="Millares 2 10 4 3 2" xfId="4166" xr:uid="{A726B2DB-A284-4A2C-86BC-4A07CA4F6466}"/>
    <cellStyle name="Millares 2 10 4 4" xfId="1455" xr:uid="{EAE79827-9C88-466F-B614-1693DB2AFDBA}"/>
    <cellStyle name="Millares 2 10 4 5" xfId="3054" xr:uid="{56CDF607-E746-4271-88A4-17CD9BABB63E}"/>
    <cellStyle name="Millares 2 10 5" xfId="723" xr:uid="{C7813A64-E3C3-43AA-8973-5CCE1298AF2D}"/>
    <cellStyle name="Millares 2 10 5 2" xfId="2044" xr:uid="{41E3085E-2D80-4D09-B50F-007197D46A1D}"/>
    <cellStyle name="Millares 2 10 5 2 2" xfId="3640" xr:uid="{863F4C16-2DDD-467D-90A3-60ECD531BF41}"/>
    <cellStyle name="Millares 2 10 5 3" xfId="2594" xr:uid="{31E8C266-38C4-4430-A504-26A8E9893345}"/>
    <cellStyle name="Millares 2 10 5 3 2" xfId="4216" xr:uid="{5BCBE5F0-2B72-469E-828A-339242D4B5D6}"/>
    <cellStyle name="Millares 2 10 5 4" xfId="1500" xr:uid="{DCEDDA49-F21F-46BA-B9E6-BE05F0D56AC5}"/>
    <cellStyle name="Millares 2 10 5 5" xfId="3099" xr:uid="{847E4104-F0A3-4738-8A92-49B472E56B38}"/>
    <cellStyle name="Millares 2 10 6" xfId="774" xr:uid="{583940D3-5FD8-48F2-9A87-434A3A8A0D58}"/>
    <cellStyle name="Millares 2 10 6 2" xfId="2095" xr:uid="{1A40CE67-A561-4A74-AD8D-4EE419ACDBA5}"/>
    <cellStyle name="Millares 2 10 6 2 2" xfId="3691" xr:uid="{F98F5E34-9E8A-472F-8E7F-EF73CA8200B9}"/>
    <cellStyle name="Millares 2 10 6 3" xfId="2645" xr:uid="{D7B2BF62-3573-413A-B122-5A8CC99412B3}"/>
    <cellStyle name="Millares 2 10 6 3 2" xfId="4267" xr:uid="{CFB63C64-4D3A-495E-ADC3-6C37FB4FBBCE}"/>
    <cellStyle name="Millares 2 10 6 4" xfId="1549" xr:uid="{55C4C052-DC22-434F-8CAB-9623C34C07C3}"/>
    <cellStyle name="Millares 2 10 6 5" xfId="3148" xr:uid="{6C262E5C-17F0-4257-8E97-F09077B9FB74}"/>
    <cellStyle name="Millares 2 10 7" xfId="906" xr:uid="{C916DC89-6A18-4F2C-9CF9-815F1E24D629}"/>
    <cellStyle name="Millares 2 10 7 2" xfId="1866" xr:uid="{C59DEE44-3E38-4240-9221-482537B70EF1}"/>
    <cellStyle name="Millares 2 10 7 2 2" xfId="3462" xr:uid="{5E8BFA9F-476C-4009-A930-B9CA79FD1BC6}"/>
    <cellStyle name="Millares 2 10 7 3" xfId="1322" xr:uid="{EA60BAF9-B162-4D51-BB6A-D32BAEB98550}"/>
    <cellStyle name="Millares 2 10 7 4" xfId="2921" xr:uid="{342B42D6-353F-4342-B460-0A4E810F0663}"/>
    <cellStyle name="Millares 2 10 8" xfId="1078" xr:uid="{099A4646-C2C4-4608-BEBF-5E3799B98C9F}"/>
    <cellStyle name="Millares 2 10 8 2" xfId="3868" xr:uid="{66A97A3D-B0AA-4073-9A17-27C443506D1F}"/>
    <cellStyle name="Millares 2 10 9" xfId="1709" xr:uid="{EE7F3381-81B9-475B-995F-7C4739CA5158}"/>
    <cellStyle name="Millares 2 10 9 2" xfId="3317" xr:uid="{06214F7E-2DF9-47D2-A7FB-546DD33CDABA}"/>
    <cellStyle name="Millares 2 11" xfId="134" xr:uid="{3BD0622A-E7AD-4638-A54D-91FE2C54E06F}"/>
    <cellStyle name="Millares 2 11 10" xfId="2379" xr:uid="{8E2E538B-F4EF-468D-94AB-F60A65A85EC2}"/>
    <cellStyle name="Millares 2 11 10 2" xfId="4001" xr:uid="{C26D931D-42DC-4A77-A2C0-03815AED8468}"/>
    <cellStyle name="Millares 2 11 11" xfId="4392" xr:uid="{8A36FC12-38A3-4A8A-99EE-BA36E9DF20DB}"/>
    <cellStyle name="Millares 2 11 12" xfId="2777" xr:uid="{ACA55886-0364-47E2-80DF-5F35B7BA0430}"/>
    <cellStyle name="Millares 2 11 2" xfId="334" xr:uid="{A58E03E1-3509-413C-BD4C-0C075975D6C4}"/>
    <cellStyle name="Millares 2 11 2 2" xfId="830" xr:uid="{7A842BEE-E143-4F11-9B1C-9E86772C4C09}"/>
    <cellStyle name="Millares 2 11 2 2 2" xfId="2151" xr:uid="{75DA8843-6C10-45C9-A91B-48EBACB9EDBC}"/>
    <cellStyle name="Millares 2 11 2 2 2 2" xfId="3747" xr:uid="{009889D4-9B45-48A7-8F56-395A684259D7}"/>
    <cellStyle name="Millares 2 11 2 2 3" xfId="2699" xr:uid="{A781F8F0-5B0D-416D-BA2C-13B9FB9AA107}"/>
    <cellStyle name="Millares 2 11 2 2 3 2" xfId="4321" xr:uid="{41726044-2053-4A8E-AA48-48CBF5B06583}"/>
    <cellStyle name="Millares 2 11 2 2 4" xfId="1604" xr:uid="{95F4B57A-6F9E-4DFC-B05A-8BC934BF424F}"/>
    <cellStyle name="Millares 2 11 2 2 5" xfId="3203" xr:uid="{438E2453-4693-4CFA-BBBA-933FFD54B2D2}"/>
    <cellStyle name="Millares 2 11 2 3" xfId="960" xr:uid="{904D5588-103F-4C08-8F70-68FA274973E9}"/>
    <cellStyle name="Millares 2 11 2 3 2" xfId="1908" xr:uid="{82AAFD98-CA37-4232-ACBA-FF75E077D3BF}"/>
    <cellStyle name="Millares 2 11 2 3 2 2" xfId="3504" xr:uid="{41B854D2-C2E1-4B6A-97E5-7B4BC920C90F}"/>
    <cellStyle name="Millares 2 11 2 3 3" xfId="1364" xr:uid="{3CED2EBF-DBA5-4288-96AD-6553C760D9CE}"/>
    <cellStyle name="Millares 2 11 2 3 4" xfId="2963" xr:uid="{417EB5FB-58CF-4992-8FDD-BBC9D2E615CB}"/>
    <cellStyle name="Millares 2 11 2 4" xfId="1142" xr:uid="{CF512D42-8C98-4F63-A8A7-A80261A2FC43}"/>
    <cellStyle name="Millares 2 11 2 4 2" xfId="3922" xr:uid="{32A7191C-B371-4BEE-86C1-2022C7939A6D}"/>
    <cellStyle name="Millares 2 11 2 5" xfId="1763" xr:uid="{9A52A956-9B01-49AC-8061-38FAAC912B94}"/>
    <cellStyle name="Millares 2 11 2 5 2" xfId="3371" xr:uid="{243983CB-9B83-4040-B61B-64DC935A4F0B}"/>
    <cellStyle name="Millares 2 11 2 6" xfId="2433" xr:uid="{F0918320-3CA9-4BFC-82D2-918BE71970F2}"/>
    <cellStyle name="Millares 2 11 2 6 2" xfId="4055" xr:uid="{835E3AD0-2FE3-47F7-BB80-6B04FEA347EB}"/>
    <cellStyle name="Millares 2 11 2 7" xfId="4445" xr:uid="{9A20C2FF-4C19-45C5-861C-9E6675C63AA8}"/>
    <cellStyle name="Millares 2 11 2 8" xfId="2830" xr:uid="{91FDF338-09B6-469C-A670-393793E5E44A}"/>
    <cellStyle name="Millares 2 11 3" xfId="630" xr:uid="{DAA4746B-63A8-466E-B7E6-9F35C945881C}"/>
    <cellStyle name="Millares 2 11 3 2" xfId="1948" xr:uid="{E955AD8C-36AD-4656-A7A9-89A13248ABA7}"/>
    <cellStyle name="Millares 2 11 3 2 2" xfId="3544" xr:uid="{16949D54-0E55-4760-9CD5-926AC275D63C}"/>
    <cellStyle name="Millares 2 11 3 3" xfId="2500" xr:uid="{F0D7F326-163F-4F07-BFC6-DC84890D3201}"/>
    <cellStyle name="Millares 2 11 3 3 2" xfId="4122" xr:uid="{8E5156C9-8617-4487-B023-4DC01FE66500}"/>
    <cellStyle name="Millares 2 11 3 4" xfId="1404" xr:uid="{1653B24E-B369-454F-8A29-AD408360AF7E}"/>
    <cellStyle name="Millares 2 11 3 5" xfId="3003" xr:uid="{51D11DC7-735B-4885-B490-72FF041D9B54}"/>
    <cellStyle name="Millares 2 11 4" xfId="675" xr:uid="{C53A8EBB-079C-48B8-8E50-6E103E8A579D}"/>
    <cellStyle name="Millares 2 11 4 2" xfId="2000" xr:uid="{8F39C029-0F0A-4524-BC73-A855F864638F}"/>
    <cellStyle name="Millares 2 11 4 2 2" xfId="3596" xr:uid="{9EF47E0D-AB89-44CC-B31F-174A146BAB64}"/>
    <cellStyle name="Millares 2 11 4 3" xfId="2545" xr:uid="{0FD13391-1A4D-4D86-B758-0C89A7DA1CAD}"/>
    <cellStyle name="Millares 2 11 4 3 2" xfId="4167" xr:uid="{C65460A1-D067-45B4-85D1-B16F5163B953}"/>
    <cellStyle name="Millares 2 11 4 4" xfId="1456" xr:uid="{4A58C3B6-ABF5-45E7-81C2-E812251C2E34}"/>
    <cellStyle name="Millares 2 11 4 5" xfId="3055" xr:uid="{C9DEF605-3F7B-4D68-A1E3-7E9C91A70E1D}"/>
    <cellStyle name="Millares 2 11 5" xfId="724" xr:uid="{B807658F-286A-40E1-8950-74F8C16423BB}"/>
    <cellStyle name="Millares 2 11 5 2" xfId="2045" xr:uid="{5744A6E7-FFCF-4501-9AB0-E5933F980A0A}"/>
    <cellStyle name="Millares 2 11 5 2 2" xfId="3641" xr:uid="{C9A2F709-4582-4DC8-A62F-C404BF9CC41E}"/>
    <cellStyle name="Millares 2 11 5 3" xfId="2595" xr:uid="{1E71FD67-80AD-40DB-873C-82B44A6B6AA5}"/>
    <cellStyle name="Millares 2 11 5 3 2" xfId="4217" xr:uid="{590E5C88-7222-4322-8BAB-613D356AAB95}"/>
    <cellStyle name="Millares 2 11 5 4" xfId="1501" xr:uid="{470B5C08-928F-4398-AA3A-3758E7653AD4}"/>
    <cellStyle name="Millares 2 11 5 5" xfId="3100" xr:uid="{95587B66-3212-4E5D-B045-A4B7325B5E38}"/>
    <cellStyle name="Millares 2 11 6" xfId="756" xr:uid="{C87A5E2E-659A-42CB-B031-7DB835C60B74}"/>
    <cellStyle name="Millares 2 11 6 2" xfId="2077" xr:uid="{4B303A9D-3A9F-40DD-B43C-328A8E972E95}"/>
    <cellStyle name="Millares 2 11 6 2 2" xfId="3673" xr:uid="{AB46FC2D-660F-49AB-B18B-37F2460D677A}"/>
    <cellStyle name="Millares 2 11 6 3" xfId="2627" xr:uid="{7533E0E4-E7AE-43EE-B654-89531BF46622}"/>
    <cellStyle name="Millares 2 11 6 3 2" xfId="4249" xr:uid="{D0B55BDB-4EC1-4CE8-B11C-DCC6B8C883B9}"/>
    <cellStyle name="Millares 2 11 6 4" xfId="1531" xr:uid="{869D0D74-5110-43FC-8D6A-8E5176A9392B}"/>
    <cellStyle name="Millares 2 11 6 5" xfId="3130" xr:uid="{F26E0A0C-DE03-46CF-8EDD-79F329BCB866}"/>
    <cellStyle name="Millares 2 11 7" xfId="907" xr:uid="{5F734EF8-FE3B-4945-8C91-72C32623C06F}"/>
    <cellStyle name="Millares 2 11 7 2" xfId="1867" xr:uid="{2A6EA83D-38A1-4B05-BDB3-F337D95EB102}"/>
    <cellStyle name="Millares 2 11 7 2 2" xfId="3463" xr:uid="{3AD6CB7E-FD9E-4F32-BFDE-551D607BF410}"/>
    <cellStyle name="Millares 2 11 7 3" xfId="1323" xr:uid="{EB65EE9C-6BF0-4E02-9582-77A21997742D}"/>
    <cellStyle name="Millares 2 11 7 4" xfId="2922" xr:uid="{8895EA14-FD69-4CD7-A843-ED9EBF18470B}"/>
    <cellStyle name="Millares 2 11 8" xfId="1079" xr:uid="{030A4C7A-9306-4156-AC42-4ABDDC0B661D}"/>
    <cellStyle name="Millares 2 11 8 2" xfId="3869" xr:uid="{3BB83E4E-84A0-4080-98EC-3AEC0C10C685}"/>
    <cellStyle name="Millares 2 11 9" xfId="1710" xr:uid="{23757718-BC3B-4F45-87A0-B7A64FE19753}"/>
    <cellStyle name="Millares 2 11 9 2" xfId="3318" xr:uid="{063E3FBE-0E8E-49D4-9975-D60D5DB30798}"/>
    <cellStyle name="Millares 2 12" xfId="136" xr:uid="{9394D417-049B-430D-ADB3-79C874B27D1B}"/>
    <cellStyle name="Millares 2 12 10" xfId="2381" xr:uid="{B9E4E915-B164-4BE6-90C8-AFC35D71B115}"/>
    <cellStyle name="Millares 2 12 10 2" xfId="4003" xr:uid="{FC8A08EB-7C76-4C31-8EBE-2301C9A9DC99}"/>
    <cellStyle name="Millares 2 12 11" xfId="4394" xr:uid="{1FA7E51C-DB38-432A-802B-AAEB4581E170}"/>
    <cellStyle name="Millares 2 12 12" xfId="2779" xr:uid="{B317AC2D-917F-4E58-BBB0-7C78C81869AD}"/>
    <cellStyle name="Millares 2 12 2" xfId="336" xr:uid="{2A6166F1-2042-4410-BC82-40E591A1985C}"/>
    <cellStyle name="Millares 2 12 2 2" xfId="832" xr:uid="{6D101990-1AF6-45BB-AA66-54172883D921}"/>
    <cellStyle name="Millares 2 12 2 2 2" xfId="2153" xr:uid="{F0EB807D-0393-41DD-A0BB-4E6FF03C8E68}"/>
    <cellStyle name="Millares 2 12 2 2 2 2" xfId="3749" xr:uid="{55746189-057F-4724-A575-701B131E59F1}"/>
    <cellStyle name="Millares 2 12 2 2 3" xfId="2701" xr:uid="{B9254341-8FDD-4ACD-BDC9-249941F72F9B}"/>
    <cellStyle name="Millares 2 12 2 2 3 2" xfId="4323" xr:uid="{F4ADCC27-0226-4A78-BD14-C7B3FF83B2F4}"/>
    <cellStyle name="Millares 2 12 2 2 4" xfId="1606" xr:uid="{6D174480-B489-4A03-B4FF-EB7A147416AD}"/>
    <cellStyle name="Millares 2 12 2 2 5" xfId="3205" xr:uid="{A95CBEC0-E385-4F78-BF73-35FFE509DF8E}"/>
    <cellStyle name="Millares 2 12 2 3" xfId="962" xr:uid="{BD460153-900B-47AE-AEC2-FC0422DA884E}"/>
    <cellStyle name="Millares 2 12 2 3 2" xfId="1910" xr:uid="{9090509C-7C0B-4A10-A3DC-1799489AED21}"/>
    <cellStyle name="Millares 2 12 2 3 2 2" xfId="3506" xr:uid="{A0BBA4DC-A776-48FD-9BEB-29DF4139C4AA}"/>
    <cellStyle name="Millares 2 12 2 3 3" xfId="1366" xr:uid="{BF070263-C5BF-46EF-A565-72CF6F3CE659}"/>
    <cellStyle name="Millares 2 12 2 3 4" xfId="2965" xr:uid="{8183F09A-EE86-4C7F-8057-4F2A44298F9C}"/>
    <cellStyle name="Millares 2 12 2 4" xfId="1144" xr:uid="{0A1A4687-C34F-446D-B34A-6EE1C0493A16}"/>
    <cellStyle name="Millares 2 12 2 4 2" xfId="3924" xr:uid="{15543CF7-D60B-4F3E-BDE6-D736687771AA}"/>
    <cellStyle name="Millares 2 12 2 5" xfId="1765" xr:uid="{1947719B-99FA-4899-875D-A0A922296A46}"/>
    <cellStyle name="Millares 2 12 2 5 2" xfId="3373" xr:uid="{26CECC11-6E87-434C-AB84-13015B6EF7F8}"/>
    <cellStyle name="Millares 2 12 2 6" xfId="2435" xr:uid="{2742ADCB-8213-4646-ADFC-3E219D4C3399}"/>
    <cellStyle name="Millares 2 12 2 6 2" xfId="4057" xr:uid="{99A166E7-FBC7-46F1-9F42-B03C525D7C4D}"/>
    <cellStyle name="Millares 2 12 2 7" xfId="4447" xr:uid="{7478B111-4D52-4908-838E-E9F9903B6D6D}"/>
    <cellStyle name="Millares 2 12 2 8" xfId="2832" xr:uid="{4AB02DB8-BC90-42D1-8A20-A96E0D86C679}"/>
    <cellStyle name="Millares 2 12 3" xfId="627" xr:uid="{1E3F0FF3-F25F-4E2E-A148-E970AB5822F3}"/>
    <cellStyle name="Millares 2 12 3 2" xfId="1945" xr:uid="{DC7350D5-028C-4A5E-AC34-68D0093310D7}"/>
    <cellStyle name="Millares 2 12 3 2 2" xfId="3541" xr:uid="{C6B667F3-3A13-49A3-9752-D77C08036383}"/>
    <cellStyle name="Millares 2 12 3 3" xfId="2497" xr:uid="{E13BECAB-A808-4BB6-B2EC-BE17B7D109DD}"/>
    <cellStyle name="Millares 2 12 3 3 2" xfId="4119" xr:uid="{8AD29B86-CB21-4E4F-AE96-A1C46BF98AE9}"/>
    <cellStyle name="Millares 2 12 3 4" xfId="1401" xr:uid="{B00C4C06-CC61-41DA-85D7-83AF54083A86}"/>
    <cellStyle name="Millares 2 12 3 5" xfId="3000" xr:uid="{BCC3B4D1-10CE-4660-8078-74F0130AB279}"/>
    <cellStyle name="Millares 2 12 4" xfId="677" xr:uid="{8D86B5AA-47FB-4C08-9B10-57D8EA3F6A8A}"/>
    <cellStyle name="Millares 2 12 4 2" xfId="2001" xr:uid="{EBFFD772-C625-4C62-96A3-8CE6705B61F0}"/>
    <cellStyle name="Millares 2 12 4 2 2" xfId="3597" xr:uid="{8AA2E9A2-2E24-4528-9BEC-13A2A639292A}"/>
    <cellStyle name="Millares 2 12 4 3" xfId="2547" xr:uid="{90A704D0-9AD4-4B15-987C-38475E07B4E5}"/>
    <cellStyle name="Millares 2 12 4 3 2" xfId="4169" xr:uid="{5301856D-7081-4C44-929B-849B4020E844}"/>
    <cellStyle name="Millares 2 12 4 4" xfId="1457" xr:uid="{3433AEA8-8A0D-4B82-BA17-032A09CBF8A1}"/>
    <cellStyle name="Millares 2 12 4 5" xfId="3056" xr:uid="{D129F609-CE13-418D-8940-5FBFA0EB8C3E}"/>
    <cellStyle name="Millares 2 12 5" xfId="726" xr:uid="{6347DDC1-7EDB-4FB9-9FBF-CBAB83502974}"/>
    <cellStyle name="Millares 2 12 5 2" xfId="2047" xr:uid="{70D4074B-8384-4CC4-B846-6205F5DDE174}"/>
    <cellStyle name="Millares 2 12 5 2 2" xfId="3643" xr:uid="{443BB24F-4039-45D4-8400-9772102FEDDD}"/>
    <cellStyle name="Millares 2 12 5 3" xfId="2597" xr:uid="{CC5300BC-409D-45B9-BC59-ADA8EC927B67}"/>
    <cellStyle name="Millares 2 12 5 3 2" xfId="4219" xr:uid="{B4DB38E1-81FD-461E-8E80-448602CB9ACA}"/>
    <cellStyle name="Millares 2 12 5 4" xfId="1503" xr:uid="{51A767C3-F6C3-4F09-BD22-5163142A3F94}"/>
    <cellStyle name="Millares 2 12 5 5" xfId="3102" xr:uid="{4D2C9EAE-0A42-40CD-A47F-1E6BB3C526FC}"/>
    <cellStyle name="Millares 2 12 6" xfId="772" xr:uid="{A39EE375-C0B8-485E-9BD8-7284B3D7AD66}"/>
    <cellStyle name="Millares 2 12 6 2" xfId="2093" xr:uid="{458EE6CF-9BB3-4B50-82F9-9E73A5690E7B}"/>
    <cellStyle name="Millares 2 12 6 2 2" xfId="3689" xr:uid="{02B4CE09-BB72-4BC7-A926-B8A49E5B9F39}"/>
    <cellStyle name="Millares 2 12 6 3" xfId="2643" xr:uid="{9B923496-4FE3-45D4-99EA-E8C45A30942A}"/>
    <cellStyle name="Millares 2 12 6 3 2" xfId="4265" xr:uid="{0A0B6036-5B38-4C25-927E-AAD66B289C52}"/>
    <cellStyle name="Millares 2 12 6 4" xfId="1547" xr:uid="{9EE1BB75-7B69-49FE-A7E9-C8BA6996EFA1}"/>
    <cellStyle name="Millares 2 12 6 5" xfId="3146" xr:uid="{90AC7708-C006-4680-BDCC-ADCE5626CB7F}"/>
    <cellStyle name="Millares 2 12 7" xfId="909" xr:uid="{42A7048B-CC4F-449E-952B-881BB5775EE1}"/>
    <cellStyle name="Millares 2 12 7 2" xfId="1868" xr:uid="{EEE583E4-4473-42E6-B2CE-EBC9ED1869D9}"/>
    <cellStyle name="Millares 2 12 7 2 2" xfId="3464" xr:uid="{96221251-5577-491D-B9FD-FBEE7DF46C01}"/>
    <cellStyle name="Millares 2 12 7 3" xfId="1324" xr:uid="{2123479C-22B4-4D9B-ACBB-805653315C0F}"/>
    <cellStyle name="Millares 2 12 7 4" xfId="2923" xr:uid="{5ACA85EE-6C8A-4B83-A8F0-19CF1D46784A}"/>
    <cellStyle name="Millares 2 12 8" xfId="1081" xr:uid="{976BD19B-A359-4C04-AFE2-92E2992A2DD4}"/>
    <cellStyle name="Millares 2 12 8 2" xfId="3871" xr:uid="{8FB1B960-8BBE-4F81-BD38-46B43F9D6F8F}"/>
    <cellStyle name="Millares 2 12 9" xfId="1712" xr:uid="{7F809E23-A9B2-4D9D-874C-46D94F254CA7}"/>
    <cellStyle name="Millares 2 12 9 2" xfId="3320" xr:uid="{FA09EAF3-FEFA-4AD8-9165-54D63B33180C}"/>
    <cellStyle name="Millares 2 13" xfId="137" xr:uid="{03D66BBA-A02E-4BB7-A78E-53677EB3D2B1}"/>
    <cellStyle name="Millares 2 13 10" xfId="2382" xr:uid="{250E1D6D-8B47-4C37-88F8-7F875D28C3B0}"/>
    <cellStyle name="Millares 2 13 10 2" xfId="4004" xr:uid="{2C54BD0A-2E04-4485-8976-0964528A5139}"/>
    <cellStyle name="Millares 2 13 11" xfId="4395" xr:uid="{11E63923-303C-4668-A95A-4D194508504F}"/>
    <cellStyle name="Millares 2 13 12" xfId="2780" xr:uid="{91D9E665-0384-482D-96D7-327A5BADE2FA}"/>
    <cellStyle name="Millares 2 13 2" xfId="337" xr:uid="{AAA67F24-2B5F-4E76-974E-087089720DAB}"/>
    <cellStyle name="Millares 2 13 2 2" xfId="833" xr:uid="{8E232236-C229-44E0-94E9-9BD58836CBD4}"/>
    <cellStyle name="Millares 2 13 2 2 2" xfId="2154" xr:uid="{7D9FC701-482C-4E5E-9FDD-19AC35A97230}"/>
    <cellStyle name="Millares 2 13 2 2 2 2" xfId="3750" xr:uid="{022C8168-D4E1-482B-836C-D535EF0DCBE8}"/>
    <cellStyle name="Millares 2 13 2 2 3" xfId="2702" xr:uid="{3FF4209D-1A9D-41D5-8297-ACD42F531913}"/>
    <cellStyle name="Millares 2 13 2 2 3 2" xfId="4324" xr:uid="{675DDFA5-1C97-4AD9-86D0-EC2C861B801B}"/>
    <cellStyle name="Millares 2 13 2 2 4" xfId="1607" xr:uid="{99084843-AD96-4A2B-9CBE-0E5A50A6B4D6}"/>
    <cellStyle name="Millares 2 13 2 2 5" xfId="3206" xr:uid="{EB19E76A-745F-478F-AFCD-035949935C20}"/>
    <cellStyle name="Millares 2 13 2 3" xfId="963" xr:uid="{0B507F10-3D8A-4723-BB8B-992301D601C9}"/>
    <cellStyle name="Millares 2 13 2 3 2" xfId="1911" xr:uid="{8A5FDE0B-A7A7-462F-A9A1-4B9236D93799}"/>
    <cellStyle name="Millares 2 13 2 3 2 2" xfId="3507" xr:uid="{E6096194-836C-4153-A819-1482084B5167}"/>
    <cellStyle name="Millares 2 13 2 3 3" xfId="1367" xr:uid="{0C696A1F-226B-4733-A0BD-18840DBDEBD0}"/>
    <cellStyle name="Millares 2 13 2 3 4" xfId="2966" xr:uid="{7410224E-D104-4F2C-BC97-8019BC6D0502}"/>
    <cellStyle name="Millares 2 13 2 4" xfId="1145" xr:uid="{5B7847AA-6DBB-42C0-913A-59F939D15E8C}"/>
    <cellStyle name="Millares 2 13 2 4 2" xfId="3925" xr:uid="{38157FDD-3CBF-41D7-A3A5-2FCB8E333DE3}"/>
    <cellStyle name="Millares 2 13 2 5" xfId="1766" xr:uid="{DA773A65-F2A4-4AF5-A81B-8F65A6F84C42}"/>
    <cellStyle name="Millares 2 13 2 5 2" xfId="3374" xr:uid="{270B0977-72E9-426E-897C-FBED14F10525}"/>
    <cellStyle name="Millares 2 13 2 6" xfId="2436" xr:uid="{E5309EBF-D7FC-4436-BB1A-A3042533FC54}"/>
    <cellStyle name="Millares 2 13 2 6 2" xfId="4058" xr:uid="{47F778AE-637C-49E4-AA61-134BACB120F8}"/>
    <cellStyle name="Millares 2 13 2 7" xfId="4448" xr:uid="{ABD986F7-2D79-485C-8DC0-F2438E44A230}"/>
    <cellStyle name="Millares 2 13 2 8" xfId="2833" xr:uid="{874188AA-B380-457C-9BCE-338522A43EF0}"/>
    <cellStyle name="Millares 2 13 3" xfId="622" xr:uid="{18C340EB-FA76-4DA2-A0B7-491488B70E1B}"/>
    <cellStyle name="Millares 2 13 3 2" xfId="1940" xr:uid="{10628B99-B79D-40FC-A2AD-9E21F2373097}"/>
    <cellStyle name="Millares 2 13 3 2 2" xfId="3536" xr:uid="{8DB7F2BC-809F-4D82-8B6C-3A555E94D9B8}"/>
    <cellStyle name="Millares 2 13 3 3" xfId="2492" xr:uid="{05FF9E3D-A4FC-4AED-A637-FCDF2D191595}"/>
    <cellStyle name="Millares 2 13 3 3 2" xfId="4114" xr:uid="{25BDAF57-5ABA-4350-99B2-CC8299A61068}"/>
    <cellStyle name="Millares 2 13 3 4" xfId="1396" xr:uid="{A72CA352-AAC3-45B2-8CEA-1132906B02E2}"/>
    <cellStyle name="Millares 2 13 3 5" xfId="2995" xr:uid="{824FC361-FF43-47DD-8E57-F7CB7227C2F5}"/>
    <cellStyle name="Millares 2 13 4" xfId="678" xr:uid="{FEA4AE3F-92E9-4B1C-B5EA-EA5304BB4375}"/>
    <cellStyle name="Millares 2 13 4 2" xfId="2002" xr:uid="{F908934B-AA44-4C8A-860A-8A60604DA3A3}"/>
    <cellStyle name="Millares 2 13 4 2 2" xfId="3598" xr:uid="{7DBE7862-39CC-4A06-BA1D-49120A921205}"/>
    <cellStyle name="Millares 2 13 4 3" xfId="2548" xr:uid="{BA3C09A2-4D1E-4F1B-B101-EA0906C96706}"/>
    <cellStyle name="Millares 2 13 4 3 2" xfId="4170" xr:uid="{8AC031CB-F8CD-4093-A983-BF6BA2F34B60}"/>
    <cellStyle name="Millares 2 13 4 4" xfId="1458" xr:uid="{BD38A917-3DF1-4C56-99CA-4A9ED2B0ED59}"/>
    <cellStyle name="Millares 2 13 4 5" xfId="3057" xr:uid="{A81DBCDD-8090-40AB-B26E-DD1A72081C82}"/>
    <cellStyle name="Millares 2 13 5" xfId="727" xr:uid="{93BC7E40-B3A8-4CFC-9892-75A4AAAC9729}"/>
    <cellStyle name="Millares 2 13 5 2" xfId="2048" xr:uid="{74BB7543-D170-4325-96C1-B6B2279A43B8}"/>
    <cellStyle name="Millares 2 13 5 2 2" xfId="3644" xr:uid="{CD24ED0F-2E4D-4B5E-917D-4F234F12A65F}"/>
    <cellStyle name="Millares 2 13 5 3" xfId="2598" xr:uid="{1BF3D415-AC44-45B6-B698-ECB5CD4E3E3C}"/>
    <cellStyle name="Millares 2 13 5 3 2" xfId="4220" xr:uid="{BA01C879-3B3B-411E-B800-C09927807C4C}"/>
    <cellStyle name="Millares 2 13 5 4" xfId="1504" xr:uid="{04A97BFE-3CB0-4226-919F-4C2EB3FC3B6C}"/>
    <cellStyle name="Millares 2 13 5 5" xfId="3103" xr:uid="{CD516B02-3800-474C-889F-2EA8C4F1255D}"/>
    <cellStyle name="Millares 2 13 6" xfId="776" xr:uid="{97EDDBCC-095A-4F8D-879F-852948FB22A5}"/>
    <cellStyle name="Millares 2 13 6 2" xfId="2097" xr:uid="{BFC2956C-66F7-4BEA-9693-950227537137}"/>
    <cellStyle name="Millares 2 13 6 2 2" xfId="3693" xr:uid="{B0B871A7-019C-41B5-B8C9-91E63983F24C}"/>
    <cellStyle name="Millares 2 13 6 3" xfId="2647" xr:uid="{C2178E40-9579-4B62-88F7-AB312A397882}"/>
    <cellStyle name="Millares 2 13 6 3 2" xfId="4269" xr:uid="{F5E00941-3BF6-489B-8764-4ED428B57D41}"/>
    <cellStyle name="Millares 2 13 6 4" xfId="1551" xr:uid="{590DA282-979D-43C0-A8A9-0C9A12208EBE}"/>
    <cellStyle name="Millares 2 13 6 5" xfId="3150" xr:uid="{D563B37C-990A-4888-BCEA-27E35BF05D69}"/>
    <cellStyle name="Millares 2 13 7" xfId="910" xr:uid="{17793772-64C9-4E19-8C45-04A2DB19CB78}"/>
    <cellStyle name="Millares 2 13 7 2" xfId="1869" xr:uid="{9A71CF5D-289C-4574-A11C-AD151E6C8E0B}"/>
    <cellStyle name="Millares 2 13 7 2 2" xfId="3465" xr:uid="{BFC07E73-13AE-452D-9CA2-E8FFD420466A}"/>
    <cellStyle name="Millares 2 13 7 3" xfId="1325" xr:uid="{4F0FACBE-EA11-41CB-81DC-5356006799C0}"/>
    <cellStyle name="Millares 2 13 7 4" xfId="2924" xr:uid="{32854398-9181-4125-A614-EA22223C080D}"/>
    <cellStyle name="Millares 2 13 8" xfId="1082" xr:uid="{D24426B6-4D65-4275-B5BB-577165389ED1}"/>
    <cellStyle name="Millares 2 13 8 2" xfId="3872" xr:uid="{B3BD5030-1E5A-4219-95F4-42B7DF8C181C}"/>
    <cellStyle name="Millares 2 13 9" xfId="1713" xr:uid="{B155AF68-6C8C-4EEE-AB1A-9558E1127AC5}"/>
    <cellStyle name="Millares 2 13 9 2" xfId="3321" xr:uid="{D2F90168-ACCF-4F25-A8F7-B92AEC6F05A8}"/>
    <cellStyle name="Millares 2 14" xfId="67" xr:uid="{859AF352-4A4E-4CBA-94BB-B10AAE03D640}"/>
    <cellStyle name="Millares 2 14 10" xfId="2360" xr:uid="{8B7DD534-187B-4345-B2D3-A6ADE72FC2D4}"/>
    <cellStyle name="Millares 2 14 10 2" xfId="3982" xr:uid="{7D379E30-FD91-4FE5-80A6-B171744E05BC}"/>
    <cellStyle name="Millares 2 14 11" xfId="4373" xr:uid="{F4CD4E24-39A6-415B-8E54-9861049B1D3A}"/>
    <cellStyle name="Millares 2 14 12" xfId="2758" xr:uid="{120A6F01-6D5C-4391-A060-492174B6E070}"/>
    <cellStyle name="Millares 2 14 2" xfId="315" xr:uid="{0D4B42E6-68BB-48D1-832C-844998CF25AA}"/>
    <cellStyle name="Millares 2 14 2 2" xfId="813" xr:uid="{8E190DDE-E5CB-47DA-B30C-E5BA00D3B87D}"/>
    <cellStyle name="Millares 2 14 2 2 2" xfId="2134" xr:uid="{7231EFA3-80D1-4066-B4A3-8FE59161EB89}"/>
    <cellStyle name="Millares 2 14 2 2 2 2" xfId="3730" xr:uid="{18EBB163-B042-40AB-BA15-D23693100D14}"/>
    <cellStyle name="Millares 2 14 2 2 3" xfId="2682" xr:uid="{EF2C06A8-7473-4289-8255-8037D8843A73}"/>
    <cellStyle name="Millares 2 14 2 2 3 2" xfId="4304" xr:uid="{404FCACB-472B-4D2D-8B6C-6DB07270D190}"/>
    <cellStyle name="Millares 2 14 2 2 4" xfId="1587" xr:uid="{121FEFCF-2BBF-4C71-9808-364B8A8A9068}"/>
    <cellStyle name="Millares 2 14 2 2 5" xfId="3186" xr:uid="{3DE4A79C-EB4B-4CE7-8D82-87D918EA6DDD}"/>
    <cellStyle name="Millares 2 14 2 3" xfId="941" xr:uid="{52F0578F-E0C4-4D51-A353-91680A39D5A5}"/>
    <cellStyle name="Millares 2 14 2 3 2" xfId="1891" xr:uid="{C90FAACD-91CB-4730-A86E-13E4B87F5B7C}"/>
    <cellStyle name="Millares 2 14 2 3 2 2" xfId="3487" xr:uid="{8C022933-BA99-4684-A728-0BF2A6D3BB75}"/>
    <cellStyle name="Millares 2 14 2 3 3" xfId="1347" xr:uid="{D42C5E93-3C06-49C8-94B3-0781CD8E3447}"/>
    <cellStyle name="Millares 2 14 2 3 4" xfId="2946" xr:uid="{16C99414-57D1-497D-9D5F-507D2B9EFB2D}"/>
    <cellStyle name="Millares 2 14 2 4" xfId="1123" xr:uid="{D7C84A3F-E561-4745-B00D-1C8554AD0A19}"/>
    <cellStyle name="Millares 2 14 2 4 2" xfId="3903" xr:uid="{C60F13EC-4841-41AA-9407-FDBE5C9AD3F2}"/>
    <cellStyle name="Millares 2 14 2 5" xfId="1746" xr:uid="{8BF1C989-E1DF-4F5B-8E84-FCA39382AFCB}"/>
    <cellStyle name="Millares 2 14 2 5 2" xfId="3352" xr:uid="{1977FCCA-76DC-4D83-8FC9-0A19A6EDAE33}"/>
    <cellStyle name="Millares 2 14 2 6" xfId="2414" xr:uid="{BC939FE8-ED4A-48A7-9346-B0E2E998A1D4}"/>
    <cellStyle name="Millares 2 14 2 6 2" xfId="4036" xr:uid="{0048F8DC-D18D-41D9-8515-833977F33EF8}"/>
    <cellStyle name="Millares 2 14 2 7" xfId="4426" xr:uid="{429EEA7E-D721-486E-96C5-8AFB7D200057}"/>
    <cellStyle name="Millares 2 14 2 8" xfId="2811" xr:uid="{19357554-E151-43BB-91D2-C33A96921E64}"/>
    <cellStyle name="Millares 2 14 3" xfId="645" xr:uid="{FE8C465C-F2D5-42DE-8630-E69A1349EC1F}"/>
    <cellStyle name="Millares 2 14 3 2" xfId="1969" xr:uid="{FBE97277-4E57-4AAC-854B-503B9DA6084A}"/>
    <cellStyle name="Millares 2 14 3 2 2" xfId="3565" xr:uid="{1E7B92A1-2CB1-4D21-9FDC-508634D0EC18}"/>
    <cellStyle name="Millares 2 14 3 3" xfId="2515" xr:uid="{A8235803-9EA7-4EA1-96BC-1DF5E75DCC5C}"/>
    <cellStyle name="Millares 2 14 3 3 2" xfId="4137" xr:uid="{ABCF0B4B-48D1-4278-BFF8-3D37DF093C3C}"/>
    <cellStyle name="Millares 2 14 3 4" xfId="1425" xr:uid="{F5A62A56-C3B2-4F75-B934-F21C6CF98252}"/>
    <cellStyle name="Millares 2 14 3 5" xfId="3024" xr:uid="{A39A6E19-C76B-414D-AFCD-A1644F8F1EE9}"/>
    <cellStyle name="Millares 2 14 4" xfId="656" xr:uid="{89AA429F-25BC-4E4B-8BCD-8BA886A15CCC}"/>
    <cellStyle name="Millares 2 14 4 2" xfId="1985" xr:uid="{FC1207E6-D99A-4695-AA5A-17CC811F47D8}"/>
    <cellStyle name="Millares 2 14 4 2 2" xfId="3581" xr:uid="{1417CA61-218E-4555-ACD3-9D1E41C40480}"/>
    <cellStyle name="Millares 2 14 4 3" xfId="2526" xr:uid="{32CB9B34-5FCE-4F96-9EF1-57353A81360F}"/>
    <cellStyle name="Millares 2 14 4 3 2" xfId="4148" xr:uid="{E9F43AAB-61C3-4343-9A8B-D4A71F807351}"/>
    <cellStyle name="Millares 2 14 4 4" xfId="1441" xr:uid="{10BA0503-D976-4ADA-83D9-E134810F8AA0}"/>
    <cellStyle name="Millares 2 14 4 5" xfId="3040" xr:uid="{91645ADB-7813-45D8-AC1E-E7D1F0D670B3}"/>
    <cellStyle name="Millares 2 14 5" xfId="705" xr:uid="{2D2627C9-30A1-4C60-9462-C16210B21A57}"/>
    <cellStyle name="Millares 2 14 5 2" xfId="2026" xr:uid="{58A3000C-41CC-4A64-AEEF-8EA92AFF6E77}"/>
    <cellStyle name="Millares 2 14 5 2 2" xfId="3622" xr:uid="{B96C573F-63EF-4CB1-856D-905C0C5FBF0C}"/>
    <cellStyle name="Millares 2 14 5 3" xfId="2576" xr:uid="{A9085960-4119-48AB-9C3C-F3978D02FB91}"/>
    <cellStyle name="Millares 2 14 5 3 2" xfId="4198" xr:uid="{60DCB2B8-2D00-4E1F-B21A-742FE1D9DAE7}"/>
    <cellStyle name="Millares 2 14 5 4" xfId="1482" xr:uid="{D1549115-7C79-4D2E-BFF1-23DE0E6F812A}"/>
    <cellStyle name="Millares 2 14 5 5" xfId="3081" xr:uid="{F13C956B-C72D-4F7B-B6C4-14B51E50EDC6}"/>
    <cellStyle name="Millares 2 14 6" xfId="765" xr:uid="{B800FB23-FF7C-4B1D-A670-B5E7335AD724}"/>
    <cellStyle name="Millares 2 14 6 2" xfId="2086" xr:uid="{988D3778-6FF6-4C45-92FA-BA16D76E882F}"/>
    <cellStyle name="Millares 2 14 6 2 2" xfId="3682" xr:uid="{CE7BE7C2-8DB0-44EA-BB0D-B8C7C31C124E}"/>
    <cellStyle name="Millares 2 14 6 3" xfId="2636" xr:uid="{1DC566A0-DF45-4C08-8699-BA39C1CFA7AC}"/>
    <cellStyle name="Millares 2 14 6 3 2" xfId="4258" xr:uid="{F2C0B6AC-C5E2-4638-8AC7-0BBD47EFC3E0}"/>
    <cellStyle name="Millares 2 14 6 4" xfId="1540" xr:uid="{1B7608B4-07F3-4D75-965A-E38C569C4554}"/>
    <cellStyle name="Millares 2 14 6 5" xfId="3139" xr:uid="{80099647-E2F0-4F1B-AFBE-02C5E0D485C4}"/>
    <cellStyle name="Millares 2 14 7" xfId="888" xr:uid="{AB52D4A3-6A13-43BC-A09C-FA370C9EE5CC}"/>
    <cellStyle name="Millares 2 14 7 2" xfId="1852" xr:uid="{DA5E0771-1BDF-4996-96C2-E1DD10927DFD}"/>
    <cellStyle name="Millares 2 14 7 2 2" xfId="3448" xr:uid="{6B8C7333-0D90-4F4F-A013-4CA6855D0B18}"/>
    <cellStyle name="Millares 2 14 7 3" xfId="1307" xr:uid="{CC14C0FD-560D-4578-A85B-FD752E9D0063}"/>
    <cellStyle name="Millares 2 14 7 4" xfId="2907" xr:uid="{61D90D56-C17B-4483-BA00-4389556F52C8}"/>
    <cellStyle name="Millares 2 14 8" xfId="1045" xr:uid="{75935F30-687D-47BE-A0A6-9486DDDF4701}"/>
    <cellStyle name="Millares 2 14 8 2" xfId="3850" xr:uid="{0E51DA65-42D8-4203-B396-6C25CB7CEA83}"/>
    <cellStyle name="Millares 2 14 9" xfId="1689" xr:uid="{85ED845C-D015-4F6A-BC4C-96CB6CBBB30D}"/>
    <cellStyle name="Millares 2 14 9 2" xfId="3299" xr:uid="{BC0F4A07-D533-4D0D-8D14-766DEFBA80B6}"/>
    <cellStyle name="Millares 2 15" xfId="150" xr:uid="{B6FDBD7C-F756-4C03-8278-757BA4B57001}"/>
    <cellStyle name="Millares 2 15 10" xfId="2388" xr:uid="{C7FD13DE-07AD-4787-88E8-A72024A35B42}"/>
    <cellStyle name="Millares 2 15 10 2" xfId="4010" xr:uid="{8732C5DC-404A-477E-A973-983CA2737CDF}"/>
    <cellStyle name="Millares 2 15 11" xfId="4401" xr:uid="{AF4322C3-5B61-4842-B06E-324FCAF9936C}"/>
    <cellStyle name="Millares 2 15 12" xfId="2786" xr:uid="{1174E393-5618-4E7A-AAED-CB703FA745A2}"/>
    <cellStyle name="Millares 2 15 2" xfId="343" xr:uid="{4617F0CC-ADA7-459B-94F2-F4796D41ED25}"/>
    <cellStyle name="Millares 2 15 2 2" xfId="839" xr:uid="{F385AE7B-643C-4B2F-A84E-406FD0A9003A}"/>
    <cellStyle name="Millares 2 15 2 2 2" xfId="2160" xr:uid="{9792DA85-8BD3-4E23-AF3E-988F91DADE84}"/>
    <cellStyle name="Millares 2 15 2 2 2 2" xfId="3756" xr:uid="{30ADD3EF-3EC8-40D5-82E0-1DC3AD4751FC}"/>
    <cellStyle name="Millares 2 15 2 2 3" xfId="2708" xr:uid="{B8D0FBBE-7455-4AA9-A0D2-843B0F9F2296}"/>
    <cellStyle name="Millares 2 15 2 2 3 2" xfId="4330" xr:uid="{02FE6E55-48A3-439E-BBE7-00B28F698933}"/>
    <cellStyle name="Millares 2 15 2 2 4" xfId="1613" xr:uid="{1CF46C3C-64C6-482E-A5EE-7C515426199B}"/>
    <cellStyle name="Millares 2 15 2 2 5" xfId="3212" xr:uid="{B1E1835C-181D-4A89-940A-63FF23AAA562}"/>
    <cellStyle name="Millares 2 15 2 3" xfId="969" xr:uid="{6C39C35E-F92E-48E7-B84B-F8A9C21797FB}"/>
    <cellStyle name="Millares 2 15 2 3 2" xfId="1917" xr:uid="{C88CADD0-95D5-47A4-B7C1-0F5C016D1011}"/>
    <cellStyle name="Millares 2 15 2 3 2 2" xfId="3513" xr:uid="{D41E58D4-7D4E-4E0C-920B-3DF4F1063912}"/>
    <cellStyle name="Millares 2 15 2 3 3" xfId="1373" xr:uid="{20563816-89FA-4E75-A9D9-9F08E08FD768}"/>
    <cellStyle name="Millares 2 15 2 3 4" xfId="2972" xr:uid="{E36F55D4-6994-4267-9949-B9BE84EB7A39}"/>
    <cellStyle name="Millares 2 15 2 4" xfId="1151" xr:uid="{8BBDB41C-63C9-4910-9F50-62F6D012FB53}"/>
    <cellStyle name="Millares 2 15 2 4 2" xfId="3931" xr:uid="{D7E67D2B-8BBE-4500-A322-8D41E0A5FAF9}"/>
    <cellStyle name="Millares 2 15 2 5" xfId="1771" xr:uid="{BDAEC0E0-5C17-4DFF-ABE7-9D1D141D7AF1}"/>
    <cellStyle name="Millares 2 15 2 5 2" xfId="3380" xr:uid="{8FCED8D6-09F4-4E23-B530-9773A0C8218F}"/>
    <cellStyle name="Millares 2 15 2 6" xfId="2442" xr:uid="{FBD0D21F-29B4-474D-A399-E08236EF8D48}"/>
    <cellStyle name="Millares 2 15 2 6 2" xfId="4064" xr:uid="{946A1334-B402-490B-B7C4-E3F1A6A04851}"/>
    <cellStyle name="Millares 2 15 2 7" xfId="4454" xr:uid="{4B493E2D-6696-4721-95A5-6ED18284A9BA}"/>
    <cellStyle name="Millares 2 15 2 8" xfId="2839" xr:uid="{4661584A-ED28-4DB6-9423-99C9C3957D6C}"/>
    <cellStyle name="Millares 2 15 3" xfId="629" xr:uid="{001484DA-C441-4106-9575-C8930F55A522}"/>
    <cellStyle name="Millares 2 15 3 2" xfId="1947" xr:uid="{93C9496E-C99F-4A93-8F9C-EC8AF259F1D2}"/>
    <cellStyle name="Millares 2 15 3 2 2" xfId="3543" xr:uid="{539B5146-1DC2-42FC-8D79-336854268F3F}"/>
    <cellStyle name="Millares 2 15 3 3" xfId="2499" xr:uid="{23CAE5EE-C507-4874-B05F-C283E1FBAE2E}"/>
    <cellStyle name="Millares 2 15 3 3 2" xfId="4121" xr:uid="{46B594E1-D6AC-4A72-AF56-1007D214DD85}"/>
    <cellStyle name="Millares 2 15 3 4" xfId="1403" xr:uid="{6C6BF43F-6BB9-4443-9430-EC571EBFEFD9}"/>
    <cellStyle name="Millares 2 15 3 5" xfId="3002" xr:uid="{2D3ABB0C-5522-4D0D-886B-52C78A25EB59}"/>
    <cellStyle name="Millares 2 15 4" xfId="684" xr:uid="{59CB8392-B446-48FC-8A7B-9DC85AA2E5DF}"/>
    <cellStyle name="Millares 2 15 4 2" xfId="2007" xr:uid="{986DAC5F-5979-408F-B415-05D30738F652}"/>
    <cellStyle name="Millares 2 15 4 2 2" xfId="3603" xr:uid="{BA69E3B3-5913-4247-BFDC-B3026CD78582}"/>
    <cellStyle name="Millares 2 15 4 3" xfId="2554" xr:uid="{26A1A3B3-88F2-47A1-97A5-946587F22FC5}"/>
    <cellStyle name="Millares 2 15 4 3 2" xfId="4176" xr:uid="{01C6AC08-221D-4127-901B-8C47F19B3A43}"/>
    <cellStyle name="Millares 2 15 4 4" xfId="1463" xr:uid="{F4F29CC6-3633-440D-ACF7-729FB6F58986}"/>
    <cellStyle name="Millares 2 15 4 5" xfId="3062" xr:uid="{8BD3CF9C-4439-41F7-9C5F-AC630B866A43}"/>
    <cellStyle name="Millares 2 15 5" xfId="733" xr:uid="{CF62F81F-F5FD-4351-8CF1-D1B5C5BFF23A}"/>
    <cellStyle name="Millares 2 15 5 2" xfId="2054" xr:uid="{6C776359-2D25-4B18-AD43-EC9F0F0459F8}"/>
    <cellStyle name="Millares 2 15 5 2 2" xfId="3650" xr:uid="{A83B9694-212E-49B5-BFBA-C9DE12376235}"/>
    <cellStyle name="Millares 2 15 5 3" xfId="2604" xr:uid="{374D72F8-C02D-4C2F-84FA-D901D6D232FB}"/>
    <cellStyle name="Millares 2 15 5 3 2" xfId="4226" xr:uid="{FD8A0193-353F-4AFE-BC0A-0E69424C8805}"/>
    <cellStyle name="Millares 2 15 5 4" xfId="1510" xr:uid="{882CA266-7FEF-4EC1-8C44-B337D0FA68B9}"/>
    <cellStyle name="Millares 2 15 5 5" xfId="3109" xr:uid="{53D82DC3-C7C8-46A1-A869-E04B72EF5497}"/>
    <cellStyle name="Millares 2 15 6" xfId="763" xr:uid="{C9C58B46-E4B7-42D7-A538-43F4C10A9E7A}"/>
    <cellStyle name="Millares 2 15 6 2" xfId="2084" xr:uid="{6521B4E0-393C-4F5A-B32A-8E72E5DCB4A7}"/>
    <cellStyle name="Millares 2 15 6 2 2" xfId="3680" xr:uid="{ECD57EA5-7320-48F8-8274-F9D7648EB5F1}"/>
    <cellStyle name="Millares 2 15 6 3" xfId="2634" xr:uid="{B18A52CF-1291-45A6-9110-DE01522D0893}"/>
    <cellStyle name="Millares 2 15 6 3 2" xfId="4256" xr:uid="{6EBA03C5-88F7-4399-A790-4E53E02BA087}"/>
    <cellStyle name="Millares 2 15 6 4" xfId="1538" xr:uid="{4980CBBA-8990-4A5A-B3CD-FDE1165177EA}"/>
    <cellStyle name="Millares 2 15 6 5" xfId="3137" xr:uid="{6A53A712-7E95-4FBF-9377-8CF748D8D52C}"/>
    <cellStyle name="Millares 2 15 7" xfId="916" xr:uid="{E19E1D38-AD73-4E3E-B6A4-613C0F36C108}"/>
    <cellStyle name="Millares 2 15 7 2" xfId="1873" xr:uid="{390D4E5E-1F7F-49D2-BB03-E73E32D77D96}"/>
    <cellStyle name="Millares 2 15 7 2 2" xfId="3469" xr:uid="{4ADBE4CE-B71D-4E5B-86B6-CC9A828F32B2}"/>
    <cellStyle name="Millares 2 15 7 3" xfId="1329" xr:uid="{B72CBE92-5D2D-40B7-AE27-579063BE4A1D}"/>
    <cellStyle name="Millares 2 15 7 4" xfId="2928" xr:uid="{8597D37D-DB72-4106-BB1E-A3C3CDD7155D}"/>
    <cellStyle name="Millares 2 15 8" xfId="1094" xr:uid="{0AAC5DC9-EE7A-4CE2-ABE7-9104937CA86E}"/>
    <cellStyle name="Millares 2 15 8 2" xfId="3878" xr:uid="{BF548320-FA4E-4F7C-A87E-4E91B48B7796}"/>
    <cellStyle name="Millares 2 15 9" xfId="1719" xr:uid="{CFC03903-D8C3-4B6B-8053-368E205A2966}"/>
    <cellStyle name="Millares 2 15 9 2" xfId="3327" xr:uid="{6B5D6F94-87CC-4F03-837A-F1958C1D53A4}"/>
    <cellStyle name="Millares 2 16" xfId="151" xr:uid="{E9FAAE4F-63A0-480E-9D9C-BA8B55CDA3A8}"/>
    <cellStyle name="Millares 2 16 10" xfId="2389" xr:uid="{6AD33DF0-2EFB-4D63-BB56-31DDF32AC21C}"/>
    <cellStyle name="Millares 2 16 10 2" xfId="4011" xr:uid="{E7407300-32C8-4707-9223-255D49D77471}"/>
    <cellStyle name="Millares 2 16 11" xfId="4402" xr:uid="{7A2E2449-11C4-41F5-9933-635E694F8407}"/>
    <cellStyle name="Millares 2 16 12" xfId="2787" xr:uid="{14ECA11C-F9E2-4BD9-86EB-80263D6CE3E5}"/>
    <cellStyle name="Millares 2 16 2" xfId="344" xr:uid="{3DC4CD73-3737-40F3-B61F-E6675675AB06}"/>
    <cellStyle name="Millares 2 16 2 2" xfId="840" xr:uid="{D9D41EB4-4AF1-43E1-82E5-FF7D510CF641}"/>
    <cellStyle name="Millares 2 16 2 2 2" xfId="2161" xr:uid="{49380504-D249-4A38-8771-543BC7AC110D}"/>
    <cellStyle name="Millares 2 16 2 2 2 2" xfId="3757" xr:uid="{C1296B3E-27A2-4677-A64B-A97C7B54E1AF}"/>
    <cellStyle name="Millares 2 16 2 2 3" xfId="2709" xr:uid="{1BB27B88-8C6D-4255-9570-57E3CA117C13}"/>
    <cellStyle name="Millares 2 16 2 2 3 2" xfId="4331" xr:uid="{FD68A31D-640B-46AB-BBC8-8DD65624B9A5}"/>
    <cellStyle name="Millares 2 16 2 2 4" xfId="1614" xr:uid="{A7FA023B-221F-4C6A-88AD-9BD8117D4793}"/>
    <cellStyle name="Millares 2 16 2 2 5" xfId="3213" xr:uid="{F78BA984-F25E-4747-BF2E-4D993DA42E3D}"/>
    <cellStyle name="Millares 2 16 2 3" xfId="970" xr:uid="{AE04BB18-3A34-4F6B-B0BB-987B7A799010}"/>
    <cellStyle name="Millares 2 16 2 3 2" xfId="1918" xr:uid="{FDD899F8-379B-47D5-9A25-0028F1FE65F0}"/>
    <cellStyle name="Millares 2 16 2 3 2 2" xfId="3514" xr:uid="{F007AE81-8A01-4987-9DD9-8B94391DB0E0}"/>
    <cellStyle name="Millares 2 16 2 3 3" xfId="1374" xr:uid="{BE817209-4F86-488A-B389-C1B83A8609A3}"/>
    <cellStyle name="Millares 2 16 2 3 4" xfId="2973" xr:uid="{545A2C72-5D19-494C-BBC6-5A758FBEB627}"/>
    <cellStyle name="Millares 2 16 2 4" xfId="1152" xr:uid="{9558C8B9-C3E4-4374-B5EF-F50C0693EABC}"/>
    <cellStyle name="Millares 2 16 2 4 2" xfId="3932" xr:uid="{3F6A6322-E36E-4B2F-8D80-41FE62A4F0A1}"/>
    <cellStyle name="Millares 2 16 2 5" xfId="1772" xr:uid="{9DF6433B-C704-4494-88E2-0A4C39013AA2}"/>
    <cellStyle name="Millares 2 16 2 5 2" xfId="3381" xr:uid="{9B1603AF-1E13-4039-A5D0-EB6D6CAC3F03}"/>
    <cellStyle name="Millares 2 16 2 6" xfId="2443" xr:uid="{797839B7-3572-4608-BC0A-C53C6B76860E}"/>
    <cellStyle name="Millares 2 16 2 6 2" xfId="4065" xr:uid="{E96C8D20-F304-4885-87FA-AB1509D30406}"/>
    <cellStyle name="Millares 2 16 2 7" xfId="4455" xr:uid="{D44F5B34-09C5-417D-BAF7-D6B58B555ABF}"/>
    <cellStyle name="Millares 2 16 2 8" xfId="2840" xr:uid="{746476C8-BF8F-46F7-96E2-20C48E2631AD}"/>
    <cellStyle name="Millares 2 16 3" xfId="638" xr:uid="{050EA8FB-EE32-4163-AC39-90B936DA9606}"/>
    <cellStyle name="Millares 2 16 3 2" xfId="1960" xr:uid="{FBB9298E-41E2-4A31-B777-09C5F1D8F341}"/>
    <cellStyle name="Millares 2 16 3 2 2" xfId="3556" xr:uid="{A34133AD-D143-4FB7-AB62-4F5E82D1FBB2}"/>
    <cellStyle name="Millares 2 16 3 3" xfId="2508" xr:uid="{BABE354D-EA41-4634-BE72-372254EFFEDE}"/>
    <cellStyle name="Millares 2 16 3 3 2" xfId="4130" xr:uid="{CB075469-A5FA-4BED-BC65-F4D4ECD5A4E4}"/>
    <cellStyle name="Millares 2 16 3 4" xfId="1416" xr:uid="{CB8E5E8A-2758-495C-8329-73640071289B}"/>
    <cellStyle name="Millares 2 16 3 5" xfId="3015" xr:uid="{1CB0CC01-8291-4962-9121-31F3663EAA57}"/>
    <cellStyle name="Millares 2 16 4" xfId="685" xr:uid="{0211AC37-0132-4584-8ECA-DD987CDC0A1E}"/>
    <cellStyle name="Millares 2 16 4 2" xfId="2008" xr:uid="{1824893D-33EE-441B-9026-E246ABAACF77}"/>
    <cellStyle name="Millares 2 16 4 2 2" xfId="3604" xr:uid="{F2370C81-AE82-443B-8785-C01575E2F20E}"/>
    <cellStyle name="Millares 2 16 4 3" xfId="2555" xr:uid="{111CE134-03DE-4F8A-A521-B6F1CCDA268B}"/>
    <cellStyle name="Millares 2 16 4 3 2" xfId="4177" xr:uid="{673C2488-9AAB-439E-AC43-E5BFCC9B9EF8}"/>
    <cellStyle name="Millares 2 16 4 4" xfId="1464" xr:uid="{411869B2-A403-4FE8-8EDD-A6C3967D0CE0}"/>
    <cellStyle name="Millares 2 16 4 5" xfId="3063" xr:uid="{40266852-E662-4E1C-B3BB-926FEDBCF40A}"/>
    <cellStyle name="Millares 2 16 5" xfId="734" xr:uid="{8F3C9DF5-D86A-4755-A4F4-FB0413913C7C}"/>
    <cellStyle name="Millares 2 16 5 2" xfId="2055" xr:uid="{9834CD74-5C4F-4D8E-8C7D-CD5ADFC521DB}"/>
    <cellStyle name="Millares 2 16 5 2 2" xfId="3651" xr:uid="{D34E5F66-DEB4-4F3E-8EDA-DDA1B95C43CB}"/>
    <cellStyle name="Millares 2 16 5 3" xfId="2605" xr:uid="{8F847AB1-91E7-4385-99E6-088E7969F7F4}"/>
    <cellStyle name="Millares 2 16 5 3 2" xfId="4227" xr:uid="{570BDF5A-7FAE-4290-B8F4-B9EE06AD2BAD}"/>
    <cellStyle name="Millares 2 16 5 4" xfId="1511" xr:uid="{88D63A48-26BD-4B0F-B2BD-CA2DC7A8B5C8}"/>
    <cellStyle name="Millares 2 16 5 5" xfId="3110" xr:uid="{FC75248E-1B65-4B9F-A449-3857734E1C73}"/>
    <cellStyle name="Millares 2 16 6" xfId="771" xr:uid="{453BC5A0-1E23-4848-B0E2-B4CB7E91CB1F}"/>
    <cellStyle name="Millares 2 16 6 2" xfId="2092" xr:uid="{2526B862-8ACD-4C86-AED0-C98D99444831}"/>
    <cellStyle name="Millares 2 16 6 2 2" xfId="3688" xr:uid="{EB783C90-8EBD-4315-83CF-054BB53CC3A7}"/>
    <cellStyle name="Millares 2 16 6 3" xfId="2642" xr:uid="{0B87FA4B-BAD2-4BDB-88DD-1DD2F5E9592C}"/>
    <cellStyle name="Millares 2 16 6 3 2" xfId="4264" xr:uid="{83576CA2-0F5C-46B2-9175-4CF6B0FD71B8}"/>
    <cellStyle name="Millares 2 16 6 4" xfId="1546" xr:uid="{FFE01706-9831-4045-9AC1-9B5C0C8AA67D}"/>
    <cellStyle name="Millares 2 16 6 5" xfId="3145" xr:uid="{2DD042E1-2531-44C6-8A63-F8D6EFC4AA9C}"/>
    <cellStyle name="Millares 2 16 7" xfId="917" xr:uid="{D25EBD4B-1849-4A6D-A6D0-CBC9009E6AFA}"/>
    <cellStyle name="Millares 2 16 7 2" xfId="1874" xr:uid="{B486E656-578E-414B-8202-F9CC2F89A411}"/>
    <cellStyle name="Millares 2 16 7 2 2" xfId="3470" xr:uid="{33FE4143-6EE8-43B7-99DD-98A2C2042D16}"/>
    <cellStyle name="Millares 2 16 7 3" xfId="1330" xr:uid="{524CF3DA-83FA-4F04-8142-80A9C0993219}"/>
    <cellStyle name="Millares 2 16 7 4" xfId="2929" xr:uid="{2FF8C931-5171-45CB-8041-78A026073B36}"/>
    <cellStyle name="Millares 2 16 8" xfId="1095" xr:uid="{FF91F94D-FB4B-480F-AB51-895AFBD7A2AF}"/>
    <cellStyle name="Millares 2 16 8 2" xfId="3879" xr:uid="{AF254F17-057C-4083-8BC3-AE2FDD3D43A8}"/>
    <cellStyle name="Millares 2 16 9" xfId="1720" xr:uid="{3FFF3BE6-F823-4829-8592-0A08F5C860A9}"/>
    <cellStyle name="Millares 2 16 9 2" xfId="3328" xr:uid="{A9D2BE5F-50EF-4956-AE06-01D4AFD15A87}"/>
    <cellStyle name="Millares 2 17" xfId="275" xr:uid="{02CCC73D-8F0D-45AC-A6C5-F6A8F6A0F56B}"/>
    <cellStyle name="Millares 2 17 10" xfId="2394" xr:uid="{66BE934B-29EB-48E4-BF9A-2C278A48B164}"/>
    <cellStyle name="Millares 2 17 10 2" xfId="4016" xr:uid="{6184A105-1E61-4A86-B58A-99EAA4D21827}"/>
    <cellStyle name="Millares 2 17 11" xfId="4406" xr:uid="{1B244F52-CC93-4FBA-8AFB-840982D0426D}"/>
    <cellStyle name="Millares 2 17 12" xfId="2791" xr:uid="{931EA3D7-E7B4-45CC-A372-A6C00D037D43}"/>
    <cellStyle name="Millares 2 17 2" xfId="348" xr:uid="{43D6396C-BF67-45E0-9E6A-9B31F0BB7AB5}"/>
    <cellStyle name="Millares 2 17 2 2" xfId="844" xr:uid="{7437F203-FDFA-4C1D-BE16-C3986012ECDE}"/>
    <cellStyle name="Millares 2 17 2 2 2" xfId="2165" xr:uid="{97E6886A-6316-4A48-A928-9B196DBAD7DC}"/>
    <cellStyle name="Millares 2 17 2 2 2 2" xfId="3761" xr:uid="{E45201C6-C300-4FA7-93A8-D2FD8DB1A34C}"/>
    <cellStyle name="Millares 2 17 2 2 3" xfId="2713" xr:uid="{B30C3BFD-2439-4C9C-8694-E76EE7B8D5B6}"/>
    <cellStyle name="Millares 2 17 2 2 3 2" xfId="4335" xr:uid="{30E89909-6230-4892-BDEE-29AFAA5BC184}"/>
    <cellStyle name="Millares 2 17 2 2 4" xfId="1618" xr:uid="{B96FA538-9C8D-4444-8AD3-1B1C4F95A0C9}"/>
    <cellStyle name="Millares 2 17 2 2 5" xfId="3217" xr:uid="{2EB92462-BA01-4034-980F-2147716F306B}"/>
    <cellStyle name="Millares 2 17 2 3" xfId="974" xr:uid="{49E572B9-66F9-4500-95E3-679DE150E098}"/>
    <cellStyle name="Millares 2 17 2 3 2" xfId="1922" xr:uid="{FA558D2D-2E26-433A-9ECF-71EA53D9209C}"/>
    <cellStyle name="Millares 2 17 2 3 2 2" xfId="3518" xr:uid="{1B40BF14-62A9-4407-BC68-8F9EEED57AA8}"/>
    <cellStyle name="Millares 2 17 2 3 3" xfId="1378" xr:uid="{573C87FB-10C4-4832-98C2-8582D5BCA5AB}"/>
    <cellStyle name="Millares 2 17 2 3 4" xfId="2977" xr:uid="{3E1ECC44-24D4-4B8A-8F75-56F5F2BFCCE4}"/>
    <cellStyle name="Millares 2 17 2 4" xfId="1156" xr:uid="{72F60AC6-095C-43C5-AFCB-6AD3655A651C}"/>
    <cellStyle name="Millares 2 17 2 4 2" xfId="3936" xr:uid="{0CFD0466-1132-4C78-8B45-09F9326A7E17}"/>
    <cellStyle name="Millares 2 17 2 5" xfId="1776" xr:uid="{88B5AF09-ECB5-4827-93E0-06B4DA73B44B}"/>
    <cellStyle name="Millares 2 17 2 5 2" xfId="3385" xr:uid="{DA71EE5E-2C44-4336-BCC4-B7FAD048BFE9}"/>
    <cellStyle name="Millares 2 17 2 6" xfId="2447" xr:uid="{40D84EC5-FBE6-42E1-BE3E-2818C1D82C57}"/>
    <cellStyle name="Millares 2 17 2 6 2" xfId="4069" xr:uid="{F6C5FBEC-F775-49B7-975F-9D16310CC176}"/>
    <cellStyle name="Millares 2 17 2 7" xfId="4459" xr:uid="{9F5DA526-CD08-4ED7-B1A7-ED82AEB749A6}"/>
    <cellStyle name="Millares 2 17 2 8" xfId="2844" xr:uid="{9FE17B1A-55C3-4440-8FCC-AC5309919081}"/>
    <cellStyle name="Millares 2 17 3" xfId="646" xr:uid="{1F4322A5-D386-42FC-A199-81606A995788}"/>
    <cellStyle name="Millares 2 17 3 2" xfId="1972" xr:uid="{B3677851-D77B-4F14-B906-FA92B997FFCE}"/>
    <cellStyle name="Millares 2 17 3 2 2" xfId="3568" xr:uid="{5408F114-01C6-4477-AE1B-465A1465EE9F}"/>
    <cellStyle name="Millares 2 17 3 3" xfId="2516" xr:uid="{CC1D1A1C-EF56-4545-B20A-5EE0BDBB7D78}"/>
    <cellStyle name="Millares 2 17 3 3 2" xfId="4138" xr:uid="{A07BF83D-D3FF-4FB8-8212-C06EDA1B461A}"/>
    <cellStyle name="Millares 2 17 3 4" xfId="1428" xr:uid="{7EB30ED1-8462-452F-98BA-CFCCE64B54A2}"/>
    <cellStyle name="Millares 2 17 3 5" xfId="3027" xr:uid="{0C0379A6-5B01-46A3-AA1B-B8C56FC7CDF1}"/>
    <cellStyle name="Millares 2 17 4" xfId="690" xr:uid="{510F928A-73CA-44EB-B3D8-8EC010CC0F0E}"/>
    <cellStyle name="Millares 2 17 4 2" xfId="2013" xr:uid="{0CC9FA86-6CA0-444C-A5F2-2E3376921205}"/>
    <cellStyle name="Millares 2 17 4 2 2" xfId="3609" xr:uid="{98DE575A-99E7-4A43-8FC5-AC464A90A0D9}"/>
    <cellStyle name="Millares 2 17 4 3" xfId="2560" xr:uid="{907C7B9D-BA33-4AB1-BFC5-7B4D256872B7}"/>
    <cellStyle name="Millares 2 17 4 3 2" xfId="4182" xr:uid="{2FA2EE5E-A91C-449A-9097-DDFAC4D7003F}"/>
    <cellStyle name="Millares 2 17 4 4" xfId="1469" xr:uid="{AF9A6619-2E41-4417-911B-BADDBE7EB9CD}"/>
    <cellStyle name="Millares 2 17 4 5" xfId="3068" xr:uid="{B8A887E0-2ACC-42EF-BC48-E68C5D18FDE6}"/>
    <cellStyle name="Millares 2 17 5" xfId="738" xr:uid="{22B843A3-2A4B-40F8-8BD9-41E1846B0FC0}"/>
    <cellStyle name="Millares 2 17 5 2" xfId="2059" xr:uid="{16197A3C-7B56-418C-9C87-93CB63E98561}"/>
    <cellStyle name="Millares 2 17 5 2 2" xfId="3655" xr:uid="{05B6FEC5-541E-4068-9ED0-62E3A403147E}"/>
    <cellStyle name="Millares 2 17 5 3" xfId="2609" xr:uid="{E5FCEF43-7BA5-43FD-B084-0F2877D157FB}"/>
    <cellStyle name="Millares 2 17 5 3 2" xfId="4231" xr:uid="{D028AA78-8B0B-42C8-861B-1ED66EC7FA31}"/>
    <cellStyle name="Millares 2 17 5 4" xfId="1515" xr:uid="{6508194D-52C6-4327-9A6E-E9B7E553DAF2}"/>
    <cellStyle name="Millares 2 17 5 5" xfId="3114" xr:uid="{6A98EF5E-9AF6-4261-B939-EBF12F5B8764}"/>
    <cellStyle name="Millares 2 17 6" xfId="760" xr:uid="{9C656AAC-0FE7-4FB9-A7BC-AF80D86C818A}"/>
    <cellStyle name="Millares 2 17 6 2" xfId="2081" xr:uid="{E17B3F3B-FFF8-4521-A7FF-891641982C5F}"/>
    <cellStyle name="Millares 2 17 6 2 2" xfId="3677" xr:uid="{37D8851C-CBCF-48B7-B9BD-5C69FA8B8764}"/>
    <cellStyle name="Millares 2 17 6 3" xfId="2631" xr:uid="{7E62A4E6-F077-4F87-8110-411C451D873C}"/>
    <cellStyle name="Millares 2 17 6 3 2" xfId="4253" xr:uid="{D0B619D9-654B-4257-AD45-C390C5449D64}"/>
    <cellStyle name="Millares 2 17 6 4" xfId="1535" xr:uid="{2963AA39-BED1-48F1-A41E-5C163FA977EA}"/>
    <cellStyle name="Millares 2 17 6 5" xfId="3134" xr:uid="{CEC038BD-ED76-413D-A5FC-7F857EDEC765}"/>
    <cellStyle name="Millares 2 17 7" xfId="921" xr:uid="{B60CAFFB-64C0-4911-AC3C-8CEBC73DE614}"/>
    <cellStyle name="Millares 2 17 7 2" xfId="1878" xr:uid="{E6213BCB-F88B-4B54-9270-DE592D192928}"/>
    <cellStyle name="Millares 2 17 7 2 2" xfId="3474" xr:uid="{E3CC4788-5075-48CA-8BD5-4E2319C3AFC6}"/>
    <cellStyle name="Millares 2 17 7 3" xfId="1334" xr:uid="{4AB0D6BB-1149-4F0E-83CD-F628F15D6F84}"/>
    <cellStyle name="Millares 2 17 7 4" xfId="2933" xr:uid="{B3DE5778-B34D-4D70-9A59-B9170E7AD376}"/>
    <cellStyle name="Millares 2 17 8" xfId="1102" xr:uid="{730E8285-0364-437C-9F84-D6DBCE6A039B}"/>
    <cellStyle name="Millares 2 17 8 2" xfId="3883" xr:uid="{8CA91EA8-6EB4-4372-B520-837B8EF55B19}"/>
    <cellStyle name="Millares 2 17 9" xfId="1727" xr:uid="{1B1FD701-541E-4E9A-B5A8-CFAA3046B1F3}"/>
    <cellStyle name="Millares 2 17 9 2" xfId="3332" xr:uid="{B92AADFE-4D2E-4FC8-9D4D-8BC61DDC300E}"/>
    <cellStyle name="Millares 2 18" xfId="282" xr:uid="{67726DC1-DAE6-469D-962B-36CFDD13B303}"/>
    <cellStyle name="Millares 2 19" xfId="296" xr:uid="{A1306551-8DB1-4B11-A44A-30F20D022668}"/>
    <cellStyle name="Millares 2 19 10" xfId="2396" xr:uid="{0B04C5D1-FFFC-4503-995E-B45EF705BAE3}"/>
    <cellStyle name="Millares 2 19 10 2" xfId="4018" xr:uid="{10CD4C8F-F315-4776-B569-2F6440A7D582}"/>
    <cellStyle name="Millares 2 19 11" xfId="4408" xr:uid="{730EF579-B147-4201-A6B4-D8CA4A14790F}"/>
    <cellStyle name="Millares 2 19 12" xfId="2793" xr:uid="{211B3AD5-657A-43EA-8F52-32BF6B43A3AA}"/>
    <cellStyle name="Millares 2 19 2" xfId="350" xr:uid="{C92F1580-E3F7-4C55-AF45-455D3616D774}"/>
    <cellStyle name="Millares 2 19 2 2" xfId="846" xr:uid="{72F7A7BC-9807-4363-874A-58036E7F5E17}"/>
    <cellStyle name="Millares 2 19 2 2 2" xfId="2167" xr:uid="{2E7E7FB9-9144-430D-953A-5935FFD4E4A6}"/>
    <cellStyle name="Millares 2 19 2 2 2 2" xfId="3763" xr:uid="{6057CC19-0E20-4BCD-8B61-2A8A023FDD23}"/>
    <cellStyle name="Millares 2 19 2 2 3" xfId="2715" xr:uid="{75065AE1-19B3-45FC-A2DB-B4DF91B39707}"/>
    <cellStyle name="Millares 2 19 2 2 3 2" xfId="4337" xr:uid="{B6107CC1-6033-478A-B778-B7EEC584D6EF}"/>
    <cellStyle name="Millares 2 19 2 2 4" xfId="1620" xr:uid="{36FF3143-AC4F-4A43-A5CB-6FD296CD1E2D}"/>
    <cellStyle name="Millares 2 19 2 2 5" xfId="3219" xr:uid="{97FF6F70-3DDC-4661-846E-B4F737F4F3CC}"/>
    <cellStyle name="Millares 2 19 2 3" xfId="976" xr:uid="{5FB24149-75BC-4DCB-8E46-93E328787BDB}"/>
    <cellStyle name="Millares 2 19 2 3 2" xfId="1924" xr:uid="{4B4686CB-3575-471E-BEBA-10F63CBA1E38}"/>
    <cellStyle name="Millares 2 19 2 3 2 2" xfId="3520" xr:uid="{4F4A999D-F5AF-413F-A0AA-1470CD913237}"/>
    <cellStyle name="Millares 2 19 2 3 3" xfId="1380" xr:uid="{39B2308C-F16C-4180-BFEF-36F4CBC311F3}"/>
    <cellStyle name="Millares 2 19 2 3 4" xfId="2979" xr:uid="{305EB5F0-22E4-4411-8C6F-7A076ED9EE6E}"/>
    <cellStyle name="Millares 2 19 2 4" xfId="1158" xr:uid="{B1590DC9-6968-44E9-A8A7-3511DB2AAE19}"/>
    <cellStyle name="Millares 2 19 2 4 2" xfId="3938" xr:uid="{0845724A-4AA0-41AF-AF2A-E37E47C5EFFD}"/>
    <cellStyle name="Millares 2 19 2 5" xfId="1778" xr:uid="{D98B5FF9-9B34-4ADB-BFB6-D3E3D0F2A40C}"/>
    <cellStyle name="Millares 2 19 2 5 2" xfId="3387" xr:uid="{7DFB2426-CDB6-4C2C-8B49-9D2FD75147BD}"/>
    <cellStyle name="Millares 2 19 2 6" xfId="2449" xr:uid="{8A337FC2-37C6-478F-BC43-83BB3F12A477}"/>
    <cellStyle name="Millares 2 19 2 6 2" xfId="4071" xr:uid="{9312FADA-42A8-48A6-B3DF-50CB1861652D}"/>
    <cellStyle name="Millares 2 19 2 7" xfId="4461" xr:uid="{549FB96F-D7E3-449E-8A99-5444DED92BC3}"/>
    <cellStyle name="Millares 2 19 2 8" xfId="2846" xr:uid="{EE20F9C9-4393-4146-A27A-234CF25344E0}"/>
    <cellStyle name="Millares 2 19 3" xfId="648" xr:uid="{B3DA6F32-CB7F-4789-9510-A6655343A2C3}"/>
    <cellStyle name="Millares 2 19 3 2" xfId="1974" xr:uid="{E0B3158B-2AB8-4EA7-8E24-865B5201B386}"/>
    <cellStyle name="Millares 2 19 3 2 2" xfId="3570" xr:uid="{C95EB0FC-C185-472A-A224-E43AFB952CB6}"/>
    <cellStyle name="Millares 2 19 3 3" xfId="2518" xr:uid="{F015A8E6-88F1-4222-9526-88226DC18082}"/>
    <cellStyle name="Millares 2 19 3 3 2" xfId="4140" xr:uid="{ABA88621-33F4-467E-8DA3-ED289672D857}"/>
    <cellStyle name="Millares 2 19 3 4" xfId="1430" xr:uid="{8289C934-7E1E-46A7-96B7-14D08F0001D1}"/>
    <cellStyle name="Millares 2 19 3 5" xfId="3029" xr:uid="{32831576-1195-40F0-A0B8-CBA5F585557E}"/>
    <cellStyle name="Millares 2 19 4" xfId="692" xr:uid="{1CEB4D73-795A-4465-B73D-27110B4C99F1}"/>
    <cellStyle name="Millares 2 19 4 2" xfId="2015" xr:uid="{9FA865DC-2A24-4BD7-A1A8-B4FBF3DBEDF8}"/>
    <cellStyle name="Millares 2 19 4 2 2" xfId="3611" xr:uid="{F56EA4AB-9EDC-4ABD-8A23-EEB809E55C07}"/>
    <cellStyle name="Millares 2 19 4 3" xfId="2562" xr:uid="{D41B0816-F94A-4A2A-BBE2-8FEDDF045D29}"/>
    <cellStyle name="Millares 2 19 4 3 2" xfId="4184" xr:uid="{24F0902F-3726-4079-888F-C8F082F3C87F}"/>
    <cellStyle name="Millares 2 19 4 4" xfId="1471" xr:uid="{1B8168DA-A64B-452E-BA2B-833C53CF9A1A}"/>
    <cellStyle name="Millares 2 19 4 5" xfId="3070" xr:uid="{56ACB812-FE97-4E2E-A164-9FC23BD23EDC}"/>
    <cellStyle name="Millares 2 19 5" xfId="740" xr:uid="{1DD479AC-ADD9-4DAF-8A42-BBC9060867A5}"/>
    <cellStyle name="Millares 2 19 5 2" xfId="2061" xr:uid="{9D4E010D-8772-43F8-B16B-3C27306D814E}"/>
    <cellStyle name="Millares 2 19 5 2 2" xfId="3657" xr:uid="{F4A012AF-B726-4EF6-9FBA-B6F33C9F5B32}"/>
    <cellStyle name="Millares 2 19 5 3" xfId="2611" xr:uid="{888E61AF-74E1-4A5D-B821-65379DF7BDA6}"/>
    <cellStyle name="Millares 2 19 5 3 2" xfId="4233" xr:uid="{951EDC00-2396-4080-B034-8FA6D2AAC7A8}"/>
    <cellStyle name="Millares 2 19 5 4" xfId="1517" xr:uid="{008F8042-F6BC-4044-A55C-2A3C5863BF32}"/>
    <cellStyle name="Millares 2 19 5 5" xfId="3116" xr:uid="{9003830A-AEBD-4782-A806-53317FC6565E}"/>
    <cellStyle name="Millares 2 19 6" xfId="798" xr:uid="{3CD375B5-B836-4A4F-89C4-52C596C9B786}"/>
    <cellStyle name="Millares 2 19 6 2" xfId="2119" xr:uid="{4F12776C-1CCB-40A9-89ED-44F89E3DE36A}"/>
    <cellStyle name="Millares 2 19 6 2 2" xfId="3715" xr:uid="{7AFE8EF0-10B1-433D-8E71-D343C961B1E1}"/>
    <cellStyle name="Millares 2 19 6 3" xfId="2667" xr:uid="{DAAA1B04-9AED-4186-9881-37FEB93535A6}"/>
    <cellStyle name="Millares 2 19 6 3 2" xfId="4289" xr:uid="{BC33CB2E-EACE-40FD-BDEB-CDB7756E3CA4}"/>
    <cellStyle name="Millares 2 19 6 4" xfId="1572" xr:uid="{7B7F1ECA-5E3B-4314-AB48-1AD4C3317B18}"/>
    <cellStyle name="Millares 2 19 6 5" xfId="3171" xr:uid="{D4D4B5EB-09B0-414C-AB3E-866CF8972F82}"/>
    <cellStyle name="Millares 2 19 7" xfId="923" xr:uid="{F21F06E7-8DD8-42A4-A3A2-8B7B96073D62}"/>
    <cellStyle name="Millares 2 19 7 2" xfId="1880" xr:uid="{C9E34D36-6B15-4100-B48D-96B2148FB3CD}"/>
    <cellStyle name="Millares 2 19 7 2 2" xfId="3476" xr:uid="{31680F43-2E03-4FC0-A59C-969075F9B8D6}"/>
    <cellStyle name="Millares 2 19 7 3" xfId="1336" xr:uid="{02FE95DA-E239-40C5-874F-48853F939CA2}"/>
    <cellStyle name="Millares 2 19 7 4" xfId="2935" xr:uid="{2314B2EA-4FFE-436A-AED1-1C8642091073}"/>
    <cellStyle name="Millares 2 19 8" xfId="1105" xr:uid="{2345A32D-12B5-4282-8E2A-7D21CF1C98A7}"/>
    <cellStyle name="Millares 2 19 8 2" xfId="3885" xr:uid="{3E5FD171-F731-44EB-B38B-63063A8D0AFE}"/>
    <cellStyle name="Millares 2 19 9" xfId="1730" xr:uid="{08A16827-7B81-486C-BB0C-25CE6515B140}"/>
    <cellStyle name="Millares 2 19 9 2" xfId="3334" xr:uid="{5A9ED6A4-08BC-42BD-BA22-EF4B1ABDF8C3}"/>
    <cellStyle name="Millares 2 2" xfId="55" xr:uid="{9B152ADC-4099-4BA9-97A8-673D8955A164}"/>
    <cellStyle name="Millares 2 2 10" xfId="476" xr:uid="{CFE35A66-E992-4AC5-BDEC-50B66828F285}"/>
    <cellStyle name="Millares 2 2 10 2" xfId="866" xr:uid="{D7E08405-0B21-4A64-80DA-C3424A6C13DC}"/>
    <cellStyle name="Millares 2 2 10 3" xfId="653" xr:uid="{78716C3A-D1E6-4D6A-9A66-C84B8C01A5A2}"/>
    <cellStyle name="Millares 2 2 10 3 2" xfId="1984" xr:uid="{E809799E-E887-4F3B-B27E-D5ED12C89F3F}"/>
    <cellStyle name="Millares 2 2 10 3 2 2" xfId="3580" xr:uid="{775CE78B-C1C1-4D61-95D2-48E647B23C22}"/>
    <cellStyle name="Millares 2 2 10 3 3" xfId="1440" xr:uid="{BA6268DB-F54A-464E-8478-02B05D242D06}"/>
    <cellStyle name="Millares 2 2 10 3 4" xfId="3039" xr:uid="{D91BA28D-886C-4552-A71B-26F6EE5D9767}"/>
    <cellStyle name="Millares 2 2 10 4" xfId="2523" xr:uid="{5E2E64CA-71E6-4B30-9FD7-55D3F3096A59}"/>
    <cellStyle name="Millares 2 2 10 4 2" xfId="4145" xr:uid="{AD013C78-A1A9-4962-B166-94F4787726D9}"/>
    <cellStyle name="Millares 2 2 11" xfId="702" xr:uid="{11976003-4521-4CF5-9C2D-A2F8490AB355}"/>
    <cellStyle name="Millares 2 2 11 2" xfId="1479" xr:uid="{7E56AC5F-2D3F-4F3A-B989-84188350FF35}"/>
    <cellStyle name="Millares 2 2 11 2 2" xfId="2311" xr:uid="{B6474C26-BCFC-4255-8FAA-079C2D468216}"/>
    <cellStyle name="Millares 2 2 11 2 3" xfId="3078" xr:uid="{4BF2D57E-ABD4-418F-A092-571B162503B0}"/>
    <cellStyle name="Millares 2 2 11 3" xfId="2023" xr:uid="{D1CD7934-A873-4543-8CFA-61C8D20E007E}"/>
    <cellStyle name="Millares 2 2 11 3 2" xfId="3619" xr:uid="{0BC09CBE-7A05-4F96-B57B-5F86248BCA38}"/>
    <cellStyle name="Millares 2 2 11 4" xfId="2573" xr:uid="{967F7667-285D-46C9-A64B-32DD7C07B1A4}"/>
    <cellStyle name="Millares 2 2 11 4 2" xfId="4195" xr:uid="{5F9CA830-3C91-4337-BED2-D05D2BA672C5}"/>
    <cellStyle name="Millares 2 2 11 5" xfId="1251" xr:uid="{035C4BFF-FBA4-4386-88F7-5E79BBC4E8B8}"/>
    <cellStyle name="Millares 2 2 12" xfId="796" xr:uid="{09006D2C-7C71-4375-B2EA-79E6BC9E7128}"/>
    <cellStyle name="Millares 2 2 12 2" xfId="2286" xr:uid="{6FB72FB5-0BC7-4082-B62F-BB911A16E543}"/>
    <cellStyle name="Millares 2 2 12 2 2" xfId="3847" xr:uid="{BA85310E-92AF-4DE3-904F-25A6550A917C}"/>
    <cellStyle name="Millares 2 2 12 3" xfId="2117" xr:uid="{D2B214D6-128E-4FBD-B348-CAFEFDBCB6E2}"/>
    <cellStyle name="Millares 2 2 12 3 2" xfId="3713" xr:uid="{1614A8C3-54CE-4CFA-A2D8-77643476CD61}"/>
    <cellStyle name="Millares 2 2 12 4" xfId="2665" xr:uid="{DD0A51F0-83EE-4C12-8318-7E0FC2EF752F}"/>
    <cellStyle name="Millares 2 2 12 4 2" xfId="4287" xr:uid="{B52A25A4-2B92-46F9-9F83-02350ED36D1E}"/>
    <cellStyle name="Millares 2 2 12 5" xfId="1189" xr:uid="{A025723D-5489-493B-BFC5-362AD70B18F4}"/>
    <cellStyle name="Millares 2 2 12 6" xfId="2755" xr:uid="{DED86C42-4BFC-43EF-B8E7-D976D545D69C}"/>
    <cellStyle name="Millares 2 2 13" xfId="885" xr:uid="{6853CC35-6424-4148-8C26-308D5E71DA31}"/>
    <cellStyle name="Millares 2 2 13 2" xfId="1851" xr:uid="{DDFE0497-63C2-4EC7-B2E3-82B9040982FF}"/>
    <cellStyle name="Millares 2 2 13 2 2" xfId="3447" xr:uid="{1F6421D6-1728-48CD-9177-2FD05295E45B}"/>
    <cellStyle name="Millares 2 2 13 3" xfId="1306" xr:uid="{1814C201-70A1-48AB-A5C3-A57148CFE982}"/>
    <cellStyle name="Millares 2 2 13 4" xfId="2906" xr:uid="{E830903F-3538-41FE-A92A-235DB5224B3F}"/>
    <cellStyle name="Millares 2 2 14" xfId="1039" xr:uid="{BDC834C3-8D37-461F-8049-C317C81B9BC9}"/>
    <cellStyle name="Millares 2 2 14 2" xfId="2249" xr:uid="{97C887E1-F8A5-4643-9E06-8360CCA9B04E}"/>
    <cellStyle name="Millares 2 2 15" xfId="1686" xr:uid="{4824979B-9B06-46FF-B792-3386BBBBD35C}"/>
    <cellStyle name="Millares 2 2 15 2" xfId="3296" xr:uid="{33764474-938B-4341-BE8E-5F408DED76E0}"/>
    <cellStyle name="Millares 2 2 16" xfId="2357" xr:uid="{04BF6C18-E87B-454A-874A-7DD897C533F2}"/>
    <cellStyle name="Millares 2 2 16 2" xfId="3979" xr:uid="{D8738BB9-906E-4027-B626-B569F9C84544}"/>
    <cellStyle name="Millares 2 2 17" xfId="1030" xr:uid="{F0A7D23B-5D68-48B1-A663-5F14FE849F6D}"/>
    <cellStyle name="Millares 2 2 17 2" xfId="4370" xr:uid="{8CE65C01-380F-4F6B-AA63-FED7B8F7302A}"/>
    <cellStyle name="Millares 2 2 2" xfId="79" xr:uid="{7536FBF3-501A-4F84-946F-105384FC0529}"/>
    <cellStyle name="Millares 2 2 2 10" xfId="1700" xr:uid="{346622BE-9047-4407-AC96-C06CCC471BA5}"/>
    <cellStyle name="Millares 2 2 2 10 2" xfId="3310" xr:uid="{D8CEA4FA-DEED-46C1-8C58-1B9AB229F0B0}"/>
    <cellStyle name="Millares 2 2 2 11" xfId="2371" xr:uid="{CE908076-5576-42C1-90C7-7754AAC367B7}"/>
    <cellStyle name="Millares 2 2 2 11 2" xfId="3993" xr:uid="{8190F9AB-5AE6-4457-B3CF-3857F95D593F}"/>
    <cellStyle name="Millares 2 2 2 12" xfId="4384" xr:uid="{A2F9A734-7BF9-4D31-9C8B-28B6C2BC9E7D}"/>
    <cellStyle name="Millares 2 2 2 13" xfId="2769" xr:uid="{CA4F928B-CE18-43F9-886F-BF0F820EA780}"/>
    <cellStyle name="Millares 2 2 2 2" xfId="326" xr:uid="{7892833E-BD30-4D1D-A952-BB28CDA538FD}"/>
    <cellStyle name="Millares 2 2 2 2 2" xfId="822" xr:uid="{6790907E-2635-4B2D-BB7A-CB74A4975828}"/>
    <cellStyle name="Millares 2 2 2 2 2 2" xfId="2143" xr:uid="{66BE3233-0EAC-46A0-AF72-33651279A64E}"/>
    <cellStyle name="Millares 2 2 2 2 2 2 2" xfId="3739" xr:uid="{EFBE9337-D628-42DE-9B26-6D1B55149996}"/>
    <cellStyle name="Millares 2 2 2 2 2 3" xfId="2691" xr:uid="{19688447-391C-4397-AC36-33921F0734E4}"/>
    <cellStyle name="Millares 2 2 2 2 2 3 2" xfId="4313" xr:uid="{06E32696-5D19-418A-AE99-9D73F0600A0A}"/>
    <cellStyle name="Millares 2 2 2 2 2 4" xfId="1596" xr:uid="{FDB2E8C4-8EB1-4481-8EE5-7F91253CF430}"/>
    <cellStyle name="Millares 2 2 2 2 2 5" xfId="3195" xr:uid="{D99C0C99-0F17-4B4B-8ECC-1545DB1EA040}"/>
    <cellStyle name="Millares 2 2 2 2 3" xfId="952" xr:uid="{8DFB280A-C06D-4C02-AC9B-0A878A3C2652}"/>
    <cellStyle name="Millares 2 2 2 2 3 2" xfId="1900" xr:uid="{49B5A388-EC2B-46D8-BB61-6A5929FCC2F8}"/>
    <cellStyle name="Millares 2 2 2 2 3 2 2" xfId="3496" xr:uid="{26AE180A-CFF6-4560-95F7-A81A63191E48}"/>
    <cellStyle name="Millares 2 2 2 2 3 3" xfId="1356" xr:uid="{D410246E-48A6-4501-9F28-2DF10D4F47A4}"/>
    <cellStyle name="Millares 2 2 2 2 3 4" xfId="2955" xr:uid="{9DA75499-0A94-42F6-8779-1D1BF69A2F3F}"/>
    <cellStyle name="Millares 2 2 2 2 4" xfId="1134" xr:uid="{0EFC7794-992C-4B03-B64B-BEB6B455E5DF}"/>
    <cellStyle name="Millares 2 2 2 2 4 2" xfId="3914" xr:uid="{C4DD821B-BA65-4DA5-8062-BEE90F7B0BFF}"/>
    <cellStyle name="Millares 2 2 2 2 5" xfId="1755" xr:uid="{BBCCB873-C070-412C-8CAE-559B2B06BCEC}"/>
    <cellStyle name="Millares 2 2 2 2 5 2" xfId="3363" xr:uid="{0BBDADE5-BD01-4D63-BC44-C278C4BFF271}"/>
    <cellStyle name="Millares 2 2 2 2 6" xfId="2425" xr:uid="{BB152D73-8D32-4D65-BD86-E5B89BC229A3}"/>
    <cellStyle name="Millares 2 2 2 2 6 2" xfId="4047" xr:uid="{171B3CF0-4D52-481F-A844-8AF8F5AA27D2}"/>
    <cellStyle name="Millares 2 2 2 2 7" xfId="4437" xr:uid="{CD491778-7187-44C7-AEC4-F1879910EB1E}"/>
    <cellStyle name="Millares 2 2 2 2 8" xfId="2822" xr:uid="{C9C5BCE0-2746-4A3C-B7F4-566081E9005C}"/>
    <cellStyle name="Millares 2 2 2 3" xfId="598" xr:uid="{3815C72D-7E0D-4002-83BB-A437113DB683}"/>
    <cellStyle name="Millares 2 2 2 3 2" xfId="878" xr:uid="{3597665D-0F39-448D-AB73-DF51199219C7}"/>
    <cellStyle name="Millares 2 2 2 3 3" xfId="628" xr:uid="{9C435C66-AC08-4123-9D51-089B4F77EAB6}"/>
    <cellStyle name="Millares 2 2 2 3 3 2" xfId="1946" xr:uid="{C35DAB2D-6E40-4E74-9917-8A15978AC9FE}"/>
    <cellStyle name="Millares 2 2 2 3 3 2 2" xfId="3542" xr:uid="{070473DA-4F46-4330-AD87-400C2B87DF0C}"/>
    <cellStyle name="Millares 2 2 2 3 3 3" xfId="1402" xr:uid="{C170DEF0-8BCE-46B6-97A8-C62D851FF6E3}"/>
    <cellStyle name="Millares 2 2 2 3 3 4" xfId="3001" xr:uid="{6149A09A-EBBD-4720-8622-31A080C4775B}"/>
    <cellStyle name="Millares 2 2 2 3 4" xfId="2498" xr:uid="{436B2DCE-0CB3-4789-96A0-681B93E264AB}"/>
    <cellStyle name="Millares 2 2 2 3 4 2" xfId="4120" xr:uid="{75CD1FFE-3AD3-41C8-99CA-D3B7A8E69C41}"/>
    <cellStyle name="Millares 2 2 2 4" xfId="667" xr:uid="{72E226C2-7670-4830-9CA2-CCCA2F4DF361}"/>
    <cellStyle name="Millares 2 2 2 4 2" xfId="1994" xr:uid="{3E8D5055-7A9A-43AB-9167-E9D60FD616E8}"/>
    <cellStyle name="Millares 2 2 2 4 2 2" xfId="3590" xr:uid="{7207F6B2-083D-48A3-8404-042D7007D7BC}"/>
    <cellStyle name="Millares 2 2 2 4 3" xfId="2537" xr:uid="{C08421A4-211C-46E8-A741-240CAC20AD2E}"/>
    <cellStyle name="Millares 2 2 2 4 3 2" xfId="4159" xr:uid="{A5BC2FFD-6F4E-47B0-9EAF-392A6DF638AC}"/>
    <cellStyle name="Millares 2 2 2 4 4" xfId="1450" xr:uid="{D29092F8-028C-45EE-961C-F0A460C085BC}"/>
    <cellStyle name="Millares 2 2 2 4 5" xfId="3049" xr:uid="{FDDE87E4-D462-445D-B9A4-98E340D04F5F}"/>
    <cellStyle name="Millares 2 2 2 5" xfId="716" xr:uid="{598DAB50-514D-47D5-8D7C-D3F6C1126E1C}"/>
    <cellStyle name="Millares 2 2 2 5 2" xfId="2037" xr:uid="{AB4ABBA4-C977-4088-81D4-EF7CB5DCB1F5}"/>
    <cellStyle name="Millares 2 2 2 5 2 2" xfId="3633" xr:uid="{18B9053A-9BC8-4140-8EF5-7EB3F40A683D}"/>
    <cellStyle name="Millares 2 2 2 5 3" xfId="2587" xr:uid="{100ECE5C-F42B-45AF-8870-1E349F0D8FD2}"/>
    <cellStyle name="Millares 2 2 2 5 3 2" xfId="4209" xr:uid="{4AE94DD0-EFC8-41DF-AFA8-00D0B59F9A99}"/>
    <cellStyle name="Millares 2 2 2 5 4" xfId="1493" xr:uid="{50311820-D9EB-4D09-8A7E-9D930B175CCA}"/>
    <cellStyle name="Millares 2 2 2 5 5" xfId="3092" xr:uid="{9E764F86-A253-4ED2-BFC7-0B2E756CE564}"/>
    <cellStyle name="Millares 2 2 2 6" xfId="786" xr:uid="{2F901A85-EDCF-4DD5-A013-D37433FFA7A9}"/>
    <cellStyle name="Millares 2 2 2 7" xfId="795" xr:uid="{BA50CCC0-26FF-4BEE-8419-B2BFEBFF0C3D}"/>
    <cellStyle name="Millares 2 2 2 7 2" xfId="2116" xr:uid="{A9CD3608-78FC-4E3E-90BC-0F02F5EE3FB3}"/>
    <cellStyle name="Millares 2 2 2 7 2 2" xfId="3712" xr:uid="{5D7D18F7-078D-48C5-A6B3-0B58545DEF3D}"/>
    <cellStyle name="Millares 2 2 2 7 3" xfId="2664" xr:uid="{C29380E1-C71D-456A-B642-B39CF6A2EB46}"/>
    <cellStyle name="Millares 2 2 2 7 3 2" xfId="4286" xr:uid="{378AA816-905E-4BF1-8407-1EAACBECA6E0}"/>
    <cellStyle name="Millares 2 2 2 7 4" xfId="1570" xr:uid="{4148CAE3-B455-48D4-9F3E-AFAC89884BC0}"/>
    <cellStyle name="Millares 2 2 2 7 5" xfId="3169" xr:uid="{02627190-85EB-48E4-971E-117F2AFF8E2B}"/>
    <cellStyle name="Millares 2 2 2 8" xfId="899" xr:uid="{A21B3D16-6383-4079-8057-938B58E5967A}"/>
    <cellStyle name="Millares 2 2 2 8 2" xfId="1861" xr:uid="{D8FF6066-CA2D-4A9E-BDBD-0EFF9C336E86}"/>
    <cellStyle name="Millares 2 2 2 8 2 2" xfId="3457" xr:uid="{A8520194-7A6B-46E0-AFCA-C4257F4F4D04}"/>
    <cellStyle name="Millares 2 2 2 8 3" xfId="1316" xr:uid="{25D4AA21-142A-45A0-9C00-B2B7EBFB69CE}"/>
    <cellStyle name="Millares 2 2 2 8 4" xfId="2916" xr:uid="{79D8A9E4-783F-4012-9197-C0E84F3F4001}"/>
    <cellStyle name="Millares 2 2 2 9" xfId="1056" xr:uid="{02123D75-4325-4FAA-9729-BFE63A1D1CFA}"/>
    <cellStyle name="Millares 2 2 2 9 2" xfId="3861" xr:uid="{C1D37565-BA24-47B0-AA94-EF37C4B311C2}"/>
    <cellStyle name="Millares 2 2 3" xfId="148" xr:uid="{058037EA-8735-4FB5-A2A7-C288B7AD3DED}"/>
    <cellStyle name="Millares 2 2 3 10" xfId="2386" xr:uid="{21F20A1E-E05C-40F9-9AA1-EDAF3456E0E5}"/>
    <cellStyle name="Millares 2 2 3 10 2" xfId="4008" xr:uid="{87FC98CB-12C3-4F6E-B9C3-6FFD465D8E71}"/>
    <cellStyle name="Millares 2 2 3 11" xfId="4399" xr:uid="{2AEC4FB7-B5B2-499C-8621-5B917EE2619C}"/>
    <cellStyle name="Millares 2 2 3 12" xfId="2784" xr:uid="{7A508423-A013-4F43-ABBA-F0A2EFA4956A}"/>
    <cellStyle name="Millares 2 2 3 2" xfId="341" xr:uid="{C6EE89EE-217C-4249-8FA4-96DCB364C4D2}"/>
    <cellStyle name="Millares 2 2 3 2 2" xfId="837" xr:uid="{A196B323-9C5D-4786-A7F8-F00D4D23AC5C}"/>
    <cellStyle name="Millares 2 2 3 2 2 2" xfId="2158" xr:uid="{BD199299-AA64-4703-932E-13B10AD53123}"/>
    <cellStyle name="Millares 2 2 3 2 2 2 2" xfId="3754" xr:uid="{79D26F06-A7ED-400F-8A19-D82D3188E70B}"/>
    <cellStyle name="Millares 2 2 3 2 2 3" xfId="2706" xr:uid="{F899FF15-C3EE-412C-A0DD-CB83F3F969D6}"/>
    <cellStyle name="Millares 2 2 3 2 2 3 2" xfId="4328" xr:uid="{15C2AFCF-F127-49C9-B51D-7B397F5FC65D}"/>
    <cellStyle name="Millares 2 2 3 2 2 4" xfId="1611" xr:uid="{BFC58352-DD71-4F2F-B146-35942030496B}"/>
    <cellStyle name="Millares 2 2 3 2 2 5" xfId="3210" xr:uid="{FA33C4E9-A928-4B30-BFDB-8129CB98E94D}"/>
    <cellStyle name="Millares 2 2 3 2 3" xfId="967" xr:uid="{657C773A-2A60-4A30-8CB6-A49A3742468E}"/>
    <cellStyle name="Millares 2 2 3 2 3 2" xfId="1915" xr:uid="{310A5058-E896-4190-84DB-6D7D675167C7}"/>
    <cellStyle name="Millares 2 2 3 2 3 2 2" xfId="3511" xr:uid="{3556C1C6-96B6-4F21-8FC3-83E122F6CEE0}"/>
    <cellStyle name="Millares 2 2 3 2 3 3" xfId="1371" xr:uid="{D7B96300-EA79-4479-937A-64485B11FB3F}"/>
    <cellStyle name="Millares 2 2 3 2 3 4" xfId="2970" xr:uid="{A872D5DE-28C0-4271-97D3-CF673567C5C7}"/>
    <cellStyle name="Millares 2 2 3 2 4" xfId="1149" xr:uid="{40B4D92C-46EC-4417-A8A4-2310D45F47EF}"/>
    <cellStyle name="Millares 2 2 3 2 4 2" xfId="3929" xr:uid="{95E6430F-AC54-4F2C-AC1E-ED4345BB2772}"/>
    <cellStyle name="Millares 2 2 3 2 5" xfId="1769" xr:uid="{05A3AB98-08E9-449D-B00B-3EF9021C9E88}"/>
    <cellStyle name="Millares 2 2 3 2 5 2" xfId="3378" xr:uid="{C9442EDE-C058-45BE-B0A6-C1E479C9FC64}"/>
    <cellStyle name="Millares 2 2 3 2 6" xfId="2440" xr:uid="{D77B0C1C-2EF2-457D-AC75-A9CB33D5ECDA}"/>
    <cellStyle name="Millares 2 2 3 2 6 2" xfId="4062" xr:uid="{D89B4640-32FF-4E71-A4C5-4C494992E46E}"/>
    <cellStyle name="Millares 2 2 3 2 7" xfId="4452" xr:uid="{D61F6E68-7DCB-45B2-9976-712CC89F7289}"/>
    <cellStyle name="Millares 2 2 3 2 8" xfId="2837" xr:uid="{84CA21B4-113B-4F8A-B631-06628E6A9E28}"/>
    <cellStyle name="Millares 2 2 3 3" xfId="633" xr:uid="{BEA6D763-2D69-4416-B930-E2E7C232C92B}"/>
    <cellStyle name="Millares 2 2 3 3 2" xfId="1952" xr:uid="{DBED7780-6E3A-43ED-BF65-65D11F806135}"/>
    <cellStyle name="Millares 2 2 3 3 2 2" xfId="3548" xr:uid="{BA9783D0-C2D5-485A-A2E0-659517129EF0}"/>
    <cellStyle name="Millares 2 2 3 3 3" xfId="2503" xr:uid="{694B6A40-B561-474D-8BF4-0EDCC3D632BB}"/>
    <cellStyle name="Millares 2 2 3 3 3 2" xfId="4125" xr:uid="{05DB0DBF-25FC-47C8-9467-0D8955CB5354}"/>
    <cellStyle name="Millares 2 2 3 3 4" xfId="1408" xr:uid="{1A6BD659-595D-4360-80AA-1F3FBFAE6B46}"/>
    <cellStyle name="Millares 2 2 3 3 5" xfId="3007" xr:uid="{9F8CCC5E-A0CF-4124-90EF-665D906CF44E}"/>
    <cellStyle name="Millares 2 2 3 4" xfId="682" xr:uid="{AC18960C-87F3-4AEB-8F0B-BA4D6340A7F6}"/>
    <cellStyle name="Millares 2 2 3 4 2" xfId="2005" xr:uid="{997DF67E-DC16-4970-8FEF-FA9781E913F1}"/>
    <cellStyle name="Millares 2 2 3 4 2 2" xfId="3601" xr:uid="{7DA5264B-913B-4913-B257-65AD7392E65D}"/>
    <cellStyle name="Millares 2 2 3 4 3" xfId="2552" xr:uid="{EA90814C-E074-479F-8E60-0079C38E5299}"/>
    <cellStyle name="Millares 2 2 3 4 3 2" xfId="4174" xr:uid="{AAF8E055-9808-4B26-870D-B506BB001443}"/>
    <cellStyle name="Millares 2 2 3 4 4" xfId="1461" xr:uid="{A5DE561A-E65A-444F-A16C-6F271A366683}"/>
    <cellStyle name="Millares 2 2 3 4 5" xfId="3060" xr:uid="{6E519B28-2690-4B5C-BCFA-AC6A41DC6CB1}"/>
    <cellStyle name="Millares 2 2 3 5" xfId="731" xr:uid="{62D198CE-31A1-4374-B609-DD40CD489DE0}"/>
    <cellStyle name="Millares 2 2 3 5 2" xfId="2052" xr:uid="{6D723CFB-6EC1-4ACC-AEFE-8FA5CADC2498}"/>
    <cellStyle name="Millares 2 2 3 5 2 2" xfId="3648" xr:uid="{A28A1AB3-14DB-4246-8F1A-8F511A2D24FC}"/>
    <cellStyle name="Millares 2 2 3 5 3" xfId="2602" xr:uid="{BC33484D-BB25-4BB4-805A-141A540992F8}"/>
    <cellStyle name="Millares 2 2 3 5 3 2" xfId="4224" xr:uid="{EFBF820F-700A-46D7-BFF3-9806A24EE051}"/>
    <cellStyle name="Millares 2 2 3 5 4" xfId="1508" xr:uid="{FC044113-8130-49E6-A23B-140ED7A6C903}"/>
    <cellStyle name="Millares 2 2 3 5 5" xfId="3107" xr:uid="{A3405BEC-076C-4030-B5C4-24356E00A481}"/>
    <cellStyle name="Millares 2 2 3 6" xfId="766" xr:uid="{ECDD951F-A0B9-4E0E-8B28-335DE967EE7D}"/>
    <cellStyle name="Millares 2 2 3 6 2" xfId="2087" xr:uid="{4BDF57B6-1300-4CA4-AB9B-F206B764DA80}"/>
    <cellStyle name="Millares 2 2 3 6 2 2" xfId="3683" xr:uid="{4379B8B6-4501-4701-A0EB-BF7A6556A1A5}"/>
    <cellStyle name="Millares 2 2 3 6 3" xfId="2637" xr:uid="{86D29F1B-5BE1-4CBB-A061-8A59890E28C1}"/>
    <cellStyle name="Millares 2 2 3 6 3 2" xfId="4259" xr:uid="{30B2BD43-0ED8-4E08-9945-8864007F0FEB}"/>
    <cellStyle name="Millares 2 2 3 6 4" xfId="1541" xr:uid="{649D5FEA-CE83-4FE7-84BD-5088AA55B6B2}"/>
    <cellStyle name="Millares 2 2 3 6 5" xfId="3140" xr:uid="{6984ADC5-D2AD-456F-B686-C4025688C9C7}"/>
    <cellStyle name="Millares 2 2 3 7" xfId="914" xr:uid="{1F8E52C9-4E46-450B-B6DF-DC52DC52FA06}"/>
    <cellStyle name="Millares 2 2 3 7 2" xfId="1872" xr:uid="{4139C58C-805F-4942-8312-18A5EB8F7556}"/>
    <cellStyle name="Millares 2 2 3 7 2 2" xfId="3468" xr:uid="{51F5B032-5EF3-4C6C-BA35-9C374B4944B2}"/>
    <cellStyle name="Millares 2 2 3 7 3" xfId="1328" xr:uid="{0B06E4C4-C523-4C96-AB03-ED17C5CA9BE4}"/>
    <cellStyle name="Millares 2 2 3 7 4" xfId="2927" xr:uid="{47F2C393-E3C3-497C-BE1B-E47835D4F5B0}"/>
    <cellStyle name="Millares 2 2 3 8" xfId="1092" xr:uid="{888320E8-7698-45D5-AE02-A2C0B662863F}"/>
    <cellStyle name="Millares 2 2 3 8 2" xfId="3876" xr:uid="{E2C0195C-4BE5-4663-8919-884EC08790E3}"/>
    <cellStyle name="Millares 2 2 3 9" xfId="1717" xr:uid="{636BC439-6E95-4CAE-BBD6-C79B6D4033C0}"/>
    <cellStyle name="Millares 2 2 3 9 2" xfId="3325" xr:uid="{72B7AD5F-B7C2-462F-A6B2-3D963B9C80FF}"/>
    <cellStyle name="Millares 2 2 4" xfId="69" xr:uid="{D7320368-DF72-4B6E-B4FC-0408AF46577F}"/>
    <cellStyle name="Millares 2 2 4 10" xfId="2362" xr:uid="{6E3B91A2-02BA-4CFF-BA7E-28D4DB6C1F65}"/>
    <cellStyle name="Millares 2 2 4 10 2" xfId="3984" xr:uid="{4C7809E8-82B2-49B6-9FEE-F39C0DDDB324}"/>
    <cellStyle name="Millares 2 2 4 11" xfId="4375" xr:uid="{5729E85C-917D-47E0-B617-95ED5C5EE966}"/>
    <cellStyle name="Millares 2 2 4 12" xfId="2760" xr:uid="{C095F073-04FD-4806-9CD4-75EB09C2A12F}"/>
    <cellStyle name="Millares 2 2 4 2" xfId="317" xr:uid="{17C680F5-B0CB-4CBB-91B9-09ACBF27814C}"/>
    <cellStyle name="Millares 2 2 4 2 2" xfId="815" xr:uid="{3711E562-948D-4ECF-B138-9FCF0F6AEEDC}"/>
    <cellStyle name="Millares 2 2 4 2 2 2" xfId="2136" xr:uid="{EC58F100-35C5-4989-AF25-7D17615F8959}"/>
    <cellStyle name="Millares 2 2 4 2 2 2 2" xfId="3732" xr:uid="{DF52D561-A163-4502-A3C7-20A90FD7F9C9}"/>
    <cellStyle name="Millares 2 2 4 2 2 3" xfId="2684" xr:uid="{84CF56D4-1F0F-4A3A-83FC-16933D002221}"/>
    <cellStyle name="Millares 2 2 4 2 2 3 2" xfId="4306" xr:uid="{B14D63B5-3532-44B2-8B00-4637CD3BB485}"/>
    <cellStyle name="Millares 2 2 4 2 2 4" xfId="1589" xr:uid="{11FB0429-609B-435C-A6F5-E42205E801AC}"/>
    <cellStyle name="Millares 2 2 4 2 2 5" xfId="3188" xr:uid="{3FED64CF-7227-4314-88EE-FFDA29F42EB7}"/>
    <cellStyle name="Millares 2 2 4 2 3" xfId="943" xr:uid="{E88F06B2-AA84-44CE-8634-08AE4C22242A}"/>
    <cellStyle name="Millares 2 2 4 2 3 2" xfId="1893" xr:uid="{CB51AA20-C790-4183-A20D-B656303FF9F7}"/>
    <cellStyle name="Millares 2 2 4 2 3 2 2" xfId="3489" xr:uid="{3770D4F2-D2FB-4D98-92A4-4A4D2B07B3C9}"/>
    <cellStyle name="Millares 2 2 4 2 3 3" xfId="1349" xr:uid="{3FA65E6C-BC54-4640-836D-A0FEFE1128A5}"/>
    <cellStyle name="Millares 2 2 4 2 3 4" xfId="2948" xr:uid="{D96735AA-C5C5-4577-9837-3A98999D9016}"/>
    <cellStyle name="Millares 2 2 4 2 4" xfId="1125" xr:uid="{5D1814EC-53B1-4AF1-A3B2-B270ECEBB394}"/>
    <cellStyle name="Millares 2 2 4 2 4 2" xfId="3905" xr:uid="{9AA623D1-0229-4D32-BC00-E7A034DC421A}"/>
    <cellStyle name="Millares 2 2 4 2 5" xfId="1748" xr:uid="{2829F391-3BF7-4C1C-B1C7-84DF608C7E87}"/>
    <cellStyle name="Millares 2 2 4 2 5 2" xfId="3354" xr:uid="{641245B9-02BB-4AD7-98B5-0962AD3C0C5F}"/>
    <cellStyle name="Millares 2 2 4 2 6" xfId="2416" xr:uid="{11D3B8D8-1ED8-41A1-97CB-25235CF313C0}"/>
    <cellStyle name="Millares 2 2 4 2 6 2" xfId="4038" xr:uid="{DCAC7B5D-9A42-4AB0-BF39-456E7E18800E}"/>
    <cellStyle name="Millares 2 2 4 2 7" xfId="4428" xr:uid="{62702E02-BF86-45A0-9F12-4009007B30CB}"/>
    <cellStyle name="Millares 2 2 4 2 8" xfId="2813" xr:uid="{017DC1F9-079D-4A63-82A6-9FD24E4A6483}"/>
    <cellStyle name="Millares 2 2 4 3" xfId="641" xr:uid="{0377A296-5797-4AFD-B7F0-D7ABD5DC8243}"/>
    <cellStyle name="Millares 2 2 4 3 2" xfId="1965" xr:uid="{741BEB52-975D-4F9C-B133-A07B85C5BFE5}"/>
    <cellStyle name="Millares 2 2 4 3 2 2" xfId="3561" xr:uid="{923F7CCF-22EC-4DA8-8197-5B4EC9F04DD2}"/>
    <cellStyle name="Millares 2 2 4 3 3" xfId="2511" xr:uid="{052614F9-36F6-4BCD-8200-BE7D109ABCDA}"/>
    <cellStyle name="Millares 2 2 4 3 3 2" xfId="4133" xr:uid="{33B2AEBA-D466-495E-9C0E-7C858A9A1222}"/>
    <cellStyle name="Millares 2 2 4 3 4" xfId="1421" xr:uid="{F8FABCF0-4F8B-4758-AFC4-8BCAF021DAD9}"/>
    <cellStyle name="Millares 2 2 4 3 5" xfId="3020" xr:uid="{12891C1B-63F0-4231-B3F4-A089F2F96AFB}"/>
    <cellStyle name="Millares 2 2 4 4" xfId="658" xr:uid="{39240C87-42FA-415C-B238-FE73A354507B}"/>
    <cellStyle name="Millares 2 2 4 4 2" xfId="1987" xr:uid="{984B5B54-CFDF-4D3D-8158-0F2250952505}"/>
    <cellStyle name="Millares 2 2 4 4 2 2" xfId="3583" xr:uid="{127B6E1F-FB6E-4D44-9772-490780471AE9}"/>
    <cellStyle name="Millares 2 2 4 4 3" xfId="2528" xr:uid="{5A7F434E-91F9-436D-84D8-A7E0665E4DEF}"/>
    <cellStyle name="Millares 2 2 4 4 3 2" xfId="4150" xr:uid="{4665942D-E197-4164-B1F9-5E3940001C27}"/>
    <cellStyle name="Millares 2 2 4 4 4" xfId="1443" xr:uid="{9202EF15-17AC-486A-96F0-448FA2158077}"/>
    <cellStyle name="Millares 2 2 4 4 5" xfId="3042" xr:uid="{FDC56433-7716-43D2-B57E-130DBD3E7EA1}"/>
    <cellStyle name="Millares 2 2 4 5" xfId="707" xr:uid="{F279F7EF-67D4-43B9-9162-54146AC91FCC}"/>
    <cellStyle name="Millares 2 2 4 5 2" xfId="2028" xr:uid="{29578975-D533-4325-AB6F-4DAFB133DB39}"/>
    <cellStyle name="Millares 2 2 4 5 2 2" xfId="3624" xr:uid="{89D9A77C-6F17-48F1-A707-A6D12A381B2E}"/>
    <cellStyle name="Millares 2 2 4 5 3" xfId="2578" xr:uid="{B7B724CE-A175-4853-AC1F-8C3994EB3D07}"/>
    <cellStyle name="Millares 2 2 4 5 3 2" xfId="4200" xr:uid="{C81E94A0-8823-455A-8F2B-AD2037B26556}"/>
    <cellStyle name="Millares 2 2 4 5 4" xfId="1484" xr:uid="{7E03F0F9-FAC6-41C9-BBE3-E4CB2564190F}"/>
    <cellStyle name="Millares 2 2 4 5 5" xfId="3083" xr:uid="{D1EC166F-B9D8-4855-8063-F21865CC3171}"/>
    <cellStyle name="Millares 2 2 4 6" xfId="757" xr:uid="{D05920F5-4762-4456-88FE-3F582416EB16}"/>
    <cellStyle name="Millares 2 2 4 6 2" xfId="2078" xr:uid="{F9DD2141-0530-4442-8561-A17761D7A96B}"/>
    <cellStyle name="Millares 2 2 4 6 2 2" xfId="3674" xr:uid="{76027C9D-C6FE-441D-8C51-5E95511826F1}"/>
    <cellStyle name="Millares 2 2 4 6 3" xfId="2628" xr:uid="{9C68559B-8428-412B-A3A1-045E6DF66187}"/>
    <cellStyle name="Millares 2 2 4 6 3 2" xfId="4250" xr:uid="{CD24F567-BBFD-4EFA-BB40-076D167CCE46}"/>
    <cellStyle name="Millares 2 2 4 6 4" xfId="1532" xr:uid="{35D44CC3-6F2F-4119-BE20-321C2BE45CDF}"/>
    <cellStyle name="Millares 2 2 4 6 5" xfId="3131" xr:uid="{5FF8AC1A-223C-4392-918D-67D98C5544FD}"/>
    <cellStyle name="Millares 2 2 4 7" xfId="890" xr:uid="{C3706E9D-E952-46D3-A4B5-CB743F8A3B99}"/>
    <cellStyle name="Millares 2 2 4 7 2" xfId="1854" xr:uid="{267115D7-4683-42B8-B27D-FF8986B6C56C}"/>
    <cellStyle name="Millares 2 2 4 7 2 2" xfId="3450" xr:uid="{99671583-DD7C-41C6-AAC8-E11B509A70BC}"/>
    <cellStyle name="Millares 2 2 4 7 3" xfId="1309" xr:uid="{1538E22B-918F-4867-BD4E-4458C2F191A3}"/>
    <cellStyle name="Millares 2 2 4 7 4" xfId="2909" xr:uid="{094A7DF6-FC37-437B-96E3-21A3F12943E5}"/>
    <cellStyle name="Millares 2 2 4 8" xfId="1047" xr:uid="{64C53824-A233-46A0-B01E-675A8557E632}"/>
    <cellStyle name="Millares 2 2 4 8 2" xfId="3852" xr:uid="{EA2D84C3-0EB0-4C61-89A9-8321C6B5728C}"/>
    <cellStyle name="Millares 2 2 4 9" xfId="1691" xr:uid="{8DB1CD65-2C81-4A15-971B-120130E66095}"/>
    <cellStyle name="Millares 2 2 4 9 2" xfId="3301" xr:uid="{85BF6AAE-568D-456E-9BE1-98A98E594C42}"/>
    <cellStyle name="Millares 2 2 5" xfId="153" xr:uid="{A588CD85-CECB-446B-B5F0-1DE2A676BD48}"/>
    <cellStyle name="Millares 2 2 5 10" xfId="2391" xr:uid="{9A2FA086-6BEC-45FC-9DA1-DAF126FFAD31}"/>
    <cellStyle name="Millares 2 2 5 10 2" xfId="4013" xr:uid="{7B4DFEDF-8C02-4D2F-AFB3-9F55B42D642E}"/>
    <cellStyle name="Millares 2 2 5 11" xfId="4404" xr:uid="{03757328-C6CD-44D9-88DF-9206C9D934D9}"/>
    <cellStyle name="Millares 2 2 5 12" xfId="2789" xr:uid="{48270BA7-548A-4DDA-8890-203262DA5494}"/>
    <cellStyle name="Millares 2 2 5 2" xfId="346" xr:uid="{61DB3DA7-424A-4B89-8E66-A3031731D979}"/>
    <cellStyle name="Millares 2 2 5 2 2" xfId="842" xr:uid="{15E073A8-ABFD-4249-9218-8B791A2A1072}"/>
    <cellStyle name="Millares 2 2 5 2 2 2" xfId="2163" xr:uid="{B492FB37-6BA7-4C95-858F-14CCBA1FB28D}"/>
    <cellStyle name="Millares 2 2 5 2 2 2 2" xfId="3759" xr:uid="{C38B3538-F1D2-49F5-9D1F-4C8430791082}"/>
    <cellStyle name="Millares 2 2 5 2 2 3" xfId="2711" xr:uid="{864780D2-F3CA-4707-98EE-FAE81A76E3B2}"/>
    <cellStyle name="Millares 2 2 5 2 2 3 2" xfId="4333" xr:uid="{E75BC34D-6F6F-44A4-8E1D-C76831C5FA7E}"/>
    <cellStyle name="Millares 2 2 5 2 2 4" xfId="1616" xr:uid="{E7508E6C-9D7A-4944-BBB1-07E0A3127A7C}"/>
    <cellStyle name="Millares 2 2 5 2 2 5" xfId="3215" xr:uid="{750A170B-38B9-4C43-911D-C12DA1293C1E}"/>
    <cellStyle name="Millares 2 2 5 2 3" xfId="972" xr:uid="{22673265-E013-4511-97DA-D65D4758301F}"/>
    <cellStyle name="Millares 2 2 5 2 3 2" xfId="1920" xr:uid="{48FD9189-3836-440D-BDE6-345690286722}"/>
    <cellStyle name="Millares 2 2 5 2 3 2 2" xfId="3516" xr:uid="{EDC77E75-AA01-4F39-AB0A-1E1D379AF0AD}"/>
    <cellStyle name="Millares 2 2 5 2 3 3" xfId="1376" xr:uid="{FCCD9EE1-2ED0-48F4-B5D9-57AB9D40B853}"/>
    <cellStyle name="Millares 2 2 5 2 3 4" xfId="2975" xr:uid="{43FA0D3F-CEE4-41D3-837E-3A8B0A84819C}"/>
    <cellStyle name="Millares 2 2 5 2 4" xfId="1154" xr:uid="{CD2F9CFA-3317-4373-AA19-B1550F35E647}"/>
    <cellStyle name="Millares 2 2 5 2 4 2" xfId="3934" xr:uid="{D0E36F73-AACA-49E0-A9BE-8152DC1DB682}"/>
    <cellStyle name="Millares 2 2 5 2 5" xfId="1774" xr:uid="{13BA9B63-A33C-4115-9497-66704FEAFA16}"/>
    <cellStyle name="Millares 2 2 5 2 5 2" xfId="3383" xr:uid="{417A2066-21BF-4469-8FD1-F24B8169F3BC}"/>
    <cellStyle name="Millares 2 2 5 2 6" xfId="2445" xr:uid="{2A0963F2-864A-4A8C-91FE-9A84B47974B6}"/>
    <cellStyle name="Millares 2 2 5 2 6 2" xfId="4067" xr:uid="{96D8910C-6F8A-4DF8-B096-B785912E3E07}"/>
    <cellStyle name="Millares 2 2 5 2 7" xfId="4457" xr:uid="{AD2C42A4-DF13-414B-8FBB-8779DAD5111C}"/>
    <cellStyle name="Millares 2 2 5 2 8" xfId="2842" xr:uid="{22707527-4BAE-48E4-918D-4970620D71C6}"/>
    <cellStyle name="Millares 2 2 5 3" xfId="621" xr:uid="{579E7458-7832-46F9-9B5A-13307688CEA2}"/>
    <cellStyle name="Millares 2 2 5 3 2" xfId="1939" xr:uid="{F63CB38F-CD34-4A94-BE9A-A5D3965C600F}"/>
    <cellStyle name="Millares 2 2 5 3 2 2" xfId="3535" xr:uid="{404CF718-E05B-479C-B51B-74BF58A1DEEA}"/>
    <cellStyle name="Millares 2 2 5 3 3" xfId="2491" xr:uid="{0FE279ED-557A-4F3A-9FC8-46EE2D575F4A}"/>
    <cellStyle name="Millares 2 2 5 3 3 2" xfId="4113" xr:uid="{D24B5564-A9DF-4ABD-8215-8B7842E95DF8}"/>
    <cellStyle name="Millares 2 2 5 3 4" xfId="1395" xr:uid="{521F3557-85F4-49CD-8C5D-ACB6ABA8524E}"/>
    <cellStyle name="Millares 2 2 5 3 5" xfId="2994" xr:uid="{D3C30707-8DAA-4791-B5BE-AE24AE522AED}"/>
    <cellStyle name="Millares 2 2 5 4" xfId="687" xr:uid="{9AF09369-0560-4F96-9DD8-EAF63E4E4381}"/>
    <cellStyle name="Millares 2 2 5 4 2" xfId="2010" xr:uid="{3A08772F-5222-4E21-83B4-4E050D908632}"/>
    <cellStyle name="Millares 2 2 5 4 2 2" xfId="3606" xr:uid="{747D2FE4-DFEB-42D2-ABCE-44FCDCA3B1BB}"/>
    <cellStyle name="Millares 2 2 5 4 3" xfId="2557" xr:uid="{B65FF6A8-6AB7-4B08-8C7C-FE54D3F1DE3F}"/>
    <cellStyle name="Millares 2 2 5 4 3 2" xfId="4179" xr:uid="{DABB36F0-C02D-4D5A-A0CC-9F7056B2F4E7}"/>
    <cellStyle name="Millares 2 2 5 4 4" xfId="1466" xr:uid="{79773D77-9A44-4AC0-8522-D750456FE03C}"/>
    <cellStyle name="Millares 2 2 5 4 5" xfId="3065" xr:uid="{5A51DA01-9B8A-496C-BD84-8E2BA011891F}"/>
    <cellStyle name="Millares 2 2 5 5" xfId="736" xr:uid="{4EEB5F26-2C93-42DB-B90A-7B0FEE6F0933}"/>
    <cellStyle name="Millares 2 2 5 5 2" xfId="2057" xr:uid="{9B36AED1-BCC1-4032-9DE9-67B323C3A5C1}"/>
    <cellStyle name="Millares 2 2 5 5 2 2" xfId="3653" xr:uid="{A7DBBF2B-A235-473D-BC63-B8903D53EDF5}"/>
    <cellStyle name="Millares 2 2 5 5 3" xfId="2607" xr:uid="{BAA74226-A2F6-4B56-8C00-9DAA6A3186FE}"/>
    <cellStyle name="Millares 2 2 5 5 3 2" xfId="4229" xr:uid="{60DF0084-E1AD-497C-86FC-051FA9135F9E}"/>
    <cellStyle name="Millares 2 2 5 5 4" xfId="1513" xr:uid="{C403DEB7-AFE6-4FE3-8B7D-8133FAE570D1}"/>
    <cellStyle name="Millares 2 2 5 5 5" xfId="3112" xr:uid="{B98E6ECE-8271-45A7-AED7-C486071DCBD4}"/>
    <cellStyle name="Millares 2 2 5 6" xfId="759" xr:uid="{19F6AF06-1E7B-4872-8F37-547E30E5525D}"/>
    <cellStyle name="Millares 2 2 5 6 2" xfId="2080" xr:uid="{6A8D01F0-AEFA-4629-BF1C-4BCE5E742576}"/>
    <cellStyle name="Millares 2 2 5 6 2 2" xfId="3676" xr:uid="{360ACBD9-B513-4A77-8BB8-6D5558D63CD8}"/>
    <cellStyle name="Millares 2 2 5 6 3" xfId="2630" xr:uid="{43BEDC10-30BF-409E-8DCE-BD0A1711E06C}"/>
    <cellStyle name="Millares 2 2 5 6 3 2" xfId="4252" xr:uid="{1D0C4C97-2C0E-4EE3-B737-EC260B5A4E0A}"/>
    <cellStyle name="Millares 2 2 5 6 4" xfId="1534" xr:uid="{D7278DD6-0526-4097-ACB1-4ACA149D1A01}"/>
    <cellStyle name="Millares 2 2 5 6 5" xfId="3133" xr:uid="{081B4F2E-24A9-4132-BDD9-D580244691FB}"/>
    <cellStyle name="Millares 2 2 5 7" xfId="919" xr:uid="{57B87D2E-5FA2-4E93-B4B6-4D189D44B4A9}"/>
    <cellStyle name="Millares 2 2 5 7 2" xfId="1876" xr:uid="{37CFF1B4-1710-44F9-9C7D-E8A9E712C5A7}"/>
    <cellStyle name="Millares 2 2 5 7 2 2" xfId="3472" xr:uid="{65E90517-6D2C-42AC-94E3-979A4CD97A33}"/>
    <cellStyle name="Millares 2 2 5 7 3" xfId="1332" xr:uid="{5DC8BCF3-E03C-49D4-8A07-561AA9AF8CAE}"/>
    <cellStyle name="Millares 2 2 5 7 4" xfId="2931" xr:uid="{1CE89C68-3804-40DA-8CF1-943C0A289D67}"/>
    <cellStyle name="Millares 2 2 5 8" xfId="1097" xr:uid="{CAE05225-4C1D-44D5-B83D-EDCA742E614A}"/>
    <cellStyle name="Millares 2 2 5 8 2" xfId="3881" xr:uid="{678CF518-B3CB-4C75-AAE0-B56C0204AB90}"/>
    <cellStyle name="Millares 2 2 5 9" xfId="1722" xr:uid="{CCDCD18A-E899-45E5-BB4D-FD1CC2BE286A}"/>
    <cellStyle name="Millares 2 2 5 9 2" xfId="3330" xr:uid="{0FF0CDEB-F486-430E-92B1-4291377E0081}"/>
    <cellStyle name="Millares 2 2 6" xfId="304" xr:uid="{DE0CB4A2-45F7-4857-AE02-7E2BDA7ABC33}"/>
    <cellStyle name="Millares 2 2 6 10" xfId="2403" xr:uid="{838AE633-40C8-4706-ABEA-D63DAECA9642}"/>
    <cellStyle name="Millares 2 2 6 10 2" xfId="4025" xr:uid="{408F2549-2ECC-423A-A18B-D06A72840C66}"/>
    <cellStyle name="Millares 2 2 6 11" xfId="4415" xr:uid="{52609754-8449-4B35-9A26-87030F5194D1}"/>
    <cellStyle name="Millares 2 2 6 12" xfId="2800" xr:uid="{D9DF2C61-2F8A-4392-96AC-B1C3AA1C9593}"/>
    <cellStyle name="Millares 2 2 6 2" xfId="357" xr:uid="{BAB6D9B6-9341-463E-A152-E8DA8AEFEC66}"/>
    <cellStyle name="Millares 2 2 6 2 2" xfId="852" xr:uid="{1DEF8711-220A-4CAD-9944-4D805179F579}"/>
    <cellStyle name="Millares 2 2 6 2 2 2" xfId="2173" xr:uid="{EABF0B39-33B1-4D6F-A0AC-8CF43B603B53}"/>
    <cellStyle name="Millares 2 2 6 2 2 2 2" xfId="3769" xr:uid="{734B5DE9-E3AC-4715-8E2E-8EECCA9323A2}"/>
    <cellStyle name="Millares 2 2 6 2 2 3" xfId="2721" xr:uid="{3FB8C2DE-6C10-4150-9E5E-A26E40385C8D}"/>
    <cellStyle name="Millares 2 2 6 2 2 3 2" xfId="4343" xr:uid="{2A3B905C-4BCE-4660-B044-FAF6DC7881A6}"/>
    <cellStyle name="Millares 2 2 6 2 2 4" xfId="1626" xr:uid="{0F35EB0C-6C86-46F9-8E4D-E69E3629FEB7}"/>
    <cellStyle name="Millares 2 2 6 2 2 5" xfId="3225" xr:uid="{10935661-68B0-44D7-B4B5-CA1CBC841254}"/>
    <cellStyle name="Millares 2 2 6 2 3" xfId="983" xr:uid="{F99BB4AE-FD63-4647-BB68-5053C810BC9F}"/>
    <cellStyle name="Millares 2 2 6 2 3 2" xfId="1930" xr:uid="{8B4D4362-45F6-4CC4-A944-3B562113F806}"/>
    <cellStyle name="Millares 2 2 6 2 3 2 2" xfId="3526" xr:uid="{3C479892-40F1-466B-80DF-3DB52F1199C7}"/>
    <cellStyle name="Millares 2 2 6 2 3 3" xfId="1386" xr:uid="{59571C6B-F532-490E-847B-5571F5AD1F81}"/>
    <cellStyle name="Millares 2 2 6 2 3 4" xfId="2985" xr:uid="{59DB0224-3F8D-408E-A5B4-388072C597D9}"/>
    <cellStyle name="Millares 2 2 6 2 4" xfId="1165" xr:uid="{9657D015-6DFA-441E-A492-648F31EF9DC1}"/>
    <cellStyle name="Millares 2 2 6 2 4 2" xfId="3945" xr:uid="{DEBB869D-8DFD-459A-930B-D774FD748015}"/>
    <cellStyle name="Millares 2 2 6 2 5" xfId="1785" xr:uid="{68194DED-06C4-4642-AB59-D38AC5CF4984}"/>
    <cellStyle name="Millares 2 2 6 2 5 2" xfId="3394" xr:uid="{7CCFA9EE-D03E-492F-B1C7-6B8FD9E7CB3E}"/>
    <cellStyle name="Millares 2 2 6 2 6" xfId="2456" xr:uid="{E997D6A8-451F-46EE-9DFE-7DB591383234}"/>
    <cellStyle name="Millares 2 2 6 2 6 2" xfId="4078" xr:uid="{5A559A9D-154D-41E6-B148-94DFA0F771DA}"/>
    <cellStyle name="Millares 2 2 6 2 7" xfId="4468" xr:uid="{3EA27685-0259-441B-8649-4F9CCFB74BB4}"/>
    <cellStyle name="Millares 2 2 6 2 8" xfId="2853" xr:uid="{2B2A7648-3862-40F4-BE10-80AB6EEE3FA0}"/>
    <cellStyle name="Millares 2 2 6 3" xfId="652" xr:uid="{9B6D7476-3A5B-4FF1-8A14-6BC7210AFE23}"/>
    <cellStyle name="Millares 2 2 6 3 2" xfId="1980" xr:uid="{0CBB797D-175E-4B65-9D5C-EEE435EB90FC}"/>
    <cellStyle name="Millares 2 2 6 3 2 2" xfId="3576" xr:uid="{09EC08EA-9671-4089-89C0-2FD7B6BFBCCD}"/>
    <cellStyle name="Millares 2 2 6 3 3" xfId="2522" xr:uid="{CABF539A-B344-444E-92EF-EF3B128A3040}"/>
    <cellStyle name="Millares 2 2 6 3 3 2" xfId="4144" xr:uid="{AFFEE509-E4F5-4482-AFDC-5654DBD1B491}"/>
    <cellStyle name="Millares 2 2 6 3 4" xfId="1436" xr:uid="{8C6C503B-A604-4370-B03B-FB3811382C07}"/>
    <cellStyle name="Millares 2 2 6 3 5" xfId="3035" xr:uid="{8D7DFD79-5291-4CB0-B2A5-153B41B135BB}"/>
    <cellStyle name="Millares 2 2 6 4" xfId="699" xr:uid="{DAC1706C-9B85-403D-8AD2-50326B2BB20E}"/>
    <cellStyle name="Millares 2 2 6 4 2" xfId="2019" xr:uid="{C2A314DA-D155-41E5-848A-8FBF23800591}"/>
    <cellStyle name="Millares 2 2 6 4 2 2" xfId="3615" xr:uid="{1609957C-3000-4DC2-9EE7-14D47D4BD28D}"/>
    <cellStyle name="Millares 2 2 6 4 3" xfId="2569" xr:uid="{BE89BC9F-F694-4E98-8F3C-64F0469ED69E}"/>
    <cellStyle name="Millares 2 2 6 4 3 2" xfId="4191" xr:uid="{016E6A7B-619E-4F98-BF7E-F0E1C89F2AFB}"/>
    <cellStyle name="Millares 2 2 6 4 4" xfId="1475" xr:uid="{E08CC67C-0BB5-4DA4-B2A5-B835DFFA98F3}"/>
    <cellStyle name="Millares 2 2 6 4 5" xfId="3074" xr:uid="{FB62302C-5CD1-45C4-9F7D-AD16BAAF5E87}"/>
    <cellStyle name="Millares 2 2 6 5" xfId="747" xr:uid="{6B04CDCD-E9E0-4B60-A7BA-8DC714BD5B39}"/>
    <cellStyle name="Millares 2 2 6 5 2" xfId="2068" xr:uid="{AA857B0C-4A48-4A69-8D9C-4122591C9F77}"/>
    <cellStyle name="Millares 2 2 6 5 2 2" xfId="3664" xr:uid="{7101FA7A-AF84-4BCB-BF01-CF0CF26D72B8}"/>
    <cellStyle name="Millares 2 2 6 5 3" xfId="2618" xr:uid="{D68A49E9-5C97-4850-BC11-3C4D97757135}"/>
    <cellStyle name="Millares 2 2 6 5 3 2" xfId="4240" xr:uid="{A9E69651-75DE-4484-B519-83951DDE54F6}"/>
    <cellStyle name="Millares 2 2 6 5 4" xfId="1524" xr:uid="{08FB935F-D6FB-408B-B8F3-CB82DB10935C}"/>
    <cellStyle name="Millares 2 2 6 5 5" xfId="3123" xr:uid="{EAE21308-5F4E-464F-951E-FC4B05D87630}"/>
    <cellStyle name="Millares 2 2 6 6" xfId="802" xr:uid="{50A143D8-CCFD-46B6-851F-36BCA9C9B1D1}"/>
    <cellStyle name="Millares 2 2 6 6 2" xfId="2123" xr:uid="{1AFA407D-691B-42A7-A72D-447CE780615A}"/>
    <cellStyle name="Millares 2 2 6 6 2 2" xfId="3719" xr:uid="{6453D460-1664-4EB3-9571-0023B5622A74}"/>
    <cellStyle name="Millares 2 2 6 6 3" xfId="2671" xr:uid="{96545599-2A76-4450-87EC-B2CD0708247A}"/>
    <cellStyle name="Millares 2 2 6 6 3 2" xfId="4293" xr:uid="{C3B2AB0E-F7DD-4C16-B5D5-CA17E7DA8527}"/>
    <cellStyle name="Millares 2 2 6 6 4" xfId="1576" xr:uid="{6E80EBAA-02E2-4DF6-909F-89C998AEC328}"/>
    <cellStyle name="Millares 2 2 6 6 5" xfId="3175" xr:uid="{FE69063B-E887-44B4-96A6-D3BF4D531285}"/>
    <cellStyle name="Millares 2 2 6 7" xfId="930" xr:uid="{7C1BC395-84DC-42DF-BA85-B9603A16017D}"/>
    <cellStyle name="Millares 2 2 6 7 2" xfId="1884" xr:uid="{CEFAD208-DA8F-4E25-B998-57A916138C71}"/>
    <cellStyle name="Millares 2 2 6 7 2 2" xfId="3480" xr:uid="{A8F45113-C60F-46E0-80BA-47A01D576F76}"/>
    <cellStyle name="Millares 2 2 6 7 3" xfId="1340" xr:uid="{441D0467-603E-414E-9CE8-E6067ECBB277}"/>
    <cellStyle name="Millares 2 2 6 7 4" xfId="2939" xr:uid="{D7D2CA10-24EB-4D1A-B541-DB870C31CE4E}"/>
    <cellStyle name="Millares 2 2 6 8" xfId="1112" xr:uid="{8D03165B-AE38-4EA5-AEA1-98D510C64CE0}"/>
    <cellStyle name="Millares 2 2 6 8 2" xfId="3892" xr:uid="{A67E99B9-28CF-48C7-B6F7-7709989F041C}"/>
    <cellStyle name="Millares 2 2 6 9" xfId="1737" xr:uid="{D10B9568-DDA9-453F-ACF1-0141569C650E}"/>
    <cellStyle name="Millares 2 2 6 9 2" xfId="3341" xr:uid="{685AF20E-8E46-45E1-9787-B580043DE6DC}"/>
    <cellStyle name="Millares 2 2 7" xfId="312" xr:uid="{F0E0BC2B-FB43-4C6E-9F09-8C5517252B05}"/>
    <cellStyle name="Millares 2 2 7 2" xfId="810" xr:uid="{33C996D4-52CD-427C-83DE-2D42E434000C}"/>
    <cellStyle name="Millares 2 2 7 2 2" xfId="2131" xr:uid="{EA6E1FD7-F070-4BE0-9787-259EDCD0B2B3}"/>
    <cellStyle name="Millares 2 2 7 2 2 2" xfId="3727" xr:uid="{A0896548-D8A5-444C-B2E6-613584728E8D}"/>
    <cellStyle name="Millares 2 2 7 2 3" xfId="2679" xr:uid="{7B64431F-C41D-4E72-A484-F52C2DCB9BA4}"/>
    <cellStyle name="Millares 2 2 7 2 3 2" xfId="4301" xr:uid="{7AAC63A0-7F50-43AF-B657-85DC3F4BC9D6}"/>
    <cellStyle name="Millares 2 2 7 2 4" xfId="1584" xr:uid="{591DE3F7-BBE6-4B02-9617-636FFDB5C295}"/>
    <cellStyle name="Millares 2 2 7 2 5" xfId="3183" xr:uid="{A08C8FB8-24AF-4612-816E-65039924A457}"/>
    <cellStyle name="Millares 2 2 7 3" xfId="614" xr:uid="{7F492AED-B1D5-49F4-9249-D25DFF5F6CB9}"/>
    <cellStyle name="Millares 2 2 7 4" xfId="938" xr:uid="{4A088D31-8EAA-4648-8F58-56264AFD4DE7}"/>
    <cellStyle name="Millares 2 2 7 4 2" xfId="2303" xr:uid="{15E498BE-30AD-46C6-AB69-C8FDDBA213C5}"/>
    <cellStyle name="Millares 2 2 7 4 3" xfId="3900" xr:uid="{DB50E501-A5B0-449F-A93A-7D4E99B179AF}"/>
    <cellStyle name="Millares 2 2 7 5" xfId="1120" xr:uid="{CF73BDAA-C8E1-46DD-B143-EA3B7E51D53D}"/>
    <cellStyle name="Millares 2 2 7 5 2" xfId="3349" xr:uid="{CE254C0D-E22E-48B4-A80D-2E10334D7FFD}"/>
    <cellStyle name="Millares 2 2 7 6" xfId="2411" xr:uid="{49CEE036-B544-453F-B0DC-9519630333D8}"/>
    <cellStyle name="Millares 2 2 7 6 2" xfId="4033" xr:uid="{3EF9EB92-4C7D-49B5-BCBD-1003AC618170}"/>
    <cellStyle name="Millares 2 2 7 7" xfId="4423" xr:uid="{0E65C382-A2F5-4DD6-A3B5-D771B0127740}"/>
    <cellStyle name="Millares 2 2 7 8" xfId="2808" xr:uid="{30BAD6AD-C0BC-4C24-967D-282A4B347AA4}"/>
    <cellStyle name="Millares 2 2 8" xfId="365" xr:uid="{D045DE87-0256-4430-827A-2D2CD96548CF}"/>
    <cellStyle name="Millares 2 2 8 2" xfId="858" xr:uid="{AB540AC4-E689-4540-94C1-1EFA4BD92AC9}"/>
    <cellStyle name="Millares 2 2 8 2 2" xfId="2181" xr:uid="{81F18950-FBCF-4E5B-A614-A0E0DA84B1F7}"/>
    <cellStyle name="Millares 2 2 8 2 2 2" xfId="3777" xr:uid="{6EC83D6E-242F-435E-82E6-9080FF771C14}"/>
    <cellStyle name="Millares 2 2 8 2 3" xfId="2727" xr:uid="{DADA4E8E-B4D5-4989-BDF7-F68E9A4F359F}"/>
    <cellStyle name="Millares 2 2 8 2 3 2" xfId="4349" xr:uid="{CAEDA848-915B-4976-82D3-4384A2048919}"/>
    <cellStyle name="Millares 2 2 8 2 4" xfId="1634" xr:uid="{3EE334F0-FD18-45CF-962B-F8B98895761C}"/>
    <cellStyle name="Millares 2 2 8 2 5" xfId="3233" xr:uid="{3AFB0F5A-F4BB-4D41-986B-676A7F07BB43}"/>
    <cellStyle name="Millares 2 2 8 3" xfId="991" xr:uid="{9261CDC1-2A1C-4BD2-9AEA-49E2FA76E10C}"/>
    <cellStyle name="Millares 2 2 8 3 2" xfId="1888" xr:uid="{F0CBB4C1-537D-45D6-A794-8EB4F0A84259}"/>
    <cellStyle name="Millares 2 2 8 3 2 2" xfId="3484" xr:uid="{B752692C-7626-436D-ACEF-500474FEE732}"/>
    <cellStyle name="Millares 2 2 8 3 3" xfId="1344" xr:uid="{C2BF91A3-309B-4567-B33B-F8D3B8CBB816}"/>
    <cellStyle name="Millares 2 2 8 3 4" xfId="2943" xr:uid="{28ADFEC1-EF71-4422-A4B8-800790765A4F}"/>
    <cellStyle name="Millares 2 2 8 4" xfId="1173" xr:uid="{61E59C9F-8DB1-4A44-A2A9-AE5030641AE4}"/>
    <cellStyle name="Millares 2 2 8 4 2" xfId="3953" xr:uid="{035BC7A4-FC56-4DC3-A0BA-643C4A85DD94}"/>
    <cellStyle name="Millares 2 2 8 5" xfId="1793" xr:uid="{E6AD2EBD-BBEF-4D3E-9703-FABA2C8ADC66}"/>
    <cellStyle name="Millares 2 2 8 5 2" xfId="3402" xr:uid="{C4E15F9E-BF0A-4BE3-A633-1DDBEEE9F3CA}"/>
    <cellStyle name="Millares 2 2 8 6" xfId="2464" xr:uid="{328C3F29-2B09-45B3-9BA6-A0A1E3E02190}"/>
    <cellStyle name="Millares 2 2 8 6 2" xfId="4086" xr:uid="{4D6926CA-FE79-49EE-B80F-2056C0091BBD}"/>
    <cellStyle name="Millares 2 2 8 7" xfId="4476" xr:uid="{1D207C50-E820-440A-9692-E58C744E2B15}"/>
    <cellStyle name="Millares 2 2 8 8" xfId="2861" xr:uid="{4E6020BC-D270-433B-B0B5-FB332B9FFBDF}"/>
    <cellStyle name="Millares 2 2 9" xfId="372" xr:uid="{1895F6F2-3C63-4B06-B003-586AFB952623}"/>
    <cellStyle name="Millares 2 2 9 2" xfId="865" xr:uid="{EC027AEF-CDE5-4053-9CFA-05B1FF2C58F1}"/>
    <cellStyle name="Millares 2 2 9 2 2" xfId="2188" xr:uid="{24E01C29-E6E4-4F45-972E-32800237009F}"/>
    <cellStyle name="Millares 2 2 9 2 2 2" xfId="3784" xr:uid="{E41D88E4-202B-413F-9D3F-6DB4AC2E8D14}"/>
    <cellStyle name="Millares 2 2 9 2 3" xfId="2734" xr:uid="{DBC3C133-BC8C-4A15-970D-9B72D574DA02}"/>
    <cellStyle name="Millares 2 2 9 2 3 2" xfId="4356" xr:uid="{22A674C3-3452-4FB1-BB43-3983F2402BDC}"/>
    <cellStyle name="Millares 2 2 9 2 4" xfId="1641" xr:uid="{8473A86F-F5DD-4F91-ACEE-51A14E5A469E}"/>
    <cellStyle name="Millares 2 2 9 2 5" xfId="3240" xr:uid="{B8076488-963B-454A-9905-7487787C6C19}"/>
    <cellStyle name="Millares 2 2 9 3" xfId="998" xr:uid="{444077B2-D68D-48D3-831B-25D4EB29EF4D}"/>
    <cellStyle name="Millares 2 2 9 3 2" xfId="1961" xr:uid="{72ABCFB0-0081-4A7E-A0DC-3EAE8B20D5B7}"/>
    <cellStyle name="Millares 2 2 9 3 2 2" xfId="3557" xr:uid="{6E4BB8AB-8955-4874-9854-91E268706F9C}"/>
    <cellStyle name="Millares 2 2 9 3 3" xfId="1417" xr:uid="{2D454F5E-F045-4501-8078-3521EBE186B9}"/>
    <cellStyle name="Millares 2 2 9 3 4" xfId="3016" xr:uid="{2629A201-95BD-4C2C-938D-853AB1160879}"/>
    <cellStyle name="Millares 2 2 9 4" xfId="1180" xr:uid="{D2BF06C2-5173-4C9E-9AB1-EAD302FC18C7}"/>
    <cellStyle name="Millares 2 2 9 4 2" xfId="3960" xr:uid="{D9A6201C-451C-4CDD-9EA7-52B87C6225BA}"/>
    <cellStyle name="Millares 2 2 9 5" xfId="1800" xr:uid="{5B8818D1-6261-4B97-9011-E3C972C4C999}"/>
    <cellStyle name="Millares 2 2 9 5 2" xfId="3409" xr:uid="{29A045F1-0EC9-4486-9991-D005CF0C7045}"/>
    <cellStyle name="Millares 2 2 9 6" xfId="2471" xr:uid="{BEC64200-2111-4F0B-ACC3-1B5869249933}"/>
    <cellStyle name="Millares 2 2 9 6 2" xfId="4093" xr:uid="{5A043632-242F-4996-AC8F-05DB0574007F}"/>
    <cellStyle name="Millares 2 2 9 7" xfId="4483" xr:uid="{60C39259-D7D9-47DB-A7C9-2FF890CCB3D6}"/>
    <cellStyle name="Millares 2 2 9 8" xfId="2868" xr:uid="{9519D824-3622-460D-9303-55C901FA9322}"/>
    <cellStyle name="Millares 2 20" xfId="306" xr:uid="{32F491F6-524C-4AB3-AC62-4C8B05671E7F}"/>
    <cellStyle name="Millares 2 20 10" xfId="2802" xr:uid="{3C8176C6-B784-4E51-83BF-4F16873D8CAA}"/>
    <cellStyle name="Millares 2 20 2" xfId="359" xr:uid="{6CCC71F1-8D1B-4097-9A21-10D8752CAECF}"/>
    <cellStyle name="Millares 2 20 2 2" xfId="854" xr:uid="{92F93471-71EA-41D5-9EB5-55FC574DBF76}"/>
    <cellStyle name="Millares 2 20 2 2 2" xfId="2175" xr:uid="{FF123F4C-7FE0-4660-8EAB-17CE688A6DCB}"/>
    <cellStyle name="Millares 2 20 2 2 2 2" xfId="3771" xr:uid="{2790B2F0-06D5-4CC6-BB55-3D1C9DBF4AB1}"/>
    <cellStyle name="Millares 2 20 2 2 3" xfId="2723" xr:uid="{6E6AA16B-5F6D-428D-94AD-8F240E56F800}"/>
    <cellStyle name="Millares 2 20 2 2 3 2" xfId="4345" xr:uid="{9B747FB9-0B58-4200-8536-1A47DE37A5B2}"/>
    <cellStyle name="Millares 2 20 2 2 4" xfId="1628" xr:uid="{E4F504FA-B45B-47A5-9CEE-235D6497AD14}"/>
    <cellStyle name="Millares 2 20 2 2 5" xfId="3227" xr:uid="{333955E3-F6A0-4869-B1CD-7FB62FE33773}"/>
    <cellStyle name="Millares 2 20 2 3" xfId="985" xr:uid="{A806537B-6DDE-4F8B-B974-AFF9430BE15D}"/>
    <cellStyle name="Millares 2 20 2 3 2" xfId="2070" xr:uid="{28781C79-D1F5-41B8-8750-9808478730B2}"/>
    <cellStyle name="Millares 2 20 2 3 2 2" xfId="3666" xr:uid="{2C28CF8A-7872-4123-AC4C-203113EDABA8}"/>
    <cellStyle name="Millares 2 20 2 3 3" xfId="1526" xr:uid="{61ABC36B-5865-4244-BC8D-1B729A2EB365}"/>
    <cellStyle name="Millares 2 20 2 3 4" xfId="3125" xr:uid="{0A9FFDCC-4435-4506-A553-E90991B75BC4}"/>
    <cellStyle name="Millares 2 20 2 4" xfId="1167" xr:uid="{779AAA7C-2D97-4A07-8AC9-03E1D3FA54BB}"/>
    <cellStyle name="Millares 2 20 2 4 2" xfId="3947" xr:uid="{5BD5560D-2A3F-4495-992F-6F9A4A4B3F8D}"/>
    <cellStyle name="Millares 2 20 2 5" xfId="1787" xr:uid="{CA2D8F98-816D-42E4-9AA6-EC86229B8C2D}"/>
    <cellStyle name="Millares 2 20 2 5 2" xfId="3396" xr:uid="{F6BED39A-9FA9-4AE0-9A1A-86571541DB2E}"/>
    <cellStyle name="Millares 2 20 2 6" xfId="2458" xr:uid="{D1D37110-1F76-498C-A4A5-D19DC0F27B61}"/>
    <cellStyle name="Millares 2 20 2 6 2" xfId="4080" xr:uid="{F6FC0AD6-269F-4CAE-8FD5-16E3A16E9AB4}"/>
    <cellStyle name="Millares 2 20 2 7" xfId="4470" xr:uid="{5985D1B0-2448-4C3E-80EE-B257BC217E8E}"/>
    <cellStyle name="Millares 2 20 2 8" xfId="2855" xr:uid="{D9691342-CE3B-4DBB-A97A-9C9BB4158D90}"/>
    <cellStyle name="Millares 2 20 3" xfId="804" xr:uid="{32E31D8D-2AC7-4D7F-A659-0F76276D7EA1}"/>
    <cellStyle name="Millares 2 20 3 2" xfId="2125" xr:uid="{9EC6DC79-7447-4384-BEDE-007271BEBF34}"/>
    <cellStyle name="Millares 2 20 3 2 2" xfId="3721" xr:uid="{A4B09835-DFFE-40CB-A911-60473B1064D0}"/>
    <cellStyle name="Millares 2 20 3 3" xfId="2673" xr:uid="{C9B57EC9-F73C-4485-9944-DFFB68DBAAA6}"/>
    <cellStyle name="Millares 2 20 3 3 2" xfId="4295" xr:uid="{50326FE1-295A-42A3-BE62-05C39FA6CEF5}"/>
    <cellStyle name="Millares 2 20 3 4" xfId="1578" xr:uid="{7FD1216F-1766-4314-A325-9E02D588A139}"/>
    <cellStyle name="Millares 2 20 3 5" xfId="3177" xr:uid="{5836A97E-30B7-4A1E-B4B5-7D51E8782E76}"/>
    <cellStyle name="Millares 2 20 4" xfId="615" xr:uid="{84ECF8E4-A07D-4E23-9547-5DEDFCE48FC7}"/>
    <cellStyle name="Millares 2 20 4 2" xfId="1886" xr:uid="{9D3BE778-EFF9-4A00-BB49-BE8848C8F8AC}"/>
    <cellStyle name="Millares 2 20 4 2 2" xfId="3482" xr:uid="{BCF68C16-7EC1-490F-9A4B-EE42462B17F5}"/>
    <cellStyle name="Millares 2 20 4 3" xfId="1342" xr:uid="{421EAD7C-ECC5-401E-A4B2-72759802AC71}"/>
    <cellStyle name="Millares 2 20 4 4" xfId="2941" xr:uid="{C00D8CA4-DDD0-4AAA-A9FB-CAD19678652D}"/>
    <cellStyle name="Millares 2 20 5" xfId="932" xr:uid="{073FC124-2E3A-4094-BC57-4378620957EE}"/>
    <cellStyle name="Millares 2 20 5 2" xfId="2302" xr:uid="{F1C08EFB-0E39-4F26-A71A-74767C940696}"/>
    <cellStyle name="Millares 2 20 5 3" xfId="3894" xr:uid="{3D854540-E7A8-44B1-B45D-EBC3CC5BC686}"/>
    <cellStyle name="Millares 2 20 6" xfId="1114" xr:uid="{576A0D70-5219-4A64-B703-1023D10CE535}"/>
    <cellStyle name="Millares 2 20 6 2" xfId="3343" xr:uid="{66DC9839-25F2-414C-886B-6A9C4DCCC770}"/>
    <cellStyle name="Millares 2 20 7" xfId="2405" xr:uid="{CC267C36-0D88-48DC-A9B8-1D87EF1F1746}"/>
    <cellStyle name="Millares 2 20 7 2" xfId="4027" xr:uid="{5E754E07-E527-4CD8-81CF-FB4C175C484D}"/>
    <cellStyle name="Millares 2 20 8" xfId="2485" xr:uid="{7CE369DC-495A-482D-B413-563E8419762B}"/>
    <cellStyle name="Millares 2 20 8 2" xfId="4107" xr:uid="{5E262D2A-9822-4522-918E-0DEF83878110}"/>
    <cellStyle name="Millares 2 20 9" xfId="4417" xr:uid="{C9FEF3A1-C255-48BB-ADC5-FB33C35FC34D}"/>
    <cellStyle name="Millares 2 21" xfId="308" xr:uid="{72F28468-B326-4D63-9F5D-5219F3A0023D}"/>
    <cellStyle name="Millares 2 21 2" xfId="361" xr:uid="{5399C9EA-4721-414C-B8BE-8D338729A520}"/>
    <cellStyle name="Millares 2 21 2 2" xfId="987" xr:uid="{D21A63C1-46E6-47CC-97FC-7A49B6BB7C3E}"/>
    <cellStyle name="Millares 2 21 2 2 2" xfId="2177" xr:uid="{47F3C029-DE5C-4336-8EDC-B1108ADCBB1C}"/>
    <cellStyle name="Millares 2 21 2 2 2 2" xfId="3773" xr:uid="{08B81D68-81DA-4F3E-94C9-0655A73151B9}"/>
    <cellStyle name="Millares 2 21 2 2 3" xfId="1630" xr:uid="{2D528F21-974A-4FFD-9ECF-059525193048}"/>
    <cellStyle name="Millares 2 21 2 2 4" xfId="3229" xr:uid="{9B00E2B4-8816-4F74-B413-DCC88E0CE9E4}"/>
    <cellStyle name="Millares 2 21 2 3" xfId="1169" xr:uid="{5154B0F7-3529-4D1B-813C-82E7D56C4B79}"/>
    <cellStyle name="Millares 2 21 2 3 2" xfId="3949" xr:uid="{B071400B-FF77-439D-B917-285F4F9B3627}"/>
    <cellStyle name="Millares 2 21 2 4" xfId="1789" xr:uid="{73523A3C-9E08-450C-9D29-CB917904EA77}"/>
    <cellStyle name="Millares 2 21 2 4 2" xfId="3398" xr:uid="{7988C421-F94C-48EB-A64C-EA6C7706A3CA}"/>
    <cellStyle name="Millares 2 21 2 5" xfId="2460" xr:uid="{B03FA668-9425-4EC5-B3DD-458901D4C803}"/>
    <cellStyle name="Millares 2 21 2 5 2" xfId="4082" xr:uid="{79B28FB2-0DA5-4358-9B60-69EF9D3FD51C}"/>
    <cellStyle name="Millares 2 21 2 6" xfId="4472" xr:uid="{31308A5A-299A-4359-AB5F-C882343E0CC9}"/>
    <cellStyle name="Millares 2 21 2 7" xfId="2857" xr:uid="{A0CABF5D-F4FA-4111-A98E-84EADD8D8E66}"/>
    <cellStyle name="Millares 2 21 3" xfId="806" xr:uid="{2CB1D480-8C99-40DB-B1C6-DE0BA20E8CB4}"/>
    <cellStyle name="Millares 2 21 3 2" xfId="2127" xr:uid="{D5C39770-75D1-413B-9F27-44534161D118}"/>
    <cellStyle name="Millares 2 21 3 2 2" xfId="3723" xr:uid="{B3F4C377-2521-4826-80D9-91FAD2C0312D}"/>
    <cellStyle name="Millares 2 21 3 3" xfId="2675" xr:uid="{25CFA63A-31C7-40FF-B620-BB84E5519E84}"/>
    <cellStyle name="Millares 2 21 3 3 2" xfId="4297" xr:uid="{AE5E71AA-7C8E-4A70-8267-8FADE821930E}"/>
    <cellStyle name="Millares 2 21 3 4" xfId="1580" xr:uid="{9314220C-5EFD-4046-9065-970EF713B956}"/>
    <cellStyle name="Millares 2 21 3 5" xfId="3179" xr:uid="{DEB028A9-8839-4CD1-9451-5E4EBA032F50}"/>
    <cellStyle name="Millares 2 21 4" xfId="934" xr:uid="{AF726DF7-B5C6-4A98-9B00-8FC936B0B47C}"/>
    <cellStyle name="Millares 2 21 4 2" xfId="1932" xr:uid="{B3F5A354-034C-4766-98BE-A9836C88F567}"/>
    <cellStyle name="Millares 2 21 4 2 2" xfId="3528" xr:uid="{5AD9D59E-1AFE-45B2-A369-8DD4FB2A93CE}"/>
    <cellStyle name="Millares 2 21 4 3" xfId="1388" xr:uid="{A90B6AC9-BEA8-499B-BD80-0CF49EE272AB}"/>
    <cellStyle name="Millares 2 21 4 4" xfId="2987" xr:uid="{9B546D2C-865A-4230-8ED5-E12674CC8438}"/>
    <cellStyle name="Millares 2 21 5" xfId="1116" xr:uid="{3893DB0B-6A20-47AC-8B7F-DBA31DC81618}"/>
    <cellStyle name="Millares 2 21 5 2" xfId="3896" xr:uid="{CF507B44-9116-436D-97D1-FFBE6252AB80}"/>
    <cellStyle name="Millares 2 21 6" xfId="1740" xr:uid="{CE0B2D57-A91A-4FE3-9068-F23487EDEED8}"/>
    <cellStyle name="Millares 2 21 6 2" xfId="3345" xr:uid="{29BDB7C3-8F40-48DC-8541-5856BDBDC7CA}"/>
    <cellStyle name="Millares 2 21 7" xfId="2407" xr:uid="{BC0EE28F-2FD2-4844-A95A-C573C80C511B}"/>
    <cellStyle name="Millares 2 21 7 2" xfId="4029" xr:uid="{EE4FC6F8-F7CC-4E56-A46A-203F718C887C}"/>
    <cellStyle name="Millares 2 21 8" xfId="4419" xr:uid="{C5C8F5C9-7F52-49F0-9825-B787CF3BA051}"/>
    <cellStyle name="Millares 2 21 9" xfId="2804" xr:uid="{2443CBD6-AE60-4569-95BC-FBB848D18008}"/>
    <cellStyle name="Millares 2 22" xfId="310" xr:uid="{9B898BD2-D44D-4ACC-8CA1-F6B603AE38D4}"/>
    <cellStyle name="Millares 2 22 2" xfId="808" xr:uid="{BA6E2341-83AE-42A9-B100-B17118950656}"/>
    <cellStyle name="Millares 2 22 2 2" xfId="2129" xr:uid="{EADE04C9-A447-441C-B102-4C69A6CDB9E8}"/>
    <cellStyle name="Millares 2 22 2 2 2" xfId="3725" xr:uid="{6207F8AC-F81D-4AD9-B05D-3666D78192F5}"/>
    <cellStyle name="Millares 2 22 2 3" xfId="2677" xr:uid="{16217DF1-0EB4-4B75-8863-AF76A30CEDB0}"/>
    <cellStyle name="Millares 2 22 2 3 2" xfId="4299" xr:uid="{82C8D87C-7043-42E8-B4B9-91ADC5B1519B}"/>
    <cellStyle name="Millares 2 22 2 4" xfId="1582" xr:uid="{C79FE70C-B1DF-4517-8D0A-2156710CF404}"/>
    <cellStyle name="Millares 2 22 2 5" xfId="3181" xr:uid="{22567CB8-B45F-4F88-8848-E43520027C2F}"/>
    <cellStyle name="Millares 2 22 3" xfId="936" xr:uid="{0D30F0B6-8D20-4C54-893F-E9C17F6FFC91}"/>
    <cellStyle name="Millares 2 22 3 2" xfId="1957" xr:uid="{44301741-146B-4C68-81B7-D51A4CBAC3B2}"/>
    <cellStyle name="Millares 2 22 3 2 2" xfId="3553" xr:uid="{D193970B-5C0F-4D09-9737-DA0ABC072813}"/>
    <cellStyle name="Millares 2 22 3 3" xfId="1413" xr:uid="{747CF547-26BE-4C4D-A853-3634928E8858}"/>
    <cellStyle name="Millares 2 22 3 4" xfId="3012" xr:uid="{4DDFA073-73E6-46E8-95AE-2DE79FE238EB}"/>
    <cellStyle name="Millares 2 22 4" xfId="1118" xr:uid="{D72EEB9E-816A-4B62-BB7D-AA7B9A3ACD21}"/>
    <cellStyle name="Millares 2 22 4 2" xfId="3898" xr:uid="{348B8C55-937D-46C2-8AEC-304D8AC44CF0}"/>
    <cellStyle name="Millares 2 22 5" xfId="1742" xr:uid="{6B521F20-12FD-4109-9DD6-DD55417BBA32}"/>
    <cellStyle name="Millares 2 22 5 2" xfId="3347" xr:uid="{62529FE2-F5D0-42B9-AFEF-4A4CD6EB533B}"/>
    <cellStyle name="Millares 2 22 6" xfId="2409" xr:uid="{8900DFB7-B562-4A91-A15E-D129C1292216}"/>
    <cellStyle name="Millares 2 22 6 2" xfId="4031" xr:uid="{94D9750B-85A4-4296-A92A-C56F07E84AFD}"/>
    <cellStyle name="Millares 2 22 7" xfId="4421" xr:uid="{AC762F33-774D-4F5F-B9D4-75D408C3C535}"/>
    <cellStyle name="Millares 2 22 8" xfId="2806" xr:uid="{77B25B46-2568-4126-8412-A477FE6B62CF}"/>
    <cellStyle name="Millares 2 23" xfId="363" xr:uid="{DBC86FEE-6887-43C7-994F-43A2BF7ED212}"/>
    <cellStyle name="Millares 2 23 2" xfId="856" xr:uid="{09584D2B-1385-46FB-A001-BAFC2E6734D0}"/>
    <cellStyle name="Millares 2 23 2 2" xfId="2179" xr:uid="{BFE206F0-4893-417E-9ED9-6405C336011A}"/>
    <cellStyle name="Millares 2 23 2 2 2" xfId="3775" xr:uid="{94B63F85-FF2A-4E4A-B664-928230579527}"/>
    <cellStyle name="Millares 2 23 2 3" xfId="2725" xr:uid="{0591A769-23D4-4200-B1D9-F162F455044E}"/>
    <cellStyle name="Millares 2 23 2 3 2" xfId="4347" xr:uid="{C8C81BB4-24E6-4668-9A79-F20116EB4B04}"/>
    <cellStyle name="Millares 2 23 2 4" xfId="1632" xr:uid="{9C425825-B33D-4D62-B644-9DA96F96EF9F}"/>
    <cellStyle name="Millares 2 23 2 5" xfId="3231" xr:uid="{442F659F-A69A-44D1-950E-85C1D1EE6541}"/>
    <cellStyle name="Millares 2 23 3" xfId="989" xr:uid="{0097A95F-4C9A-47FA-BFC0-BD1AF74266A4}"/>
    <cellStyle name="Millares 2 23 3 2" xfId="1982" xr:uid="{AC4F5D24-0B4C-4880-B0A1-850F826AE5FB}"/>
    <cellStyle name="Millares 2 23 3 2 2" xfId="3578" xr:uid="{A384B8D8-FA43-4B88-A861-67401A7B2F02}"/>
    <cellStyle name="Millares 2 23 3 3" xfId="1438" xr:uid="{848AD17B-816E-4723-B911-259261E037F6}"/>
    <cellStyle name="Millares 2 23 3 4" xfId="3037" xr:uid="{5621B845-9BF9-47D0-AC19-33C91B1D4EB2}"/>
    <cellStyle name="Millares 2 23 4" xfId="1171" xr:uid="{DE451776-1B09-47CF-A237-F8F321921392}"/>
    <cellStyle name="Millares 2 23 4 2" xfId="3951" xr:uid="{6ECAB74E-CAD3-4A8D-8AD0-B7D1AA20C418}"/>
    <cellStyle name="Millares 2 23 5" xfId="1791" xr:uid="{83BF9DFF-839D-4289-B62E-98C36B663358}"/>
    <cellStyle name="Millares 2 23 5 2" xfId="3400" xr:uid="{EE0EB78A-7D82-4B52-8059-9C500DCC3C62}"/>
    <cellStyle name="Millares 2 23 6" xfId="2462" xr:uid="{F0B5AE41-1AF6-45AC-9423-D3F59F5A38F4}"/>
    <cellStyle name="Millares 2 23 6 2" xfId="4084" xr:uid="{F4621340-92A8-470C-9A35-09FD94132D1E}"/>
    <cellStyle name="Millares 2 23 7" xfId="4474" xr:uid="{5BD724B7-921D-486A-91FF-ABA052C22D77}"/>
    <cellStyle name="Millares 2 23 8" xfId="2859" xr:uid="{B94FFD7B-D414-4B5C-A402-050208380541}"/>
    <cellStyle name="Millares 2 24" xfId="370" xr:uid="{71425054-082E-4561-BAD6-AB19F5B97A23}"/>
    <cellStyle name="Millares 2 24 2" xfId="863" xr:uid="{4143D99B-9A2B-4D2D-84FF-0244262BF2D5}"/>
    <cellStyle name="Millares 2 24 2 2" xfId="2186" xr:uid="{9AEB9A21-F4B1-408A-B46A-570D10D0466C}"/>
    <cellStyle name="Millares 2 24 2 2 2" xfId="3782" xr:uid="{8E5D189B-3835-4FB4-BEBD-8306F082AB61}"/>
    <cellStyle name="Millares 2 24 2 3" xfId="2732" xr:uid="{F19529AF-ED1B-473A-AB26-09AB01FCE433}"/>
    <cellStyle name="Millares 2 24 2 3 2" xfId="4354" xr:uid="{8CEE2DFF-131C-443E-B16C-B1197BB7214F}"/>
    <cellStyle name="Millares 2 24 2 4" xfId="1639" xr:uid="{0E44FE3B-219B-4EEA-8E2A-D4625DA528DA}"/>
    <cellStyle name="Millares 2 24 2 5" xfId="3238" xr:uid="{C6EBF9B4-8F84-4684-AC47-1EDF0FE77ECD}"/>
    <cellStyle name="Millares 2 24 3" xfId="996" xr:uid="{3E452EE1-5B3E-46BD-9079-64F58DB5DDB2}"/>
    <cellStyle name="Millares 2 24 3 2" xfId="2022" xr:uid="{E9AB9ADA-0936-4B3F-80B9-52641E366C05}"/>
    <cellStyle name="Millares 2 24 3 2 2" xfId="3618" xr:uid="{82C39B46-5F06-408E-BAFD-224F36F47BAA}"/>
    <cellStyle name="Millares 2 24 3 3" xfId="1478" xr:uid="{50F02E9A-EC2B-4209-88C5-42376E1EF191}"/>
    <cellStyle name="Millares 2 24 3 4" xfId="3077" xr:uid="{6FCBB7F6-D89F-4A2D-B74D-7F6ECB0CE019}"/>
    <cellStyle name="Millares 2 24 4" xfId="1178" xr:uid="{DB95B64E-1978-4BA7-AD64-DFE48955A2FB}"/>
    <cellStyle name="Millares 2 24 4 2" xfId="3958" xr:uid="{99963422-3ECE-4AB0-B4AD-64751DD3BD3C}"/>
    <cellStyle name="Millares 2 24 5" xfId="1798" xr:uid="{AEC5C716-8115-4197-A6AA-31B3227E8BFD}"/>
    <cellStyle name="Millares 2 24 5 2" xfId="3407" xr:uid="{5C036046-BEFF-481F-89F3-AE386F9E11DD}"/>
    <cellStyle name="Millares 2 24 6" xfId="2469" xr:uid="{4800CCDE-3B60-46AC-9FB4-5CC85D4C8938}"/>
    <cellStyle name="Millares 2 24 6 2" xfId="4091" xr:uid="{635B29B8-71C8-4DBF-A590-948117AEE2CD}"/>
    <cellStyle name="Millares 2 24 7" xfId="4481" xr:uid="{2B22C3B8-C6FA-427E-A948-597797C48E21}"/>
    <cellStyle name="Millares 2 24 8" xfId="2866" xr:uid="{6A6C9B40-44E5-42C3-811A-1F3084E90F8D}"/>
    <cellStyle name="Millares 2 25" xfId="751" xr:uid="{E133B78D-5439-4608-8C64-854BFEC64F61}"/>
    <cellStyle name="Millares 2 25 2" xfId="1284" xr:uid="{4B4CD0C2-C5BF-472C-8D5E-4264B2145C80}"/>
    <cellStyle name="Millares 2 25 2 2" xfId="2284" xr:uid="{89E5CF4D-14A0-4BDA-BA5A-7D6EE4574A06}"/>
    <cellStyle name="Millares 2 25 2 2 2" xfId="3845" xr:uid="{0093A859-7001-411E-AC2A-11E4A1B1B206}"/>
    <cellStyle name="Millares 2 25 2 3" xfId="2884" xr:uid="{19957759-8B4A-446E-9A29-5A2366E6260E}"/>
    <cellStyle name="Millares 2 25 3" xfId="1827" xr:uid="{37C9BEC1-6764-4E06-A05D-69CCBC448368}"/>
    <cellStyle name="Millares 2 25 3 2" xfId="3424" xr:uid="{DB7B52C0-967F-4FE6-B577-E08A8898B3E4}"/>
    <cellStyle name="Millares 2 25 4" xfId="2622" xr:uid="{052A69E5-3A32-47A3-9A96-288102628775}"/>
    <cellStyle name="Millares 2 25 4 2" xfId="4244" xr:uid="{BB063F39-0FF4-4DDA-87B4-51D22439FB67}"/>
    <cellStyle name="Millares 2 25 5" xfId="1207" xr:uid="{262A2E93-B633-43EC-B32C-55201E62A9F0}"/>
    <cellStyle name="Millares 2 25 6" xfId="2753" xr:uid="{33512233-115F-4468-B117-52EF6D4D6E84}"/>
    <cellStyle name="Millares 2 26" xfId="793" xr:uid="{83487FB5-C65E-41D7-8EB0-1B792C9144BB}"/>
    <cellStyle name="Millares 2 26 2" xfId="2114" xr:uid="{C25D98CB-B665-480C-BB1F-A9CBB85463A4}"/>
    <cellStyle name="Millares 2 26 2 2" xfId="3710" xr:uid="{B9269063-5DC2-45AC-9235-191F2259BB8A}"/>
    <cellStyle name="Millares 2 26 3" xfId="2662" xr:uid="{1E7AB9BD-E281-42E4-947C-292E55CE3D5D}"/>
    <cellStyle name="Millares 2 26 3 2" xfId="4284" xr:uid="{7E96C99E-691A-4D9D-BD5B-798958BD9A39}"/>
    <cellStyle name="Millares 2 26 4" xfId="1568" xr:uid="{D4E57469-6561-4207-B48C-9F52FFE586F3}"/>
    <cellStyle name="Millares 2 26 5" xfId="3167" xr:uid="{F54CD399-DC02-405F-B6A7-F3D2B4F8AF46}"/>
    <cellStyle name="Millares 2 27" xfId="883" xr:uid="{3BB51E90-935C-426B-B27C-F2F5E3D9E5AB}"/>
    <cellStyle name="Millares 2 27 2" xfId="1850" xr:uid="{92300373-B36A-4AD7-939F-8E0BD8E12775}"/>
    <cellStyle name="Millares 2 27 2 2" xfId="3446" xr:uid="{E14AEEC6-CCBE-48EE-A1D9-5CB763D83130}"/>
    <cellStyle name="Millares 2 27 3" xfId="1305" xr:uid="{626DF511-F20E-4195-A989-A02071559E14}"/>
    <cellStyle name="Millares 2 27 4" xfId="2905" xr:uid="{A8564272-E245-4625-B359-DF4EE1510612}"/>
    <cellStyle name="Millares 2 28" xfId="1037" xr:uid="{302B7F8D-3CB3-456F-9BA0-9CAC3B158805}"/>
    <cellStyle name="Millares 2 28 2" xfId="2200" xr:uid="{3032C054-A90A-47E0-B728-DDA4EEA986B1}"/>
    <cellStyle name="Millares 2 28 2 2" xfId="3796" xr:uid="{8793834C-4D12-4DDE-A4E6-80894E2D8792}"/>
    <cellStyle name="Millares 2 28 3" xfId="1652" xr:uid="{56B4F96A-0ABA-4949-8A1B-7BC0193EE5C0}"/>
    <cellStyle name="Millares 2 28 4" xfId="3251" xr:uid="{BC5FEDFA-5BB3-4E9A-B1FA-0C53A4A86A5D}"/>
    <cellStyle name="Millares 2 29" xfId="1671" xr:uid="{6067DF4D-88F0-44DD-AF3C-9FF30B9D5743}"/>
    <cellStyle name="Millares 2 29 2" xfId="2223" xr:uid="{9D28D5C5-8F6E-40EB-AA24-5E09C7DFB930}"/>
    <cellStyle name="Millares 2 29 2 2" xfId="3819" xr:uid="{3C5F6F2C-D7D3-44E2-A338-6C87BD805A94}"/>
    <cellStyle name="Millares 2 29 3" xfId="3273" xr:uid="{82DD7188-0E76-47C6-8A51-B254EE143E2F}"/>
    <cellStyle name="Millares 2 3" xfId="71" xr:uid="{372C1BD6-C060-4EDA-A602-1B273876E11F}"/>
    <cellStyle name="Millares 2 3 10" xfId="891" xr:uid="{4027E239-3C22-458E-BEE4-770FAB16545B}"/>
    <cellStyle name="Millares 2 3 10 2" xfId="1855" xr:uid="{A6F30BE7-699D-452C-9B04-32B8E22A2FE9}"/>
    <cellStyle name="Millares 2 3 10 2 2" xfId="3451" xr:uid="{501D417B-7BA2-41E3-935C-1D286D147553}"/>
    <cellStyle name="Millares 2 3 10 3" xfId="1310" xr:uid="{FF367E67-85FB-4ACD-9C97-7972BB90B22E}"/>
    <cellStyle name="Millares 2 3 10 4" xfId="2910" xr:uid="{28E2F18C-5E2F-4CA0-8B9B-921E61F307D3}"/>
    <cellStyle name="Millares 2 3 11" xfId="1048" xr:uid="{C9B4D915-4257-4EF6-8FA2-55908617E592}"/>
    <cellStyle name="Millares 2 3 11 2" xfId="2208" xr:uid="{80205991-5DDA-412E-A439-A2E4A34FD72D}"/>
    <cellStyle name="Millares 2 3 11 2 2" xfId="3804" xr:uid="{88C5AFF5-A5A2-4A3A-A852-C9C46D6C69B2}"/>
    <cellStyle name="Millares 2 3 11 3" xfId="1660" xr:uid="{192BE143-2FA3-4BE1-A4CF-8CAF32B7EEB8}"/>
    <cellStyle name="Millares 2 3 11 4" xfId="3259" xr:uid="{FB3EDECD-BDB8-457B-A3D9-A2F67AC59246}"/>
    <cellStyle name="Millares 2 3 12" xfId="1674" xr:uid="{D66DBFCF-E133-4666-A1CD-8FCF7F29272B}"/>
    <cellStyle name="Millares 2 3 12 2" xfId="2231" xr:uid="{7937B6DC-4E60-4BEF-A604-B0CC12F550B0}"/>
    <cellStyle name="Millares 2 3 12 2 2" xfId="3827" xr:uid="{F22D34D4-A638-477F-8B0C-BA8E49DF2BDB}"/>
    <cellStyle name="Millares 2 3 12 3" xfId="3281" xr:uid="{E6C1B5BA-E38A-41D1-9885-1C97B91DF8B7}"/>
    <cellStyle name="Millares 2 3 13" xfId="2289" xr:uid="{85EB82D8-403E-494D-8967-6517BE35013D}"/>
    <cellStyle name="Millares 2 3 13 2" xfId="3853" xr:uid="{13434CF6-64A9-481C-933B-F9DF06A17E7D}"/>
    <cellStyle name="Millares 2 3 14" xfId="1692" xr:uid="{6E0300B4-32AF-41F8-935E-F40CAE48C7AD}"/>
    <cellStyle name="Millares 2 3 14 2" xfId="3302" xr:uid="{12C990A0-58ED-404E-969F-21123A569EA0}"/>
    <cellStyle name="Millares 2 3 15" xfId="2363" xr:uid="{FB458DD4-6901-4EB3-9BBB-66354A89786E}"/>
    <cellStyle name="Millares 2 3 15 2" xfId="3985" xr:uid="{10DF58B4-7538-4AAB-A2FF-A60569CC82E8}"/>
    <cellStyle name="Millares 2 3 16" xfId="4376" xr:uid="{3E7853C3-7BA8-43BA-86DE-7B9206573D90}"/>
    <cellStyle name="Millares 2 3 17" xfId="2761" xr:uid="{48320704-A7A9-498B-917B-9A7530A6EC1A}"/>
    <cellStyle name="Millares 2 3 2" xfId="146" xr:uid="{14CA6274-58CC-4953-845C-03736496D4D3}"/>
    <cellStyle name="Millares 2 3 2 10" xfId="2384" xr:uid="{3C8C6EA0-B0FE-48EC-8F70-90C2F308F794}"/>
    <cellStyle name="Millares 2 3 2 10 2" xfId="4006" xr:uid="{A3C7FA3D-DF91-4FD1-B503-FA4F670AD9CC}"/>
    <cellStyle name="Millares 2 3 2 11" xfId="4397" xr:uid="{7A6C6546-E830-4AEC-89D5-F49AA3937FB3}"/>
    <cellStyle name="Millares 2 3 2 12" xfId="2782" xr:uid="{54992CA7-DBA6-49FC-AE72-E0E7F2A78209}"/>
    <cellStyle name="Millares 2 3 2 2" xfId="339" xr:uid="{5E8B4854-CB7B-4CDD-B04E-14B68E2E90A6}"/>
    <cellStyle name="Millares 2 3 2 2 2" xfId="835" xr:uid="{D9091458-20F7-41C5-BC88-DF3228BC0894}"/>
    <cellStyle name="Millares 2 3 2 2 2 2" xfId="2156" xr:uid="{9661B199-1389-4C3E-9A2F-547676E49D58}"/>
    <cellStyle name="Millares 2 3 2 2 2 2 2" xfId="3752" xr:uid="{6C1CFE73-1AE9-4B6C-9BE5-058DEABF0EF1}"/>
    <cellStyle name="Millares 2 3 2 2 2 3" xfId="2704" xr:uid="{541F590F-2E42-467B-8233-1D84A80838A7}"/>
    <cellStyle name="Millares 2 3 2 2 2 3 2" xfId="4326" xr:uid="{F8209B46-23D0-46B2-92A9-AB8CDAB81D42}"/>
    <cellStyle name="Millares 2 3 2 2 2 4" xfId="1609" xr:uid="{6EF885EC-B616-4BE1-95B5-33130008C463}"/>
    <cellStyle name="Millares 2 3 2 2 2 5" xfId="3208" xr:uid="{6D11F703-23A2-4800-AF85-BA1A460F5239}"/>
    <cellStyle name="Millares 2 3 2 2 3" xfId="965" xr:uid="{CB5B703B-F69A-414C-B88C-9F5D7C1A32E9}"/>
    <cellStyle name="Millares 2 3 2 2 3 2" xfId="1913" xr:uid="{83702E57-AC20-4375-BF51-A35630D6C671}"/>
    <cellStyle name="Millares 2 3 2 2 3 2 2" xfId="3509" xr:uid="{E60F78FD-5BDD-430D-B0E4-3D0544D00492}"/>
    <cellStyle name="Millares 2 3 2 2 3 3" xfId="1369" xr:uid="{CC5F7345-BA9D-425C-93F8-9DF787B77592}"/>
    <cellStyle name="Millares 2 3 2 2 3 4" xfId="2968" xr:uid="{C55F2A43-7EE0-4FD3-BEF9-0C9251B1D3DD}"/>
    <cellStyle name="Millares 2 3 2 2 4" xfId="1147" xr:uid="{BBB54416-AB4F-4148-9D7F-898F013A4D59}"/>
    <cellStyle name="Millares 2 3 2 2 4 2" xfId="3927" xr:uid="{1D182C63-470F-43A9-9DB2-3CB0E79707CD}"/>
    <cellStyle name="Millares 2 3 2 2 5" xfId="1767" xr:uid="{C8E39A22-3128-4F98-AC12-9E716E22A288}"/>
    <cellStyle name="Millares 2 3 2 2 5 2" xfId="3376" xr:uid="{2D426D85-921D-4649-AF42-013329674EE7}"/>
    <cellStyle name="Millares 2 3 2 2 6" xfId="2438" xr:uid="{62ABAB21-39F6-4540-9EE8-627A8B04A07B}"/>
    <cellStyle name="Millares 2 3 2 2 6 2" xfId="4060" xr:uid="{B734FF68-EF8D-49C8-89BE-4B5B2C2CEE90}"/>
    <cellStyle name="Millares 2 3 2 2 7" xfId="4450" xr:uid="{C7D0F313-362E-43D6-8E0F-BAB0EC6F6488}"/>
    <cellStyle name="Millares 2 3 2 2 8" xfId="2835" xr:uid="{BD23AEF9-1178-4FB9-A7F9-C90B9B2A3A42}"/>
    <cellStyle name="Millares 2 3 2 3" xfId="635" xr:uid="{B3EFA49E-AF90-4199-B27F-AB863EE4294D}"/>
    <cellStyle name="Millares 2 3 2 3 2" xfId="1956" xr:uid="{99D88FDA-2804-47FE-B36F-E915DC81F2ED}"/>
    <cellStyle name="Millares 2 3 2 3 2 2" xfId="3552" xr:uid="{FA70654F-0648-45FE-AE7E-24186220D77A}"/>
    <cellStyle name="Millares 2 3 2 3 3" xfId="2505" xr:uid="{9D7BEDF2-17E6-4E1B-B198-3A31F00DA0E3}"/>
    <cellStyle name="Millares 2 3 2 3 3 2" xfId="4127" xr:uid="{F37D9831-D2B3-4A89-9D7D-4827227845D3}"/>
    <cellStyle name="Millares 2 3 2 3 4" xfId="1412" xr:uid="{129FD52D-D52E-4C01-969F-D91DA321E9A5}"/>
    <cellStyle name="Millares 2 3 2 3 5" xfId="3011" xr:uid="{870A5D83-6170-491B-B98B-F16621256311}"/>
    <cellStyle name="Millares 2 3 2 4" xfId="680" xr:uid="{557F6DFF-B163-4669-B42D-4046D32E2D27}"/>
    <cellStyle name="Millares 2 3 2 4 2" xfId="2004" xr:uid="{E55D5467-8C75-4A87-9106-E69037271F8D}"/>
    <cellStyle name="Millares 2 3 2 4 2 2" xfId="3600" xr:uid="{F5ECC2EE-BEDB-4B93-82A6-B1C19B853316}"/>
    <cellStyle name="Millares 2 3 2 4 3" xfId="2550" xr:uid="{C110D7F6-51EE-408C-A034-6BC7C185699F}"/>
    <cellStyle name="Millares 2 3 2 4 3 2" xfId="4172" xr:uid="{9223BB81-84F2-429D-B013-9F16D9FB3393}"/>
    <cellStyle name="Millares 2 3 2 4 4" xfId="1460" xr:uid="{B8035514-591D-4B15-AAC7-F832CCE42E03}"/>
    <cellStyle name="Millares 2 3 2 4 5" xfId="3059" xr:uid="{A43DD356-9F72-4EA7-B1A8-097DB6180561}"/>
    <cellStyle name="Millares 2 3 2 5" xfId="729" xr:uid="{E1ADF1B5-7E5F-47B0-86B2-A2D1F6FFF6C7}"/>
    <cellStyle name="Millares 2 3 2 5 2" xfId="2050" xr:uid="{6F30BC37-6FED-4BDC-988F-477A77730ABA}"/>
    <cellStyle name="Millares 2 3 2 5 2 2" xfId="3646" xr:uid="{8FA1DA5D-97AE-4CEB-AB25-0EC7E9EC12F1}"/>
    <cellStyle name="Millares 2 3 2 5 3" xfId="2600" xr:uid="{67D1E7BD-33FE-40C9-BC3F-6109934D913A}"/>
    <cellStyle name="Millares 2 3 2 5 3 2" xfId="4222" xr:uid="{C153AF72-895F-4EF2-9092-A78150D52F9E}"/>
    <cellStyle name="Millares 2 3 2 5 4" xfId="1506" xr:uid="{6A11CFD5-0256-4734-9BA0-92EC6862559F}"/>
    <cellStyle name="Millares 2 3 2 5 5" xfId="3105" xr:uid="{2286FB5A-8765-4BF3-9664-A83E8ECF020F}"/>
    <cellStyle name="Millares 2 3 2 6" xfId="777" xr:uid="{A7635DA8-2610-4400-BEA2-485581E60904}"/>
    <cellStyle name="Millares 2 3 2 6 2" xfId="2098" xr:uid="{52ABB9E1-2B95-4537-BE5D-0DF4967B8121}"/>
    <cellStyle name="Millares 2 3 2 6 2 2" xfId="3694" xr:uid="{46C8CD70-7527-4B25-ABCB-33B2E39432E5}"/>
    <cellStyle name="Millares 2 3 2 6 3" xfId="2648" xr:uid="{287725BF-6746-4C0F-812B-EA30086F4AFE}"/>
    <cellStyle name="Millares 2 3 2 6 3 2" xfId="4270" xr:uid="{AA7FB168-7036-4198-A453-F97ABCFEFD7A}"/>
    <cellStyle name="Millares 2 3 2 6 4" xfId="1552" xr:uid="{E7AEDADB-9248-4451-92CF-1D26F8D68705}"/>
    <cellStyle name="Millares 2 3 2 6 5" xfId="3151" xr:uid="{C5A2B18A-36BB-4969-8C6D-20144BFE734C}"/>
    <cellStyle name="Millares 2 3 2 7" xfId="912" xr:uid="{43F9F421-EE93-40DF-B1D6-141EDB34F71C}"/>
    <cellStyle name="Millares 2 3 2 7 2" xfId="1871" xr:uid="{A404F521-F412-4B4D-A66E-267B7FC87F01}"/>
    <cellStyle name="Millares 2 3 2 7 2 2" xfId="3467" xr:uid="{4160EF3F-426C-44BD-B506-62DFE7EFAEFD}"/>
    <cellStyle name="Millares 2 3 2 7 3" xfId="1327" xr:uid="{69B43348-61AF-472C-BA61-81C55ECF3C78}"/>
    <cellStyle name="Millares 2 3 2 7 4" xfId="2926" xr:uid="{4956D4C5-8FA1-4825-B5ED-F47EDC89E4C8}"/>
    <cellStyle name="Millares 2 3 2 8" xfId="1090" xr:uid="{46E272B6-4A2D-42D1-89B7-D8ED06CDE85E}"/>
    <cellStyle name="Millares 2 3 2 8 2" xfId="3874" xr:uid="{9AC98B6E-230E-4B86-9ACA-577D4F86E159}"/>
    <cellStyle name="Millares 2 3 2 9" xfId="1715" xr:uid="{B4336828-8991-422F-940C-15874DF89782}"/>
    <cellStyle name="Millares 2 3 2 9 2" xfId="3323" xr:uid="{99632E6C-B3AD-45C6-842A-5D08ECA12C99}"/>
    <cellStyle name="Millares 2 3 3" xfId="302" xr:uid="{662E36D1-321A-46A5-9B68-1ED64B44C67C}"/>
    <cellStyle name="Millares 2 3 3 10" xfId="2402" xr:uid="{0D6AFCDF-CA2E-4A76-81F2-462A4E3CA8C5}"/>
    <cellStyle name="Millares 2 3 3 10 2" xfId="4024" xr:uid="{63620D68-AC8E-428E-82B0-4C036488E578}"/>
    <cellStyle name="Millares 2 3 3 11" xfId="4414" xr:uid="{3ADD7157-5A2C-43CD-AA48-042A61D286FB}"/>
    <cellStyle name="Millares 2 3 3 12" xfId="2799" xr:uid="{9831F2A4-9248-4E2B-B1A1-6628F96D8A1A}"/>
    <cellStyle name="Millares 2 3 3 2" xfId="356" xr:uid="{3833CA71-D7FE-451E-8AA8-02C1A0FA0E3E}"/>
    <cellStyle name="Millares 2 3 3 2 2" xfId="851" xr:uid="{EF40399F-2953-4045-A525-7B9003ED9DCE}"/>
    <cellStyle name="Millares 2 3 3 2 2 2" xfId="2172" xr:uid="{06C30C2D-FE2C-4F25-A6FD-0307498B6D55}"/>
    <cellStyle name="Millares 2 3 3 2 2 2 2" xfId="3768" xr:uid="{85CD38A9-BF00-4651-B887-E3920806BC4C}"/>
    <cellStyle name="Millares 2 3 3 2 2 3" xfId="2720" xr:uid="{F0E19890-8C78-4E92-A88D-E6D21B211EF8}"/>
    <cellStyle name="Millares 2 3 3 2 2 3 2" xfId="4342" xr:uid="{DB7EBE47-CE64-491F-AD54-C430D71D71FE}"/>
    <cellStyle name="Millares 2 3 3 2 2 4" xfId="1625" xr:uid="{D6548D9F-B9DF-440D-8815-4781D039EFCE}"/>
    <cellStyle name="Millares 2 3 3 2 2 5" xfId="3224" xr:uid="{D4A6BA0E-E07F-478C-9440-94574A5FAE68}"/>
    <cellStyle name="Millares 2 3 3 2 3" xfId="982" xr:uid="{28AB2556-5A61-48B6-88ED-7AD4969D467D}"/>
    <cellStyle name="Millares 2 3 3 2 3 2" xfId="1929" xr:uid="{41DC67A9-2ABF-43A3-B872-4F717765A537}"/>
    <cellStyle name="Millares 2 3 3 2 3 2 2" xfId="3525" xr:uid="{84CB3B85-0C3B-4ED4-A40D-FA85B970E69C}"/>
    <cellStyle name="Millares 2 3 3 2 3 3" xfId="1385" xr:uid="{84B223C0-81CA-42EF-A800-B8AAC091AB42}"/>
    <cellStyle name="Millares 2 3 3 2 3 4" xfId="2984" xr:uid="{F45BE71A-0CA8-4429-8E47-0A329EBCE3DA}"/>
    <cellStyle name="Millares 2 3 3 2 4" xfId="1164" xr:uid="{8C9777F4-5B67-468F-984F-B5649F599D95}"/>
    <cellStyle name="Millares 2 3 3 2 4 2" xfId="3944" xr:uid="{0A92A759-2A46-41CE-B2A0-2DEBD233FE4C}"/>
    <cellStyle name="Millares 2 3 3 2 5" xfId="1784" xr:uid="{FC18EF8D-F37D-4077-A484-11CB72BCCB0A}"/>
    <cellStyle name="Millares 2 3 3 2 5 2" xfId="3393" xr:uid="{647BE163-B18A-4533-A593-947D4DF818E7}"/>
    <cellStyle name="Millares 2 3 3 2 6" xfId="2455" xr:uid="{6AB08CCD-DC92-4DCD-9F6A-80D35892D07A}"/>
    <cellStyle name="Millares 2 3 3 2 6 2" xfId="4077" xr:uid="{9803D256-ED62-45E5-BBDC-F111FA36E2CC}"/>
    <cellStyle name="Millares 2 3 3 2 7" xfId="4467" xr:uid="{6D79DE42-A578-4D2E-852D-42D825120E62}"/>
    <cellStyle name="Millares 2 3 3 2 8" xfId="2852" xr:uid="{ABBA0868-12B0-4C8A-ACA8-AAA1227D9997}"/>
    <cellStyle name="Millares 2 3 3 3" xfId="651" xr:uid="{0F347D7B-BF46-48C9-B2BA-AC7F7A0611B3}"/>
    <cellStyle name="Millares 2 3 3 3 2" xfId="1979" xr:uid="{D7B0C201-B535-4118-9F1F-424FA05A3A31}"/>
    <cellStyle name="Millares 2 3 3 3 2 2" xfId="3575" xr:uid="{342E5957-2942-4736-9FF7-A3F2AF2A718F}"/>
    <cellStyle name="Millares 2 3 3 3 3" xfId="2521" xr:uid="{BC13EC9E-26FB-4650-9107-17B1D9ADC00E}"/>
    <cellStyle name="Millares 2 3 3 3 3 2" xfId="4143" xr:uid="{7F6F90E2-5D62-4577-9FD3-A8A8AA4A1A35}"/>
    <cellStyle name="Millares 2 3 3 3 4" xfId="1435" xr:uid="{D019031A-65A4-4EF8-9430-79390539EC82}"/>
    <cellStyle name="Millares 2 3 3 3 5" xfId="3034" xr:uid="{FC4D457B-4255-46BE-A127-EDC593FB6309}"/>
    <cellStyle name="Millares 2 3 3 4" xfId="698" xr:uid="{DBD65FEF-DBF2-4379-83E3-1A49C3AA2A5D}"/>
    <cellStyle name="Millares 2 3 3 4 2" xfId="2018" xr:uid="{FF8A984A-0CB0-4FBF-9F4E-0B7032E4E211}"/>
    <cellStyle name="Millares 2 3 3 4 2 2" xfId="3614" xr:uid="{4F807B3D-550C-409F-B587-961924802C5B}"/>
    <cellStyle name="Millares 2 3 3 4 3" xfId="2568" xr:uid="{E09D82CF-9DB4-40AD-A9FA-392EDDE3A71F}"/>
    <cellStyle name="Millares 2 3 3 4 3 2" xfId="4190" xr:uid="{3A8C8E59-7C61-4A67-9195-7FE0F0BB0C8A}"/>
    <cellStyle name="Millares 2 3 3 4 4" xfId="1474" xr:uid="{9F14A663-0CBA-4CF5-9BE2-BE186B4EC22B}"/>
    <cellStyle name="Millares 2 3 3 4 5" xfId="3073" xr:uid="{FA1966C3-D5A2-41A9-8F3D-4BCFB686317C}"/>
    <cellStyle name="Millares 2 3 3 5" xfId="746" xr:uid="{BE0D1174-3688-490D-B848-B34C86A64C5C}"/>
    <cellStyle name="Millares 2 3 3 5 2" xfId="2067" xr:uid="{0DE6B7E0-D979-42AC-84A3-F390FD468F94}"/>
    <cellStyle name="Millares 2 3 3 5 2 2" xfId="3663" xr:uid="{6FE584FE-F479-4EB5-B5AB-FEF5D5AA38AC}"/>
    <cellStyle name="Millares 2 3 3 5 3" xfId="2617" xr:uid="{E6381CBE-63D6-4D99-9F8F-E8A5C7D755F2}"/>
    <cellStyle name="Millares 2 3 3 5 3 2" xfId="4239" xr:uid="{1A6FA147-B334-4D83-96CD-98F9900FCAE2}"/>
    <cellStyle name="Millares 2 3 3 5 4" xfId="1523" xr:uid="{9440D856-E897-4CAC-8149-8F290EA4B6E4}"/>
    <cellStyle name="Millares 2 3 3 5 5" xfId="3122" xr:uid="{6D0AE1C8-6890-48C0-9962-44040766AE85}"/>
    <cellStyle name="Millares 2 3 3 6" xfId="801" xr:uid="{C5E04A62-D264-428A-A659-FC89813EB005}"/>
    <cellStyle name="Millares 2 3 3 6 2" xfId="2122" xr:uid="{DF66BB8F-C7EB-4203-BC69-CE77E4866280}"/>
    <cellStyle name="Millares 2 3 3 6 2 2" xfId="3718" xr:uid="{2D552E9E-33E5-487B-86DB-A6C24A3E87E7}"/>
    <cellStyle name="Millares 2 3 3 6 3" xfId="2670" xr:uid="{CC95738B-0012-4BAE-80BD-533C8EDA8855}"/>
    <cellStyle name="Millares 2 3 3 6 3 2" xfId="4292" xr:uid="{57B002A8-FF82-404A-BF2A-607CB04D476B}"/>
    <cellStyle name="Millares 2 3 3 6 4" xfId="1575" xr:uid="{A1AF4A4A-4BFD-46C0-988D-1397E8E30728}"/>
    <cellStyle name="Millares 2 3 3 6 5" xfId="3174" xr:uid="{A6CE5BF3-D8B0-46DE-99D7-82F8F7CD91F5}"/>
    <cellStyle name="Millares 2 3 3 7" xfId="929" xr:uid="{98C7C419-BE4C-4A13-BC6A-5BB5F1F89B56}"/>
    <cellStyle name="Millares 2 3 3 7 2" xfId="1883" xr:uid="{A48C830A-2A7C-447B-92C3-78D228D0A858}"/>
    <cellStyle name="Millares 2 3 3 7 2 2" xfId="3479" xr:uid="{D8E914B3-D3BC-482D-9B73-BF40DF976157}"/>
    <cellStyle name="Millares 2 3 3 7 3" xfId="1339" xr:uid="{56A1CE32-6CE7-4230-9706-35D8394C2DC9}"/>
    <cellStyle name="Millares 2 3 3 7 4" xfId="2938" xr:uid="{B8F86040-2F62-4429-8CD3-C952FA721BE5}"/>
    <cellStyle name="Millares 2 3 3 8" xfId="1111" xr:uid="{774ED638-41D1-4EB8-9459-2BC059A5E250}"/>
    <cellStyle name="Millares 2 3 3 8 2" xfId="3891" xr:uid="{C399BCD9-4256-4FE7-8F08-8D4AAE7C0D07}"/>
    <cellStyle name="Millares 2 3 3 9" xfId="1736" xr:uid="{74A036A1-116D-4840-B4C1-DE5E1D779A02}"/>
    <cellStyle name="Millares 2 3 3 9 2" xfId="3340" xr:uid="{96CF5623-9926-436E-9D02-D8DEB54689DD}"/>
    <cellStyle name="Millares 2 3 4" xfId="318" xr:uid="{DCC23CC6-59C4-44EF-AC97-F12193C6EFFE}"/>
    <cellStyle name="Millares 2 3 4 2" xfId="816" xr:uid="{7877D7FA-23BC-4E3F-84E2-D8A1BC4C8B34}"/>
    <cellStyle name="Millares 2 3 4 2 2" xfId="2137" xr:uid="{7DE8D44E-46E9-4218-8370-DD276E3A960B}"/>
    <cellStyle name="Millares 2 3 4 2 2 2" xfId="3733" xr:uid="{C17D4E5A-BC7F-4CB2-96AE-070821620F40}"/>
    <cellStyle name="Millares 2 3 4 2 3" xfId="2685" xr:uid="{8D55C79E-6597-467F-8D2F-83B3968E1BE5}"/>
    <cellStyle name="Millares 2 3 4 2 3 2" xfId="4307" xr:uid="{38E0F1EF-C971-479C-A18F-03913B88DB35}"/>
    <cellStyle name="Millares 2 3 4 2 4" xfId="1590" xr:uid="{C9A3ADD8-5F29-42DF-99F3-36732BF429C5}"/>
    <cellStyle name="Millares 2 3 4 2 5" xfId="3189" xr:uid="{D51245EB-3D16-4BC1-AB1C-4DA10C081D38}"/>
    <cellStyle name="Millares 2 3 4 3" xfId="944" xr:uid="{B601D86D-DA9F-4E43-9633-83A9FF817914}"/>
    <cellStyle name="Millares 2 3 4 3 2" xfId="1894" xr:uid="{7E3A2535-7A56-47C3-80C7-73FEF85241A9}"/>
    <cellStyle name="Millares 2 3 4 3 2 2" xfId="3490" xr:uid="{26AD308C-A1C6-4219-9932-ECCB2FA8FBB6}"/>
    <cellStyle name="Millares 2 3 4 3 3" xfId="1350" xr:uid="{DD83986B-B83B-4B2B-8223-00BE398ACBAA}"/>
    <cellStyle name="Millares 2 3 4 3 4" xfId="2949" xr:uid="{3399FEFC-C468-4677-A360-10AF7E7665FD}"/>
    <cellStyle name="Millares 2 3 4 4" xfId="1126" xr:uid="{453190FF-467F-435A-96C0-7C8283FE4074}"/>
    <cellStyle name="Millares 2 3 4 4 2" xfId="3906" xr:uid="{1E4C756D-D103-475D-A98B-DC49426D32AF}"/>
    <cellStyle name="Millares 2 3 4 5" xfId="1749" xr:uid="{EB7A8BE6-896B-423B-AC27-C6F97842599F}"/>
    <cellStyle name="Millares 2 3 4 5 2" xfId="3355" xr:uid="{4673766C-A294-42BA-99C4-9D615BBE7C71}"/>
    <cellStyle name="Millares 2 3 4 6" xfId="2417" xr:uid="{7410BA7A-8FE1-4996-9989-758D50202655}"/>
    <cellStyle name="Millares 2 3 4 6 2" xfId="4039" xr:uid="{714D4FCF-703F-4A87-A7FC-5353565299E6}"/>
    <cellStyle name="Millares 2 3 4 7" xfId="4429" xr:uid="{4AA0C542-19C8-41CF-B38E-C3FDF8ED3467}"/>
    <cellStyle name="Millares 2 3 4 8" xfId="2814" xr:uid="{C4923705-7283-4AA2-A182-F698D5B60D1D}"/>
    <cellStyle name="Millares 2 3 5" xfId="590" xr:uid="{40AC3AEB-CE9B-4276-8002-2125C0EA97D7}"/>
    <cellStyle name="Millares 2 3 5 2" xfId="874" xr:uid="{CB2D09C8-F4CC-4C0E-9203-B5B0C4B5ECF1}"/>
    <cellStyle name="Millares 2 3 5 2 2" xfId="2192" xr:uid="{BACAF353-AA12-4C19-AB80-ED06E47D1455}"/>
    <cellStyle name="Millares 2 3 5 2 2 2" xfId="3788" xr:uid="{741D4CC5-23D5-4690-AF66-377A39749B38}"/>
    <cellStyle name="Millares 2 3 5 2 3" xfId="2738" xr:uid="{4ECD7F87-6BFD-4EA8-9E65-41772073670C}"/>
    <cellStyle name="Millares 2 3 5 2 3 2" xfId="4360" xr:uid="{58B05534-6EAF-4F41-AE60-8CD1C46010AF}"/>
    <cellStyle name="Millares 2 3 5 2 4" xfId="1645" xr:uid="{E45CCD78-2823-4D7E-B626-BB2FA0F4E0FF}"/>
    <cellStyle name="Millares 2 3 5 2 5" xfId="3244" xr:uid="{3428B72E-B396-4068-A4E8-5DB700B8D1B5}"/>
    <cellStyle name="Millares 2 3 5 3" xfId="637" xr:uid="{E36F0078-851D-4371-BAA3-329697616558}"/>
    <cellStyle name="Millares 2 3 5 3 2" xfId="1959" xr:uid="{D522043D-964B-4AAC-B1BD-0457E95A2E71}"/>
    <cellStyle name="Millares 2 3 5 3 2 2" xfId="3555" xr:uid="{C03096B3-9BD5-4ABA-85A7-7406A2EEEB81}"/>
    <cellStyle name="Millares 2 3 5 3 3" xfId="1415" xr:uid="{82672D57-8551-42E1-8919-7F1000863796}"/>
    <cellStyle name="Millares 2 3 5 3 4" xfId="3014" xr:uid="{4A84154C-B954-4679-B4D2-DBAFD88B427A}"/>
    <cellStyle name="Millares 2 3 5 4" xfId="1002" xr:uid="{B69F4CE5-F01C-4D47-A2DE-D7B6F6B140B9}"/>
    <cellStyle name="Millares 2 3 5 4 2" xfId="2310" xr:uid="{0F9B64B6-BB17-480E-93DA-A2C246B0A99A}"/>
    <cellStyle name="Millares 2 3 5 4 3" xfId="3964" xr:uid="{2A056511-59C7-4DDF-976F-7E977A9772BE}"/>
    <cellStyle name="Millares 2 3 5 5" xfId="1235" xr:uid="{B811A769-689F-4CE8-97BB-63DFB9E5108C}"/>
    <cellStyle name="Millares 2 3 5 5 2" xfId="3413" xr:uid="{714F9D15-3298-4E2F-8F34-5AA9037A71A5}"/>
    <cellStyle name="Millares 2 3 5 6" xfId="2475" xr:uid="{104F21C0-B3F9-486E-8F12-896E23654883}"/>
    <cellStyle name="Millares 2 3 5 6 2" xfId="4097" xr:uid="{1E94082D-BB27-4019-A83C-F71833652CB3}"/>
    <cellStyle name="Millares 2 3 5 7" xfId="2507" xr:uid="{A2AD510E-F790-498B-8458-5CCCBF86D186}"/>
    <cellStyle name="Millares 2 3 5 7 2" xfId="4129" xr:uid="{FC7EF513-E4BF-47D0-8C92-91C0419E7F0A}"/>
    <cellStyle name="Millares 2 3 5 8" xfId="4487" xr:uid="{704BDAB5-97D5-408E-B57D-CC135A66C1A9}"/>
    <cellStyle name="Millares 2 3 5 9" xfId="2872" xr:uid="{0D9B1BFA-8EE8-4FBA-97AB-F5A4B8822053}"/>
    <cellStyle name="Millares 2 3 6" xfId="659" xr:uid="{180CCB19-56EF-4B79-B184-1D0DFF918E21}"/>
    <cellStyle name="Millares 2 3 6 2" xfId="1444" xr:uid="{115DBE84-18A0-4757-B658-F65EF5D984EA}"/>
    <cellStyle name="Millares 2 3 6 2 2" xfId="1988" xr:uid="{7B1797E5-7658-4654-8C60-52D51E7007B7}"/>
    <cellStyle name="Millares 2 3 6 2 2 2" xfId="3584" xr:uid="{A01214FB-3D83-490C-9BE0-792E33757C27}"/>
    <cellStyle name="Millares 2 3 6 2 3" xfId="3043" xr:uid="{D56F7E99-64C4-4B1D-97B0-211E71312C49}"/>
    <cellStyle name="Millares 2 3 6 3" xfId="1835" xr:uid="{2DCC9682-DC8B-4397-B559-F4B10639C7BB}"/>
    <cellStyle name="Millares 2 3 6 3 2" xfId="3432" xr:uid="{861148B7-8A70-4569-8409-C6E1EDA36B5E}"/>
    <cellStyle name="Millares 2 3 6 4" xfId="2529" xr:uid="{1BD05E8B-A7FF-4DBB-89BD-440252835DFD}"/>
    <cellStyle name="Millares 2 3 6 4 2" xfId="4151" xr:uid="{8037D8D6-577B-4018-8B99-177EF3F8DBE0}"/>
    <cellStyle name="Millares 2 3 6 5" xfId="1292" xr:uid="{B05D6E77-BEC8-4D61-AF50-E6920B1FC793}"/>
    <cellStyle name="Millares 2 3 6 6" xfId="2892" xr:uid="{633A78A2-0DD0-4279-B69D-8BCBD772B1D4}"/>
    <cellStyle name="Millares 2 3 7" xfId="708" xr:uid="{28FE1A93-8079-4D1F-8C8E-7CF5DEBB8062}"/>
    <cellStyle name="Millares 2 3 7 2" xfId="2029" xr:uid="{E5F79EF7-F2EB-4CD4-80D3-3DE9A7959ABD}"/>
    <cellStyle name="Millares 2 3 7 2 2" xfId="3625" xr:uid="{B3950ECF-1D53-45F6-A26E-89E5795695B2}"/>
    <cellStyle name="Millares 2 3 7 3" xfId="2579" xr:uid="{371A91CD-E472-48B2-8DD7-19B28C27770C}"/>
    <cellStyle name="Millares 2 3 7 3 2" xfId="4201" xr:uid="{819213F0-B5E9-4F81-A7C2-95092224F519}"/>
    <cellStyle name="Millares 2 3 7 4" xfId="1485" xr:uid="{9760DCE9-A33A-41C5-84F5-B418107ECE55}"/>
    <cellStyle name="Millares 2 3 7 5" xfId="3084" xr:uid="{F4E7EB5C-67EA-4B59-AA57-C354EDAFF989}"/>
    <cellStyle name="Millares 2 3 8" xfId="782" xr:uid="{2DF81244-EFDC-4970-BF92-8DFC25783352}"/>
    <cellStyle name="Millares 2 3 8 2" xfId="2102" xr:uid="{95BA673A-F5D7-4333-9261-624C13771DD5}"/>
    <cellStyle name="Millares 2 3 8 2 2" xfId="3698" xr:uid="{7BE72239-9175-433D-844B-4416BAAF00EF}"/>
    <cellStyle name="Millares 2 3 8 3" xfId="2652" xr:uid="{55EA8D3F-9519-4F05-A86E-2C22D5ED6DB5}"/>
    <cellStyle name="Millares 2 3 8 3 2" xfId="4274" xr:uid="{F6171A1E-9228-497A-8F3F-077455C3C5DE}"/>
    <cellStyle name="Millares 2 3 8 4" xfId="1556" xr:uid="{5101483C-69BD-4797-AFB6-CA3CCA0EEE3F}"/>
    <cellStyle name="Millares 2 3 8 5" xfId="3155" xr:uid="{7FA0FFE3-48AC-4D77-A0B0-DA4C32A98613}"/>
    <cellStyle name="Millares 2 3 9" xfId="769" xr:uid="{58D19754-3CAE-45D7-954A-BDAEFD48A57B}"/>
    <cellStyle name="Millares 2 3 9 2" xfId="2090" xr:uid="{36DAA412-9ACE-481D-ACE9-56C09C04218F}"/>
    <cellStyle name="Millares 2 3 9 2 2" xfId="3686" xr:uid="{F21D4362-81EE-41B5-B92F-0C43B3C5C380}"/>
    <cellStyle name="Millares 2 3 9 3" xfId="2640" xr:uid="{75818409-53E0-4FED-96BF-B6573795BC98}"/>
    <cellStyle name="Millares 2 3 9 3 2" xfId="4262" xr:uid="{959D0633-97AD-434D-B019-DB2174150EA8}"/>
    <cellStyle name="Millares 2 3 9 4" xfId="1544" xr:uid="{41883E83-9481-4D26-9A90-649633F0807C}"/>
    <cellStyle name="Millares 2 3 9 5" xfId="3143" xr:uid="{5C2A7699-76E4-4E28-8790-82687E7DD072}"/>
    <cellStyle name="Millares 2 30" xfId="2245" xr:uid="{5A2FB744-96AE-403F-99F0-1E1D0A78A91A}"/>
    <cellStyle name="Millares 2 31" xfId="1684" xr:uid="{70DDD5AA-8043-4BEB-AC45-0D08183678F7}"/>
    <cellStyle name="Millares 2 31 2" xfId="3294" xr:uid="{6E841D4E-F2B2-4758-9A75-146B29F7B18C}"/>
    <cellStyle name="Millares 2 32" xfId="2355" xr:uid="{A8A2BFDC-DE46-4D75-B19A-A377B4C7E1E3}"/>
    <cellStyle name="Millares 2 32 2" xfId="3977" xr:uid="{2B93A806-E518-4AB3-9C81-4501B97270E9}"/>
    <cellStyle name="Millares 2 33" xfId="1100" xr:uid="{7E1F8323-CB93-459A-8EC1-CE8B1125900C}"/>
    <cellStyle name="Millares 2 33 2" xfId="4368" xr:uid="{EF23ED89-5254-44E1-A6D8-72162E5B9C72}"/>
    <cellStyle name="Millares 2 4" xfId="73" xr:uid="{54F94EB0-30E3-4EFD-9826-E956A78C335C}"/>
    <cellStyle name="Millares 2 4 10" xfId="2365" xr:uid="{2274E990-0201-4F65-A79C-F5715A00E97D}"/>
    <cellStyle name="Millares 2 4 10 2" xfId="3987" xr:uid="{83A59427-160A-473D-A4A6-D25F5AD43A89}"/>
    <cellStyle name="Millares 2 4 11" xfId="4378" xr:uid="{ACFFAA76-DA97-4ED3-B4CC-EA0F93A42E5F}"/>
    <cellStyle name="Millares 2 4 12" xfId="2763" xr:uid="{3A3B03D7-7D18-4B37-A1CB-1A7CC4AD0A82}"/>
    <cellStyle name="Millares 2 4 2" xfId="320" xr:uid="{B44AB97D-6936-4447-AA0A-F7475E41F80F}"/>
    <cellStyle name="Millares 2 4 2 2" xfId="818" xr:uid="{6B23C6CD-7891-478D-8D4C-033F239DD642}"/>
    <cellStyle name="Millares 2 4 2 2 2" xfId="2139" xr:uid="{EFB8847C-3343-4BF0-95FB-7509715C484E}"/>
    <cellStyle name="Millares 2 4 2 2 2 2" xfId="3735" xr:uid="{65CA9064-9396-4E75-831D-4341E759D25D}"/>
    <cellStyle name="Millares 2 4 2 2 3" xfId="2687" xr:uid="{D6A85F19-CD68-4358-B045-1339A25ECEA0}"/>
    <cellStyle name="Millares 2 4 2 2 3 2" xfId="4309" xr:uid="{4CAF3D37-C9CB-406A-B852-2A2DF72DD77E}"/>
    <cellStyle name="Millares 2 4 2 2 4" xfId="1592" xr:uid="{F8C18317-F300-40B5-9084-E2F9B56D9C7A}"/>
    <cellStyle name="Millares 2 4 2 2 5" xfId="3191" xr:uid="{6AEEA4F4-B6C5-4072-A44C-BD14C88C371C}"/>
    <cellStyle name="Millares 2 4 2 3" xfId="946" xr:uid="{2E8917C6-1C69-4BF9-9670-6C7025B248CC}"/>
    <cellStyle name="Millares 2 4 2 3 2" xfId="1896" xr:uid="{CFA3AF41-B4BC-4F26-A87B-63828C16C81D}"/>
    <cellStyle name="Millares 2 4 2 3 2 2" xfId="3492" xr:uid="{EF031E70-0C5F-4C0D-AA2E-E5442C749C8C}"/>
    <cellStyle name="Millares 2 4 2 3 3" xfId="1352" xr:uid="{D1BE9CA0-AA2F-49AE-AE14-78A68C77E93E}"/>
    <cellStyle name="Millares 2 4 2 3 4" xfId="2951" xr:uid="{1FE81198-B833-4038-96BC-99FF2D4A0156}"/>
    <cellStyle name="Millares 2 4 2 4" xfId="1128" xr:uid="{C701B6AD-E7C9-4628-A764-02A86E1FB42A}"/>
    <cellStyle name="Millares 2 4 2 4 2" xfId="3908" xr:uid="{B510C0F0-70D4-4CB3-B26F-5774B9A45CC2}"/>
    <cellStyle name="Millares 2 4 2 5" xfId="1750" xr:uid="{10B02D39-3640-41FA-99A5-954C5FE9D696}"/>
    <cellStyle name="Millares 2 4 2 5 2" xfId="3357" xr:uid="{1EAF84A3-2406-4842-BA17-0A8914BEC2C3}"/>
    <cellStyle name="Millares 2 4 2 6" xfId="2419" xr:uid="{BD86E196-3268-4074-A4ED-B5E2A64B59C6}"/>
    <cellStyle name="Millares 2 4 2 6 2" xfId="4041" xr:uid="{6E7F166A-21FB-4EC3-AB1C-86F26930E7F0}"/>
    <cellStyle name="Millares 2 4 2 7" xfId="4431" xr:uid="{8CD13C50-112B-4A79-83E7-E94489F1D813}"/>
    <cellStyle name="Millares 2 4 2 8" xfId="2816" xr:uid="{9C0A4948-B7EE-433E-84D2-AAE5B2412571}"/>
    <cellStyle name="Millares 2 4 3" xfId="620" xr:uid="{EADD4903-644C-489B-99D9-B9C798B5D513}"/>
    <cellStyle name="Millares 2 4 3 2" xfId="1938" xr:uid="{2129C4AB-FC7D-4421-907C-DE98EE88656F}"/>
    <cellStyle name="Millares 2 4 3 2 2" xfId="3534" xr:uid="{36C13D99-48A3-4005-9C87-AD2527BE19CA}"/>
    <cellStyle name="Millares 2 4 3 3" xfId="2490" xr:uid="{A50B8B66-EAE8-44BA-B3D6-02F8C77802A4}"/>
    <cellStyle name="Millares 2 4 3 3 2" xfId="4112" xr:uid="{294E22C8-994F-4FAF-B891-4352A6A8419A}"/>
    <cellStyle name="Millares 2 4 3 4" xfId="1394" xr:uid="{3BCDB992-675A-4C37-88E9-E10A0E10D6D0}"/>
    <cellStyle name="Millares 2 4 3 5" xfId="2993" xr:uid="{D248B7E4-4996-4FD6-B8E4-5166E1AD72F3}"/>
    <cellStyle name="Millares 2 4 4" xfId="661" xr:uid="{4B512819-1A8F-40D0-80FC-9B2491015A58}"/>
    <cellStyle name="Millares 2 4 4 2" xfId="1990" xr:uid="{21D54684-286E-4EF9-B252-B4E838D994E1}"/>
    <cellStyle name="Millares 2 4 4 2 2" xfId="3586" xr:uid="{A863756D-10ED-4542-86C6-4E6DE2CDFDED}"/>
    <cellStyle name="Millares 2 4 4 3" xfId="2531" xr:uid="{15ACB7EE-3752-419F-9808-1D0F6432D63D}"/>
    <cellStyle name="Millares 2 4 4 3 2" xfId="4153" xr:uid="{77077F42-3BEA-46D5-A727-F17382B2B97F}"/>
    <cellStyle name="Millares 2 4 4 4" xfId="1446" xr:uid="{D20B4952-B243-43D3-AD3E-DD45F73D557C}"/>
    <cellStyle name="Millares 2 4 4 5" xfId="3045" xr:uid="{3DB90F61-C79D-4BAD-87C2-A18E85569B3A}"/>
    <cellStyle name="Millares 2 4 5" xfId="710" xr:uid="{81280361-468A-419B-B56D-48FEBB6FE94B}"/>
    <cellStyle name="Millares 2 4 5 2" xfId="2031" xr:uid="{26451602-F0EF-4C55-ADA3-7F3165D80787}"/>
    <cellStyle name="Millares 2 4 5 2 2" xfId="3627" xr:uid="{FE835E64-8597-4282-B74C-4A00E71777C6}"/>
    <cellStyle name="Millares 2 4 5 3" xfId="2581" xr:uid="{2D8DF297-4DB3-4669-BF56-ACD45AED5B49}"/>
    <cellStyle name="Millares 2 4 5 3 2" xfId="4203" xr:uid="{DB410B18-E4CC-4D74-B5F8-8A26CC59E504}"/>
    <cellStyle name="Millares 2 4 5 4" xfId="1487" xr:uid="{49DDC38F-72F3-4387-BEA3-7CD75D5412A5}"/>
    <cellStyle name="Millares 2 4 5 5" xfId="3086" xr:uid="{EF54C281-850D-4D1D-B519-347910992640}"/>
    <cellStyle name="Millares 2 4 6" xfId="787" xr:uid="{D3FAF000-E4E6-40D8-9F7D-89CE838F9BC0}"/>
    <cellStyle name="Millares 2 4 6 2" xfId="2107" xr:uid="{81A2E96B-75C6-41FE-8014-A342945085A2}"/>
    <cellStyle name="Millares 2 4 6 2 2" xfId="3703" xr:uid="{EEE5B026-8405-45C4-96B8-52A9C3CF22B1}"/>
    <cellStyle name="Millares 2 4 6 3" xfId="2656" xr:uid="{067F4D8F-C70B-4270-ABBF-DD4AB3FE6AF2}"/>
    <cellStyle name="Millares 2 4 6 3 2" xfId="4278" xr:uid="{526B336A-4AFC-4F84-B3CD-E8C902EC4591}"/>
    <cellStyle name="Millares 2 4 6 4" xfId="1561" xr:uid="{DAEB8ABD-7F04-4F1D-8D00-5363B8AEE36E}"/>
    <cellStyle name="Millares 2 4 6 5" xfId="3160" xr:uid="{CF073FB5-FFA3-43DA-857D-D382A89D00B3}"/>
    <cellStyle name="Millares 2 4 7" xfId="893" xr:uid="{86A50CB9-1009-4AC2-A9DE-6CFAE914052C}"/>
    <cellStyle name="Millares 2 4 7 2" xfId="1857" xr:uid="{E6C28539-92DA-4392-9F45-E81414958615}"/>
    <cellStyle name="Millares 2 4 7 2 2" xfId="3453" xr:uid="{39476A5D-2E4B-4A51-A0D8-46E73CA11AAF}"/>
    <cellStyle name="Millares 2 4 7 3" xfId="1312" xr:uid="{E4801BF6-3858-4E2A-BD61-E33A34C5F8B5}"/>
    <cellStyle name="Millares 2 4 7 4" xfId="2912" xr:uid="{9C43B424-8A88-4CBC-8AA6-F2D1F59926DA}"/>
    <cellStyle name="Millares 2 4 8" xfId="1050" xr:uid="{F4BA122E-CFDC-425A-9C30-998E6EC2C2FA}"/>
    <cellStyle name="Millares 2 4 8 2" xfId="3855" xr:uid="{E0FE632D-3EEA-46BA-8FE2-DB3495568306}"/>
    <cellStyle name="Millares 2 4 9" xfId="1694" xr:uid="{0DC344EF-9C0E-44A6-827B-A39DE986C566}"/>
    <cellStyle name="Millares 2 4 9 2" xfId="3304" xr:uid="{39721786-A64A-4750-8F6F-5F81BF3A7E3C}"/>
    <cellStyle name="Millares 2 5" xfId="75" xr:uid="{2E61A8B0-5F8D-45AF-A9E9-64F69AFF5B08}"/>
    <cellStyle name="Millares 2 5 10" xfId="2367" xr:uid="{DF2B3135-53B4-47FB-939E-ECBE63B59ACE}"/>
    <cellStyle name="Millares 2 5 10 2" xfId="3989" xr:uid="{B341B7C3-8D82-496C-B463-5A453BE90763}"/>
    <cellStyle name="Millares 2 5 11" xfId="4380" xr:uid="{9AEB349E-8253-49B7-9F06-CF362A98417C}"/>
    <cellStyle name="Millares 2 5 12" xfId="2765" xr:uid="{6C4466D1-5941-4855-B32C-FC56F3F1AF35}"/>
    <cellStyle name="Millares 2 5 2" xfId="322" xr:uid="{524F0D1E-A51E-4C70-B5CD-E6C58D11EF56}"/>
    <cellStyle name="Millares 2 5 2 2" xfId="819" xr:uid="{E167427D-7D23-4AB7-9B24-FD9569000F40}"/>
    <cellStyle name="Millares 2 5 2 2 2" xfId="2140" xr:uid="{74B52FE8-4BA2-4B28-AECF-6AD6EC83338B}"/>
    <cellStyle name="Millares 2 5 2 2 2 2" xfId="3736" xr:uid="{CA73143A-4881-4F45-AB26-B8F4C443CD86}"/>
    <cellStyle name="Millares 2 5 2 2 3" xfId="2688" xr:uid="{0349E980-8F25-4EC6-BCC4-E46D198589E0}"/>
    <cellStyle name="Millares 2 5 2 2 3 2" xfId="4310" xr:uid="{C86AE006-A867-4A42-AF8F-A9E826F73BBC}"/>
    <cellStyle name="Millares 2 5 2 2 4" xfId="1593" xr:uid="{AC734D2F-C086-41EA-92DF-E3F069E7654F}"/>
    <cellStyle name="Millares 2 5 2 2 5" xfId="3192" xr:uid="{AC6B701C-396B-4883-888B-C0A25CD71E4C}"/>
    <cellStyle name="Millares 2 5 2 3" xfId="948" xr:uid="{F77AC238-4A6F-4309-B4B7-050487659D71}"/>
    <cellStyle name="Millares 2 5 2 3 2" xfId="1897" xr:uid="{91F8DDDE-96D7-4802-83EF-85670218EA55}"/>
    <cellStyle name="Millares 2 5 2 3 2 2" xfId="3493" xr:uid="{F7247DCD-2A1B-48C8-BDB0-8EEB95D0BAE8}"/>
    <cellStyle name="Millares 2 5 2 3 3" xfId="1353" xr:uid="{84B2AEE2-F53B-4241-8021-1BC929DD8527}"/>
    <cellStyle name="Millares 2 5 2 3 4" xfId="2952" xr:uid="{01FA8D9D-3BAA-4A0E-A077-335C4C7E53A1}"/>
    <cellStyle name="Millares 2 5 2 4" xfId="1130" xr:uid="{1DA17BB4-ACC0-40D4-AF89-38F57E457FB7}"/>
    <cellStyle name="Millares 2 5 2 4 2" xfId="3910" xr:uid="{523B37A5-9B6C-4A13-962C-08042C4E5A6E}"/>
    <cellStyle name="Millares 2 5 2 5" xfId="1752" xr:uid="{FF8620F3-8ED0-49B9-897D-879214A57F5B}"/>
    <cellStyle name="Millares 2 5 2 5 2" xfId="3359" xr:uid="{117D8FED-D8D6-4944-9C51-2C60F9CD80EF}"/>
    <cellStyle name="Millares 2 5 2 6" xfId="2421" xr:uid="{7CD0C630-9C1F-47B9-9E9C-538C68832DF6}"/>
    <cellStyle name="Millares 2 5 2 6 2" xfId="4043" xr:uid="{1FE9D59D-7927-4791-872A-B3EABE22C0B9}"/>
    <cellStyle name="Millares 2 5 2 7" xfId="4433" xr:uid="{E8A48E71-F916-4F40-8C45-5B12EEB8E958}"/>
    <cellStyle name="Millares 2 5 2 8" xfId="2818" xr:uid="{7002D2C0-D44A-4471-8045-674441204347}"/>
    <cellStyle name="Millares 2 5 3" xfId="634" xr:uid="{5EA89C9D-08D8-497D-86A9-8F96B220CE02}"/>
    <cellStyle name="Millares 2 5 3 2" xfId="1953" xr:uid="{B944F765-F961-4BAE-AD51-A4D1A238D49B}"/>
    <cellStyle name="Millares 2 5 3 2 2" xfId="3549" xr:uid="{DEF36D8A-6321-4BA1-A5BD-110DA45FE167}"/>
    <cellStyle name="Millares 2 5 3 3" xfId="2504" xr:uid="{2D042FD0-2998-4015-A752-68BB05B0ED9A}"/>
    <cellStyle name="Millares 2 5 3 3 2" xfId="4126" xr:uid="{A277D293-0888-4AC1-BF62-7245A216A342}"/>
    <cellStyle name="Millares 2 5 3 4" xfId="1409" xr:uid="{7EA46A99-B412-41B2-8376-81C64C5BA1E7}"/>
    <cellStyle name="Millares 2 5 3 5" xfId="3008" xr:uid="{524168C1-E281-444F-A12F-A911C321C468}"/>
    <cellStyle name="Millares 2 5 4" xfId="663" xr:uid="{4539FDDC-A572-4598-BB83-96685EA04A14}"/>
    <cellStyle name="Millares 2 5 4 2" xfId="1991" xr:uid="{676EE6C0-60AA-48DC-BB1E-0E586785EE8C}"/>
    <cellStyle name="Millares 2 5 4 2 2" xfId="3587" xr:uid="{2B778028-1F6B-46FE-86C2-E9E0F9B2C63A}"/>
    <cellStyle name="Millares 2 5 4 3" xfId="2533" xr:uid="{3E21C776-B36C-4AC2-B1E0-21DFEA53C91B}"/>
    <cellStyle name="Millares 2 5 4 3 2" xfId="4155" xr:uid="{5B256C03-1D19-40B5-9BCB-435AB2FC57BA}"/>
    <cellStyle name="Millares 2 5 4 4" xfId="1447" xr:uid="{7ED1506E-2E14-461A-B7A0-D5E0CF62CE88}"/>
    <cellStyle name="Millares 2 5 4 5" xfId="3046" xr:uid="{419E99B1-2D69-4398-85F2-2683C1352927}"/>
    <cellStyle name="Millares 2 5 5" xfId="712" xr:uid="{63AEA94D-3696-482C-86A8-67414A32BD41}"/>
    <cellStyle name="Millares 2 5 5 2" xfId="2033" xr:uid="{FD38286B-4D0F-4F25-83FF-DA105CDF5E20}"/>
    <cellStyle name="Millares 2 5 5 2 2" xfId="3629" xr:uid="{5B9E8297-8969-4C43-9BBA-A1E890D3EEB9}"/>
    <cellStyle name="Millares 2 5 5 3" xfId="2583" xr:uid="{E41A3213-2BA9-4DE0-8140-6EDBFEDDF043}"/>
    <cellStyle name="Millares 2 5 5 3 2" xfId="4205" xr:uid="{B5562BFE-E57F-4671-9EDC-AA65AE5198D5}"/>
    <cellStyle name="Millares 2 5 5 4" xfId="1489" xr:uid="{750A8D5F-DEF5-4DC3-8F6E-C2083EF89086}"/>
    <cellStyle name="Millares 2 5 5 5" xfId="3088" xr:uid="{442827A8-38FB-4660-93DC-92B825EACF54}"/>
    <cellStyle name="Millares 2 5 6" xfId="758" xr:uid="{F227E2D4-7CD3-483A-9B5A-2F4A3B6F85B7}"/>
    <cellStyle name="Millares 2 5 6 2" xfId="2079" xr:uid="{4DE49B60-2D30-4FEE-8521-080CB5A775B4}"/>
    <cellStyle name="Millares 2 5 6 2 2" xfId="3675" xr:uid="{5C592C37-8F2A-49A9-90D6-D2325CFC927F}"/>
    <cellStyle name="Millares 2 5 6 3" xfId="2629" xr:uid="{DEA2A2CC-A587-4CC6-A99C-B5AA491296D0}"/>
    <cellStyle name="Millares 2 5 6 3 2" xfId="4251" xr:uid="{71ADDD10-CDBD-44C1-97AA-4065C0A260C6}"/>
    <cellStyle name="Millares 2 5 6 4" xfId="1533" xr:uid="{29C5429F-6C6A-4583-A45F-ABCDEC05D3F2}"/>
    <cellStyle name="Millares 2 5 6 5" xfId="3132" xr:uid="{53DC1623-29B7-44E2-BF33-15E59FE31AAC}"/>
    <cellStyle name="Millares 2 5 7" xfId="895" xr:uid="{D827FC98-1ECE-4AE0-9B33-70FFC77AFC9D}"/>
    <cellStyle name="Millares 2 5 7 2" xfId="1858" xr:uid="{CAE39802-FCC7-403B-830C-89E00EF2BE1A}"/>
    <cellStyle name="Millares 2 5 7 2 2" xfId="3454" xr:uid="{0D72B70A-4895-4534-B3FC-5B37F682B193}"/>
    <cellStyle name="Millares 2 5 7 3" xfId="1313" xr:uid="{BDE4A3FF-36C5-4602-BA7E-3875803BBD3D}"/>
    <cellStyle name="Millares 2 5 7 4" xfId="2913" xr:uid="{EB64BE61-45FE-4999-BC84-A53495565B26}"/>
    <cellStyle name="Millares 2 5 8" xfId="1052" xr:uid="{6396CEA5-4F96-41D9-A006-9D1B201FE43F}"/>
    <cellStyle name="Millares 2 5 8 2" xfId="3857" xr:uid="{0D6849E2-6408-474A-ADEF-2FBE8F4DF00D}"/>
    <cellStyle name="Millares 2 5 9" xfId="1696" xr:uid="{B81763CF-5232-4761-B1CC-9DF9FADC828A}"/>
    <cellStyle name="Millares 2 5 9 2" xfId="3306" xr:uid="{02712E06-58E6-45F0-9002-ECBF247E9C59}"/>
    <cellStyle name="Millares 2 6" xfId="77" xr:uid="{4981C5AE-79B8-4B76-BB13-9F7F711BC602}"/>
    <cellStyle name="Millares 2 6 10" xfId="2369" xr:uid="{B93DCD0B-ABDD-40B2-9DF7-875FDCBA07E2}"/>
    <cellStyle name="Millares 2 6 10 2" xfId="3991" xr:uid="{2163E3C4-2664-459F-B165-AA4D2858560D}"/>
    <cellStyle name="Millares 2 6 11" xfId="4382" xr:uid="{A5776CA7-1129-4094-86A3-A283C0EA4F43}"/>
    <cellStyle name="Millares 2 6 12" xfId="2767" xr:uid="{D4833A3B-6089-4585-93F2-948EF988488A}"/>
    <cellStyle name="Millares 2 6 2" xfId="324" xr:uid="{EE34F24C-6532-4945-AFC8-E66DF6925A6D}"/>
    <cellStyle name="Millares 2 6 2 2" xfId="820" xr:uid="{08892B4C-24CB-45A1-9C2B-2002D875F4E9}"/>
    <cellStyle name="Millares 2 6 2 2 2" xfId="2141" xr:uid="{0A07F80E-9A01-4CE6-9761-5CF11C17A820}"/>
    <cellStyle name="Millares 2 6 2 2 2 2" xfId="3737" xr:uid="{64CB187F-97DF-4937-8A6E-646A694FBD69}"/>
    <cellStyle name="Millares 2 6 2 2 3" xfId="2689" xr:uid="{3FC8026E-3876-47ED-BE89-E2ED1654BC54}"/>
    <cellStyle name="Millares 2 6 2 2 3 2" xfId="4311" xr:uid="{60A85EDD-41EA-4077-BE62-FFD12C5FBA8C}"/>
    <cellStyle name="Millares 2 6 2 2 4" xfId="1594" xr:uid="{9383440A-68E2-4AEB-83ED-8290952AE578}"/>
    <cellStyle name="Millares 2 6 2 2 5" xfId="3193" xr:uid="{C855E7A1-4D09-4C99-8316-BBDC0BB0F6D0}"/>
    <cellStyle name="Millares 2 6 2 3" xfId="950" xr:uid="{EB74A28C-7B9D-4D28-B318-1D56D4D42516}"/>
    <cellStyle name="Millares 2 6 2 3 2" xfId="1898" xr:uid="{45F2C077-0AA7-4AAD-90AA-DEFC9C888FD8}"/>
    <cellStyle name="Millares 2 6 2 3 2 2" xfId="3494" xr:uid="{2F40F96A-7E74-4680-A7CD-4B7FC59B2F02}"/>
    <cellStyle name="Millares 2 6 2 3 3" xfId="1354" xr:uid="{3ACD82F1-1FB3-4541-95D3-B22EAB840B3D}"/>
    <cellStyle name="Millares 2 6 2 3 4" xfId="2953" xr:uid="{380B7045-25D4-4905-8169-483A9E657A21}"/>
    <cellStyle name="Millares 2 6 2 4" xfId="1132" xr:uid="{81FE1398-25DE-4FF5-8F60-C352F566C99B}"/>
    <cellStyle name="Millares 2 6 2 4 2" xfId="3912" xr:uid="{4698DF43-7309-4C9E-90CE-3E0815F7AF9D}"/>
    <cellStyle name="Millares 2 6 2 5" xfId="1754" xr:uid="{30DEE8FF-7D40-41A1-AD60-555FA530C3CD}"/>
    <cellStyle name="Millares 2 6 2 5 2" xfId="3361" xr:uid="{6451CD0A-26E2-42D1-9D1E-7767549034C3}"/>
    <cellStyle name="Millares 2 6 2 6" xfId="2423" xr:uid="{50C4C36C-CCE9-4CF0-9152-686BFF0C73DD}"/>
    <cellStyle name="Millares 2 6 2 6 2" xfId="4045" xr:uid="{03B3944F-20BA-40C3-8EEE-5768EE57B529}"/>
    <cellStyle name="Millares 2 6 2 7" xfId="4435" xr:uid="{7F7BC509-1362-49E7-9648-40B5A078F730}"/>
    <cellStyle name="Millares 2 6 2 8" xfId="2820" xr:uid="{5A79D52A-532F-4981-B0D4-324FEF934FF2}"/>
    <cellStyle name="Millares 2 6 3" xfId="631" xr:uid="{8ABB2459-A167-4A71-BBA9-EB94962C1053}"/>
    <cellStyle name="Millares 2 6 3 2" xfId="1949" xr:uid="{93618E6D-5B53-4EC7-8807-BD18603227F2}"/>
    <cellStyle name="Millares 2 6 3 2 2" xfId="3545" xr:uid="{33CB86FE-DAFD-479D-A5A3-6B8927F484AD}"/>
    <cellStyle name="Millares 2 6 3 3" xfId="2501" xr:uid="{09A479D8-4B50-4352-B8C6-E4138B5DF8C9}"/>
    <cellStyle name="Millares 2 6 3 3 2" xfId="4123" xr:uid="{6B018D6D-6FD9-43B0-9824-FC8B0EDC5B8D}"/>
    <cellStyle name="Millares 2 6 3 4" xfId="1405" xr:uid="{AE925348-6410-486D-BA15-D38BA30B0981}"/>
    <cellStyle name="Millares 2 6 3 5" xfId="3004" xr:uid="{7A3F7919-7865-4D6C-BE68-1E9C2E64F16B}"/>
    <cellStyle name="Millares 2 6 4" xfId="665" xr:uid="{2300004D-504E-4C39-A18A-D518B350D651}"/>
    <cellStyle name="Millares 2 6 4 2" xfId="1992" xr:uid="{70CF1A71-73AA-46FE-B39F-4DC6FBF8849C}"/>
    <cellStyle name="Millares 2 6 4 2 2" xfId="3588" xr:uid="{8481D68D-4508-44BE-9335-35B94FA54901}"/>
    <cellStyle name="Millares 2 6 4 3" xfId="2535" xr:uid="{2955C2D0-8801-4A47-B1E1-AD1C677012A0}"/>
    <cellStyle name="Millares 2 6 4 3 2" xfId="4157" xr:uid="{D8C9D333-E159-42C3-B91C-5F1822678769}"/>
    <cellStyle name="Millares 2 6 4 4" xfId="1448" xr:uid="{731346E0-E0CA-4C3F-8DF4-259D716F3F6C}"/>
    <cellStyle name="Millares 2 6 4 5" xfId="3047" xr:uid="{16DD3D1E-6557-4ACD-B5B6-CB8E46291BD3}"/>
    <cellStyle name="Millares 2 6 5" xfId="714" xr:uid="{BB692631-FCFB-4B52-92C5-286FC81194E8}"/>
    <cellStyle name="Millares 2 6 5 2" xfId="2035" xr:uid="{6DA01318-E665-43C9-9695-F44184E317C5}"/>
    <cellStyle name="Millares 2 6 5 2 2" xfId="3631" xr:uid="{38028872-1F6A-4D1F-8517-2B5103AD99D0}"/>
    <cellStyle name="Millares 2 6 5 3" xfId="2585" xr:uid="{0B1598C3-26B8-4972-8561-4BA83A9F0500}"/>
    <cellStyle name="Millares 2 6 5 3 2" xfId="4207" xr:uid="{CB62DF89-3652-4739-B62C-C423D1BFD688}"/>
    <cellStyle name="Millares 2 6 5 4" xfId="1491" xr:uid="{26E7FB0F-A0B3-4980-904D-5DF44ED72422}"/>
    <cellStyle name="Millares 2 6 5 5" xfId="3090" xr:uid="{184CD95D-8F04-4849-9F89-0B0CB823C5FB}"/>
    <cellStyle name="Millares 2 6 6" xfId="761" xr:uid="{B77CA5D1-E549-470B-AE37-941D064C99F1}"/>
    <cellStyle name="Millares 2 6 6 2" xfId="2082" xr:uid="{96459C82-73CF-4970-9207-C5FE4D61D549}"/>
    <cellStyle name="Millares 2 6 6 2 2" xfId="3678" xr:uid="{5F70F4DD-F548-45C2-BDB4-F9063B444A81}"/>
    <cellStyle name="Millares 2 6 6 3" xfId="2632" xr:uid="{F6FC05A1-F056-433D-B5E1-B2D8E404EA84}"/>
    <cellStyle name="Millares 2 6 6 3 2" xfId="4254" xr:uid="{39CB380D-BBBB-4A4F-B7DA-EF6FC0D0F10C}"/>
    <cellStyle name="Millares 2 6 6 4" xfId="1536" xr:uid="{51D930E5-4D6D-4B50-BA40-8BF2F916E126}"/>
    <cellStyle name="Millares 2 6 6 5" xfId="3135" xr:uid="{D2D99C59-F01E-4A25-9944-59C8D0C15C2E}"/>
    <cellStyle name="Millares 2 6 7" xfId="897" xr:uid="{5AB944E6-FB7C-422A-B12D-CDF03DDAED06}"/>
    <cellStyle name="Millares 2 6 7 2" xfId="1859" xr:uid="{125EA88C-937B-4A84-B9D0-32526C61DC86}"/>
    <cellStyle name="Millares 2 6 7 2 2" xfId="3455" xr:uid="{C70A5530-0DE1-48BC-8281-F7C40EC68F30}"/>
    <cellStyle name="Millares 2 6 7 3" xfId="1314" xr:uid="{3ABCA8B8-C5CD-4E28-B087-75FD97368017}"/>
    <cellStyle name="Millares 2 6 7 4" xfId="2914" xr:uid="{82BB177E-797C-46F0-968F-FBB588F088DD}"/>
    <cellStyle name="Millares 2 6 8" xfId="1054" xr:uid="{109C0C3F-9CC1-4D37-B2A3-ECB7ADCC97C7}"/>
    <cellStyle name="Millares 2 6 8 2" xfId="3859" xr:uid="{10CEEADD-D944-4DF4-A1E3-D7653B0AB343}"/>
    <cellStyle name="Millares 2 6 9" xfId="1698" xr:uid="{1D09E1AA-BC31-468B-B7A8-2296BBDD853B}"/>
    <cellStyle name="Millares 2 6 9 2" xfId="3308" xr:uid="{6516B8BA-7ADD-4D44-AFC4-ACC708D6A495}"/>
    <cellStyle name="Millares 2 7" xfId="81" xr:uid="{A19556E7-39C8-42E2-AAF5-E02C5E524826}"/>
    <cellStyle name="Millares 2 7 10" xfId="2373" xr:uid="{48779D2E-FB36-4126-B924-2B1FB24CF651}"/>
    <cellStyle name="Millares 2 7 10 2" xfId="3995" xr:uid="{B14CA47A-0D22-49FA-8EA4-23CDAB0EB26A}"/>
    <cellStyle name="Millares 2 7 11" xfId="4386" xr:uid="{2036D1BF-6B2A-48F7-A9A5-36576116EF16}"/>
    <cellStyle name="Millares 2 7 12" xfId="2771" xr:uid="{E3428022-5C9F-4AA6-B97F-B220FB12076C}"/>
    <cellStyle name="Millares 2 7 2" xfId="328" xr:uid="{43611A65-0A3F-476C-AEBF-AC42EFEC60F5}"/>
    <cellStyle name="Millares 2 7 2 2" xfId="824" xr:uid="{C498A1FC-7CA6-4E57-BDFD-4BDC43F0F651}"/>
    <cellStyle name="Millares 2 7 2 2 2" xfId="2145" xr:uid="{AB8C07B0-3F8B-419E-89F7-B008CFCD71FA}"/>
    <cellStyle name="Millares 2 7 2 2 2 2" xfId="3741" xr:uid="{C7202517-D3D1-4C20-A660-CBCFC42D8FD5}"/>
    <cellStyle name="Millares 2 7 2 2 3" xfId="2693" xr:uid="{F7C74A3E-9728-4BD8-8CB8-E1CBF485BC5E}"/>
    <cellStyle name="Millares 2 7 2 2 3 2" xfId="4315" xr:uid="{1C942E7D-6B2D-438C-B59F-8E94F596BD56}"/>
    <cellStyle name="Millares 2 7 2 2 4" xfId="1598" xr:uid="{86B31CDC-BF4D-4493-A807-939FAAF18731}"/>
    <cellStyle name="Millares 2 7 2 2 5" xfId="3197" xr:uid="{B02C784D-7996-47C6-A252-3662671DA25B}"/>
    <cellStyle name="Millares 2 7 2 3" xfId="954" xr:uid="{780BF729-0CCF-49E0-A067-AAD202F35320}"/>
    <cellStyle name="Millares 2 7 2 3 2" xfId="1902" xr:uid="{E5412B17-890B-42D3-A207-563F347D83CD}"/>
    <cellStyle name="Millares 2 7 2 3 2 2" xfId="3498" xr:uid="{E665A401-B7E5-4D87-9580-790F63AF5989}"/>
    <cellStyle name="Millares 2 7 2 3 3" xfId="1358" xr:uid="{9191E6D4-6FF1-4EAB-B37A-2BEC048098A4}"/>
    <cellStyle name="Millares 2 7 2 3 4" xfId="2957" xr:uid="{A14D3A25-608D-47D9-B97B-4869123D9B0F}"/>
    <cellStyle name="Millares 2 7 2 4" xfId="1136" xr:uid="{6F582FE4-164A-4372-983F-E8330495B700}"/>
    <cellStyle name="Millares 2 7 2 4 2" xfId="3916" xr:uid="{E8FDBB8E-4147-4EB3-AC6D-1B2AFD63A4A3}"/>
    <cellStyle name="Millares 2 7 2 5" xfId="1757" xr:uid="{9BAB8CB6-34AC-46FF-B7E0-B2ECC99DD595}"/>
    <cellStyle name="Millares 2 7 2 5 2" xfId="3365" xr:uid="{8B6E0954-F54B-4BAF-B634-F7D2F41084C4}"/>
    <cellStyle name="Millares 2 7 2 6" xfId="2427" xr:uid="{7F4C19C9-2F74-435A-9925-A49B10CD6FAF}"/>
    <cellStyle name="Millares 2 7 2 6 2" xfId="4049" xr:uid="{44D4E18F-5FD9-4356-B173-FB4B9F30EE1D}"/>
    <cellStyle name="Millares 2 7 2 7" xfId="4439" xr:uid="{6D6B086C-B0F8-4502-8AE8-20E7D646AE48}"/>
    <cellStyle name="Millares 2 7 2 8" xfId="2824" xr:uid="{8C81223E-0CDD-4DEE-9D98-614D3DAC8141}"/>
    <cellStyle name="Millares 2 7 3" xfId="623" xr:uid="{11C512F2-6FAE-4ED3-8A05-D16E115E7707}"/>
    <cellStyle name="Millares 2 7 3 2" xfId="1941" xr:uid="{F760FB84-78FF-458C-9BFF-A865D548EF03}"/>
    <cellStyle name="Millares 2 7 3 2 2" xfId="3537" xr:uid="{447513A9-355C-4E0D-9A16-8D0373C4B8C9}"/>
    <cellStyle name="Millares 2 7 3 3" xfId="2493" xr:uid="{F0E5C591-E5C2-498C-886C-B0FF955BB2F3}"/>
    <cellStyle name="Millares 2 7 3 3 2" xfId="4115" xr:uid="{49DC865E-7398-4336-9C8A-EBA12EB83362}"/>
    <cellStyle name="Millares 2 7 3 4" xfId="1397" xr:uid="{5618FD92-983A-44CA-AECB-1A1BADE228DE}"/>
    <cellStyle name="Millares 2 7 3 5" xfId="2996" xr:uid="{FDE804DC-4FFE-4A23-BA53-9BFC9486C646}"/>
    <cellStyle name="Millares 2 7 4" xfId="669" xr:uid="{17783B35-5BE3-4E9B-A11B-FB847FC4ED4D}"/>
    <cellStyle name="Millares 2 7 4 2" xfId="1996" xr:uid="{E4ED2758-090B-4677-942C-DA1E05828068}"/>
    <cellStyle name="Millares 2 7 4 2 2" xfId="3592" xr:uid="{3B35D94E-41AE-42F7-BDDE-B1192F3C1CA6}"/>
    <cellStyle name="Millares 2 7 4 3" xfId="2539" xr:uid="{EDE1A80B-FFB0-4123-817C-173AE0E2FF72}"/>
    <cellStyle name="Millares 2 7 4 3 2" xfId="4161" xr:uid="{C8CBC756-6D01-453D-A552-2FA9ADC049D8}"/>
    <cellStyle name="Millares 2 7 4 4" xfId="1452" xr:uid="{49D191E7-A19B-47CA-90BA-2ADF2AB7126A}"/>
    <cellStyle name="Millares 2 7 4 5" xfId="3051" xr:uid="{27831953-2CD5-42CD-A0AB-E168399DB538}"/>
    <cellStyle name="Millares 2 7 5" xfId="718" xr:uid="{6C3C17BC-E22C-41EA-BA06-D3B365AEEB03}"/>
    <cellStyle name="Millares 2 7 5 2" xfId="2039" xr:uid="{C4D22692-42A5-4060-9888-E7DE0BC87FA0}"/>
    <cellStyle name="Millares 2 7 5 2 2" xfId="3635" xr:uid="{989C9EE9-94C2-40FC-BAF4-8AA1AD256278}"/>
    <cellStyle name="Millares 2 7 5 3" xfId="2589" xr:uid="{AFD46AFF-29BE-4359-98B7-0752DF365F3E}"/>
    <cellStyle name="Millares 2 7 5 3 2" xfId="4211" xr:uid="{128CCCD2-C57A-4EF1-9AD7-0B3B47CC6E08}"/>
    <cellStyle name="Millares 2 7 5 4" xfId="1495" xr:uid="{7109E6A7-CC0D-455D-9374-C6D703B0782D}"/>
    <cellStyle name="Millares 2 7 5 5" xfId="3094" xr:uid="{01EEDFE1-8C55-4D01-BF48-E101203E6BB3}"/>
    <cellStyle name="Millares 2 7 6" xfId="762" xr:uid="{24536BB3-914C-437D-A09B-9A5B6539EB6A}"/>
    <cellStyle name="Millares 2 7 6 2" xfId="2083" xr:uid="{CE316F6E-37D8-4A54-A7B0-7AFB42D61ACC}"/>
    <cellStyle name="Millares 2 7 6 2 2" xfId="3679" xr:uid="{5B88FE82-F7CF-48FB-8F99-E8EE34FFAA1C}"/>
    <cellStyle name="Millares 2 7 6 3" xfId="2633" xr:uid="{8C55CFD0-3699-4842-801E-B1E57AD646A1}"/>
    <cellStyle name="Millares 2 7 6 3 2" xfId="4255" xr:uid="{4E17EC55-E685-4907-BF77-22716FF1D93B}"/>
    <cellStyle name="Millares 2 7 6 4" xfId="1537" xr:uid="{7E8172B1-D332-4F73-AFFB-175A7E8A4B99}"/>
    <cellStyle name="Millares 2 7 6 5" xfId="3136" xr:uid="{01BFAE6F-92A0-4090-88F3-A5B4CBA68297}"/>
    <cellStyle name="Millares 2 7 7" xfId="901" xr:uid="{46870015-26D9-4D26-B2C0-50C66D79C727}"/>
    <cellStyle name="Millares 2 7 7 2" xfId="1863" xr:uid="{4DCCB4F8-27F9-47F3-A614-0CA3CEED2834}"/>
    <cellStyle name="Millares 2 7 7 2 2" xfId="3459" xr:uid="{5C47A32B-33C5-44B7-902D-CFF2D2EA97B6}"/>
    <cellStyle name="Millares 2 7 7 3" xfId="1318" xr:uid="{9514C6BA-54BC-48A6-B469-DC2E0CDF40E0}"/>
    <cellStyle name="Millares 2 7 7 4" xfId="2918" xr:uid="{3AADA349-53A4-4A21-81F0-C4C558A05309}"/>
    <cellStyle name="Millares 2 7 8" xfId="1058" xr:uid="{D445DEF6-34E1-45C3-960E-FAF7BBD6FF79}"/>
    <cellStyle name="Millares 2 7 8 2" xfId="3863" xr:uid="{4975F5C9-0266-4E1C-987F-2CD11FE6F5F3}"/>
    <cellStyle name="Millares 2 7 9" xfId="1702" xr:uid="{18866BD4-C821-4269-8896-331B0A24A676}"/>
    <cellStyle name="Millares 2 7 9 2" xfId="3312" xr:uid="{235B468B-2731-460B-9DD6-4B6D098B99E8}"/>
    <cellStyle name="Millares 2 8" xfId="83" xr:uid="{DBA09ABE-7FEB-44B7-B383-824A5959FE52}"/>
    <cellStyle name="Millares 2 8 10" xfId="2375" xr:uid="{7E1725AC-A58E-493B-AE5E-5B24FD6BE980}"/>
    <cellStyle name="Millares 2 8 10 2" xfId="3997" xr:uid="{A59F18B8-6EFE-4DE9-A262-6DF9B325D07C}"/>
    <cellStyle name="Millares 2 8 11" xfId="4388" xr:uid="{627EE67C-EF51-489D-96B5-472D39A7A795}"/>
    <cellStyle name="Millares 2 8 12" xfId="2773" xr:uid="{8F571B28-DC22-4704-BEE3-AF24608D8C4F}"/>
    <cellStyle name="Millares 2 8 2" xfId="330" xr:uid="{1DD3D381-FF7B-4936-8FC1-7BCB24E0E885}"/>
    <cellStyle name="Millares 2 8 2 2" xfId="826" xr:uid="{11B41E78-F9C8-44BF-A6C3-68C8D291A76D}"/>
    <cellStyle name="Millares 2 8 2 2 2" xfId="2147" xr:uid="{F248F5F5-2652-4B36-B1A9-87D4B5DC54CD}"/>
    <cellStyle name="Millares 2 8 2 2 2 2" xfId="3743" xr:uid="{C577BF26-3F9A-4B9D-9A41-370B42D5C737}"/>
    <cellStyle name="Millares 2 8 2 2 3" xfId="2695" xr:uid="{C0B9E380-A426-43B0-9ED7-12F8A869F52B}"/>
    <cellStyle name="Millares 2 8 2 2 3 2" xfId="4317" xr:uid="{B4F512E5-BA20-41CF-B3D4-F1A3CD9DBD40}"/>
    <cellStyle name="Millares 2 8 2 2 4" xfId="1600" xr:uid="{3BE1F955-F353-4694-8B03-0E8DA154EFF6}"/>
    <cellStyle name="Millares 2 8 2 2 5" xfId="3199" xr:uid="{DD948E73-9E18-48CF-A446-A13BFA226044}"/>
    <cellStyle name="Millares 2 8 2 3" xfId="956" xr:uid="{837028C7-2A71-4C32-9D43-403A345DBC80}"/>
    <cellStyle name="Millares 2 8 2 3 2" xfId="1904" xr:uid="{E07BF3A3-D9A9-493F-B905-33B073EBEE8E}"/>
    <cellStyle name="Millares 2 8 2 3 2 2" xfId="3500" xr:uid="{4E59D01B-CC01-4FE8-89F9-919737C8A7A9}"/>
    <cellStyle name="Millares 2 8 2 3 3" xfId="1360" xr:uid="{C92032AA-0D43-4E01-A729-471E41E25B75}"/>
    <cellStyle name="Millares 2 8 2 3 4" xfId="2959" xr:uid="{0816558D-B619-4F7B-AE7D-2A971C7A9A13}"/>
    <cellStyle name="Millares 2 8 2 4" xfId="1138" xr:uid="{6EF7F261-5B00-42AE-B480-15F9D85904C8}"/>
    <cellStyle name="Millares 2 8 2 4 2" xfId="3918" xr:uid="{230C9CC3-B835-47F6-A313-79F7AA8A7FCA}"/>
    <cellStyle name="Millares 2 8 2 5" xfId="1759" xr:uid="{5E67432A-6BA7-4003-A38D-C9583CB278B0}"/>
    <cellStyle name="Millares 2 8 2 5 2" xfId="3367" xr:uid="{0EB32D61-E9EF-4659-842D-F6FF1E26F3FB}"/>
    <cellStyle name="Millares 2 8 2 6" xfId="2429" xr:uid="{5B2D1CB9-96B8-4D25-9AA6-758AF9D0F737}"/>
    <cellStyle name="Millares 2 8 2 6 2" xfId="4051" xr:uid="{D4713572-E0D3-4DFD-92CD-7F9BA95A9D2A}"/>
    <cellStyle name="Millares 2 8 2 7" xfId="4441" xr:uid="{121BFC8A-3790-42FF-9D6D-C495A27EE1B8}"/>
    <cellStyle name="Millares 2 8 2 8" xfId="2826" xr:uid="{1E598A92-5A07-4DAA-84A4-56CBA945388E}"/>
    <cellStyle name="Millares 2 8 3" xfId="644" xr:uid="{FDC81B7D-F122-4138-82EA-81B2F2301D74}"/>
    <cellStyle name="Millares 2 8 3 2" xfId="1968" xr:uid="{21535116-90FA-4C11-A13E-FF953D1C6F66}"/>
    <cellStyle name="Millares 2 8 3 2 2" xfId="3564" xr:uid="{9B52A506-4667-4576-BF18-7CAA5CD26B1C}"/>
    <cellStyle name="Millares 2 8 3 3" xfId="2514" xr:uid="{74310640-C113-44F9-BE85-CE2CAC07EF96}"/>
    <cellStyle name="Millares 2 8 3 3 2" xfId="4136" xr:uid="{9C2AC02B-2824-4917-AF2B-744B38C44CED}"/>
    <cellStyle name="Millares 2 8 3 4" xfId="1424" xr:uid="{CB02D8B4-2B49-44A2-A30C-62E07F2C846A}"/>
    <cellStyle name="Millares 2 8 3 5" xfId="3023" xr:uid="{530CED64-775E-4374-84F6-86AF18703413}"/>
    <cellStyle name="Millares 2 8 4" xfId="671" xr:uid="{6EEF1815-1C65-4554-B156-F038130B92CA}"/>
    <cellStyle name="Millares 2 8 4 2" xfId="1997" xr:uid="{45C31995-40BE-419B-9225-ED63250116B8}"/>
    <cellStyle name="Millares 2 8 4 2 2" xfId="3593" xr:uid="{D833568C-56ED-47B0-B9E0-308A2995385F}"/>
    <cellStyle name="Millares 2 8 4 3" xfId="2541" xr:uid="{A99E6E2A-B2AE-4654-B1C9-D93F85B595CC}"/>
    <cellStyle name="Millares 2 8 4 3 2" xfId="4163" xr:uid="{9C5CE93B-4F14-4E3A-84E7-2A4D0AB86374}"/>
    <cellStyle name="Millares 2 8 4 4" xfId="1453" xr:uid="{A3F49C85-471C-49D4-A1B8-F11BF215F5E8}"/>
    <cellStyle name="Millares 2 8 4 5" xfId="3052" xr:uid="{768E498C-0E12-4204-B310-BBC120DB0D01}"/>
    <cellStyle name="Millares 2 8 5" xfId="720" xr:uid="{96E8409E-4182-4784-8AF0-5A40676A0CFB}"/>
    <cellStyle name="Millares 2 8 5 2" xfId="2041" xr:uid="{EA4170D5-4118-4F00-9D05-CA78DD97E1C2}"/>
    <cellStyle name="Millares 2 8 5 2 2" xfId="3637" xr:uid="{E97BD645-96C4-47C7-B506-39EC8DDCC501}"/>
    <cellStyle name="Millares 2 8 5 3" xfId="2591" xr:uid="{E36CAB01-B8DE-4EA0-A869-471FB5892B56}"/>
    <cellStyle name="Millares 2 8 5 3 2" xfId="4213" xr:uid="{487304D5-49A8-46E4-8A09-BF2893FCB5B1}"/>
    <cellStyle name="Millares 2 8 5 4" xfId="1497" xr:uid="{E22D0EED-266F-4D46-AE47-C0268EEB8B1A}"/>
    <cellStyle name="Millares 2 8 5 5" xfId="3096" xr:uid="{C595F2F7-0670-47CC-8BF4-605D1276D9D4}"/>
    <cellStyle name="Millares 2 8 6" xfId="749" xr:uid="{B7FD7F4E-4C23-4AC3-B0DE-DF7B07E57B08}"/>
    <cellStyle name="Millares 2 8 6 2" xfId="2072" xr:uid="{07F1789C-7C72-4877-A81D-484077201908}"/>
    <cellStyle name="Millares 2 8 6 2 2" xfId="3668" xr:uid="{B9EF7A02-BFC2-4A0E-9688-B6943EDFE7CF}"/>
    <cellStyle name="Millares 2 8 6 3" xfId="2620" xr:uid="{679DC4A1-312D-47D9-BA2D-7E9232B458AF}"/>
    <cellStyle name="Millares 2 8 6 3 2" xfId="4242" xr:uid="{6ED0673D-E997-4CB2-812C-333CB50B7DC4}"/>
    <cellStyle name="Millares 2 8 6 4" xfId="1527" xr:uid="{A0F74314-22AE-4E15-97F8-356CFC0CE9FC}"/>
    <cellStyle name="Millares 2 8 6 5" xfId="3126" xr:uid="{36D92199-7F28-4F17-AC8D-3A612B756C73}"/>
    <cellStyle name="Millares 2 8 7" xfId="903" xr:uid="{32E783FE-8951-4A56-9EA1-E304B053E5CA}"/>
    <cellStyle name="Millares 2 8 7 2" xfId="1864" xr:uid="{DEA101DD-C648-4E79-ACAB-183C7A41138F}"/>
    <cellStyle name="Millares 2 8 7 2 2" xfId="3460" xr:uid="{633340E3-CF00-43AC-83CF-79BC8C16D546}"/>
    <cellStyle name="Millares 2 8 7 3" xfId="1319" xr:uid="{4042FFD6-2258-4AE4-9BEB-3CE2824FF3B7}"/>
    <cellStyle name="Millares 2 8 7 4" xfId="2919" xr:uid="{04B3272E-915F-4249-87EF-160752F88F49}"/>
    <cellStyle name="Millares 2 8 8" xfId="1060" xr:uid="{8CB2C8BB-C05A-48C1-89A7-8C19DF4B0639}"/>
    <cellStyle name="Millares 2 8 8 2" xfId="3865" xr:uid="{2948D004-71B9-4E98-A4DB-C5728F3A1754}"/>
    <cellStyle name="Millares 2 8 9" xfId="1704" xr:uid="{4BEF42D4-7A4E-4BC6-8D9D-49234A9333FF}"/>
    <cellStyle name="Millares 2 8 9 2" xfId="3314" xr:uid="{094A3E31-9881-4203-9B3F-DA6019743B0F}"/>
    <cellStyle name="Millares 2 9" xfId="85" xr:uid="{2798B322-362A-437D-9711-41609B025775}"/>
    <cellStyle name="Millares 2 9 10" xfId="2377" xr:uid="{8380F685-7C49-4D8C-9632-DB0B8567BB1D}"/>
    <cellStyle name="Millares 2 9 10 2" xfId="3999" xr:uid="{629ADA0A-5D62-4B32-A91B-33DA0B86053A}"/>
    <cellStyle name="Millares 2 9 11" xfId="4390" xr:uid="{F26E6D5C-B403-44FC-A6EC-B190A507D6AF}"/>
    <cellStyle name="Millares 2 9 12" xfId="2775" xr:uid="{3E8DF1FF-7194-4A75-89BA-D29DEE969AC4}"/>
    <cellStyle name="Millares 2 9 2" xfId="332" xr:uid="{9AAAC81D-C32D-41CD-9560-EFD59E0FEB0E}"/>
    <cellStyle name="Millares 2 9 2 2" xfId="828" xr:uid="{2C92F3D5-B934-41C1-A760-6ABCC6E1DB6A}"/>
    <cellStyle name="Millares 2 9 2 2 2" xfId="2149" xr:uid="{9D03747A-4526-45F6-84D6-BE769124DCFF}"/>
    <cellStyle name="Millares 2 9 2 2 2 2" xfId="3745" xr:uid="{16656C83-55BD-4189-B78C-8E8D70A25D68}"/>
    <cellStyle name="Millares 2 9 2 2 3" xfId="2697" xr:uid="{34019BCF-CE28-4808-8354-6DAA005456B3}"/>
    <cellStyle name="Millares 2 9 2 2 3 2" xfId="4319" xr:uid="{76F5F292-F44A-41DE-87FC-7697A33B146C}"/>
    <cellStyle name="Millares 2 9 2 2 4" xfId="1602" xr:uid="{24BAC616-A744-4AC2-AD6F-72E583A20A5E}"/>
    <cellStyle name="Millares 2 9 2 2 5" xfId="3201" xr:uid="{E1CE5207-2FC5-42DA-B858-2F720F078E28}"/>
    <cellStyle name="Millares 2 9 2 3" xfId="958" xr:uid="{A71011FC-14A1-482D-9363-127E82E065BB}"/>
    <cellStyle name="Millares 2 9 2 3 2" xfId="1906" xr:uid="{F06DCC9A-B326-41BE-A76F-011625612255}"/>
    <cellStyle name="Millares 2 9 2 3 2 2" xfId="3502" xr:uid="{D60143C4-7C3C-4380-8E62-60E73267A6E1}"/>
    <cellStyle name="Millares 2 9 2 3 3" xfId="1362" xr:uid="{D3ACA005-46E7-48DB-88FB-8E03E3C73F74}"/>
    <cellStyle name="Millares 2 9 2 3 4" xfId="2961" xr:uid="{28594F3B-AE52-4E59-9DDC-C578D2DB848B}"/>
    <cellStyle name="Millares 2 9 2 4" xfId="1140" xr:uid="{D60A7CC0-26EE-4823-8D8A-2344FEEE7B7A}"/>
    <cellStyle name="Millares 2 9 2 4 2" xfId="3920" xr:uid="{121FB382-E88D-48D4-BC30-8E64FF98CECB}"/>
    <cellStyle name="Millares 2 9 2 5" xfId="1761" xr:uid="{6B809D03-930C-4999-B37E-459796EC1786}"/>
    <cellStyle name="Millares 2 9 2 5 2" xfId="3369" xr:uid="{13D1CB04-8ADB-463D-BC86-32EB680BBBA1}"/>
    <cellStyle name="Millares 2 9 2 6" xfId="2431" xr:uid="{205DF809-3B76-40B4-972C-61FD2A50E6CA}"/>
    <cellStyle name="Millares 2 9 2 6 2" xfId="4053" xr:uid="{9EB9B673-6695-49A1-BC81-497AB5B8EBE8}"/>
    <cellStyle name="Millares 2 9 2 7" xfId="4443" xr:uid="{825C58B0-9E62-418E-9C9A-F62C9E1C1470}"/>
    <cellStyle name="Millares 2 9 2 8" xfId="2828" xr:uid="{19EBE0A0-FD13-4A07-9683-0A09A497EDA8}"/>
    <cellStyle name="Millares 2 9 3" xfId="640" xr:uid="{D4667239-AB20-4A3D-8648-C02712B20909}"/>
    <cellStyle name="Millares 2 9 3 2" xfId="1964" xr:uid="{9B7F9D09-962D-4648-AC4A-125E17FF33A9}"/>
    <cellStyle name="Millares 2 9 3 2 2" xfId="3560" xr:uid="{C7E67F7D-0BF2-492E-9F50-E89BCB6A8FF0}"/>
    <cellStyle name="Millares 2 9 3 3" xfId="2510" xr:uid="{EE0C94AC-56EC-4234-8F74-270BA9D14C42}"/>
    <cellStyle name="Millares 2 9 3 3 2" xfId="4132" xr:uid="{89BDCF7C-9C42-4D99-975A-D185582D5390}"/>
    <cellStyle name="Millares 2 9 3 4" xfId="1420" xr:uid="{4F1063FC-12EC-494C-BBCA-AEECFD2C7A24}"/>
    <cellStyle name="Millares 2 9 3 5" xfId="3019" xr:uid="{93CCBC99-6DC4-4804-B2A7-703FD8C29DA3}"/>
    <cellStyle name="Millares 2 9 4" xfId="673" xr:uid="{8A8210A2-E79C-4433-960F-A2A6E1CCE85F}"/>
    <cellStyle name="Millares 2 9 4 2" xfId="1998" xr:uid="{839ECDFA-644B-4854-9882-22B1AB4AE08D}"/>
    <cellStyle name="Millares 2 9 4 2 2" xfId="3594" xr:uid="{1969716C-750C-4096-8572-B3F63B67EB2F}"/>
    <cellStyle name="Millares 2 9 4 3" xfId="2543" xr:uid="{448FB961-EE96-4627-A708-5B9087BEB4AD}"/>
    <cellStyle name="Millares 2 9 4 3 2" xfId="4165" xr:uid="{EF7C0155-F645-451F-AF3D-0D45FD939C39}"/>
    <cellStyle name="Millares 2 9 4 4" xfId="1454" xr:uid="{94C41203-7E8E-4AF6-9CE2-87916D103252}"/>
    <cellStyle name="Millares 2 9 4 5" xfId="3053" xr:uid="{3D5CAC7A-AD23-4D8E-AC3F-1552B5050585}"/>
    <cellStyle name="Millares 2 9 5" xfId="722" xr:uid="{70670370-3A50-4507-92C9-E4E7EE134384}"/>
    <cellStyle name="Millares 2 9 5 2" xfId="2043" xr:uid="{164AF40B-6FCC-4DEA-BE6E-2D8D75F6AA42}"/>
    <cellStyle name="Millares 2 9 5 2 2" xfId="3639" xr:uid="{C2D855C3-F009-4CD4-9273-45A3FB2CD838}"/>
    <cellStyle name="Millares 2 9 5 3" xfId="2593" xr:uid="{8B6D5DEE-E73C-4771-9200-98BC99522AFC}"/>
    <cellStyle name="Millares 2 9 5 3 2" xfId="4215" xr:uid="{E696CB66-921F-4EF6-959E-575A69DD583B}"/>
    <cellStyle name="Millares 2 9 5 4" xfId="1499" xr:uid="{C97C95BE-E5D8-41D3-8A32-22B427E12B33}"/>
    <cellStyle name="Millares 2 9 5 5" xfId="3098" xr:uid="{ABE3B8FB-C9F9-4DC2-B1DD-9547098C5CA5}"/>
    <cellStyle name="Millares 2 9 6" xfId="767" xr:uid="{3EFB4E6E-15BF-4A2D-A252-98810C7E59E6}"/>
    <cellStyle name="Millares 2 9 6 2" xfId="2088" xr:uid="{AE5D7B57-878C-4B52-B4BC-11B7900E14E0}"/>
    <cellStyle name="Millares 2 9 6 2 2" xfId="3684" xr:uid="{E9FA6F91-49BC-4577-9BA1-FCDE7CBCAC4D}"/>
    <cellStyle name="Millares 2 9 6 3" xfId="2638" xr:uid="{6558084B-3F1A-46CD-9C70-CDC207BA06F0}"/>
    <cellStyle name="Millares 2 9 6 3 2" xfId="4260" xr:uid="{BC75E586-C1B7-4B44-A9C9-5E75EC935BBE}"/>
    <cellStyle name="Millares 2 9 6 4" xfId="1542" xr:uid="{56045BDE-4EA2-4596-B274-1AA58285AF35}"/>
    <cellStyle name="Millares 2 9 6 5" xfId="3141" xr:uid="{CCA23193-EE9F-403A-83B0-5B23B3F83CEC}"/>
    <cellStyle name="Millares 2 9 7" xfId="905" xr:uid="{7F9D427F-AC69-493E-B5C5-7B48230539F7}"/>
    <cellStyle name="Millares 2 9 7 2" xfId="1865" xr:uid="{0081B91D-6D00-4B9B-BEEA-808EE496ED13}"/>
    <cellStyle name="Millares 2 9 7 2 2" xfId="3461" xr:uid="{302E5EBB-1965-42CE-B519-6D8FB6D03BC5}"/>
    <cellStyle name="Millares 2 9 7 3" xfId="1320" xr:uid="{77B12F62-4F56-44C6-912E-0E5162EDCED9}"/>
    <cellStyle name="Millares 2 9 7 4" xfId="2920" xr:uid="{7CE44B6F-2E53-45E8-A709-303A150BCDDE}"/>
    <cellStyle name="Millares 2 9 8" xfId="1062" xr:uid="{22E637CF-AD70-4F17-9DB0-EB3BD267B88F}"/>
    <cellStyle name="Millares 2 9 8 2" xfId="3867" xr:uid="{9B06D64F-2B7C-42F6-8BEE-16568569809D}"/>
    <cellStyle name="Millares 2 9 9" xfId="1706" xr:uid="{4A4AFA12-7209-4375-88E5-8C0488FF6539}"/>
    <cellStyle name="Millares 2 9 9 2" xfId="3316" xr:uid="{B9259B85-94F8-4C44-8AE5-F1FD4BF95ED9}"/>
    <cellStyle name="Millares 20" xfId="362" xr:uid="{CFDFD879-D19E-4564-B43E-4B6ABA9A3E1A}"/>
    <cellStyle name="Millares 20 2" xfId="855" xr:uid="{9EC0752E-19CF-436B-90C3-1FD594659145}"/>
    <cellStyle name="Millares 20 2 2" xfId="2178" xr:uid="{E61F10D2-69BA-4B21-9C0F-3C8DE33AB528}"/>
    <cellStyle name="Millares 20 2 2 2" xfId="3774" xr:uid="{A76B951A-496A-427F-AEB8-5E557F92FA47}"/>
    <cellStyle name="Millares 20 2 3" xfId="2724" xr:uid="{64BDD1DC-272C-4315-879D-E684728600E6}"/>
    <cellStyle name="Millares 20 2 3 2" xfId="4346" xr:uid="{4ABA01CB-D811-4D44-854C-896513F0B5E8}"/>
    <cellStyle name="Millares 20 2 4" xfId="1631" xr:uid="{663967F9-1095-4D99-A956-83911A8B0020}"/>
    <cellStyle name="Millares 20 2 5" xfId="3230" xr:uid="{F0D56FF0-55FC-4A1B-BDF2-7F60D4BE8203}"/>
    <cellStyle name="Millares 20 3" xfId="988" xr:uid="{2498E969-495A-4025-8A68-F776E45DB46D}"/>
    <cellStyle name="Millares 20 3 2" xfId="1981" xr:uid="{F59334FF-2BE7-4AFB-92EE-B80F7C4AE1BC}"/>
    <cellStyle name="Millares 20 3 2 2" xfId="3577" xr:uid="{17DB060F-6D4B-40CC-9F79-5CC9FA382E2D}"/>
    <cellStyle name="Millares 20 3 3" xfId="1437" xr:uid="{13AAE33D-E4CC-4877-AB5A-5945D86C3817}"/>
    <cellStyle name="Millares 20 3 4" xfId="3036" xr:uid="{9E4771DD-D3D3-450F-B8FA-90B1CEC272F2}"/>
    <cellStyle name="Millares 20 4" xfId="1170" xr:uid="{C3B70B34-417F-4826-8E03-581D64C3D878}"/>
    <cellStyle name="Millares 20 4 2" xfId="3950" xr:uid="{40D71EB1-907B-4F43-AFB7-DD21DEAEFA20}"/>
    <cellStyle name="Millares 20 5" xfId="1790" xr:uid="{FB6D1FD3-96AE-4310-95EC-737CFFD4BCDC}"/>
    <cellStyle name="Millares 20 5 2" xfId="3399" xr:uid="{8F2C0835-44BC-4EE4-B940-6674518A8127}"/>
    <cellStyle name="Millares 20 6" xfId="2461" xr:uid="{5DF15F6D-2A9E-4BF5-8A7C-506437E86FB4}"/>
    <cellStyle name="Millares 20 6 2" xfId="4083" xr:uid="{8674C042-0ED4-4E56-A9B4-C6198894289E}"/>
    <cellStyle name="Millares 20 7" xfId="4473" xr:uid="{F4486F20-A89E-4DED-BBC0-CDA3A39E8770}"/>
    <cellStyle name="Millares 20 8" xfId="2858" xr:uid="{64A1CC77-1551-4712-8073-E30E2D15AD97}"/>
    <cellStyle name="Millares 21" xfId="368" xr:uid="{1579D61C-10ED-4B30-9325-0EC473653E3B}"/>
    <cellStyle name="Millares 21 2" xfId="861" xr:uid="{FA780226-D567-48CA-8AA6-06CACD47AE80}"/>
    <cellStyle name="Millares 21 2 2" xfId="2184" xr:uid="{821083B5-D9FC-497B-B1E4-55EB5670A49F}"/>
    <cellStyle name="Millares 21 2 2 2" xfId="3780" xr:uid="{BE6526EF-BA95-4223-9EE4-CB44BB935987}"/>
    <cellStyle name="Millares 21 2 3" xfId="2730" xr:uid="{6029BE41-762B-4CC8-B1BB-CA2DC1B85E5A}"/>
    <cellStyle name="Millares 21 2 3 2" xfId="4352" xr:uid="{51C46C60-1207-4E18-9626-0D090504AFAF}"/>
    <cellStyle name="Millares 21 2 4" xfId="1637" xr:uid="{7EC782E2-5C93-4BDF-9001-2C4C3198A3E1}"/>
    <cellStyle name="Millares 21 2 5" xfId="3236" xr:uid="{6803AF4A-8598-4CF3-8210-CE05E9F3D613}"/>
    <cellStyle name="Millares 21 3" xfId="994" xr:uid="{D239AE44-C967-4835-B60A-65124F78FE7F}"/>
    <cellStyle name="Millares 21 3 2" xfId="2020" xr:uid="{AF425FC7-9088-4AF7-817D-1A4F63F89D4C}"/>
    <cellStyle name="Millares 21 3 2 2" xfId="3616" xr:uid="{C13C01BD-797F-41AA-984F-415F89398872}"/>
    <cellStyle name="Millares 21 3 3" xfId="1476" xr:uid="{660F76B8-8B9D-40DA-AFDF-E3F106FDEEDC}"/>
    <cellStyle name="Millares 21 3 4" xfId="3075" xr:uid="{C7308118-12F5-48A0-BDED-C7B93679B431}"/>
    <cellStyle name="Millares 21 4" xfId="1176" xr:uid="{5192B594-BAF4-415B-8F76-72E9399CA9FE}"/>
    <cellStyle name="Millares 21 4 2" xfId="3956" xr:uid="{B7273896-CA8C-491A-B154-C391F19530A4}"/>
    <cellStyle name="Millares 21 5" xfId="1796" xr:uid="{35887224-F5A8-48C7-98C9-46129304A2B0}"/>
    <cellStyle name="Millares 21 5 2" xfId="3405" xr:uid="{65E86394-BFBF-4C26-B457-395195D56707}"/>
    <cellStyle name="Millares 21 6" xfId="2467" xr:uid="{7CB4ACBA-286B-48A8-A1D1-61C400923DC5}"/>
    <cellStyle name="Millares 21 6 2" xfId="4089" xr:uid="{D13BA205-8937-41B3-9E25-F27686F0675E}"/>
    <cellStyle name="Millares 21 7" xfId="4479" xr:uid="{64F420F8-4882-494E-B401-1741CA80F61E}"/>
    <cellStyle name="Millares 21 8" xfId="2864" xr:uid="{D79BA26B-90E2-4792-ADF4-06C549A6CE71}"/>
    <cellStyle name="Millares 22" xfId="47" xr:uid="{FE812886-C30C-40BC-B593-A1D320B757F0}"/>
    <cellStyle name="Millares 22 2" xfId="1213" xr:uid="{1ECFED9C-24E0-499C-A874-DCA948918984}"/>
    <cellStyle name="Millares 22 2 2" xfId="2283" xr:uid="{12CE99FF-DD8F-4482-8592-2655F727636C}"/>
    <cellStyle name="Millares 22 2 2 2" xfId="3844" xr:uid="{3BF80F09-DA04-41B9-8BC8-B7FA8550B355}"/>
    <cellStyle name="Millares 22 2 3" xfId="2752" xr:uid="{BE116CA0-ED21-4F1A-972C-A0F0B8F41539}"/>
    <cellStyle name="Millares 22 3" xfId="2247" xr:uid="{D780CF2E-BE2C-4BA0-ACB3-0167074765AC}"/>
    <cellStyle name="Millares 22 3 2" xfId="3840" xr:uid="{13943F8E-1339-4085-8B9D-E3C134529EFA}"/>
    <cellStyle name="Millares 22 4" xfId="1826" xr:uid="{B4054305-8724-4F5C-90BF-A58932A10F10}"/>
    <cellStyle name="Millares 22 4 2" xfId="3423" xr:uid="{D8C5DE21-8140-4AAF-AF4D-AB15EEED8BB9}"/>
    <cellStyle name="Millares 22 5" xfId="2571" xr:uid="{9A437CCA-FFF9-4980-A9B8-776749DD124F}"/>
    <cellStyle name="Millares 22 5 2" xfId="4193" xr:uid="{0C661F44-CA3B-4089-9EF6-4CA3ABACA164}"/>
    <cellStyle name="Millares 22 6" xfId="1018" xr:uid="{E10C4F17-31D1-4A6A-97D9-56D22408342E}"/>
    <cellStyle name="Millares 22 7" xfId="2748" xr:uid="{F600BD38-1BD5-4A66-9612-1047BD7A9652}"/>
    <cellStyle name="Millares 23" xfId="748" xr:uid="{11066D15-98DB-4D44-97B1-146AEDABD6A6}"/>
    <cellStyle name="Millares 23 2" xfId="2282" xr:uid="{BF24E064-BA28-4DC9-9EA4-0E34B300108A}"/>
    <cellStyle name="Millares 23 2 2" xfId="3843" xr:uid="{2419866C-057F-4741-9ADE-45F455AEB91D}"/>
    <cellStyle name="Millares 23 3" xfId="2071" xr:uid="{7BC7A8A6-D549-437D-9489-D4627B0AE9E1}"/>
    <cellStyle name="Millares 23 3 2" xfId="3667" xr:uid="{A77B891D-7936-4C9C-B32F-B9FE860E4E8A}"/>
    <cellStyle name="Millares 23 4" xfId="2619" xr:uid="{5F381024-FF4F-4144-BF7E-B9DB1F55A06B}"/>
    <cellStyle name="Millares 23 4 2" xfId="4241" xr:uid="{B426E509-8E61-481F-ACB7-B7680ED588B2}"/>
    <cellStyle name="Millares 23 5" xfId="1198" xr:uid="{AE4AE52C-37F4-47C1-BE35-FDB29F953808}"/>
    <cellStyle name="Millares 23 6" xfId="2751" xr:uid="{D131455E-B214-49C3-888A-E9732A53E73F}"/>
    <cellStyle name="Millares 24" xfId="882" xr:uid="{F64E9BF8-7204-4AB5-B298-9DA5BC31893D}"/>
    <cellStyle name="Millares 24 2" xfId="2337" xr:uid="{CA897DCF-D9C5-4D2B-99C3-0653E350C0D9}"/>
    <cellStyle name="Millares 24 2 2" xfId="3975" xr:uid="{66A8336F-098C-4EA0-A98F-D7382ABB1D28}"/>
    <cellStyle name="Millares 24 3" xfId="2199" xr:uid="{4012D813-966E-49B8-AA71-8DDE542884A5}"/>
    <cellStyle name="Millares 24 3 2" xfId="3795" xr:uid="{9742B760-15C6-4CF0-BBAF-596B2D30C1DD}"/>
    <cellStyle name="Millares 24 4" xfId="1283" xr:uid="{FA05EB7C-92D9-4F21-9E23-DC4E75BAF394}"/>
    <cellStyle name="Millares 24 5" xfId="2883" xr:uid="{5727D42E-89D5-4F0B-BC81-6F5AA3342A07}"/>
    <cellStyle name="Millares 25" xfId="1035" xr:uid="{78075995-54FB-46FC-AD7A-E38A7C533A15}"/>
    <cellStyle name="Millares 25 2" xfId="2220" xr:uid="{E75288E5-62FC-4327-904B-8101E88FF286}"/>
    <cellStyle name="Millares 25 2 2" xfId="3816" xr:uid="{F6290366-704D-4313-B2F1-B9927E314754}"/>
    <cellStyle name="Millares 25 3" xfId="2747" xr:uid="{049786DF-3100-4B76-BDFE-BFC63DEB478E}"/>
    <cellStyle name="Millares 26" xfId="1669" xr:uid="{801D7E51-5708-4842-8637-7D51B4154EE0}"/>
    <cellStyle name="Millares 26 2" xfId="2221" xr:uid="{4CAEAEB8-0C24-4A43-BC44-230969479926}"/>
    <cellStyle name="Millares 26 2 2" xfId="3817" xr:uid="{56C63AD6-99F8-40F1-AE9D-15408B4C23A3}"/>
    <cellStyle name="Millares 26 3" xfId="3271" xr:uid="{A95F250F-0546-4CC5-B8AD-5E48120AB4F3}"/>
    <cellStyle name="Millares 27" xfId="1670" xr:uid="{53AC1762-13A2-49EA-A2AE-2F7A6435C7DC}"/>
    <cellStyle name="Millares 27 2" xfId="2222" xr:uid="{0EBC1B68-13B2-4A90-A447-90A6149CD54C}"/>
    <cellStyle name="Millares 27 2 2" xfId="3818" xr:uid="{68D1E75A-6762-4CA3-A9A3-60B025826E65}"/>
    <cellStyle name="Millares 27 3" xfId="3272" xr:uid="{9C536E74-A05E-4F23-BAFE-031E21A72FC9}"/>
    <cellStyle name="Millares 28" xfId="2243" xr:uid="{3B009EC5-3846-44C6-A11E-CBDFC889E62A}"/>
    <cellStyle name="Millares 28 2" xfId="3839" xr:uid="{DEC1E913-56E7-4E86-8C1B-DA3B905392DF}"/>
    <cellStyle name="Millares 29" xfId="1682" xr:uid="{B099E72F-1B28-40C9-BBD5-146A51A71FC6}"/>
    <cellStyle name="Millares 29 2" xfId="3293" xr:uid="{48702FB5-63FE-4535-BA7F-863B7991CF19}"/>
    <cellStyle name="Millares 3" xfId="54" xr:uid="{44CD2D21-FA86-4901-9C90-1117B6A8EA25}"/>
    <cellStyle name="Millares 3 10" xfId="701" xr:uid="{60BA5CE6-FA2D-42E4-A80B-EC3AF757376A}"/>
    <cellStyle name="Millares 3 10 2" xfId="1285" xr:uid="{2253E300-43B8-438C-922E-5B2B95841FF2}"/>
    <cellStyle name="Millares 3 10 2 2" xfId="2333" xr:uid="{D0903595-1725-481F-88B4-28BFB41C0252}"/>
    <cellStyle name="Millares 3 10 2 3" xfId="2885" xr:uid="{12C12FEA-C0E2-4838-AAAB-270E3A3ECB39}"/>
    <cellStyle name="Millares 3 10 3" xfId="1828" xr:uid="{6F774818-2977-487A-98EE-3CA56F2EF59B}"/>
    <cellStyle name="Millares 3 10 3 2" xfId="3425" xr:uid="{D0B01587-45B0-4295-B861-046EC6BE97C8}"/>
    <cellStyle name="Millares 3 10 4" xfId="2572" xr:uid="{6A589505-5470-4D20-B2CB-2D98AE79A737}"/>
    <cellStyle name="Millares 3 10 4 2" xfId="4194" xr:uid="{DBFDEE8C-F4E4-4433-AF18-A02B1C9B2823}"/>
    <cellStyle name="Millares 3 10 5" xfId="1273" xr:uid="{CDE36C35-48E0-49F2-8BDD-5B9E8263B4A4}"/>
    <cellStyle name="Millares 3 11" xfId="752" xr:uid="{DD30163F-808C-41B3-8027-64572EC5DD7B}"/>
    <cellStyle name="Millares 3 11 2" xfId="2285" xr:uid="{CFC80275-8EF0-4C13-A360-49EF5A298C6A}"/>
    <cellStyle name="Millares 3 11 2 2" xfId="3846" xr:uid="{8CD6F454-E4E5-4E15-BF3A-8C30581BF1E3}"/>
    <cellStyle name="Millares 3 11 3" xfId="2074" xr:uid="{958A6AE2-38EF-41CD-978B-A4201D9C043E}"/>
    <cellStyle name="Millares 3 11 3 2" xfId="3670" xr:uid="{63D86A4F-076A-4CE7-9D7F-4F26E1607C40}"/>
    <cellStyle name="Millares 3 11 4" xfId="2623" xr:uid="{2B331422-0C0A-40F7-BD4C-142AA66E75D4}"/>
    <cellStyle name="Millares 3 11 4 2" xfId="4245" xr:uid="{30749548-89F2-456D-83A3-6670BE674929}"/>
    <cellStyle name="Millares 3 11 5" xfId="1195" xr:uid="{7BA8D988-30F1-4B24-8822-1BA8B7C3166B}"/>
    <cellStyle name="Millares 3 11 6" xfId="2754" xr:uid="{FBB7A6FD-A4D1-40EB-92BE-8638DCCD31F8}"/>
    <cellStyle name="Millares 3 12" xfId="884" xr:uid="{835DE56F-77BA-4586-82B5-935ECCC964DD}"/>
    <cellStyle name="Millares 3 12 2" xfId="2201" xr:uid="{C0FC23B1-2FAF-4C58-A167-F64F51CF0204}"/>
    <cellStyle name="Millares 3 12 2 2" xfId="3797" xr:uid="{3362F8B7-6EF1-4D80-8E8F-26E83CE76E59}"/>
    <cellStyle name="Millares 3 12 3" xfId="1653" xr:uid="{8740AC29-10D3-4D82-AA90-35AA15BF4EF2}"/>
    <cellStyle name="Millares 3 12 4" xfId="3252" xr:uid="{1F095B09-8A79-4068-B378-26F6639F259E}"/>
    <cellStyle name="Millares 3 13" xfId="1038" xr:uid="{FDEDFD1D-1343-4855-A6B9-E5C8A36236F7}"/>
    <cellStyle name="Millares 3 13 2" xfId="2224" xr:uid="{6F246296-0A52-41FD-B541-AC4BCC645DDC}"/>
    <cellStyle name="Millares 3 13 2 2" xfId="3820" xr:uid="{7E3FE53D-4E90-4793-B4D5-C4246B78299B}"/>
    <cellStyle name="Millares 3 13 3" xfId="3274" xr:uid="{65151C37-2322-4DC7-8947-98FFC34C86FF}"/>
    <cellStyle name="Millares 3 14" xfId="2271" xr:uid="{3F8C4281-71F0-4FC7-931B-7656FFCD3AE8}"/>
    <cellStyle name="Millares 3 15" xfId="1685" xr:uid="{F59B016C-1E15-42FA-9771-B9D796B78091}"/>
    <cellStyle name="Millares 3 15 2" xfId="3295" xr:uid="{F79FDADE-76A8-4A7F-9C3E-32116E852D1E}"/>
    <cellStyle name="Millares 3 16" xfId="2356" xr:uid="{721CD7A2-9B66-4379-BC7D-67E80D5D5897}"/>
    <cellStyle name="Millares 3 16 2" xfId="3978" xr:uid="{8E9943F0-95E7-478C-8926-DC955ABC7F2F}"/>
    <cellStyle name="Millares 3 17" xfId="1223" xr:uid="{8BE3427F-A8E1-473C-8447-20480DA0390D}"/>
    <cellStyle name="Millares 3 17 2" xfId="4369" xr:uid="{74319077-62FC-40C2-AC10-581325D39219}"/>
    <cellStyle name="Millares 3 2" xfId="78" xr:uid="{91D4D121-DC6B-41D7-8EC8-2F9B903F2C03}"/>
    <cellStyle name="Millares 3 2 10" xfId="1699" xr:uid="{13D5DCAA-23E7-4F28-97BD-2E6E196B2870}"/>
    <cellStyle name="Millares 3 2 10 2" xfId="3309" xr:uid="{CC4004E6-4D3C-4771-891B-5DE07B18BAD3}"/>
    <cellStyle name="Millares 3 2 11" xfId="2370" xr:uid="{D3A85BE3-574B-4982-BFE1-DCA68803DBBF}"/>
    <cellStyle name="Millares 3 2 11 2" xfId="3992" xr:uid="{29285BD1-A3C2-4BDF-BEE5-99D5D214238C}"/>
    <cellStyle name="Millares 3 2 12" xfId="4383" xr:uid="{A2D3A68B-95C6-4BDA-899D-E3A0DD44E6A6}"/>
    <cellStyle name="Millares 3 2 13" xfId="2768" xr:uid="{50210C6C-1E02-400E-82B5-2CA386B0818C}"/>
    <cellStyle name="Millares 3 2 2" xfId="325" xr:uid="{8D9EC949-D73B-43A5-88FD-13B97DAA5F53}"/>
    <cellStyle name="Millares 3 2 2 2" xfId="602" xr:uid="{232009CB-4555-4DA2-9982-D89DC97070FA}"/>
    <cellStyle name="Millares 3 2 2 3" xfId="821" xr:uid="{41D6649B-2881-44EE-A978-F8BDCF117C8D}"/>
    <cellStyle name="Millares 3 2 2 3 2" xfId="2142" xr:uid="{B0F966A1-5D53-47E8-BF1F-277A1425907A}"/>
    <cellStyle name="Millares 3 2 2 3 2 2" xfId="3738" xr:uid="{E1100915-5798-4B5C-A367-EF972EB10309}"/>
    <cellStyle name="Millares 3 2 2 3 3" xfId="2690" xr:uid="{C0C583D7-6FCF-4171-8DEF-CE5CA0888CF5}"/>
    <cellStyle name="Millares 3 2 2 3 3 2" xfId="4312" xr:uid="{220634E5-AD5B-4444-B8FE-54D88CEA533D}"/>
    <cellStyle name="Millares 3 2 2 3 4" xfId="1595" xr:uid="{55709DCA-B34D-409F-B1E9-D805260AFB6C}"/>
    <cellStyle name="Millares 3 2 2 3 5" xfId="3194" xr:uid="{96A9D5EC-9525-44B4-AB9E-1B92E2E0FA0C}"/>
    <cellStyle name="Millares 3 2 2 4" xfId="951" xr:uid="{3A77811A-9FDE-4B83-8585-AD9D71AB959F}"/>
    <cellStyle name="Millares 3 2 2 4 2" xfId="2307" xr:uid="{8FD52CF5-86B4-415F-938B-F79737520D16}"/>
    <cellStyle name="Millares 3 2 2 4 3" xfId="3913" xr:uid="{6B94C28A-8DC3-4B9B-A835-EE211A62E372}"/>
    <cellStyle name="Millares 3 2 2 5" xfId="1133" xr:uid="{D695C876-84D6-43EE-8B49-CEB03A93E7C0}"/>
    <cellStyle name="Millares 3 2 2 5 2" xfId="3362" xr:uid="{8AEA2ADF-82C3-436A-8533-C61AD1A06655}"/>
    <cellStyle name="Millares 3 2 2 6" xfId="2424" xr:uid="{45434557-D632-4232-8884-6FDB44D5D7FF}"/>
    <cellStyle name="Millares 3 2 2 6 2" xfId="4046" xr:uid="{12CEEFBA-8FB3-4A72-B44B-117930055A04}"/>
    <cellStyle name="Millares 3 2 2 7" xfId="4436" xr:uid="{668AFAD2-C9D9-4816-AD1B-E16B43E520F2}"/>
    <cellStyle name="Millares 3 2 2 8" xfId="2821" xr:uid="{F6BBDE94-2632-4345-86AD-4A6C44DD8D16}"/>
    <cellStyle name="Millares 3 2 3" xfId="480" xr:uid="{836ADBF8-7081-4DA6-8AD0-DB3C7ECC35E1}"/>
    <cellStyle name="Millares 3 2 3 2" xfId="869" xr:uid="{43278986-9537-4024-91FD-1C3E5A822C88}"/>
    <cellStyle name="Millares 3 2 3 3" xfId="617" xr:uid="{F03CA2EF-21DC-4C60-834E-C5800C8881B3}"/>
    <cellStyle name="Millares 3 2 3 3 2" xfId="1899" xr:uid="{AEC850E2-8249-45E7-A49E-52CD792FB1CE}"/>
    <cellStyle name="Millares 3 2 3 3 2 2" xfId="3495" xr:uid="{22321382-8447-4A96-884B-DBA3E2A45EBF}"/>
    <cellStyle name="Millares 3 2 3 3 3" xfId="1355" xr:uid="{49124F1B-81A1-4C78-88BF-68ACB32B487A}"/>
    <cellStyle name="Millares 3 2 3 3 4" xfId="2954" xr:uid="{35351166-5889-4D1F-BD6C-449633081AD2}"/>
    <cellStyle name="Millares 3 2 3 4" xfId="2487" xr:uid="{C71DE36E-A5CE-41E5-A56F-7CF19C9D0A5A}"/>
    <cellStyle name="Millares 3 2 3 4 2" xfId="4109" xr:uid="{0B3E502B-8858-4F25-A5E5-5E5060D9BC9E}"/>
    <cellStyle name="Millares 3 2 4" xfId="639" xr:uid="{8F82D971-744E-4F51-9178-60A0CAA630FD}"/>
    <cellStyle name="Millares 3 2 4 2" xfId="1963" xr:uid="{B4549780-298B-4957-9837-E5C477A8C766}"/>
    <cellStyle name="Millares 3 2 4 2 2" xfId="3559" xr:uid="{A2EE9663-5712-46F0-A32B-A18F9739CEF5}"/>
    <cellStyle name="Millares 3 2 4 3" xfId="2509" xr:uid="{6F4EAD80-A78E-4BCC-BC11-B36BACFF61BE}"/>
    <cellStyle name="Millares 3 2 4 3 2" xfId="4131" xr:uid="{10075FA3-BBF2-418D-A241-3930E2B7A633}"/>
    <cellStyle name="Millares 3 2 4 4" xfId="1419" xr:uid="{6EABAE41-87C5-4012-A14B-6C5B5C5FF953}"/>
    <cellStyle name="Millares 3 2 4 5" xfId="3018" xr:uid="{3B8CAC5A-BB45-45A6-9A9F-0A6062655FB4}"/>
    <cellStyle name="Millares 3 2 5" xfId="666" xr:uid="{B41796B2-1EF3-4930-96FB-4EFDC69C1749}"/>
    <cellStyle name="Millares 3 2 5 2" xfId="1993" xr:uid="{8A778058-2895-45D1-A104-295F92A975D2}"/>
    <cellStyle name="Millares 3 2 5 2 2" xfId="3589" xr:uid="{058A6BA3-5DDA-487A-9D8E-BE93C501C4D8}"/>
    <cellStyle name="Millares 3 2 5 3" xfId="2536" xr:uid="{9A8E155C-27A4-4B7E-976F-DFD1766CBE3F}"/>
    <cellStyle name="Millares 3 2 5 3 2" xfId="4158" xr:uid="{1ECC4721-6268-41E2-A4BE-61CD20830664}"/>
    <cellStyle name="Millares 3 2 5 4" xfId="1449" xr:uid="{C4E8DD16-F16A-4787-B047-5E71FE4B6F7A}"/>
    <cellStyle name="Millares 3 2 5 5" xfId="3048" xr:uid="{C862ED15-0BCD-480A-8752-682FFC3ACBE3}"/>
    <cellStyle name="Millares 3 2 6" xfId="715" xr:uid="{ADFDDAE0-F8EB-4664-9CC8-51A84C6D4E88}"/>
    <cellStyle name="Millares 3 2 6 2" xfId="2036" xr:uid="{7C405AAC-9571-4637-9381-E58647084BC8}"/>
    <cellStyle name="Millares 3 2 6 2 2" xfId="3632" xr:uid="{8E4E3D4C-6325-4D1F-85D9-1770AE50EB50}"/>
    <cellStyle name="Millares 3 2 6 3" xfId="2586" xr:uid="{95A194CB-6B91-4CA0-B4F6-AE63588576FB}"/>
    <cellStyle name="Millares 3 2 6 3 2" xfId="4208" xr:uid="{3E18223B-1CD9-40BF-9C9C-BDB1B112B81B}"/>
    <cellStyle name="Millares 3 2 6 4" xfId="1492" xr:uid="{B3BA64E6-33C0-44E1-85C5-9C2F4C702C36}"/>
    <cellStyle name="Millares 3 2 6 5" xfId="3091" xr:uid="{6A157147-733D-4810-995E-9B959D3CDE36}"/>
    <cellStyle name="Millares 3 2 7" xfId="794" xr:uid="{3A5A4DDE-AD9C-4FA5-803B-1484A3942B49}"/>
    <cellStyle name="Millares 3 2 7 2" xfId="2115" xr:uid="{595CEA57-7283-4AFD-A156-2AA393DE0196}"/>
    <cellStyle name="Millares 3 2 7 2 2" xfId="3711" xr:uid="{4273622B-F019-4537-B63F-5CD977FD37FE}"/>
    <cellStyle name="Millares 3 2 7 3" xfId="2663" xr:uid="{F0C0AF11-89EE-4C35-AE76-61E7E70437FC}"/>
    <cellStyle name="Millares 3 2 7 3 2" xfId="4285" xr:uid="{A2245286-DD5C-461B-9649-89E52FE4D62B}"/>
    <cellStyle name="Millares 3 2 7 4" xfId="1569" xr:uid="{9CC15129-E118-4DE3-893B-6AF3A88F95AC}"/>
    <cellStyle name="Millares 3 2 7 5" xfId="3168" xr:uid="{0E5DC038-07B6-4571-AD9C-12CA554F7426}"/>
    <cellStyle name="Millares 3 2 8" xfId="898" xr:uid="{6E403F59-985E-4468-86D3-B358A8DB19C3}"/>
    <cellStyle name="Millares 3 2 8 2" xfId="1860" xr:uid="{66F93FA9-A5A4-4014-89C1-CD7CB4E0D157}"/>
    <cellStyle name="Millares 3 2 8 2 2" xfId="3456" xr:uid="{DBA8D377-4297-4366-8687-235C05252AF4}"/>
    <cellStyle name="Millares 3 2 8 3" xfId="1315" xr:uid="{58A55BE8-8A14-4CF1-B4DB-E8B4330B8ABC}"/>
    <cellStyle name="Millares 3 2 8 4" xfId="2915" xr:uid="{0A75AEFC-21B3-43E4-BD28-8C36EEBBC97B}"/>
    <cellStyle name="Millares 3 2 9" xfId="1055" xr:uid="{B7B9C7D8-8C45-4609-BECA-FF6A7E0B5FEB}"/>
    <cellStyle name="Millares 3 2 9 2" xfId="3860" xr:uid="{937B96A0-2CBB-4953-BE57-0AFE7F1673D0}"/>
    <cellStyle name="Millares 3 3" xfId="147" xr:uid="{F22677BD-8C3F-4AE2-993D-EF7968F7967A}"/>
    <cellStyle name="Millares 3 3 10" xfId="1716" xr:uid="{5C79D85A-4EB1-47BE-A248-41AA6B3851DF}"/>
    <cellStyle name="Millares 3 3 10 2" xfId="3324" xr:uid="{4E715237-C99D-48AC-AEA5-337667615640}"/>
    <cellStyle name="Millares 3 3 11" xfId="2385" xr:uid="{E8001051-8682-43D6-B69B-4D0641DFB244}"/>
    <cellStyle name="Millares 3 3 11 2" xfId="4007" xr:uid="{6FACA6E5-A790-4239-A878-1CB453FD3646}"/>
    <cellStyle name="Millares 3 3 12" xfId="4398" xr:uid="{9BB3FD57-80C5-4D8F-A7BE-16D8C5F8A2AF}"/>
    <cellStyle name="Millares 3 3 13" xfId="2783" xr:uid="{C822C0CB-71AB-4569-B02E-B2551D212213}"/>
    <cellStyle name="Millares 3 3 2" xfId="340" xr:uid="{D12176C7-DD40-415D-9BB7-38F563421EDE}"/>
    <cellStyle name="Millares 3 3 2 2" xfId="836" xr:uid="{E3787A5B-90ED-47B3-9579-717159A39597}"/>
    <cellStyle name="Millares 3 3 2 2 2" xfId="2157" xr:uid="{3C9A32B8-B077-4051-92C4-24CD9FD95FFB}"/>
    <cellStyle name="Millares 3 3 2 2 2 2" xfId="3753" xr:uid="{4DB81BD4-EBD5-4DE2-94AD-5F98CD7A4A84}"/>
    <cellStyle name="Millares 3 3 2 2 3" xfId="2705" xr:uid="{F8DD79E0-456B-4840-ACCD-F47DE7BBD48D}"/>
    <cellStyle name="Millares 3 3 2 2 3 2" xfId="4327" xr:uid="{1AD9CDDB-9631-4BAF-82A9-FCC79498F89A}"/>
    <cellStyle name="Millares 3 3 2 2 4" xfId="1610" xr:uid="{B2DB431B-C99D-4EA1-B771-F95807C1761D}"/>
    <cellStyle name="Millares 3 3 2 2 5" xfId="3209" xr:uid="{F521843E-1790-443E-A5D7-40C878D70F14}"/>
    <cellStyle name="Millares 3 3 2 3" xfId="966" xr:uid="{FBDE882A-00E0-4F0D-8838-B181FF2DFD42}"/>
    <cellStyle name="Millares 3 3 2 3 2" xfId="1914" xr:uid="{490EB279-3005-4A9F-B9E7-E4AF8531B748}"/>
    <cellStyle name="Millares 3 3 2 3 2 2" xfId="3510" xr:uid="{B9F1367E-1355-4F38-8401-8418DA335B39}"/>
    <cellStyle name="Millares 3 3 2 3 3" xfId="1370" xr:uid="{9A27FAD8-079A-4F07-9B3B-4F67DA69EA0E}"/>
    <cellStyle name="Millares 3 3 2 3 4" xfId="2969" xr:uid="{29917E49-C6CE-40BF-AE24-8C6E12C9BFFE}"/>
    <cellStyle name="Millares 3 3 2 4" xfId="1148" xr:uid="{3BEB9848-B0E1-44A0-A2A6-2B49D200075D}"/>
    <cellStyle name="Millares 3 3 2 4 2" xfId="3928" xr:uid="{CC3824DC-0E3C-4192-9D11-FDFCBCEB23F8}"/>
    <cellStyle name="Millares 3 3 2 5" xfId="1768" xr:uid="{D63CBF9E-26E5-4047-8515-AE1F59BF65AE}"/>
    <cellStyle name="Millares 3 3 2 5 2" xfId="3377" xr:uid="{74D9E633-DFCF-458F-B48F-2BFB4C6F6EAD}"/>
    <cellStyle name="Millares 3 3 2 6" xfId="2439" xr:uid="{638FBE15-8D57-46F3-B008-811D2F22F213}"/>
    <cellStyle name="Millares 3 3 2 6 2" xfId="4061" xr:uid="{342AC37D-29F0-4ABC-AFE7-A8DF9B918414}"/>
    <cellStyle name="Millares 3 3 2 7" xfId="4451" xr:uid="{F9619B8B-F629-440C-8E01-D1563026287D}"/>
    <cellStyle name="Millares 3 3 2 8" xfId="2836" xr:uid="{513183B2-BB31-4E6E-96C0-C7736F8E9E8F}"/>
    <cellStyle name="Millares 3 3 3" xfId="591" xr:uid="{93CA980F-B078-4CE0-899C-8B4B8526708E}"/>
    <cellStyle name="Millares 3 3 3 2" xfId="875" xr:uid="{7BA05EEC-4440-4B6A-8BA8-0CC560B09816}"/>
    <cellStyle name="Millares 3 3 3 2 2" xfId="2193" xr:uid="{0805B406-BB72-488B-8812-3EDC769187C1}"/>
    <cellStyle name="Millares 3 3 3 2 2 2" xfId="3789" xr:uid="{AA1E7FC4-04DF-46C7-A3C2-1F4A1FA766B8}"/>
    <cellStyle name="Millares 3 3 3 2 3" xfId="2739" xr:uid="{016DE6A7-F26E-4236-B4FA-EEB07C8BE657}"/>
    <cellStyle name="Millares 3 3 3 2 3 2" xfId="4361" xr:uid="{19783517-6E62-4675-B6B6-71D6B095D0DF}"/>
    <cellStyle name="Millares 3 3 3 2 4" xfId="1646" xr:uid="{51130B6E-6F95-41F1-A2F1-A08821065728}"/>
    <cellStyle name="Millares 3 3 3 2 5" xfId="3245" xr:uid="{C69ABD34-C0CC-443E-95FE-E23FFB956F5A}"/>
    <cellStyle name="Millares 3 3 3 3" xfId="1003" xr:uid="{D79D8ED9-4761-4217-A12C-798F70C6FD0C}"/>
    <cellStyle name="Millares 3 3 3 3 2" xfId="1970" xr:uid="{C893465E-237F-4DEB-8B83-8548A32BBFF5}"/>
    <cellStyle name="Millares 3 3 3 3 2 2" xfId="3566" xr:uid="{3182B511-610D-4E8C-B64C-399E07698875}"/>
    <cellStyle name="Millares 3 3 3 3 3" xfId="1426" xr:uid="{097613F6-0BD9-49EE-8DD6-12F675580BC2}"/>
    <cellStyle name="Millares 3 3 3 3 4" xfId="3025" xr:uid="{45E45AF0-A8AD-46ED-8796-CB586290AB02}"/>
    <cellStyle name="Millares 3 3 3 4" xfId="1236" xr:uid="{42D44DF9-27C5-41AB-AD7A-80D2D5B9272B}"/>
    <cellStyle name="Millares 3 3 3 4 2" xfId="3965" xr:uid="{678368B2-698A-47E4-9676-2E899C6A7AA9}"/>
    <cellStyle name="Millares 3 3 3 5" xfId="1817" xr:uid="{E5E3A4E4-5090-4C3B-A152-445E36817C74}"/>
    <cellStyle name="Millares 3 3 3 5 2" xfId="3414" xr:uid="{F41FEFE0-4F84-4667-BF7E-E9D3324E7056}"/>
    <cellStyle name="Millares 3 3 3 6" xfId="2476" xr:uid="{A7B60A63-97F3-4B2A-9B8B-6883F3D805FD}"/>
    <cellStyle name="Millares 3 3 3 6 2" xfId="4098" xr:uid="{8BF6C653-E71D-4F7C-90F9-C9F10274063A}"/>
    <cellStyle name="Millares 3 3 3 7" xfId="4488" xr:uid="{44656579-782C-413C-8196-A40ACA0227CF}"/>
    <cellStyle name="Millares 3 3 3 8" xfId="2873" xr:uid="{E11DACFE-8A64-42F9-8007-BB212AA321F9}"/>
    <cellStyle name="Millares 3 3 4" xfId="681" xr:uid="{D2B55682-9BF5-44F1-8B56-39FBC702DAF4}"/>
    <cellStyle name="Millares 3 3 4 2" xfId="1836" xr:uid="{1DDF94CF-D07E-4C26-8CB8-08F49D065AD1}"/>
    <cellStyle name="Millares 3 3 4 2 2" xfId="3433" xr:uid="{4CA7D310-F262-4B96-82E7-5FBD3C7A1BA7}"/>
    <cellStyle name="Millares 3 3 4 3" xfId="2551" xr:uid="{66789FCF-9A69-4884-B203-995BFF486307}"/>
    <cellStyle name="Millares 3 3 4 3 2" xfId="4173" xr:uid="{447B4654-8EA8-4E21-B5F8-78CBE470D56A}"/>
    <cellStyle name="Millares 3 3 4 4" xfId="1293" xr:uid="{D707EC86-DBC3-4F9D-9E4E-B33D3D1A052D}"/>
    <cellStyle name="Millares 3 3 4 5" xfId="2893" xr:uid="{F4E3BC9A-8018-4722-B91A-E5065031C2CE}"/>
    <cellStyle name="Millares 3 3 5" xfId="730" xr:uid="{FB697BE4-E55D-4039-805A-1C0D91378385}"/>
    <cellStyle name="Millares 3 3 5 2" xfId="2051" xr:uid="{AD9763A9-7E21-452D-9BBE-FB72EA2AAFDA}"/>
    <cellStyle name="Millares 3 3 5 2 2" xfId="3647" xr:uid="{6DF0D23D-4E30-4474-ADA5-CECE86C9B5B4}"/>
    <cellStyle name="Millares 3 3 5 3" xfId="2601" xr:uid="{EC2C9EFA-FFF3-45DD-9484-57AEE84C23DA}"/>
    <cellStyle name="Millares 3 3 5 3 2" xfId="4223" xr:uid="{CE489D72-18CE-4EB8-BD28-72851390C67B}"/>
    <cellStyle name="Millares 3 3 5 4" xfId="1507" xr:uid="{79236FB0-485D-4B31-9F0E-8E2F781C3ECD}"/>
    <cellStyle name="Millares 3 3 5 5" xfId="3106" xr:uid="{8FD09095-A26E-435C-B77C-07D951F9C3B3}"/>
    <cellStyle name="Millares 3 3 6" xfId="783" xr:uid="{063E14C7-ACFB-4E29-8E46-008F3D75A1AD}"/>
    <cellStyle name="Millares 3 3 6 2" xfId="2103" xr:uid="{8AB0427A-7DC0-4F15-AC5E-79F22CFA2412}"/>
    <cellStyle name="Millares 3 3 6 2 2" xfId="3699" xr:uid="{46A770AC-C4A0-42F1-B659-2CFC50EE3858}"/>
    <cellStyle name="Millares 3 3 6 3" xfId="2653" xr:uid="{51AB4D13-7C91-4D74-BED2-F5DC72C8E482}"/>
    <cellStyle name="Millares 3 3 6 3 2" xfId="4275" xr:uid="{EABB74C5-E5AF-4846-9CD0-F034ABB0ECA0}"/>
    <cellStyle name="Millares 3 3 6 4" xfId="1557" xr:uid="{05C96FA8-FD07-42D4-A32D-87C6CC6468B2}"/>
    <cellStyle name="Millares 3 3 6 5" xfId="3156" xr:uid="{F74FF940-F97B-4A47-9896-71458F9F5A4F}"/>
    <cellStyle name="Millares 3 3 7" xfId="913" xr:uid="{AB816B80-CB21-436E-86BD-E79C1BDFE9D8}"/>
    <cellStyle name="Millares 3 3 7 2" xfId="2209" xr:uid="{F6745A5A-355D-40E7-A66A-A4770E16F326}"/>
    <cellStyle name="Millares 3 3 7 2 2" xfId="3805" xr:uid="{EEA88770-AF05-40BE-B789-1425C6E69C4D}"/>
    <cellStyle name="Millares 3 3 7 3" xfId="1661" xr:uid="{21548137-CA23-4539-98A0-FBE127C7C10A}"/>
    <cellStyle name="Millares 3 3 7 4" xfId="3260" xr:uid="{316AF64A-BDC0-4BB0-B5BC-9C942AA177BF}"/>
    <cellStyle name="Millares 3 3 8" xfId="1091" xr:uid="{7262DD03-BA06-4DC4-992D-50DC4BDBDF03}"/>
    <cellStyle name="Millares 3 3 8 2" xfId="2232" xr:uid="{B59887BF-E3A9-41B2-929C-63C4253CB4FA}"/>
    <cellStyle name="Millares 3 3 8 2 2" xfId="3828" xr:uid="{A08A9EA0-2B89-4C9C-A7B0-42CD72581D32}"/>
    <cellStyle name="Millares 3 3 8 3" xfId="3282" xr:uid="{F4EBAD9E-A13D-4F85-A7C3-33B00C6BA79F}"/>
    <cellStyle name="Millares 3 3 9" xfId="2296" xr:uid="{7CF797DF-A595-4907-A9FD-79AFB999E29C}"/>
    <cellStyle name="Millares 3 3 9 2" xfId="3875" xr:uid="{CB787EB0-38EF-43BF-A4AA-BA0B863A6FF3}"/>
    <cellStyle name="Millares 3 4" xfId="68" xr:uid="{D504E704-B276-481E-952F-C50C27D10810}"/>
    <cellStyle name="Millares 3 4 10" xfId="2361" xr:uid="{698A3617-A6C9-48A4-9579-F7BFF78A2E62}"/>
    <cellStyle name="Millares 3 4 10 2" xfId="3983" xr:uid="{6D0F8B22-4541-4465-AF7D-E52D7072B381}"/>
    <cellStyle name="Millares 3 4 11" xfId="4374" xr:uid="{7505BCBE-889F-46FA-A521-69AC3E71DBD7}"/>
    <cellStyle name="Millares 3 4 12" xfId="2759" xr:uid="{79655071-5D13-46CD-9C73-394240AA9414}"/>
    <cellStyle name="Millares 3 4 2" xfId="316" xr:uid="{26B238D5-00AF-4851-AAE3-BFBB59E1449E}"/>
    <cellStyle name="Millares 3 4 2 2" xfId="814" xr:uid="{8749C08D-9F3A-46F8-9BF8-619F55D46E5A}"/>
    <cellStyle name="Millares 3 4 2 2 2" xfId="2135" xr:uid="{D2DDFC81-48E4-45C4-ACD1-01B8A1C35DC8}"/>
    <cellStyle name="Millares 3 4 2 2 2 2" xfId="3731" xr:uid="{1B15080B-A784-47B9-B96E-92C612432F6B}"/>
    <cellStyle name="Millares 3 4 2 2 3" xfId="2683" xr:uid="{4B96F170-B6F8-4DF6-8CB8-465BFF39AA45}"/>
    <cellStyle name="Millares 3 4 2 2 3 2" xfId="4305" xr:uid="{3FBA113B-44FE-48EF-946D-107B281029DA}"/>
    <cellStyle name="Millares 3 4 2 2 4" xfId="1588" xr:uid="{00462B24-FBD8-45D1-962B-92D1F8262489}"/>
    <cellStyle name="Millares 3 4 2 2 5" xfId="3187" xr:uid="{A367FC72-07C2-4EB8-BA80-D39B8934ADA5}"/>
    <cellStyle name="Millares 3 4 2 3" xfId="942" xr:uid="{94226B02-5E4C-49B4-A437-8C7A67FE4EE0}"/>
    <cellStyle name="Millares 3 4 2 3 2" xfId="1892" xr:uid="{20D69821-EA76-484D-9D7C-D212892863A0}"/>
    <cellStyle name="Millares 3 4 2 3 2 2" xfId="3488" xr:uid="{1DD6455F-EB5D-4BD1-AD55-087D1212A13A}"/>
    <cellStyle name="Millares 3 4 2 3 3" xfId="1348" xr:uid="{D90E5234-33E1-446E-92D1-B0816BA3540B}"/>
    <cellStyle name="Millares 3 4 2 3 4" xfId="2947" xr:uid="{9A75A7AC-F604-40A0-9E82-9FFAA319C011}"/>
    <cellStyle name="Millares 3 4 2 4" xfId="1124" xr:uid="{8FE9780F-3EA8-4B8B-AFAF-F66788F0510D}"/>
    <cellStyle name="Millares 3 4 2 4 2" xfId="3904" xr:uid="{EF87342D-4619-4BF7-8585-105032BFE8B2}"/>
    <cellStyle name="Millares 3 4 2 5" xfId="1747" xr:uid="{EE63FFD8-CFEC-4D6D-B7BA-DCC62D6E7D85}"/>
    <cellStyle name="Millares 3 4 2 5 2" xfId="3353" xr:uid="{0348C4F9-5B82-4F13-943E-CC20E1739376}"/>
    <cellStyle name="Millares 3 4 2 6" xfId="2415" xr:uid="{25F5D549-C5D0-4DE3-8615-189F2148CD1F}"/>
    <cellStyle name="Millares 3 4 2 6 2" xfId="4037" xr:uid="{979D22D1-1BE2-4529-BC50-F34563DEFDCC}"/>
    <cellStyle name="Millares 3 4 2 7" xfId="4427" xr:uid="{D88DC192-FCA1-4F5C-B4F7-97B4013F9A20}"/>
    <cellStyle name="Millares 3 4 2 8" xfId="2812" xr:uid="{A5455DCB-E9D4-4D1B-94DE-50E7185B2EC9}"/>
    <cellStyle name="Millares 3 4 3" xfId="632" xr:uid="{6CCD00BB-6A3E-468E-B269-8E10CE4F1271}"/>
    <cellStyle name="Millares 3 4 3 2" xfId="1951" xr:uid="{36F8DEE7-8AAF-477E-A39B-603893056E7F}"/>
    <cellStyle name="Millares 3 4 3 2 2" xfId="3547" xr:uid="{317F8584-FF16-41F5-83F5-3168D074A48E}"/>
    <cellStyle name="Millares 3 4 3 3" xfId="2502" xr:uid="{6BD9D1E4-D883-4F7F-82B2-1B2F9736B9F2}"/>
    <cellStyle name="Millares 3 4 3 3 2" xfId="4124" xr:uid="{D632FCD0-54F1-48DF-A5FA-8A2D1D6DACE1}"/>
    <cellStyle name="Millares 3 4 3 4" xfId="1407" xr:uid="{77FFBDF3-BC5D-4AB5-8D66-4B40C20010CA}"/>
    <cellStyle name="Millares 3 4 3 5" xfId="3006" xr:uid="{483EA3B0-19C2-45C7-ABA8-45B4D223564C}"/>
    <cellStyle name="Millares 3 4 4" xfId="657" xr:uid="{3A405E1B-EA35-47E9-BCF9-8B9BE5568820}"/>
    <cellStyle name="Millares 3 4 4 2" xfId="1986" xr:uid="{E017C8D4-05BC-4B46-BE50-BAEBDA45BDF1}"/>
    <cellStyle name="Millares 3 4 4 2 2" xfId="3582" xr:uid="{282098A8-BED0-4CB9-B6CF-17AA9F349335}"/>
    <cellStyle name="Millares 3 4 4 3" xfId="2527" xr:uid="{E997C4D0-7A1C-4E03-A928-A7A0CBA81907}"/>
    <cellStyle name="Millares 3 4 4 3 2" xfId="4149" xr:uid="{DA357169-39E3-48B3-B62A-A6BC744D21B8}"/>
    <cellStyle name="Millares 3 4 4 4" xfId="1442" xr:uid="{1B4020FB-8A2A-48F6-973F-8408F1A8E519}"/>
    <cellStyle name="Millares 3 4 4 5" xfId="3041" xr:uid="{185B8ED7-CF67-448E-8745-D14DAE79EE2C}"/>
    <cellStyle name="Millares 3 4 5" xfId="706" xr:uid="{08E80A2A-4334-49C8-B942-C19AA362012C}"/>
    <cellStyle name="Millares 3 4 5 2" xfId="2027" xr:uid="{495BC674-EE72-4A84-BD57-9835A1208844}"/>
    <cellStyle name="Millares 3 4 5 2 2" xfId="3623" xr:uid="{2B81B34D-2F32-409F-AD23-BF042437F46A}"/>
    <cellStyle name="Millares 3 4 5 3" xfId="2577" xr:uid="{875378E8-714A-4CCA-960E-4D64B6746E8F}"/>
    <cellStyle name="Millares 3 4 5 3 2" xfId="4199" xr:uid="{1A2ED944-142B-4B9A-B471-84805CA71600}"/>
    <cellStyle name="Millares 3 4 5 4" xfId="1483" xr:uid="{CC55F33F-C3BC-4D0A-8EC1-C6430187F963}"/>
    <cellStyle name="Millares 3 4 5 5" xfId="3082" xr:uid="{80AEC347-0B85-4D25-9ABC-EB707E1E1BCE}"/>
    <cellStyle name="Millares 3 4 6" xfId="750" xr:uid="{80165010-1954-462C-A3DB-F26B238BC171}"/>
    <cellStyle name="Millares 3 4 6 2" xfId="2073" xr:uid="{37876B5F-F704-4FBF-A00A-C0E5206FB289}"/>
    <cellStyle name="Millares 3 4 6 2 2" xfId="3669" xr:uid="{703635AC-8D13-4DDA-963C-6831928EDDB6}"/>
    <cellStyle name="Millares 3 4 6 3" xfId="2621" xr:uid="{8E569DCF-8F06-4828-9F60-601BF6AE4BC1}"/>
    <cellStyle name="Millares 3 4 6 3 2" xfId="4243" xr:uid="{1D655F0A-C3CD-40D6-BAD2-F6ABDFC541C0}"/>
    <cellStyle name="Millares 3 4 6 4" xfId="1528" xr:uid="{CB29C5F4-8D91-4B67-82C8-3565FFA6E843}"/>
    <cellStyle name="Millares 3 4 6 5" xfId="3127" xr:uid="{053725CE-2F4B-4D6A-9C01-FCA170A4EEBC}"/>
    <cellStyle name="Millares 3 4 7" xfId="889" xr:uid="{07CA68D4-1360-4E1A-BC34-B23E6072F5E6}"/>
    <cellStyle name="Millares 3 4 7 2" xfId="1853" xr:uid="{D67F8793-6E74-4C96-8E9D-9233F3310E35}"/>
    <cellStyle name="Millares 3 4 7 2 2" xfId="3449" xr:uid="{90B14A68-E39D-4DD0-B6E4-C68BBD5C740D}"/>
    <cellStyle name="Millares 3 4 7 3" xfId="1308" xr:uid="{BD3924F0-A7DB-42E9-A016-98B761F83523}"/>
    <cellStyle name="Millares 3 4 7 4" xfId="2908" xr:uid="{DF032DD9-1C86-45BC-A5EA-D5AE79AF0233}"/>
    <cellStyle name="Millares 3 4 8" xfId="1046" xr:uid="{94A7520A-36A9-40AF-9E03-04BA7834CAEB}"/>
    <cellStyle name="Millares 3 4 8 2" xfId="3851" xr:uid="{B7EBCD71-46B2-4411-BB6C-76672D8ABB01}"/>
    <cellStyle name="Millares 3 4 9" xfId="1690" xr:uid="{1E2488A4-B762-4988-9255-613CCF0960B6}"/>
    <cellStyle name="Millares 3 4 9 2" xfId="3300" xr:uid="{EACF3AF2-D1FC-4C91-8E1D-1F5963663E41}"/>
    <cellStyle name="Millares 3 5" xfId="152" xr:uid="{8C93F6FA-92C2-434F-9A84-4D1B240A75B0}"/>
    <cellStyle name="Millares 3 5 10" xfId="2390" xr:uid="{1E536075-F637-4F15-8D8F-9D5879DCB71F}"/>
    <cellStyle name="Millares 3 5 10 2" xfId="4012" xr:uid="{DD956837-83C5-48B9-B522-C3DAADA01C40}"/>
    <cellStyle name="Millares 3 5 11" xfId="4403" xr:uid="{DF104883-2657-4571-8A4D-8979FCFA7138}"/>
    <cellStyle name="Millares 3 5 12" xfId="2788" xr:uid="{02C7E5D9-A409-489A-8CF8-F67CDC1BDD5D}"/>
    <cellStyle name="Millares 3 5 2" xfId="345" xr:uid="{11930D5F-2E58-4E78-9BAE-DC6DC18DDA4C}"/>
    <cellStyle name="Millares 3 5 2 2" xfId="841" xr:uid="{5DB2CF46-541D-4772-89C7-D5456EDB683E}"/>
    <cellStyle name="Millares 3 5 2 2 2" xfId="2162" xr:uid="{DE6FE2C3-C36F-4D86-8CB6-690057886FAD}"/>
    <cellStyle name="Millares 3 5 2 2 2 2" xfId="3758" xr:uid="{D67EC6AF-3C65-4261-9963-75C942273701}"/>
    <cellStyle name="Millares 3 5 2 2 3" xfId="2710" xr:uid="{B330809D-6C27-42C4-B786-B8A46CBEC12D}"/>
    <cellStyle name="Millares 3 5 2 2 3 2" xfId="4332" xr:uid="{DC0B9055-4165-41B6-A133-2830B50E34C7}"/>
    <cellStyle name="Millares 3 5 2 2 4" xfId="1615" xr:uid="{93377411-712F-40A1-910D-97D664889328}"/>
    <cellStyle name="Millares 3 5 2 2 5" xfId="3214" xr:uid="{575E12D9-2AA4-4283-B052-6E66EA36B228}"/>
    <cellStyle name="Millares 3 5 2 3" xfId="971" xr:uid="{22EC1E96-6EA7-4118-92A0-D8980E6EEFF7}"/>
    <cellStyle name="Millares 3 5 2 3 2" xfId="1919" xr:uid="{B2085A64-6DEB-40B1-9173-DDE720B62AD8}"/>
    <cellStyle name="Millares 3 5 2 3 2 2" xfId="3515" xr:uid="{BB2E9C37-9A2A-4093-80CF-5858A1007EA5}"/>
    <cellStyle name="Millares 3 5 2 3 3" xfId="1375" xr:uid="{AE418B7D-5C54-4B55-9C9B-B2B73AE9C754}"/>
    <cellStyle name="Millares 3 5 2 3 4" xfId="2974" xr:uid="{3FFDA023-322B-4F7D-8F51-F8876F31EAA7}"/>
    <cellStyle name="Millares 3 5 2 4" xfId="1153" xr:uid="{A3209C52-82C6-4665-B122-9527F62272F0}"/>
    <cellStyle name="Millares 3 5 2 4 2" xfId="3933" xr:uid="{884A27AC-E09B-4183-B4F5-4D3014ABE60B}"/>
    <cellStyle name="Millares 3 5 2 5" xfId="1773" xr:uid="{6B9FF7D0-4F75-47AB-B26D-3EEAF5E00987}"/>
    <cellStyle name="Millares 3 5 2 5 2" xfId="3382" xr:uid="{505F72F8-7940-4716-9C3C-DBE6C745F810}"/>
    <cellStyle name="Millares 3 5 2 6" xfId="2444" xr:uid="{D9FE23C2-484D-4962-BCFE-B8FAE260660B}"/>
    <cellStyle name="Millares 3 5 2 6 2" xfId="4066" xr:uid="{FEFA4460-9813-4BDB-83C9-166F4066A464}"/>
    <cellStyle name="Millares 3 5 2 7" xfId="4456" xr:uid="{6B2F463A-5834-4782-93F6-7967BBB80881}"/>
    <cellStyle name="Millares 3 5 2 8" xfId="2841" xr:uid="{BE260CFD-07B3-4077-86CF-809FABF2C8EF}"/>
    <cellStyle name="Millares 3 5 3" xfId="626" xr:uid="{437245B4-E7B8-4B7A-B8A9-83A528CE812E}"/>
    <cellStyle name="Millares 3 5 3 2" xfId="1944" xr:uid="{C1357D50-D6DA-4F6E-B46A-13C3DE926132}"/>
    <cellStyle name="Millares 3 5 3 2 2" xfId="3540" xr:uid="{B243CD0B-FDB5-4BF7-87F7-14C39A400A4B}"/>
    <cellStyle name="Millares 3 5 3 3" xfId="2496" xr:uid="{E1648FD9-6E37-471C-92E5-8EB399C94DD4}"/>
    <cellStyle name="Millares 3 5 3 3 2" xfId="4118" xr:uid="{BE7B2CD1-31BB-45B2-9A16-32BF4DE06A9C}"/>
    <cellStyle name="Millares 3 5 3 4" xfId="1400" xr:uid="{F00F29C9-8788-49F1-8D40-539A355BC299}"/>
    <cellStyle name="Millares 3 5 3 5" xfId="2999" xr:uid="{6BA402D0-8D1B-43F7-A657-478817AC3F73}"/>
    <cellStyle name="Millares 3 5 4" xfId="686" xr:uid="{49E946E1-8DF1-4AD4-A0C8-DEE64EF11F95}"/>
    <cellStyle name="Millares 3 5 4 2" xfId="2009" xr:uid="{85206B16-1361-48FC-BDD6-ABB54CDD72E2}"/>
    <cellStyle name="Millares 3 5 4 2 2" xfId="3605" xr:uid="{362DB2E6-C3BC-4A67-9DC6-82409B8BCD40}"/>
    <cellStyle name="Millares 3 5 4 3" xfId="2556" xr:uid="{9A566286-4DF3-4E9D-8C95-C2EA1E9EF98A}"/>
    <cellStyle name="Millares 3 5 4 3 2" xfId="4178" xr:uid="{EB7E946F-6F4E-4E50-8CF1-C452D4832984}"/>
    <cellStyle name="Millares 3 5 4 4" xfId="1465" xr:uid="{79D37901-D71F-47AC-8561-09DAB12E232B}"/>
    <cellStyle name="Millares 3 5 4 5" xfId="3064" xr:uid="{5E2BB78F-91B4-4C3F-8106-E39063671AFD}"/>
    <cellStyle name="Millares 3 5 5" xfId="735" xr:uid="{E480A6DE-1D40-4251-B2F6-9E6C85543262}"/>
    <cellStyle name="Millares 3 5 5 2" xfId="2056" xr:uid="{E284E2FE-A564-498F-B907-8A11144E80D4}"/>
    <cellStyle name="Millares 3 5 5 2 2" xfId="3652" xr:uid="{8E500934-FE88-49BC-A403-95A6B9512DDE}"/>
    <cellStyle name="Millares 3 5 5 3" xfId="2606" xr:uid="{ADE1DBD6-BB68-4D41-B5BC-40946E9A57AD}"/>
    <cellStyle name="Millares 3 5 5 3 2" xfId="4228" xr:uid="{ECFC4AD4-EACB-4550-95BE-311E07CDB7D6}"/>
    <cellStyle name="Millares 3 5 5 4" xfId="1512" xr:uid="{32D2481B-9D3D-4ED8-9C0B-1A4549B47A2E}"/>
    <cellStyle name="Millares 3 5 5 5" xfId="3111" xr:uid="{5C8483A2-2B9B-4232-9D99-9686770C90CF}"/>
    <cellStyle name="Millares 3 5 6" xfId="775" xr:uid="{6FB4B81A-37E0-4E76-8A2B-CF0133D3A573}"/>
    <cellStyle name="Millares 3 5 6 2" xfId="2096" xr:uid="{181494A9-AA89-420D-824B-34E633525A7F}"/>
    <cellStyle name="Millares 3 5 6 2 2" xfId="3692" xr:uid="{3F9DD232-C7EA-4BDA-8F88-243CB5DE890A}"/>
    <cellStyle name="Millares 3 5 6 3" xfId="2646" xr:uid="{80722C9D-993D-4103-94E7-28F39004DE1D}"/>
    <cellStyle name="Millares 3 5 6 3 2" xfId="4268" xr:uid="{DC5CBA84-E73F-4601-89F2-BB65D893E4EB}"/>
    <cellStyle name="Millares 3 5 6 4" xfId="1550" xr:uid="{13899258-CE86-4C72-9AA5-51BDB4AEF778}"/>
    <cellStyle name="Millares 3 5 6 5" xfId="3149" xr:uid="{0BB0AABE-2A14-4CCE-82C7-C6EFB0E8B1D6}"/>
    <cellStyle name="Millares 3 5 7" xfId="918" xr:uid="{E30E78BE-DD25-48CF-B044-5BF77196C808}"/>
    <cellStyle name="Millares 3 5 7 2" xfId="1875" xr:uid="{EC413554-C784-45FD-8481-5F080911B82A}"/>
    <cellStyle name="Millares 3 5 7 2 2" xfId="3471" xr:uid="{32860B3E-22D7-437A-AE01-0513D96ACC5D}"/>
    <cellStyle name="Millares 3 5 7 3" xfId="1331" xr:uid="{4064F9D5-BD88-4BD0-9660-5E9922503083}"/>
    <cellStyle name="Millares 3 5 7 4" xfId="2930" xr:uid="{0E74F20E-119B-4725-855A-D0A540B8D404}"/>
    <cellStyle name="Millares 3 5 8" xfId="1096" xr:uid="{1626D0CB-129D-46B8-A26F-890938A0A2F7}"/>
    <cellStyle name="Millares 3 5 8 2" xfId="3880" xr:uid="{3F10A5CF-38B3-4FB6-97FC-97B610913336}"/>
    <cellStyle name="Millares 3 5 9" xfId="1721" xr:uid="{47AFD0A1-76A6-4C3D-BD1E-F96D3BC41E3F}"/>
    <cellStyle name="Millares 3 5 9 2" xfId="3329" xr:uid="{5C450DDE-F9E6-4999-89D3-D7EFB5A6ADAD}"/>
    <cellStyle name="Millares 3 6" xfId="297" xr:uid="{A8149292-4F91-44F0-8A30-AABBB9233694}"/>
    <cellStyle name="Millares 3 6 10" xfId="2397" xr:uid="{2C7FD384-DA16-4507-B50C-A8C3CF99C460}"/>
    <cellStyle name="Millares 3 6 10 2" xfId="4019" xr:uid="{CB59D005-BE65-4EBE-87B9-04A39558B353}"/>
    <cellStyle name="Millares 3 6 11" xfId="4409" xr:uid="{A77EC8EF-CAAF-439F-BEA7-B009B4970231}"/>
    <cellStyle name="Millares 3 6 12" xfId="2794" xr:uid="{D988AB13-7EF4-4650-B969-874B421B20FC}"/>
    <cellStyle name="Millares 3 6 2" xfId="351" xr:uid="{C418C083-90AA-4C66-8C21-02AA2D198FD7}"/>
    <cellStyle name="Millares 3 6 2 2" xfId="847" xr:uid="{2284CC10-1FCE-4695-8441-877CC28A383B}"/>
    <cellStyle name="Millares 3 6 2 2 2" xfId="2168" xr:uid="{9EA7BC81-A357-42E2-B74F-4A9BF415E187}"/>
    <cellStyle name="Millares 3 6 2 2 2 2" xfId="3764" xr:uid="{75C5954D-9B35-46D6-948A-2A28475D02D2}"/>
    <cellStyle name="Millares 3 6 2 2 3" xfId="2716" xr:uid="{0C3E8A6C-DAD1-4DA0-90FE-71C8982ABA3F}"/>
    <cellStyle name="Millares 3 6 2 2 3 2" xfId="4338" xr:uid="{F9A164DC-7DB7-433B-8A53-A90A88ECADB2}"/>
    <cellStyle name="Millares 3 6 2 2 4" xfId="1621" xr:uid="{1E584CDB-15E5-482F-8597-2E7F71DA1FA1}"/>
    <cellStyle name="Millares 3 6 2 2 5" xfId="3220" xr:uid="{5F36D2DD-DE21-4628-BFC7-0D8AFBCBD15D}"/>
    <cellStyle name="Millares 3 6 2 3" xfId="977" xr:uid="{DB22B7C2-7D10-45A6-8B02-BAFA832457A2}"/>
    <cellStyle name="Millares 3 6 2 3 2" xfId="1925" xr:uid="{A505C648-1972-4C06-B54B-E69E4B128ABB}"/>
    <cellStyle name="Millares 3 6 2 3 2 2" xfId="3521" xr:uid="{C68C593C-C368-4049-8B5D-6C86765D3F01}"/>
    <cellStyle name="Millares 3 6 2 3 3" xfId="1381" xr:uid="{BFEAA3D4-AFA6-4579-ACF8-5DCD6E42526B}"/>
    <cellStyle name="Millares 3 6 2 3 4" xfId="2980" xr:uid="{BA2C74F6-11DA-4F3D-BA56-00F7492AD242}"/>
    <cellStyle name="Millares 3 6 2 4" xfId="1159" xr:uid="{E160FB46-9243-422D-BA0A-7B102AA6B922}"/>
    <cellStyle name="Millares 3 6 2 4 2" xfId="3939" xr:uid="{ECFD9618-32DE-403F-B911-5A23156EE566}"/>
    <cellStyle name="Millares 3 6 2 5" xfId="1779" xr:uid="{C708D6CE-77F3-44E8-B78C-3E78E218BD5A}"/>
    <cellStyle name="Millares 3 6 2 5 2" xfId="3388" xr:uid="{646B68C8-B33D-4887-AE13-575B81A9DEF6}"/>
    <cellStyle name="Millares 3 6 2 6" xfId="2450" xr:uid="{B9E5BC70-FEA3-4998-BFC0-77B0BE24B8E7}"/>
    <cellStyle name="Millares 3 6 2 6 2" xfId="4072" xr:uid="{12DD4185-21A7-461D-B710-C7604E914EE7}"/>
    <cellStyle name="Millares 3 6 2 7" xfId="4462" xr:uid="{4AC49F55-3958-42C8-9C14-3258A8CAE55F}"/>
    <cellStyle name="Millares 3 6 2 8" xfId="2847" xr:uid="{2FD00A6C-D12E-415A-BC51-E7C94BD716B4}"/>
    <cellStyle name="Millares 3 6 3" xfId="649" xr:uid="{1EA5F505-95FA-45B9-8F35-DC383DDEFFC6}"/>
    <cellStyle name="Millares 3 6 3 2" xfId="1975" xr:uid="{74D33F62-DF3D-4F7C-8308-47026AA14D63}"/>
    <cellStyle name="Millares 3 6 3 2 2" xfId="3571" xr:uid="{371FE492-D219-4B93-8D10-F8865A493844}"/>
    <cellStyle name="Millares 3 6 3 3" xfId="2519" xr:uid="{FCF7988D-66D5-4E7E-A480-C68FA9D26A6B}"/>
    <cellStyle name="Millares 3 6 3 3 2" xfId="4141" xr:uid="{49CB4AED-6972-47BC-A1B7-F00F29D8C7FC}"/>
    <cellStyle name="Millares 3 6 3 4" xfId="1431" xr:uid="{2F3FBB3B-F02F-41BD-90EC-1449A5C7D8BF}"/>
    <cellStyle name="Millares 3 6 3 5" xfId="3030" xr:uid="{778BC5EE-5CB9-4853-9D7B-0622F944D39F}"/>
    <cellStyle name="Millares 3 6 4" xfId="693" xr:uid="{938DED31-B284-4FDC-A1B0-2A542A07FAE2}"/>
    <cellStyle name="Millares 3 6 4 2" xfId="2016" xr:uid="{886A840D-163D-4AD2-B045-A54E6566273E}"/>
    <cellStyle name="Millares 3 6 4 2 2" xfId="3612" xr:uid="{D0639AFD-39C6-40AF-85C5-7B296DAFB0DF}"/>
    <cellStyle name="Millares 3 6 4 3" xfId="2563" xr:uid="{5D33D321-14DC-45D2-88C7-737988B6A245}"/>
    <cellStyle name="Millares 3 6 4 3 2" xfId="4185" xr:uid="{C0659661-6B64-4F55-9EB2-C0D87D17FAF4}"/>
    <cellStyle name="Millares 3 6 4 4" xfId="1472" xr:uid="{D29DD776-1A0B-4B3F-94C0-3B7D3C948C9E}"/>
    <cellStyle name="Millares 3 6 4 5" xfId="3071" xr:uid="{1319E986-44FE-45F1-852D-C4AB58E45C78}"/>
    <cellStyle name="Millares 3 6 5" xfId="741" xr:uid="{985C7465-361D-47F0-BC5F-14482B8C6B2D}"/>
    <cellStyle name="Millares 3 6 5 2" xfId="2062" xr:uid="{A692E0FA-1D5A-4785-8E5B-91EE0FD94649}"/>
    <cellStyle name="Millares 3 6 5 2 2" xfId="3658" xr:uid="{81FB31EE-10F7-4566-8BA5-5C92863039B9}"/>
    <cellStyle name="Millares 3 6 5 3" xfId="2612" xr:uid="{669B7046-ED1E-454F-AC42-43478711A9F3}"/>
    <cellStyle name="Millares 3 6 5 3 2" xfId="4234" xr:uid="{7382CD75-68AB-4FDB-9F73-ED6D84CEAA40}"/>
    <cellStyle name="Millares 3 6 5 4" xfId="1518" xr:uid="{87278B4C-6FA6-4B3C-ABFD-B0B8F238E758}"/>
    <cellStyle name="Millares 3 6 5 5" xfId="3117" xr:uid="{C31D1E81-3717-4AF3-883E-C01F7BA6BA61}"/>
    <cellStyle name="Millares 3 6 6" xfId="799" xr:uid="{516F3781-7CD8-4C7C-89F4-C2AC9BFBD86C}"/>
    <cellStyle name="Millares 3 6 6 2" xfId="2120" xr:uid="{048A6134-3877-4525-81C7-D1F4CFA24261}"/>
    <cellStyle name="Millares 3 6 6 2 2" xfId="3716" xr:uid="{E5C67D46-3229-42BB-B808-E8BB2B99758E}"/>
    <cellStyle name="Millares 3 6 6 3" xfId="2668" xr:uid="{795CC0CD-4998-4ACA-9586-B895E12EC207}"/>
    <cellStyle name="Millares 3 6 6 3 2" xfId="4290" xr:uid="{D0DBFCDC-82F3-4634-8C88-AB674C0C0871}"/>
    <cellStyle name="Millares 3 6 6 4" xfId="1573" xr:uid="{BB61F36E-6F4F-4C79-8E2F-DC94BD086E41}"/>
    <cellStyle name="Millares 3 6 6 5" xfId="3172" xr:uid="{BC2A7BFB-002F-4AEB-B5DA-3880717552E2}"/>
    <cellStyle name="Millares 3 6 7" xfId="924" xr:uid="{86E8DC00-5463-4FC0-8C40-C1661D1ECDC0}"/>
    <cellStyle name="Millares 3 6 7 2" xfId="1881" xr:uid="{A973FEEE-F1BD-4432-9A0B-CE4F91681534}"/>
    <cellStyle name="Millares 3 6 7 2 2" xfId="3477" xr:uid="{DAD5E8C0-B78D-448E-9705-BD27258CAD81}"/>
    <cellStyle name="Millares 3 6 7 3" xfId="1337" xr:uid="{C78089F5-ACEC-4084-A414-FEF7F67E9092}"/>
    <cellStyle name="Millares 3 6 7 4" xfId="2936" xr:uid="{BACD6309-3273-4A86-A91A-E81C6727926D}"/>
    <cellStyle name="Millares 3 6 8" xfId="1106" xr:uid="{B43AD0EA-F3ED-400E-90AB-FB7C78D3B892}"/>
    <cellStyle name="Millares 3 6 8 2" xfId="3886" xr:uid="{DFE08BE3-6E8A-477B-B0A4-9E2BC9348E14}"/>
    <cellStyle name="Millares 3 6 9" xfId="1731" xr:uid="{BCC2E77E-9CFC-4EED-A119-906198705618}"/>
    <cellStyle name="Millares 3 6 9 2" xfId="3335" xr:uid="{A48CDDF6-0B34-409F-8D23-77BECFA5409E}"/>
    <cellStyle name="Millares 3 7" xfId="311" xr:uid="{2BC0B739-BC7D-45A9-8D11-37DDA25F6707}"/>
    <cellStyle name="Millares 3 7 2" xfId="809" xr:uid="{F07AC737-AD9F-4C2A-8773-BB1BACD4C40F}"/>
    <cellStyle name="Millares 3 7 2 2" xfId="2130" xr:uid="{80E75180-6391-4109-BD5E-75AD1987039C}"/>
    <cellStyle name="Millares 3 7 2 2 2" xfId="3726" xr:uid="{9B76BA60-6BE6-4AC2-977F-E4C0AC56E895}"/>
    <cellStyle name="Millares 3 7 2 3" xfId="2678" xr:uid="{B7FC2105-0578-4F38-B97A-46EDEC3A0ABC}"/>
    <cellStyle name="Millares 3 7 2 3 2" xfId="4300" xr:uid="{95B4C99E-0165-4B13-ADB2-B12BEAC01B25}"/>
    <cellStyle name="Millares 3 7 2 4" xfId="1583" xr:uid="{1D3BF6F7-4059-4BFE-9C34-EF387A62B358}"/>
    <cellStyle name="Millares 3 7 2 5" xfId="3182" xr:uid="{2E39A353-6388-4882-95F7-4EED3864680D}"/>
    <cellStyle name="Millares 3 7 3" xfId="937" xr:uid="{383CD61A-14DE-4027-8312-1B4005776208}"/>
    <cellStyle name="Millares 3 7 3 2" xfId="1887" xr:uid="{79918CD2-AFA8-4C5F-B8FD-44CB8D009CCA}"/>
    <cellStyle name="Millares 3 7 3 2 2" xfId="3483" xr:uid="{C37B2C45-3B78-4058-A205-98D655D03C9F}"/>
    <cellStyle name="Millares 3 7 3 3" xfId="1343" xr:uid="{D9A49D70-CB4B-462B-95C1-8C270E5EDD1F}"/>
    <cellStyle name="Millares 3 7 3 4" xfId="2942" xr:uid="{18F347B0-0736-4F32-9463-8423A65B756D}"/>
    <cellStyle name="Millares 3 7 4" xfId="1119" xr:uid="{F44A989D-8B7F-4671-B211-4292DDA21043}"/>
    <cellStyle name="Millares 3 7 4 2" xfId="3899" xr:uid="{26D156D6-BB1B-4713-807E-17CE13D3A63D}"/>
    <cellStyle name="Millares 3 7 5" xfId="1743" xr:uid="{F9BACC7A-AADE-433C-A150-280C61ED6F53}"/>
    <cellStyle name="Millares 3 7 5 2" xfId="3348" xr:uid="{67347B93-FF1E-4C79-A9C7-CD012B8D8AE3}"/>
    <cellStyle name="Millares 3 7 6" xfId="2410" xr:uid="{0EDAB91D-755E-48D5-BB62-2713C69F7379}"/>
    <cellStyle name="Millares 3 7 6 2" xfId="4032" xr:uid="{DA411D83-3112-4A84-9E0D-789A8B6454D2}"/>
    <cellStyle name="Millares 3 7 7" xfId="4422" xr:uid="{B7D99E01-7EE8-4309-B788-58E9F13E8D32}"/>
    <cellStyle name="Millares 3 7 8" xfId="2807" xr:uid="{ABDD6950-1241-4C30-A0E5-FFDFF41CD30F}"/>
    <cellStyle name="Millares 3 8" xfId="364" xr:uid="{4EC0C415-F932-4DA5-8057-3897D2A29DEE}"/>
    <cellStyle name="Millares 3 8 2" xfId="857" xr:uid="{B4559CCA-ACDA-4178-9F96-637102E7721A}"/>
    <cellStyle name="Millares 3 8 2 2" xfId="2180" xr:uid="{8455F33C-0790-493B-9BB4-BF880A6664BD}"/>
    <cellStyle name="Millares 3 8 2 2 2" xfId="3776" xr:uid="{848E8378-AA99-4850-AF0E-CE98BAB5DFA3}"/>
    <cellStyle name="Millares 3 8 2 3" xfId="2726" xr:uid="{B8F0544C-7917-40D5-8A83-C9C025C9F023}"/>
    <cellStyle name="Millares 3 8 2 3 2" xfId="4348" xr:uid="{22423579-9875-4B2F-BD40-8CCF1AE3B487}"/>
    <cellStyle name="Millares 3 8 2 4" xfId="1633" xr:uid="{0A0E603D-2D50-4755-BAFD-ADD89FED4B62}"/>
    <cellStyle name="Millares 3 8 2 5" xfId="3232" xr:uid="{A8109D6C-5FF7-4565-8D7A-568551E0C88E}"/>
    <cellStyle name="Millares 3 8 3" xfId="990" xr:uid="{45650A7B-810D-4E40-981B-80D699D4E482}"/>
    <cellStyle name="Millares 3 8 3 2" xfId="1933" xr:uid="{8A117704-32CE-40EB-B5C4-46A821EF8478}"/>
    <cellStyle name="Millares 3 8 3 2 2" xfId="3529" xr:uid="{DF3E3A13-31CE-4913-A6A1-4052CA0AFA17}"/>
    <cellStyle name="Millares 3 8 3 3" xfId="1389" xr:uid="{DEDC5943-B10B-4E21-84AB-52708D9ADD3C}"/>
    <cellStyle name="Millares 3 8 3 4" xfId="2988" xr:uid="{FAB03E2A-7D8D-4DC4-AD36-ABC06E8B4832}"/>
    <cellStyle name="Millares 3 8 4" xfId="1172" xr:uid="{BCF9CF0D-E1C2-4F38-9155-46419EA15C11}"/>
    <cellStyle name="Millares 3 8 4 2" xfId="3952" xr:uid="{587D979B-21B3-49DA-A5EA-AF64E9E6839D}"/>
    <cellStyle name="Millares 3 8 5" xfId="1792" xr:uid="{6766B1CF-B9BB-4C93-B342-0FD958AA919E}"/>
    <cellStyle name="Millares 3 8 5 2" xfId="3401" xr:uid="{36F26052-0EE7-48BB-87D1-276118BF6DC6}"/>
    <cellStyle name="Millares 3 8 6" xfId="2463" xr:uid="{95391E1B-994C-4EAC-B66D-80723127AAB0}"/>
    <cellStyle name="Millares 3 8 6 2" xfId="4085" xr:uid="{6AC62706-DEF4-41C6-B060-35E8A381E1CA}"/>
    <cellStyle name="Millares 3 8 7" xfId="4475" xr:uid="{DEA325B6-3EDF-4C9D-A76B-F2F97D64E4B2}"/>
    <cellStyle name="Millares 3 8 8" xfId="2860" xr:uid="{79834A9D-0119-4CF2-876E-5C05591D339E}"/>
    <cellStyle name="Millares 3 9" xfId="371" xr:uid="{974DE981-AAFD-4C75-A58B-7C840ECD3A88}"/>
    <cellStyle name="Millares 3 9 2" xfId="864" xr:uid="{513D3F0D-B2C0-4664-BB0D-002853A1B484}"/>
    <cellStyle name="Millares 3 9 2 2" xfId="2187" xr:uid="{57076E69-DFEB-4239-8D57-91E95143508D}"/>
    <cellStyle name="Millares 3 9 2 2 2" xfId="3783" xr:uid="{EDCCC422-D239-494D-BAD5-C8B3C5954E93}"/>
    <cellStyle name="Millares 3 9 2 3" xfId="2733" xr:uid="{E2653F64-8364-451A-9563-D991CA444237}"/>
    <cellStyle name="Millares 3 9 2 3 2" xfId="4355" xr:uid="{26C1BC43-C1A2-4F6A-8141-391201341157}"/>
    <cellStyle name="Millares 3 9 2 4" xfId="1640" xr:uid="{75DEC3C2-2BFD-49B5-B344-4DA0B17321B9}"/>
    <cellStyle name="Millares 3 9 2 5" xfId="3239" xr:uid="{CBA63CF3-5207-4290-ADBA-EB42A092D199}"/>
    <cellStyle name="Millares 3 9 3" xfId="997" xr:uid="{4ED55896-F2F5-4C15-A90C-F55D0A465FEA}"/>
    <cellStyle name="Millares 3 9 3 2" xfId="1983" xr:uid="{2BAFEC5A-BB2E-4B75-B092-5C2B4BBD735A}"/>
    <cellStyle name="Millares 3 9 3 2 2" xfId="3579" xr:uid="{846706E7-8C28-4E13-883F-32A532D0FB2C}"/>
    <cellStyle name="Millares 3 9 3 3" xfId="1439" xr:uid="{767E6D8A-0071-44AB-B60C-71CC59BC1859}"/>
    <cellStyle name="Millares 3 9 3 4" xfId="3038" xr:uid="{3D10A936-D2DC-4E56-975C-ED3D1D84A2FF}"/>
    <cellStyle name="Millares 3 9 4" xfId="1179" xr:uid="{34324279-EFC5-48CA-840F-CB13B0D4D2ED}"/>
    <cellStyle name="Millares 3 9 4 2" xfId="3959" xr:uid="{13E2FF48-46CC-4B39-87ED-FDF7582E049F}"/>
    <cellStyle name="Millares 3 9 5" xfId="1799" xr:uid="{05DF048A-6DFE-47D1-AD33-55757A8A8680}"/>
    <cellStyle name="Millares 3 9 5 2" xfId="3408" xr:uid="{0FBB4A3E-1718-4989-B062-9292C62A9700}"/>
    <cellStyle name="Millares 3 9 6" xfId="2470" xr:uid="{F40D125E-25B9-4436-BD49-01AD5752841D}"/>
    <cellStyle name="Millares 3 9 6 2" xfId="4092" xr:uid="{10FD0BDA-D602-41BA-8D29-B6296A4AC2D6}"/>
    <cellStyle name="Millares 3 9 7" xfId="4482" xr:uid="{C8E710B0-EAC9-4D29-99DF-B40D6AFA9AAD}"/>
    <cellStyle name="Millares 3 9 8" xfId="2867" xr:uid="{610EAC36-23C6-42FB-87E6-9BE7A0EC842D}"/>
    <cellStyle name="Millares 30" xfId="2354" xr:uid="{AB9EE5E4-D51F-4DC2-AD9D-5CD75258C555}"/>
    <cellStyle name="Millares 30 2" xfId="3976" xr:uid="{589EA95C-B1FC-4192-9607-29CD7FBDBA5E}"/>
    <cellStyle name="Millares 31" xfId="4367" xr:uid="{56A8B484-4A1A-4CB7-949F-97453EF05DBF}"/>
    <cellStyle name="Millares 32" xfId="2745" xr:uid="{3E95DF30-C895-4C2E-9C8A-489DF6931B9F}"/>
    <cellStyle name="Millares 4" xfId="70" xr:uid="{0EE54E93-C373-4B7E-9D4E-29314DA16EA2}"/>
    <cellStyle name="Millares 4 10" xfId="1200" xr:uid="{BA5BF501-00DA-45A6-8128-8F686F081FB4}"/>
    <cellStyle name="Millares 4 2" xfId="145" xr:uid="{4A8E5E0A-09BB-457A-A591-E84574FD3847}"/>
    <cellStyle name="Millares 4 2 10" xfId="1714" xr:uid="{2FB5C802-C6B6-4903-AE34-99706E507CC6}"/>
    <cellStyle name="Millares 4 2 10 2" xfId="3322" xr:uid="{CACCE0BE-13A1-4B41-84B1-4BA9C87A287B}"/>
    <cellStyle name="Millares 4 2 11" xfId="2383" xr:uid="{239E4904-B10B-46B1-B450-998CEE6E681C}"/>
    <cellStyle name="Millares 4 2 11 2" xfId="4005" xr:uid="{41E74543-468A-4CCA-B6AB-6933DF5BB681}"/>
    <cellStyle name="Millares 4 2 12" xfId="4396" xr:uid="{4ACB4242-132F-401C-97B5-04A70586D7BF}"/>
    <cellStyle name="Millares 4 2 13" xfId="2781" xr:uid="{03432A01-AE89-4B58-8A9C-47B77C9BD1C8}"/>
    <cellStyle name="Millares 4 2 2" xfId="338" xr:uid="{D2F10FAB-9825-4320-A178-837DE9DF4DC1}"/>
    <cellStyle name="Millares 4 2 2 2" xfId="600" xr:uid="{49FD42EF-55FF-40D7-9E64-367397FED4E2}"/>
    <cellStyle name="Millares 4 2 2 3" xfId="834" xr:uid="{B65623E0-F0A7-4FE4-8AC5-D427C1E8C9CB}"/>
    <cellStyle name="Millares 4 2 2 3 2" xfId="2155" xr:uid="{1078F031-19CC-443A-804D-A3AC48A8FA91}"/>
    <cellStyle name="Millares 4 2 2 3 2 2" xfId="3751" xr:uid="{20532CD8-751C-4C30-B952-08EA37313721}"/>
    <cellStyle name="Millares 4 2 2 3 3" xfId="2703" xr:uid="{7B2CCBA1-A57E-4717-8DE5-77FAD09A992F}"/>
    <cellStyle name="Millares 4 2 2 3 3 2" xfId="4325" xr:uid="{EEEC20CC-28E1-4E44-90E0-A689AB42B938}"/>
    <cellStyle name="Millares 4 2 2 3 4" xfId="1608" xr:uid="{F2E21F6F-94D4-4AF2-9793-6C9718BC3F17}"/>
    <cellStyle name="Millares 4 2 2 3 5" xfId="3207" xr:uid="{6D598143-5AEF-40D1-9329-EEE141DF92D7}"/>
    <cellStyle name="Millares 4 2 2 4" xfId="964" xr:uid="{85162CAD-AA69-4A74-AB14-0E771961F9A2}"/>
    <cellStyle name="Millares 4 2 2 4 2" xfId="2308" xr:uid="{94F07A63-CF7D-42F8-8E22-7F10BD42F213}"/>
    <cellStyle name="Millares 4 2 2 4 3" xfId="3926" xr:uid="{CD240988-FAED-4BC0-AF3A-B238A6414B23}"/>
    <cellStyle name="Millares 4 2 2 5" xfId="1146" xr:uid="{E745E60F-8544-4FB1-83A7-48A956289512}"/>
    <cellStyle name="Millares 4 2 2 5 2" xfId="3375" xr:uid="{B894AB8D-EFFA-4B35-BB07-5649CE6276A5}"/>
    <cellStyle name="Millares 4 2 2 6" xfId="2437" xr:uid="{C335C0F6-437F-4841-BF92-F9BA890F9885}"/>
    <cellStyle name="Millares 4 2 2 6 2" xfId="4059" xr:uid="{09C78E57-76AA-4517-BDFF-6495AE580095}"/>
    <cellStyle name="Millares 4 2 2 7" xfId="4449" xr:uid="{1DCE8D73-5E41-43AF-A47D-397F777927A0}"/>
    <cellStyle name="Millares 4 2 2 8" xfId="2834" xr:uid="{CE0D54FF-FCFA-4FB4-AB24-ED0DE9089C41}"/>
    <cellStyle name="Millares 4 2 3" xfId="478" xr:uid="{012187AF-EE08-40BA-A402-019B5A723580}"/>
    <cellStyle name="Millares 4 2 3 2" xfId="868" xr:uid="{D8FE10C7-B69C-4D54-B707-ADCB3F7841EA}"/>
    <cellStyle name="Millares 4 2 3 3" xfId="618" xr:uid="{33A4F042-4AED-425F-A3B9-3C7088635B41}"/>
    <cellStyle name="Millares 4 2 3 3 2" xfId="1912" xr:uid="{49976CF1-A357-4D9E-B2C1-3CDD8515B5A7}"/>
    <cellStyle name="Millares 4 2 3 3 2 2" xfId="3508" xr:uid="{9E6DE7C2-1E97-4664-9BB4-611F12C784BE}"/>
    <cellStyle name="Millares 4 2 3 3 3" xfId="1368" xr:uid="{303469E9-4E0E-40C8-ADC5-29C2B274428A}"/>
    <cellStyle name="Millares 4 2 3 3 4" xfId="2967" xr:uid="{EC81AA15-41F0-4292-83A9-F9A5C8E4B384}"/>
    <cellStyle name="Millares 4 2 3 4" xfId="2488" xr:uid="{70E21960-52FE-4810-8D2F-E9713A79B4E3}"/>
    <cellStyle name="Millares 4 2 3 4 2" xfId="4110" xr:uid="{E407828B-B90F-48E3-B4A8-A50358D50BD7}"/>
    <cellStyle name="Millares 4 2 4" xfId="624" xr:uid="{2E2558D3-4E8B-4736-8184-6A6C05E01BE7}"/>
    <cellStyle name="Millares 4 2 4 2" xfId="1942" xr:uid="{E1EAE276-E932-4F74-A707-C563D32FDC4C}"/>
    <cellStyle name="Millares 4 2 4 2 2" xfId="3538" xr:uid="{09746571-09C5-4EB4-A374-BBA7478490F9}"/>
    <cellStyle name="Millares 4 2 4 3" xfId="2494" xr:uid="{726FF9F7-B027-4AF6-9C15-263619123005}"/>
    <cellStyle name="Millares 4 2 4 3 2" xfId="4116" xr:uid="{6ADEE1FB-04B0-4371-8D6E-E8B8C7CFF071}"/>
    <cellStyle name="Millares 4 2 4 4" xfId="1398" xr:uid="{9D79EB97-A755-4F8A-9D6D-ACB80168893D}"/>
    <cellStyle name="Millares 4 2 4 5" xfId="2997" xr:uid="{EF5A256C-EA64-434F-8351-68A3C1266DF8}"/>
    <cellStyle name="Millares 4 2 5" xfId="679" xr:uid="{C5130C72-4B0D-4712-A591-0FD1A8579127}"/>
    <cellStyle name="Millares 4 2 5 2" xfId="2003" xr:uid="{6588FA20-8C92-4926-9B6C-09F939AEECFD}"/>
    <cellStyle name="Millares 4 2 5 2 2" xfId="3599" xr:uid="{931BA7E3-B64D-48E9-AD64-C75A82B6FD5B}"/>
    <cellStyle name="Millares 4 2 5 3" xfId="2549" xr:uid="{2A28EC2B-0441-4BA2-81F9-FC0918DD1767}"/>
    <cellStyle name="Millares 4 2 5 3 2" xfId="4171" xr:uid="{AA8FED65-A1D8-45FA-9194-49AF75E662AF}"/>
    <cellStyle name="Millares 4 2 5 4" xfId="1459" xr:uid="{D6C75A41-0229-47E4-BBAC-716836F7E55C}"/>
    <cellStyle name="Millares 4 2 5 5" xfId="3058" xr:uid="{0D03B6C6-8615-4423-AFF6-E1AD9D59DF75}"/>
    <cellStyle name="Millares 4 2 6" xfId="728" xr:uid="{E6DA6773-A0B9-4576-BD08-08990BB5A0CE}"/>
    <cellStyle name="Millares 4 2 6 2" xfId="2049" xr:uid="{9FA87AB2-3749-4CEC-AFB6-25B8B61CAEBA}"/>
    <cellStyle name="Millares 4 2 6 2 2" xfId="3645" xr:uid="{67FE33C7-4CEC-453F-8DDE-4C2055609290}"/>
    <cellStyle name="Millares 4 2 6 3" xfId="2599" xr:uid="{16424FE9-FFE2-4D14-8CA1-3A1CC2F2C0C7}"/>
    <cellStyle name="Millares 4 2 6 3 2" xfId="4221" xr:uid="{6DD281D6-4A44-468C-B53F-C00C0FA7A2A4}"/>
    <cellStyle name="Millares 4 2 6 4" xfId="1505" xr:uid="{EACA7ED8-10F5-44F9-8F62-A65EE85B3119}"/>
    <cellStyle name="Millares 4 2 6 5" xfId="3104" xr:uid="{BA9F4A84-E59E-423F-9CEE-7A451D01EE7C}"/>
    <cellStyle name="Millares 4 2 7" xfId="773" xr:uid="{1A91F923-2F04-4308-A8C6-6ABB0ACBC7D3}"/>
    <cellStyle name="Millares 4 2 7 2" xfId="2094" xr:uid="{210F5F95-0DC8-476E-B8D2-F56C25EF1015}"/>
    <cellStyle name="Millares 4 2 7 2 2" xfId="3690" xr:uid="{400EA18C-FCAE-4654-9E62-BB363ADD510B}"/>
    <cellStyle name="Millares 4 2 7 3" xfId="2644" xr:uid="{1BC57FD4-ACA3-4B5F-9D59-3FA05D035514}"/>
    <cellStyle name="Millares 4 2 7 3 2" xfId="4266" xr:uid="{F58423A5-0012-429A-AAC9-04EFA9B33597}"/>
    <cellStyle name="Millares 4 2 7 4" xfId="1548" xr:uid="{F76C1315-A40B-4793-AD10-C856EE8CCFF4}"/>
    <cellStyle name="Millares 4 2 7 5" xfId="3147" xr:uid="{1176D465-B358-485B-8949-F075F8577193}"/>
    <cellStyle name="Millares 4 2 8" xfId="911" xr:uid="{ABB1547F-34B9-4C29-BACF-AC9C390B7AB5}"/>
    <cellStyle name="Millares 4 2 8 2" xfId="1870" xr:uid="{61319F55-1BA5-4F58-ACF0-14A9AD52DBCB}"/>
    <cellStyle name="Millares 4 2 8 2 2" xfId="3466" xr:uid="{40C691ED-D61B-4C40-97BF-02A4147DB451}"/>
    <cellStyle name="Millares 4 2 8 3" xfId="1326" xr:uid="{3C90CA0B-27DC-43AA-8C1E-9486917F7D22}"/>
    <cellStyle name="Millares 4 2 8 4" xfId="2925" xr:uid="{D31CE00C-5E9A-446B-8015-599A0689E2A4}"/>
    <cellStyle name="Millares 4 2 9" xfId="1089" xr:uid="{503E7E21-8AC9-487D-B64E-5D8040A357F0}"/>
    <cellStyle name="Millares 4 2 9 2" xfId="3873" xr:uid="{87159E26-905D-46CC-AFEA-D2CEC7E93684}"/>
    <cellStyle name="Millares 4 3" xfId="298" xr:uid="{B9C73AE7-900B-4AAC-BAC4-7DF8CBEA90D9}"/>
    <cellStyle name="Millares 4 3 10" xfId="1732" xr:uid="{2EFCCAC2-4E53-4866-9D21-12AC3FFD84D5}"/>
    <cellStyle name="Millares 4 3 10 2" xfId="3336" xr:uid="{0A34140E-4F7F-4B1C-BA49-05857074B8E6}"/>
    <cellStyle name="Millares 4 3 11" xfId="2398" xr:uid="{B78735C9-FEAB-4BD2-A8C2-83D7A6AD9E87}"/>
    <cellStyle name="Millares 4 3 11 2" xfId="4020" xr:uid="{49277DF6-5F99-4EDB-8E75-613DD7A9C724}"/>
    <cellStyle name="Millares 4 3 12" xfId="4410" xr:uid="{131188B2-9AF3-4149-86BE-199634235ED3}"/>
    <cellStyle name="Millares 4 3 13" xfId="2795" xr:uid="{D66BDA42-9EA9-4804-9EA7-F4F039678D23}"/>
    <cellStyle name="Millares 4 3 2" xfId="352" xr:uid="{CCB4C09A-D3C5-4137-9D5B-260284B8AA80}"/>
    <cellStyle name="Millares 4 3 2 2" xfId="848" xr:uid="{A53424C6-207E-4CB3-A447-5DF92E16CFC2}"/>
    <cellStyle name="Millares 4 3 2 2 2" xfId="2169" xr:uid="{D5D4D41E-0015-4EC2-B14B-4A21B6249D5B}"/>
    <cellStyle name="Millares 4 3 2 2 2 2" xfId="3765" xr:uid="{0C842701-3BEA-49C9-B8B1-E3FA24EA6B04}"/>
    <cellStyle name="Millares 4 3 2 2 3" xfId="2717" xr:uid="{5E631143-75E3-44F8-BB6D-22C4431DB21F}"/>
    <cellStyle name="Millares 4 3 2 2 3 2" xfId="4339" xr:uid="{DBE93E7E-AC47-4F80-8BAC-83D0EC5D9269}"/>
    <cellStyle name="Millares 4 3 2 2 4" xfId="1622" xr:uid="{B7DEAE7B-CC28-466C-A362-6A495245CC7E}"/>
    <cellStyle name="Millares 4 3 2 2 5" xfId="3221" xr:uid="{4B8A4914-9D44-4F62-9110-D4ED9F45A876}"/>
    <cellStyle name="Millares 4 3 2 3" xfId="978" xr:uid="{4C55BCAD-A5B0-401A-B808-2525743E7556}"/>
    <cellStyle name="Millares 4 3 2 3 2" xfId="1926" xr:uid="{35F4FB0C-11BE-4DFF-BECF-8025C8C1EAA0}"/>
    <cellStyle name="Millares 4 3 2 3 2 2" xfId="3522" xr:uid="{F2292405-95D3-4F97-9B2C-48202169636C}"/>
    <cellStyle name="Millares 4 3 2 3 3" xfId="1382" xr:uid="{8851C829-C1DB-4CA4-8C37-A0833578670E}"/>
    <cellStyle name="Millares 4 3 2 3 4" xfId="2981" xr:uid="{ACB6D599-D538-4655-BFB3-2E187D987059}"/>
    <cellStyle name="Millares 4 3 2 4" xfId="1160" xr:uid="{45E66C8D-3FD7-4F21-8849-8A8B0DF1E92C}"/>
    <cellStyle name="Millares 4 3 2 4 2" xfId="3940" xr:uid="{950E8D2A-BA82-4EDA-A059-C1E982F0144A}"/>
    <cellStyle name="Millares 4 3 2 5" xfId="1780" xr:uid="{21A59A6F-8444-4D65-B5F3-DCCD59E53853}"/>
    <cellStyle name="Millares 4 3 2 5 2" xfId="3389" xr:uid="{2F8B2161-54AF-4009-8953-9340F8DD6226}"/>
    <cellStyle name="Millares 4 3 2 6" xfId="2451" xr:uid="{99E59EDF-3DF3-464E-896A-3A6B42454A90}"/>
    <cellStyle name="Millares 4 3 2 6 2" xfId="4073" xr:uid="{DCCBA307-6F79-4D23-AD54-D7D8C096ECFC}"/>
    <cellStyle name="Millares 4 3 2 7" xfId="4463" xr:uid="{F1C75767-93A8-436B-8616-CD9D94B1E9BB}"/>
    <cellStyle name="Millares 4 3 2 8" xfId="2848" xr:uid="{D4CE9CC3-5647-4958-8CC1-C25E3BA6B7C2}"/>
    <cellStyle name="Millares 4 3 3" xfId="592" xr:uid="{E0F10B93-74ED-4FF8-B9EE-1575E21077AA}"/>
    <cellStyle name="Millares 4 3 3 2" xfId="876" xr:uid="{D417676C-6C07-4C51-BC78-C332571D1C34}"/>
    <cellStyle name="Millares 4 3 3 2 2" xfId="2194" xr:uid="{CAE90572-0B93-4A6A-93C1-DD9AC94CA4C1}"/>
    <cellStyle name="Millares 4 3 3 2 2 2" xfId="3790" xr:uid="{D3FC1406-1035-4441-B896-9CE3DEBE1E42}"/>
    <cellStyle name="Millares 4 3 3 2 3" xfId="2740" xr:uid="{665202CB-D8A1-4E2E-8919-417B7151F835}"/>
    <cellStyle name="Millares 4 3 3 2 3 2" xfId="4362" xr:uid="{0D74F5E3-BE40-4513-A4FF-0C08D5A52F6B}"/>
    <cellStyle name="Millares 4 3 3 2 4" xfId="1647" xr:uid="{6F81F1FD-1A6C-4228-B608-DB765D5BEB37}"/>
    <cellStyle name="Millares 4 3 3 2 5" xfId="3246" xr:uid="{B244A3E1-EB8E-4291-90D8-810D41BD3684}"/>
    <cellStyle name="Millares 4 3 3 3" xfId="1004" xr:uid="{E484FF5A-EBC9-421C-9F33-4004291E11D3}"/>
    <cellStyle name="Millares 4 3 3 3 2" xfId="1976" xr:uid="{C06AF03B-DBCE-48DF-89F9-2BB151EEDB53}"/>
    <cellStyle name="Millares 4 3 3 3 2 2" xfId="3572" xr:uid="{2C1BF733-5CB0-400D-9B7D-46D7F8AD6629}"/>
    <cellStyle name="Millares 4 3 3 3 3" xfId="1432" xr:uid="{BCDDC5EC-DAA2-4423-BCE1-7530534F3E12}"/>
    <cellStyle name="Millares 4 3 3 3 4" xfId="3031" xr:uid="{10BE5CE1-B4F0-4B0E-8FDC-909556A551C3}"/>
    <cellStyle name="Millares 4 3 3 4" xfId="1237" xr:uid="{7A900DCF-DEAD-44D7-91DC-B7DBC34AADC2}"/>
    <cellStyle name="Millares 4 3 3 4 2" xfId="3966" xr:uid="{5A4B9192-83F9-4F93-BA73-F8D65F115CE1}"/>
    <cellStyle name="Millares 4 3 3 5" xfId="1818" xr:uid="{2FD7CC30-84B8-40A3-8306-BAE9938194C5}"/>
    <cellStyle name="Millares 4 3 3 5 2" xfId="3415" xr:uid="{3349611B-27B6-43F6-A18B-8E44FC5DF6DC}"/>
    <cellStyle name="Millares 4 3 3 6" xfId="2477" xr:uid="{17FD6FD7-839C-47B6-A1F6-C5EE12F8A95D}"/>
    <cellStyle name="Millares 4 3 3 6 2" xfId="4099" xr:uid="{B7F6AB6D-2F24-4983-A29D-CE0E392C90A8}"/>
    <cellStyle name="Millares 4 3 3 7" xfId="4489" xr:uid="{7E7CBED1-7EAA-4E96-A0AD-E6206E4B0CE1}"/>
    <cellStyle name="Millares 4 3 3 8" xfId="2874" xr:uid="{A92BFD3D-8C7E-46CF-8FEF-B219EA10923A}"/>
    <cellStyle name="Millares 4 3 4" xfId="694" xr:uid="{9E337620-CD01-4819-BD1B-6ED4D7714793}"/>
    <cellStyle name="Millares 4 3 4 2" xfId="1837" xr:uid="{5B974196-937F-465A-A177-2456CAF0EDFA}"/>
    <cellStyle name="Millares 4 3 4 2 2" xfId="3434" xr:uid="{78640602-83A7-43FA-9BAC-F9FEAE85983E}"/>
    <cellStyle name="Millares 4 3 4 3" xfId="2564" xr:uid="{982EEAE1-D0C6-499E-B865-168AFB27137B}"/>
    <cellStyle name="Millares 4 3 4 3 2" xfId="4186" xr:uid="{036D617F-28F2-498A-ADA5-F9F9D4779D07}"/>
    <cellStyle name="Millares 4 3 4 4" xfId="1294" xr:uid="{CFBD20A9-480A-4F69-BF76-8F5FC3CC663B}"/>
    <cellStyle name="Millares 4 3 4 5" xfId="2894" xr:uid="{9185FAC3-22C7-42F4-A58E-72EE48805820}"/>
    <cellStyle name="Millares 4 3 5" xfId="742" xr:uid="{941C4C0B-1C94-4CB9-B9E0-31FA5F2869A7}"/>
    <cellStyle name="Millares 4 3 5 2" xfId="2063" xr:uid="{F92885FE-1E75-4744-9B02-0D6CC7B19B59}"/>
    <cellStyle name="Millares 4 3 5 2 2" xfId="3659" xr:uid="{4109E5C3-2995-4F33-86BF-35475E9103B7}"/>
    <cellStyle name="Millares 4 3 5 3" xfId="2613" xr:uid="{E0193C48-5453-421E-B382-CFCADAE575C3}"/>
    <cellStyle name="Millares 4 3 5 3 2" xfId="4235" xr:uid="{2BEAAE3B-04C2-45C9-AFB1-E5D6B8058B4F}"/>
    <cellStyle name="Millares 4 3 5 4" xfId="1519" xr:uid="{5FD8BE24-E50A-47E3-A714-7809B5E160E1}"/>
    <cellStyle name="Millares 4 3 5 5" xfId="3118" xr:uid="{877E3E63-5F8A-4B7B-9F02-7068502903B4}"/>
    <cellStyle name="Millares 4 3 6" xfId="784" xr:uid="{4D2F8E09-8875-4482-8185-360AEFA00A5A}"/>
    <cellStyle name="Millares 4 3 6 2" xfId="2104" xr:uid="{67D7F2ED-6216-4CDC-B01C-85D003DA3300}"/>
    <cellStyle name="Millares 4 3 6 2 2" xfId="3700" xr:uid="{4933347B-95A1-4933-A55A-0C4924B44846}"/>
    <cellStyle name="Millares 4 3 6 3" xfId="2654" xr:uid="{0E2E84CA-91AE-4DC2-845D-42863E74D036}"/>
    <cellStyle name="Millares 4 3 6 3 2" xfId="4276" xr:uid="{5470E222-02E1-419B-A408-EC1DCC427DC4}"/>
    <cellStyle name="Millares 4 3 6 4" xfId="1558" xr:uid="{496F464D-66B7-4FB0-9ABB-F859F2BADAAB}"/>
    <cellStyle name="Millares 4 3 6 5" xfId="3157" xr:uid="{DC79C8EE-48A6-4A32-97F9-FC810C335E00}"/>
    <cellStyle name="Millares 4 3 7" xfId="925" xr:uid="{9BF3BF55-2185-4396-A175-9CE807762FA7}"/>
    <cellStyle name="Millares 4 3 7 2" xfId="2210" xr:uid="{DD356D14-1FB7-48A4-BAAE-252D4E9B375B}"/>
    <cellStyle name="Millares 4 3 7 2 2" xfId="3806" xr:uid="{DA1F4AE7-D722-47CC-8FD0-CD96BA9EEE67}"/>
    <cellStyle name="Millares 4 3 7 3" xfId="1662" xr:uid="{0B79EC67-AE74-44E4-832C-6B5A5B80DBD1}"/>
    <cellStyle name="Millares 4 3 7 4" xfId="3261" xr:uid="{B0FA893E-B020-4CBF-88FD-B3CF6DF38FB9}"/>
    <cellStyle name="Millares 4 3 8" xfId="1107" xr:uid="{54F5E6CD-0713-4987-9659-BDDCDB0AE951}"/>
    <cellStyle name="Millares 4 3 8 2" xfId="2233" xr:uid="{FEF295C2-2EBA-47C8-B013-03D4B561DFF9}"/>
    <cellStyle name="Millares 4 3 8 2 2" xfId="3829" xr:uid="{8C5D798E-86D6-471F-B9FC-9B1BE1DB7C3F}"/>
    <cellStyle name="Millares 4 3 8 3" xfId="3283" xr:uid="{45082A7B-955F-4DB0-AF92-6C41E6531E42}"/>
    <cellStyle name="Millares 4 3 9" xfId="2299" xr:uid="{A9DAD293-F06F-47DA-B09D-66D641D5C2DF}"/>
    <cellStyle name="Millares 4 3 9 2" xfId="3887" xr:uid="{8D4F08B2-EC43-49BA-8211-02B7BBA727EF}"/>
    <cellStyle name="Millares 4 4" xfId="301" xr:uid="{6B034873-D1F7-42F3-BD28-D5DA96963335}"/>
    <cellStyle name="Millares 4 4 10" xfId="2401" xr:uid="{AB0F2A17-E19F-4290-9BE2-F1472A539B24}"/>
    <cellStyle name="Millares 4 4 10 2" xfId="4023" xr:uid="{4082BD0A-B331-4C52-8CF3-4044D84D52B9}"/>
    <cellStyle name="Millares 4 4 11" xfId="4413" xr:uid="{2A2B4C27-EBA2-4154-997F-A1E79A6158AB}"/>
    <cellStyle name="Millares 4 4 12" xfId="2798" xr:uid="{E6D2E093-AFCC-4F51-BC33-4C45C5F104EF}"/>
    <cellStyle name="Millares 4 4 2" xfId="355" xr:uid="{5EF4CE35-7B32-4252-A723-B73207B9DD53}"/>
    <cellStyle name="Millares 4 4 2 2" xfId="850" xr:uid="{F145725B-BBE2-47BD-924E-C22A9F9ED4D9}"/>
    <cellStyle name="Millares 4 4 2 2 2" xfId="2171" xr:uid="{E694D02F-A37A-4C54-87E3-EA44F35458D0}"/>
    <cellStyle name="Millares 4 4 2 2 2 2" xfId="3767" xr:uid="{144E120E-8EE6-4954-A546-06A2263D5B3B}"/>
    <cellStyle name="Millares 4 4 2 2 3" xfId="2719" xr:uid="{2957C705-0371-4575-AA74-8481F6A96601}"/>
    <cellStyle name="Millares 4 4 2 2 3 2" xfId="4341" xr:uid="{5AEC14B0-2729-4712-B1C5-EABE2F168499}"/>
    <cellStyle name="Millares 4 4 2 2 4" xfId="1624" xr:uid="{BED60587-ED5D-454D-AF9E-43E3AB781426}"/>
    <cellStyle name="Millares 4 4 2 2 5" xfId="3223" xr:uid="{F4FF44BE-8C52-4A3B-8C0F-A1B3E1DDF5BD}"/>
    <cellStyle name="Millares 4 4 2 3" xfId="981" xr:uid="{55CDF17D-C5F9-4778-85C5-1CD90D06696D}"/>
    <cellStyle name="Millares 4 4 2 3 2" xfId="1928" xr:uid="{5DD0AB7D-C448-4C22-88D6-32345762E141}"/>
    <cellStyle name="Millares 4 4 2 3 2 2" xfId="3524" xr:uid="{C666EBFB-D30D-494D-8EF1-FC862560ABBB}"/>
    <cellStyle name="Millares 4 4 2 3 3" xfId="1384" xr:uid="{38920CFC-3AB3-46B1-945D-B98333FDF2FD}"/>
    <cellStyle name="Millares 4 4 2 3 4" xfId="2983" xr:uid="{B2CCB8AE-4976-4804-8683-EBE35EFF1D1A}"/>
    <cellStyle name="Millares 4 4 2 4" xfId="1163" xr:uid="{8AA71128-AC00-4097-A585-98B463253390}"/>
    <cellStyle name="Millares 4 4 2 4 2" xfId="3943" xr:uid="{69675373-9718-4625-B84D-B10CACE2C6CC}"/>
    <cellStyle name="Millares 4 4 2 5" xfId="1783" xr:uid="{965FBCCE-CA48-4BAE-AECD-E0CF8724DE8B}"/>
    <cellStyle name="Millares 4 4 2 5 2" xfId="3392" xr:uid="{6E5A7825-E8A6-48CA-B574-59F9B2129D95}"/>
    <cellStyle name="Millares 4 4 2 6" xfId="2454" xr:uid="{973F034F-31F2-4EC3-A085-8E07EFC85FF2}"/>
    <cellStyle name="Millares 4 4 2 6 2" xfId="4076" xr:uid="{02B01776-EC06-4744-852D-37268E9644EF}"/>
    <cellStyle name="Millares 4 4 2 7" xfId="4466" xr:uid="{22423A6C-E6ED-44AD-8C49-5161F547AC6D}"/>
    <cellStyle name="Millares 4 4 2 8" xfId="2851" xr:uid="{6E20AE08-28B2-41C8-A1DC-38467D3FC946}"/>
    <cellStyle name="Millares 4 4 3" xfId="650" xr:uid="{63333B1C-2CF6-4CDC-9C80-B1F9B62B4A7D}"/>
    <cellStyle name="Millares 4 4 3 2" xfId="1978" xr:uid="{78B25D67-0B7F-466C-B545-A9CD128CD562}"/>
    <cellStyle name="Millares 4 4 3 2 2" xfId="3574" xr:uid="{7850224B-E699-4E2B-8F25-5CBF36EC2C3A}"/>
    <cellStyle name="Millares 4 4 3 3" xfId="2520" xr:uid="{487A58EE-1E48-4694-8EA2-EE7D95F3EFE4}"/>
    <cellStyle name="Millares 4 4 3 3 2" xfId="4142" xr:uid="{FC8B85F0-729F-4CD6-8965-91DC6EC815F6}"/>
    <cellStyle name="Millares 4 4 3 4" xfId="1434" xr:uid="{0EDD393B-BAEE-48FE-A6E8-0CED639F3D21}"/>
    <cellStyle name="Millares 4 4 3 5" xfId="3033" xr:uid="{F5E1BBCB-7049-45CA-90CE-EA3B1E1DA82D}"/>
    <cellStyle name="Millares 4 4 4" xfId="697" xr:uid="{56F12604-E80D-426C-BF91-67DDA5019D25}"/>
    <cellStyle name="Millares 4 4 4 2" xfId="2017" xr:uid="{099DCCE7-907E-497A-9238-30A5B3571643}"/>
    <cellStyle name="Millares 4 4 4 2 2" xfId="3613" xr:uid="{846846CA-DF42-4B39-8AFD-D92BB5C4318D}"/>
    <cellStyle name="Millares 4 4 4 3" xfId="2567" xr:uid="{8AE7AC35-2275-40EA-87FF-B6984E49B028}"/>
    <cellStyle name="Millares 4 4 4 3 2" xfId="4189" xr:uid="{3A284893-28BE-411A-9475-0E2CD7CBA496}"/>
    <cellStyle name="Millares 4 4 4 4" xfId="1473" xr:uid="{BB664008-6E40-4965-9976-423E58D32E48}"/>
    <cellStyle name="Millares 4 4 4 5" xfId="3072" xr:uid="{B5B151EA-DE47-436E-B747-705E11B4B409}"/>
    <cellStyle name="Millares 4 4 5" xfId="745" xr:uid="{77F8D7D0-7E11-4190-A3D9-980315418EF2}"/>
    <cellStyle name="Millares 4 4 5 2" xfId="2066" xr:uid="{0CCDDDF5-30AB-4702-A490-50F329C84353}"/>
    <cellStyle name="Millares 4 4 5 2 2" xfId="3662" xr:uid="{B64C844D-9BF1-4D01-9958-454BA4693035}"/>
    <cellStyle name="Millares 4 4 5 3" xfId="2616" xr:uid="{C8A8D0B1-F22F-43A4-9D17-04F5259E64E7}"/>
    <cellStyle name="Millares 4 4 5 3 2" xfId="4238" xr:uid="{25A03006-8A5C-499C-AC82-6FCFDCCAFEA2}"/>
    <cellStyle name="Millares 4 4 5 4" xfId="1522" xr:uid="{0EE03C11-0D72-4C71-8931-F3393924AF95}"/>
    <cellStyle name="Millares 4 4 5 5" xfId="3121" xr:uid="{54128333-603B-4E67-8464-8260CB3EC744}"/>
    <cellStyle name="Millares 4 4 6" xfId="800" xr:uid="{9AA97729-3817-4E08-B114-1B0B2537996C}"/>
    <cellStyle name="Millares 4 4 6 2" xfId="2121" xr:uid="{119BCCC2-52EB-4CB0-AC62-EF9FC83B9B07}"/>
    <cellStyle name="Millares 4 4 6 2 2" xfId="3717" xr:uid="{5DE47695-E606-4297-8D1F-D57525AFCFD8}"/>
    <cellStyle name="Millares 4 4 6 3" xfId="2669" xr:uid="{0A81DCC1-6608-4DCB-A405-D496AC3DAFB0}"/>
    <cellStyle name="Millares 4 4 6 3 2" xfId="4291" xr:uid="{874D696E-27E0-40DD-980E-6715278CF973}"/>
    <cellStyle name="Millares 4 4 6 4" xfId="1574" xr:uid="{535AF41D-8B99-42B1-AC27-99253FE95460}"/>
    <cellStyle name="Millares 4 4 6 5" xfId="3173" xr:uid="{65BD3367-109A-4CC9-B854-37880163E42F}"/>
    <cellStyle name="Millares 4 4 7" xfId="928" xr:uid="{1B6CA6A7-7287-4CC9-ADDC-563065D7BCEA}"/>
    <cellStyle name="Millares 4 4 7 2" xfId="1882" xr:uid="{EBDED225-83B6-4234-AE6F-B9E683812AE0}"/>
    <cellStyle name="Millares 4 4 7 2 2" xfId="3478" xr:uid="{825EC4CF-F6F4-45B1-BC98-DF1DBB7D62AA}"/>
    <cellStyle name="Millares 4 4 7 3" xfId="1338" xr:uid="{B8922806-C03C-4E8F-921F-2C402C50D1CE}"/>
    <cellStyle name="Millares 4 4 7 4" xfId="2937" xr:uid="{6FC2BE4F-B128-43C1-8363-B78A8CE5953E}"/>
    <cellStyle name="Millares 4 4 8" xfId="1110" xr:uid="{CAEAC368-FD5B-43B5-BB44-1294DD3FAFFF}"/>
    <cellStyle name="Millares 4 4 8 2" xfId="3890" xr:uid="{B2AF728F-D8BB-42EB-A17D-9BB48C741EDC}"/>
    <cellStyle name="Millares 4 4 9" xfId="1735" xr:uid="{38FAE80F-B2CB-4FEB-94E1-FD1A8AF950BF}"/>
    <cellStyle name="Millares 4 4 9 2" xfId="3339" xr:uid="{CDC9B993-6DB0-4B3C-A090-B1C3EA7E1CE7}"/>
    <cellStyle name="Millares 4 5" xfId="367" xr:uid="{49A2E6C5-3D6E-47BB-8753-D9068942661F}"/>
    <cellStyle name="Millares 4 5 2" xfId="860" xr:uid="{B1D940C5-B26B-4C00-B53F-7B764EB0EC12}"/>
    <cellStyle name="Millares 4 5 2 2" xfId="2183" xr:uid="{1016D3D9-CBE3-4ACD-A0B2-06F171B68D2D}"/>
    <cellStyle name="Millares 4 5 2 2 2" xfId="3779" xr:uid="{F9E661C3-6AA4-428D-85CB-DC2C83042D31}"/>
    <cellStyle name="Millares 4 5 2 3" xfId="2729" xr:uid="{3DF4456F-640F-40BB-82F2-1B7A9A613BD5}"/>
    <cellStyle name="Millares 4 5 2 3 2" xfId="4351" xr:uid="{414EE3B9-C344-49AE-A8CF-E5B3FD8E515E}"/>
    <cellStyle name="Millares 4 5 2 4" xfId="1636" xr:uid="{B758BAD7-49F2-443A-9224-806EFEDE1C43}"/>
    <cellStyle name="Millares 4 5 2 5" xfId="3235" xr:uid="{9C6B3DAA-8448-4619-9211-75AD51634F87}"/>
    <cellStyle name="Millares 4 5 3" xfId="993" xr:uid="{04247DD8-D100-4A02-915C-6EBF4A6F1D4A}"/>
    <cellStyle name="Millares 4 5 3 2" xfId="1934" xr:uid="{CFA7CDEF-1A71-454B-AA07-2DDDD812D687}"/>
    <cellStyle name="Millares 4 5 3 2 2" xfId="3530" xr:uid="{29647BA2-22F6-46C0-9CE4-1E2E495B9E31}"/>
    <cellStyle name="Millares 4 5 3 3" xfId="1390" xr:uid="{0B544ED9-BB97-4C55-A8E3-E861F7783A45}"/>
    <cellStyle name="Millares 4 5 3 4" xfId="2989" xr:uid="{0F8F86B8-F2FA-465D-BA12-C68F57992C7A}"/>
    <cellStyle name="Millares 4 5 4" xfId="1175" xr:uid="{98CD9483-E972-4F1A-84A4-349BFB8125E4}"/>
    <cellStyle name="Millares 4 5 4 2" xfId="3955" xr:uid="{A67345FD-0CA4-438B-A61A-18633FEC0E5D}"/>
    <cellStyle name="Millares 4 5 5" xfId="1795" xr:uid="{555C59FB-C47C-4F95-9A23-F40801FDCA2B}"/>
    <cellStyle name="Millares 4 5 5 2" xfId="3404" xr:uid="{C2B52CEE-8CB9-467A-8916-F765242ED337}"/>
    <cellStyle name="Millares 4 5 6" xfId="2466" xr:uid="{13F92D42-FA03-492E-B301-CBE27D6ABE52}"/>
    <cellStyle name="Millares 4 5 6 2" xfId="4088" xr:uid="{77FF6334-DF2E-4634-9B96-B26FFE3CA40E}"/>
    <cellStyle name="Millares 4 5 7" xfId="4478" xr:uid="{95C51E31-137D-4860-A749-AAC122871224}"/>
    <cellStyle name="Millares 4 5 8" xfId="2863" xr:uid="{DB9E610D-30DE-4756-A86A-F0946D398303}"/>
    <cellStyle name="Millares 4 6" xfId="753" xr:uid="{7B807E7A-7688-4DEC-8411-9137F4C29E97}"/>
    <cellStyle name="Millares 4 6 2" xfId="1286" xr:uid="{64CC3306-EEFF-4F41-BA4A-DBD0C2F72A3C}"/>
    <cellStyle name="Millares 4 6 2 2" xfId="2334" xr:uid="{2B5E77B4-68CE-4681-B7D7-A52735D11DB5}"/>
    <cellStyle name="Millares 4 6 2 3" xfId="2886" xr:uid="{405DA158-33E3-4B0A-BC13-853A8A815EC0}"/>
    <cellStyle name="Millares 4 6 3" xfId="1829" xr:uid="{2671727D-E0F2-48E0-9B88-FDC45406C226}"/>
    <cellStyle name="Millares 4 6 3 2" xfId="3426" xr:uid="{D06A9AC4-53CB-4F65-B7E8-1B0939452C4B}"/>
    <cellStyle name="Millares 4 6 4" xfId="2624" xr:uid="{169C0439-F8B7-482E-B0C6-5A5226D6E5DF}"/>
    <cellStyle name="Millares 4 6 4 2" xfId="4246" xr:uid="{5BADFC13-E874-4095-A03F-FE92969312F0}"/>
    <cellStyle name="Millares 4 6 5" xfId="1274" xr:uid="{4BFF53D6-CBC0-4560-8E44-300018453F0C}"/>
    <cellStyle name="Millares 4 7" xfId="1194" xr:uid="{1AFC6BA0-68C2-45BA-B7BA-B3C06FB30499}"/>
    <cellStyle name="Millares 4 7 2" xfId="1654" xr:uid="{9055CC16-20DC-42F6-80BA-6A243D86A8F6}"/>
    <cellStyle name="Millares 4 7 2 2" xfId="2288" xr:uid="{03B423BB-0AD7-47BF-A200-B25F7952499C}"/>
    <cellStyle name="Millares 4 7 2 3" xfId="3253" xr:uid="{68DB07C4-D068-4D3A-B692-9C92D9E04F2C}"/>
    <cellStyle name="Millares 4 7 3" xfId="2202" xr:uid="{AD578B2F-38A8-4D3E-96C0-89F7B2B01873}"/>
    <cellStyle name="Millares 4 7 3 2" xfId="3798" xr:uid="{9AA05FA6-8279-4298-8E09-30DADC652DDF}"/>
    <cellStyle name="Millares 4 8" xfId="1672" xr:uid="{69490476-36B2-4ABE-98CE-F0A569B3272A}"/>
    <cellStyle name="Millares 4 8 2" xfId="2225" xr:uid="{ACF708C7-2DA2-4BD9-AC02-8304F93FAC56}"/>
    <cellStyle name="Millares 4 8 2 2" xfId="3821" xr:uid="{E6D9BE1D-0402-4125-A5AE-8D79FA1FA043}"/>
    <cellStyle name="Millares 4 8 3" xfId="3275" xr:uid="{D2CE82E9-F6B1-4795-ABE2-C1958F030CA2}"/>
    <cellStyle name="Millares 4 9" xfId="2272" xr:uid="{FCE60C7A-DA2C-4013-9A08-0463AF427D98}"/>
    <cellStyle name="Millares 5" xfId="72" xr:uid="{D0DA2C4A-AA2D-40B7-B1BF-9C9B2ED6B752}"/>
    <cellStyle name="Millares 5 10" xfId="1693" xr:uid="{D2075BE7-BE96-43E9-822E-A07B8CC4761B}"/>
    <cellStyle name="Millares 5 10 2" xfId="3303" xr:uid="{BFAF0443-DCFF-4579-A63C-57690F9029F0}"/>
    <cellStyle name="Millares 5 11" xfId="2364" xr:uid="{A89643B3-79FC-4434-9D6A-1E844A0A2680}"/>
    <cellStyle name="Millares 5 11 2" xfId="3986" xr:uid="{E8E5B45C-E56A-4495-8982-3F55FADB30BC}"/>
    <cellStyle name="Millares 5 12" xfId="4377" xr:uid="{9F980ADD-8F89-49E9-B168-3E1FB9737220}"/>
    <cellStyle name="Millares 5 13" xfId="2762" xr:uid="{21895161-BA69-449F-9AC5-AFAED04E8768}"/>
    <cellStyle name="Millares 5 2" xfId="319" xr:uid="{60EFFF9B-D8DC-45CA-87A8-7A127B69DE0E}"/>
    <cellStyle name="Millares 5 2 2" xfId="599" xr:uid="{458E8FDD-19AA-4B75-9086-ACE3629E3549}"/>
    <cellStyle name="Millares 5 2 3" xfId="817" xr:uid="{3733EEA4-2A0E-4313-A2B1-B7CF3012D1AF}"/>
    <cellStyle name="Millares 5 2 3 2" xfId="2138" xr:uid="{FF622411-932C-429B-B150-FCE63BAD30D0}"/>
    <cellStyle name="Millares 5 2 3 2 2" xfId="3734" xr:uid="{95AAE6B4-6342-4BBA-8CAE-A8D6B73917A3}"/>
    <cellStyle name="Millares 5 2 3 3" xfId="2686" xr:uid="{F7520175-7281-4B5B-B068-D502734C190E}"/>
    <cellStyle name="Millares 5 2 3 3 2" xfId="4308" xr:uid="{D81E98E8-1858-423F-B8AB-9414BD729AD8}"/>
    <cellStyle name="Millares 5 2 3 4" xfId="1591" xr:uid="{34240E69-1714-4A25-B34B-E7EFF4972E4B}"/>
    <cellStyle name="Millares 5 2 3 5" xfId="3190" xr:uid="{A20EC507-1A29-4DE8-928F-DFDF475C00A7}"/>
    <cellStyle name="Millares 5 2 4" xfId="945" xr:uid="{8E0F1D7D-F764-4230-BBC2-38160BCFF5B3}"/>
    <cellStyle name="Millares 5 2 4 2" xfId="2304" xr:uid="{ABD76B67-A904-4E57-BB77-1B27D783C208}"/>
    <cellStyle name="Millares 5 2 4 3" xfId="3907" xr:uid="{71706F71-1088-4CAC-8AEF-504235955E52}"/>
    <cellStyle name="Millares 5 2 5" xfId="1127" xr:uid="{8FB83D55-E609-4A33-AB27-13ED8C86687A}"/>
    <cellStyle name="Millares 5 2 5 2" xfId="3356" xr:uid="{7ECA52EA-042B-45A5-A7CC-4C50BEB396F2}"/>
    <cellStyle name="Millares 5 2 6" xfId="2418" xr:uid="{FDF779BB-6560-4E6B-94DF-85671A9E46E2}"/>
    <cellStyle name="Millares 5 2 6 2" xfId="4040" xr:uid="{363377D4-2107-4DAE-950F-9A682FEC1FA3}"/>
    <cellStyle name="Millares 5 2 7" xfId="4430" xr:uid="{E755C7B9-1B4C-44E5-BA7C-24077FD383B6}"/>
    <cellStyle name="Millares 5 2 8" xfId="2815" xr:uid="{7CE8B893-AFA6-467F-A1D7-0A3811826879}"/>
    <cellStyle name="Millares 5 3" xfId="477" xr:uid="{D19EE9BB-9B3A-4A2A-9865-7DFA3DA5A4F2}"/>
    <cellStyle name="Millares 5 3 2" xfId="867" xr:uid="{87B9E873-95E8-4E8F-B391-E3FD54D3E131}"/>
    <cellStyle name="Millares 5 3 3" xfId="616" xr:uid="{1C0F4641-5D21-4B33-97EE-C1A688E3B229}"/>
    <cellStyle name="Millares 5 3 3 2" xfId="1895" xr:uid="{C7EF92D9-386A-4406-A328-9A1F8C092B2C}"/>
    <cellStyle name="Millares 5 3 3 2 2" xfId="3491" xr:uid="{E1C8C690-C241-4C5F-9ED0-5CD7CA8FA20B}"/>
    <cellStyle name="Millares 5 3 3 3" xfId="1351" xr:uid="{125CDC74-8820-4043-B758-34E3C2102E35}"/>
    <cellStyle name="Millares 5 3 3 4" xfId="2950" xr:uid="{0527F7A9-E006-44D7-952A-3EDF9D8629B9}"/>
    <cellStyle name="Millares 5 3 4" xfId="2486" xr:uid="{8B3C6EEA-2FA9-426C-85BD-C1BDE18C613A}"/>
    <cellStyle name="Millares 5 3 4 2" xfId="4108" xr:uid="{714AB256-8C12-43AE-8151-4D1FAFFCB203}"/>
    <cellStyle name="Millares 5 4" xfId="625" xr:uid="{64B23ABF-6AE5-4D9A-B4E2-B173F4FC2712}"/>
    <cellStyle name="Millares 5 4 2" xfId="1943" xr:uid="{81AB80B4-C801-4C95-BE7B-D2DFB3133378}"/>
    <cellStyle name="Millares 5 4 2 2" xfId="3539" xr:uid="{E9E6A70F-1E0E-4147-B31E-58DBAEBC6680}"/>
    <cellStyle name="Millares 5 4 3" xfId="2495" xr:uid="{07CB8DD7-A293-4719-9BB1-B48BFDDD3CCB}"/>
    <cellStyle name="Millares 5 4 3 2" xfId="4117" xr:uid="{6F955F41-39F9-4E63-85E5-B3838C9312D2}"/>
    <cellStyle name="Millares 5 4 4" xfId="1399" xr:uid="{E1B2FB04-44B1-4ADB-94AD-91F6DC7BD025}"/>
    <cellStyle name="Millares 5 4 5" xfId="2998" xr:uid="{5BCFB502-01FB-4E1F-84DA-47CD076B82AE}"/>
    <cellStyle name="Millares 5 5" xfId="660" xr:uid="{C502A241-5C17-4945-93AF-FD172858297D}"/>
    <cellStyle name="Millares 5 5 2" xfId="1989" xr:uid="{25D25F47-39E0-408E-BA2F-2AD57594CFA8}"/>
    <cellStyle name="Millares 5 5 2 2" xfId="3585" xr:uid="{99A160CE-6982-43B7-AA95-BFB6D98C433D}"/>
    <cellStyle name="Millares 5 5 3" xfId="2530" xr:uid="{BB59620B-C86E-47FA-B078-15DBB6AED69E}"/>
    <cellStyle name="Millares 5 5 3 2" xfId="4152" xr:uid="{DEF9D9F6-D05F-4026-AAF5-FFDFD431A393}"/>
    <cellStyle name="Millares 5 5 4" xfId="1445" xr:uid="{E45321CC-E2F6-4100-80CB-FCDFC1100521}"/>
    <cellStyle name="Millares 5 5 5" xfId="3044" xr:uid="{2361EC79-B214-4987-8477-A9111B3DBB48}"/>
    <cellStyle name="Millares 5 6" xfId="709" xr:uid="{D7DDC5F9-BCE3-44D0-8878-01B68FCEFA10}"/>
    <cellStyle name="Millares 5 6 2" xfId="2030" xr:uid="{7E4A8093-49BB-440D-B6EE-A851BC2E5205}"/>
    <cellStyle name="Millares 5 6 2 2" xfId="3626" xr:uid="{A6FBB081-B0AC-4BCD-BD53-15FE367666B4}"/>
    <cellStyle name="Millares 5 6 3" xfId="2580" xr:uid="{69DCF3BC-80E3-4DA6-B337-8E6D129947FC}"/>
    <cellStyle name="Millares 5 6 3 2" xfId="4202" xr:uid="{31074AE5-53CC-42EE-B9AE-9F120DDA748E}"/>
    <cellStyle name="Millares 5 6 4" xfId="1486" xr:uid="{AD1D273F-1F2C-4964-AFC5-15DD81214A03}"/>
    <cellStyle name="Millares 5 6 5" xfId="3085" xr:uid="{2A9B63A0-FFBE-4F2A-9CB7-0E4C6B446BC4}"/>
    <cellStyle name="Millares 5 7" xfId="770" xr:uid="{70D10DF0-A297-4E36-8E24-104AF2C7B856}"/>
    <cellStyle name="Millares 5 7 2" xfId="2091" xr:uid="{0806E99F-0AE5-42F1-AF9C-5BD09F17F3BE}"/>
    <cellStyle name="Millares 5 7 2 2" xfId="3687" xr:uid="{EB9258DC-B015-4998-AC53-F19C1DB8B2AD}"/>
    <cellStyle name="Millares 5 7 3" xfId="2641" xr:uid="{A0F754AB-C4B8-411E-A992-D56D9A17F3D7}"/>
    <cellStyle name="Millares 5 7 3 2" xfId="4263" xr:uid="{2E3899E7-F8DC-4D4A-ADA5-8DC8AB1114CA}"/>
    <cellStyle name="Millares 5 7 4" xfId="1545" xr:uid="{5270C1F1-F0C2-4176-AFCF-D9751E365EFB}"/>
    <cellStyle name="Millares 5 7 5" xfId="3144" xr:uid="{968FE838-FFE1-4B6E-AC79-181E8BD67E36}"/>
    <cellStyle name="Millares 5 8" xfId="892" xr:uid="{7B0EBEDE-6E27-4AE8-8C3C-502056C337E0}"/>
    <cellStyle name="Millares 5 8 2" xfId="1856" xr:uid="{C80F3815-20A6-4EFC-8E4E-8696AC272F7D}"/>
    <cellStyle name="Millares 5 8 2 2" xfId="3452" xr:uid="{F1FD9E6B-F30E-49CD-9E37-B2F5684CF990}"/>
    <cellStyle name="Millares 5 8 3" xfId="1311" xr:uid="{34C52926-F907-430A-B1BB-D2ED3DC23D9C}"/>
    <cellStyle name="Millares 5 8 4" xfId="2911" xr:uid="{5B6B83F9-0856-4022-9420-3548BE46FAC0}"/>
    <cellStyle name="Millares 5 9" xfId="1049" xr:uid="{B79B0320-67BF-4FBD-ADD9-0F64EC3F6664}"/>
    <cellStyle name="Millares 5 9 2" xfId="3854" xr:uid="{0BB663E2-E7B5-43DA-B834-CF1AFE2937D8}"/>
    <cellStyle name="Millares 6" xfId="74" xr:uid="{A8D18E27-9169-4D02-9498-B37E0170E531}"/>
    <cellStyle name="Millares 6 10" xfId="1695" xr:uid="{6083FE45-099D-451B-BE16-5FC0EF2B0011}"/>
    <cellStyle name="Millares 6 10 2" xfId="3305" xr:uid="{9AA04E9A-A888-4209-9F8C-898DBE94A265}"/>
    <cellStyle name="Millares 6 11" xfId="2366" xr:uid="{91772670-2B84-4420-8377-04F6EB2C6B8D}"/>
    <cellStyle name="Millares 6 11 2" xfId="3988" xr:uid="{2F5D7FC1-6AA2-4F50-9597-0DB5BC8B5BA3}"/>
    <cellStyle name="Millares 6 12" xfId="4379" xr:uid="{281BCF57-2030-4980-944A-A3509603803C}"/>
    <cellStyle name="Millares 6 13" xfId="2764" xr:uid="{CA047EE3-2A28-4589-82F6-618EC05ED220}"/>
    <cellStyle name="Millares 6 2" xfId="321" xr:uid="{5154BA2E-86E1-4B4B-97F3-C183D0BC185C}"/>
    <cellStyle name="Millares 6 2 10" xfId="2817" xr:uid="{34AE6F5C-07BF-4F24-93FD-849B6CCC4246}"/>
    <cellStyle name="Millares 6 2 2" xfId="603" xr:uid="{045C41DF-CAD5-4555-B263-6192C5B5D685}"/>
    <cellStyle name="Millares 6 2 2 2" xfId="1007" xr:uid="{DA6E0745-18CE-453D-BEB9-C481AD8DB4D0}"/>
    <cellStyle name="Millares 6 2 2 2 2" xfId="2108" xr:uid="{B9088C51-D7F4-4B83-9093-554C06D170A8}"/>
    <cellStyle name="Millares 6 2 2 2 2 2" xfId="3704" xr:uid="{41EE2F20-7C7B-4947-A7D6-E3BA7345C4E9}"/>
    <cellStyle name="Millares 6 2 2 2 3" xfId="1562" xr:uid="{80F6C082-C180-4311-852D-00D18EFC95CC}"/>
    <cellStyle name="Millares 6 2 2 2 4" xfId="3161" xr:uid="{D83EF132-F114-4388-BA01-B375238C2887}"/>
    <cellStyle name="Millares 6 2 2 3" xfId="1240" xr:uid="{E9C5E6EC-F588-49FC-9875-82B8C4902B6A}"/>
    <cellStyle name="Millares 6 2 2 3 2" xfId="3969" xr:uid="{87E270E7-A061-4D6A-B59A-D8128076D8CC}"/>
    <cellStyle name="Millares 6 2 2 4" xfId="1821" xr:uid="{60DA2BD4-D541-41FC-A180-32B4FA7D3A4D}"/>
    <cellStyle name="Millares 6 2 2 4 2" xfId="3418" xr:uid="{AAD9940C-E3B9-4571-90EE-7FD8847E0E9A}"/>
    <cellStyle name="Millares 6 2 2 5" xfId="2480" xr:uid="{0C884A0B-A32B-4B21-A195-16F65D807A0C}"/>
    <cellStyle name="Millares 6 2 2 5 2" xfId="4102" xr:uid="{B014782F-FD8C-4DCC-AACE-5C82FCF6CC83}"/>
    <cellStyle name="Millares 6 2 2 6" xfId="4492" xr:uid="{693790D1-7D5C-4606-8535-59115FCA1BF8}"/>
    <cellStyle name="Millares 6 2 2 7" xfId="2877" xr:uid="{90B083DA-CCF6-43A2-9A6F-9380B3AA3D42}"/>
    <cellStyle name="Millares 6 2 3" xfId="947" xr:uid="{313F5CCF-647E-44B8-8A02-2CDBC0FEF56C}"/>
    <cellStyle name="Millares 6 2 3 2" xfId="1840" xr:uid="{A97E523F-E003-45D9-A5EF-75598FFD0956}"/>
    <cellStyle name="Millares 6 2 3 2 2" xfId="3437" xr:uid="{26650541-5CA6-4509-9729-05DA1B8E8038}"/>
    <cellStyle name="Millares 6 2 3 3" xfId="1297" xr:uid="{4A01119C-5F83-481C-BECC-E8074A94C680}"/>
    <cellStyle name="Millares 6 2 3 4" xfId="2897" xr:uid="{C5681E1A-3B43-4FBF-A682-A43CF0C0D234}"/>
    <cellStyle name="Millares 6 2 4" xfId="1129" xr:uid="{EDA32448-07DB-460D-900F-3DD891687172}"/>
    <cellStyle name="Millares 6 2 4 2" xfId="2213" xr:uid="{34E9F5D7-C5BF-46E0-8332-58F006486228}"/>
    <cellStyle name="Millares 6 2 4 2 2" xfId="3809" xr:uid="{497FF128-17AF-437C-A6AF-1B37C14F17E2}"/>
    <cellStyle name="Millares 6 2 4 3" xfId="3264" xr:uid="{75C9C0A6-3CC4-4586-AD90-1871D48D9316}"/>
    <cellStyle name="Millares 6 2 5" xfId="1676" xr:uid="{F9317AC0-EA78-405A-8AB8-1017B670F003}"/>
    <cellStyle name="Millares 6 2 5 2" xfId="2236" xr:uid="{13101608-B40C-4956-8D05-2181748FE523}"/>
    <cellStyle name="Millares 6 2 5 2 2" xfId="3832" xr:uid="{94F09CAE-DC34-4EED-AC60-2E40D85D99C0}"/>
    <cellStyle name="Millares 6 2 5 3" xfId="3286" xr:uid="{01C65A49-491B-48A1-AF99-F6E19221A338}"/>
    <cellStyle name="Millares 6 2 6" xfId="2305" xr:uid="{E0CB9FA3-B21F-42AE-AAF9-D0DAF3584C20}"/>
    <cellStyle name="Millares 6 2 6 2" xfId="3909" xr:uid="{69118FD1-FFE7-428D-8E76-7D8231F92812}"/>
    <cellStyle name="Millares 6 2 7" xfId="1751" xr:uid="{7D1E50B9-DA53-4CEC-AB85-DBDD3578ABE9}"/>
    <cellStyle name="Millares 6 2 7 2" xfId="3358" xr:uid="{335C3E06-5FF1-48EF-8A7C-77BDFE955C27}"/>
    <cellStyle name="Millares 6 2 8" xfId="2420" xr:uid="{6ACCFD01-F0E9-4449-A450-425C8F686AB8}"/>
    <cellStyle name="Millares 6 2 8 2" xfId="4042" xr:uid="{A5EFA880-70C6-441B-BA0E-D8F329791046}"/>
    <cellStyle name="Millares 6 2 9" xfId="4432" xr:uid="{A527A99C-8EF9-4FE6-9327-32D17234D32C}"/>
    <cellStyle name="Millares 6 3" xfId="586" xr:uid="{728CFBD0-7D22-49BF-84A3-4EBE4A879782}"/>
    <cellStyle name="Millares 6 3 2" xfId="870" xr:uid="{F1768979-DEDE-4A3F-AC1D-01CF18E5B4F6}"/>
    <cellStyle name="Millares 6 3 2 2" xfId="2189" xr:uid="{679E4BFE-B1AA-4CDB-B8A6-AD3B8E8027BE}"/>
    <cellStyle name="Millares 6 3 2 2 2" xfId="3785" xr:uid="{7358CDA9-A439-414F-96CA-645CCE23F9C1}"/>
    <cellStyle name="Millares 6 3 2 3" xfId="2735" xr:uid="{A5226A90-A2F9-42FA-A057-6EB4CF43CF3D}"/>
    <cellStyle name="Millares 6 3 2 3 2" xfId="4357" xr:uid="{72FD2262-29D6-4CD2-BA7B-41F44688680F}"/>
    <cellStyle name="Millares 6 3 2 4" xfId="1642" xr:uid="{A0E9CA63-A341-4700-A594-9B692651DA1F}"/>
    <cellStyle name="Millares 6 3 2 5" xfId="3241" xr:uid="{FCA8B82E-6DE2-427D-88BD-24D968881B3D}"/>
    <cellStyle name="Millares 6 3 3" xfId="999" xr:uid="{5261107A-78A0-4DCC-854E-AA1AD6389C59}"/>
    <cellStyle name="Millares 6 3 3 2" xfId="1971" xr:uid="{3F571EDD-5486-4237-9D95-4FE54E985794}"/>
    <cellStyle name="Millares 6 3 3 2 2" xfId="3567" xr:uid="{EC70F549-D52C-404B-BF1F-3D2C25C5CA7C}"/>
    <cellStyle name="Millares 6 3 3 3" xfId="1427" xr:uid="{D8D99D62-1BF2-480A-8DF3-BAB489BDB295}"/>
    <cellStyle name="Millares 6 3 3 4" xfId="3026" xr:uid="{0F4F2305-4721-48A6-8A32-4ADAEA682DB8}"/>
    <cellStyle name="Millares 6 3 4" xfId="1232" xr:uid="{83930D48-2240-4035-85BA-D1808CCE52BA}"/>
    <cellStyle name="Millares 6 3 4 2" xfId="3961" xr:uid="{47A598E7-C222-4911-9E4C-3BCF7FE9EB17}"/>
    <cellStyle name="Millares 6 3 5" xfId="1814" xr:uid="{3A104333-0CC7-4081-B7A5-B5520F7BBFAB}"/>
    <cellStyle name="Millares 6 3 5 2" xfId="3410" xr:uid="{C1085BF9-31AB-4BDC-90C5-E93AC13F3EBD}"/>
    <cellStyle name="Millares 6 3 6" xfId="2472" xr:uid="{DC1B693A-B8EB-4C03-B57B-24BC8BF30B70}"/>
    <cellStyle name="Millares 6 3 6 2" xfId="4094" xr:uid="{97FE314A-3DE5-42B7-8E0A-5B9CD298BB10}"/>
    <cellStyle name="Millares 6 3 7" xfId="4484" xr:uid="{33F952E3-6DDE-4023-809E-E7766707B2DC}"/>
    <cellStyle name="Millares 6 3 8" xfId="2869" xr:uid="{72582B2A-304F-4079-9D1E-FE42B23536F8}"/>
    <cellStyle name="Millares 6 4" xfId="662" xr:uid="{E25AF5A7-2D4B-424F-BE06-490AFF9E886A}"/>
    <cellStyle name="Millares 6 4 2" xfId="1832" xr:uid="{7949C06F-1FF3-4C39-8BB6-E74181B6B9F8}"/>
    <cellStyle name="Millares 6 4 2 2" xfId="3429" xr:uid="{CE0C12B5-27CF-4D25-94C6-FD2E905FE54B}"/>
    <cellStyle name="Millares 6 4 3" xfId="2532" xr:uid="{20270D24-C129-4988-98B1-FCAA432A4386}"/>
    <cellStyle name="Millares 6 4 3 2" xfId="4154" xr:uid="{F44D345F-B9A8-4E7E-A1FA-CFD4163F53E6}"/>
    <cellStyle name="Millares 6 4 4" xfId="1289" xr:uid="{23EBB6BE-0A86-4292-9BB9-284ABA222E09}"/>
    <cellStyle name="Millares 6 4 5" xfId="2889" xr:uid="{4D0424B6-E759-4BEB-AE8E-B3A37394A374}"/>
    <cellStyle name="Millares 6 5" xfId="711" xr:uid="{FEC43B62-0ADE-4FB3-83F4-049F54CE3765}"/>
    <cellStyle name="Millares 6 5 2" xfId="2032" xr:uid="{4AE90AB2-182A-4F34-A301-11771CB3950C}"/>
    <cellStyle name="Millares 6 5 2 2" xfId="3628" xr:uid="{A8F78074-D5A6-4CDF-89E4-71AC2DED496B}"/>
    <cellStyle name="Millares 6 5 3" xfId="2582" xr:uid="{B2E74432-9BF8-4756-976E-90D44B59FDB0}"/>
    <cellStyle name="Millares 6 5 3 2" xfId="4204" xr:uid="{EFAB9B32-CD45-49B1-B1C5-0C3CAF33F5E9}"/>
    <cellStyle name="Millares 6 5 4" xfId="1488" xr:uid="{90AA1BD1-5864-43F1-846D-6435E536BCA4}"/>
    <cellStyle name="Millares 6 5 5" xfId="3087" xr:uid="{359A9546-04FD-4C7E-A387-9E6B5E5A61FB}"/>
    <cellStyle name="Millares 6 6" xfId="778" xr:uid="{49F77A92-CE92-49A4-AF59-2AE8B84F41E7}"/>
    <cellStyle name="Millares 6 6 2" xfId="2099" xr:uid="{B7896439-F7FB-418D-AD33-2E6FF6B278C1}"/>
    <cellStyle name="Millares 6 6 2 2" xfId="3695" xr:uid="{AF390862-C6BD-4F50-BF54-D1DC2A28B7D3}"/>
    <cellStyle name="Millares 6 6 3" xfId="2649" xr:uid="{01E0F098-31A1-4044-9F8E-ED0C53EE402B}"/>
    <cellStyle name="Millares 6 6 3 2" xfId="4271" xr:uid="{A7C5D04E-7313-4096-9B14-1F81BAE5F0AE}"/>
    <cellStyle name="Millares 6 6 4" xfId="1553" xr:uid="{DB87A154-5309-4767-8104-32126B0C6D68}"/>
    <cellStyle name="Millares 6 6 5" xfId="3152" xr:uid="{C8863E02-DF12-4168-9B99-95EF3F4FF279}"/>
    <cellStyle name="Millares 6 7" xfId="894" xr:uid="{763E584A-5872-4B28-9C16-800BFCB23CF1}"/>
    <cellStyle name="Millares 6 7 2" xfId="2205" xr:uid="{8121F5DA-4038-4766-8B57-2B0D0A9D5EBB}"/>
    <cellStyle name="Millares 6 7 2 2" xfId="3801" xr:uid="{A77241E8-3509-47B2-87FA-B5469CAA0CF2}"/>
    <cellStyle name="Millares 6 7 3" xfId="1657" xr:uid="{A1DADD91-B64F-4516-A686-C3CC57A3F7EE}"/>
    <cellStyle name="Millares 6 7 4" xfId="3256" xr:uid="{598F6973-83F1-4AE9-93AC-BA5AE3899183}"/>
    <cellStyle name="Millares 6 8" xfId="1051" xr:uid="{BE3E0B38-D5BE-4A35-A6F4-1D434D0EF2DC}"/>
    <cellStyle name="Millares 6 8 2" xfId="2228" xr:uid="{A69F4D4A-97E3-458D-8EE6-1B5D83727FF0}"/>
    <cellStyle name="Millares 6 8 2 2" xfId="3824" xr:uid="{634650B4-5074-4567-BE70-C867D1B2B148}"/>
    <cellStyle name="Millares 6 8 3" xfId="3278" xr:uid="{B830653A-9632-425F-86CE-B0DFB42AFE86}"/>
    <cellStyle name="Millares 6 9" xfId="2290" xr:uid="{DF1EC151-C14A-4F29-90A5-E3FF5EF1E548}"/>
    <cellStyle name="Millares 6 9 2" xfId="3856" xr:uid="{FBDF0403-1234-4E9F-80B1-5072588B7D7B}"/>
    <cellStyle name="Millares 7" xfId="76" xr:uid="{A1197745-1F09-426E-9D77-5DF15F272F95}"/>
    <cellStyle name="Millares 7 10" xfId="1697" xr:uid="{AD4B2779-EF3D-4273-83C6-C78FC9ECC470}"/>
    <cellStyle name="Millares 7 10 2" xfId="3307" xr:uid="{308E936A-B85F-49B7-9C68-ABFF998A9C30}"/>
    <cellStyle name="Millares 7 11" xfId="2368" xr:uid="{EC3EC9D0-3E16-402D-8ECB-2557B9C5F7D6}"/>
    <cellStyle name="Millares 7 11 2" xfId="3990" xr:uid="{73027310-44FB-4ABD-BED9-9B5AF45B2982}"/>
    <cellStyle name="Millares 7 12" xfId="4381" xr:uid="{3172CA33-0155-40F4-996D-AE9D88F6E2D2}"/>
    <cellStyle name="Millares 7 13" xfId="2766" xr:uid="{C9B02968-8CA9-4E12-B47E-803F9B2FEC82}"/>
    <cellStyle name="Millares 7 2" xfId="323" xr:uid="{E1E2344B-8821-48A3-B04C-1D5AEAE4E9C1}"/>
    <cellStyle name="Millares 7 2 10" xfId="2819" xr:uid="{0A3BE9DD-4B33-4874-A55C-0D9E1F063693}"/>
    <cellStyle name="Millares 7 2 2" xfId="604" xr:uid="{70C2859B-1984-4296-B455-0E0359542668}"/>
    <cellStyle name="Millares 7 2 2 2" xfId="1008" xr:uid="{DA0BF29B-8A28-430A-A15F-B388A3AB3E7D}"/>
    <cellStyle name="Millares 7 2 2 2 2" xfId="2109" xr:uid="{A8D992EB-5D20-4DF6-BEAE-E71338B9CD81}"/>
    <cellStyle name="Millares 7 2 2 2 2 2" xfId="3705" xr:uid="{D4D1D0E2-29AD-4D30-8285-D6F6A7CBDB1D}"/>
    <cellStyle name="Millares 7 2 2 2 3" xfId="1563" xr:uid="{F86661EA-64D6-4106-89A4-57441A0BAE17}"/>
    <cellStyle name="Millares 7 2 2 2 4" xfId="3162" xr:uid="{93E16168-AD9B-4507-B9EF-11429E06296D}"/>
    <cellStyle name="Millares 7 2 2 3" xfId="1241" xr:uid="{E5D9D709-3C54-483E-93F4-ECD4F048F395}"/>
    <cellStyle name="Millares 7 2 2 3 2" xfId="3970" xr:uid="{C0FB8008-4EE4-48CD-BD7F-FA158EC39BF2}"/>
    <cellStyle name="Millares 7 2 2 4" xfId="1822" xr:uid="{2145A581-A682-425E-82D6-318F1F76F533}"/>
    <cellStyle name="Millares 7 2 2 4 2" xfId="3419" xr:uid="{C13A06DC-10D4-47FD-B289-E95ADC74ABF3}"/>
    <cellStyle name="Millares 7 2 2 5" xfId="2481" xr:uid="{0B702892-0278-4621-89A7-4FF76B6A895C}"/>
    <cellStyle name="Millares 7 2 2 5 2" xfId="4103" xr:uid="{D8FAAD42-C495-4598-A7D3-295E34A05EE1}"/>
    <cellStyle name="Millares 7 2 2 6" xfId="4493" xr:uid="{A8B83407-5B68-4665-9AED-5E0330B99327}"/>
    <cellStyle name="Millares 7 2 2 7" xfId="2878" xr:uid="{977E2568-FE25-4BED-AE6C-441BA07E5388}"/>
    <cellStyle name="Millares 7 2 3" xfId="949" xr:uid="{72C5C68D-7444-41FF-8F73-F85821F68DE0}"/>
    <cellStyle name="Millares 7 2 3 2" xfId="1841" xr:uid="{7511A0D0-EBDD-4988-8C1E-FB1A8D775347}"/>
    <cellStyle name="Millares 7 2 3 2 2" xfId="3438" xr:uid="{FF877D95-2DB4-430D-BA74-CE38D4FD9945}"/>
    <cellStyle name="Millares 7 2 3 3" xfId="1298" xr:uid="{89CF9508-53B1-47D6-8239-6E5F45BDA619}"/>
    <cellStyle name="Millares 7 2 3 4" xfId="2898" xr:uid="{48EC3265-FABE-4AEF-880D-BF8DA22CDFD0}"/>
    <cellStyle name="Millares 7 2 4" xfId="1131" xr:uid="{B13D3B78-72ED-49E8-A17A-9E017C1A2103}"/>
    <cellStyle name="Millares 7 2 4 2" xfId="2214" xr:uid="{CE350920-1EFF-4FBB-AB98-7B502940A522}"/>
    <cellStyle name="Millares 7 2 4 2 2" xfId="3810" xr:uid="{13912860-DF43-4F1E-8200-5F9C06D9CAEF}"/>
    <cellStyle name="Millares 7 2 4 3" xfId="3265" xr:uid="{A90E472C-5AD8-4E18-BDB7-9884FEA4BFAC}"/>
    <cellStyle name="Millares 7 2 5" xfId="1677" xr:uid="{CEB121BC-F043-4591-AF5A-0CEDA3A672F0}"/>
    <cellStyle name="Millares 7 2 5 2" xfId="2237" xr:uid="{1C6AFB38-D183-4C13-822E-8E9B8EAA9F2E}"/>
    <cellStyle name="Millares 7 2 5 2 2" xfId="3833" xr:uid="{4BE17D2A-916E-413C-80F7-55A75C55EB8E}"/>
    <cellStyle name="Millares 7 2 5 3" xfId="3287" xr:uid="{A9977A60-ADBF-40AD-8171-6B91B56987A7}"/>
    <cellStyle name="Millares 7 2 6" xfId="2306" xr:uid="{924A4701-E7B5-4247-BE35-8923F86D8F4D}"/>
    <cellStyle name="Millares 7 2 6 2" xfId="3911" xr:uid="{374F944E-F885-4ECF-800C-8B502DAB3D41}"/>
    <cellStyle name="Millares 7 2 7" xfId="1753" xr:uid="{786CDEC2-264D-4ED0-B953-DFEF075CF012}"/>
    <cellStyle name="Millares 7 2 7 2" xfId="3360" xr:uid="{0BC15696-8FCB-4129-8D3D-32CF2614BDEC}"/>
    <cellStyle name="Millares 7 2 8" xfId="2422" xr:uid="{E9B44E94-0B29-4816-B286-A568BA5AE82A}"/>
    <cellStyle name="Millares 7 2 8 2" xfId="4044" xr:uid="{C2AE7C7D-0493-448E-8810-4901417C544C}"/>
    <cellStyle name="Millares 7 2 9" xfId="4434" xr:uid="{10ABB66E-9F33-4B92-B648-5C6942D6E190}"/>
    <cellStyle name="Millares 7 3" xfId="587" xr:uid="{A021546C-E41D-4072-8113-A458CE431D76}"/>
    <cellStyle name="Millares 7 3 2" xfId="871" xr:uid="{08993818-6902-4534-BDDC-7BF383B90F33}"/>
    <cellStyle name="Millares 7 3 2 2" xfId="2190" xr:uid="{8EE3F635-294F-4FC9-89A3-F0A37631F8C7}"/>
    <cellStyle name="Millares 7 3 2 2 2" xfId="3786" xr:uid="{3B8A8892-A369-4DD8-9E0E-8D15C96D51F7}"/>
    <cellStyle name="Millares 7 3 2 3" xfId="2736" xr:uid="{0CB477E5-2A02-4022-8DCE-C4B025A43B9D}"/>
    <cellStyle name="Millares 7 3 2 3 2" xfId="4358" xr:uid="{FABAA430-FC89-4570-94B8-8732226CB931}"/>
    <cellStyle name="Millares 7 3 2 4" xfId="1643" xr:uid="{65BC062A-744D-4C53-B2A1-46531782786B}"/>
    <cellStyle name="Millares 7 3 2 5" xfId="3242" xr:uid="{2B883EF3-80ED-4F85-89B3-A8B77C59E377}"/>
    <cellStyle name="Millares 7 3 3" xfId="1000" xr:uid="{2B1BA88D-E9F5-46D4-A030-C935A5BE6537}"/>
    <cellStyle name="Millares 7 3 3 2" xfId="1967" xr:uid="{0CBA65B3-57EE-46F0-A1D2-37CBDDEE7D2F}"/>
    <cellStyle name="Millares 7 3 3 2 2" xfId="3563" xr:uid="{FD5E0136-342E-4657-BFD9-A3843DF1CC3C}"/>
    <cellStyle name="Millares 7 3 3 3" xfId="1423" xr:uid="{A0E9E636-D9C3-4311-A793-70467DF8AC0F}"/>
    <cellStyle name="Millares 7 3 3 4" xfId="3022" xr:uid="{4A968449-C254-41CB-9CB0-A7A36544ACCA}"/>
    <cellStyle name="Millares 7 3 4" xfId="1233" xr:uid="{8D01D397-6D7F-40A7-A2AC-922D7A7E1A60}"/>
    <cellStyle name="Millares 7 3 4 2" xfId="3962" xr:uid="{90C231D2-4A4E-431A-A736-07A3029E449A}"/>
    <cellStyle name="Millares 7 3 5" xfId="1815" xr:uid="{D6870CC6-68D8-4B7B-9602-A3EC4D91B9CF}"/>
    <cellStyle name="Millares 7 3 5 2" xfId="3411" xr:uid="{08F356DC-3063-4096-B3AC-FC7494662D40}"/>
    <cellStyle name="Millares 7 3 6" xfId="2473" xr:uid="{FB6D6C62-6F6B-4A2D-9AE4-7EC31801C939}"/>
    <cellStyle name="Millares 7 3 6 2" xfId="4095" xr:uid="{8CE98CB1-A709-49BD-A0E9-D71E904A4469}"/>
    <cellStyle name="Millares 7 3 7" xfId="4485" xr:uid="{E4F7FE6D-795B-42EB-842E-8CEB260E2C52}"/>
    <cellStyle name="Millares 7 3 8" xfId="2870" xr:uid="{4E011B3F-6FF6-4395-A95D-B1B97F256EB3}"/>
    <cellStyle name="Millares 7 4" xfId="664" xr:uid="{08FFC4C3-3139-491A-A41C-21B300BC0AE9}"/>
    <cellStyle name="Millares 7 4 2" xfId="1833" xr:uid="{CD8D9787-B8A1-40F4-AFB8-72612CD95729}"/>
    <cellStyle name="Millares 7 4 2 2" xfId="3430" xr:uid="{EA4DAD63-27BA-42A3-88F1-CE8A1A7596B5}"/>
    <cellStyle name="Millares 7 4 3" xfId="2534" xr:uid="{64C7C0F0-44FD-4E2F-BDAD-4A39C249190E}"/>
    <cellStyle name="Millares 7 4 3 2" xfId="4156" xr:uid="{18066BF8-0BA5-451B-ABC3-ADF7DD7B9212}"/>
    <cellStyle name="Millares 7 4 4" xfId="1290" xr:uid="{CD277849-F411-419C-8A45-869631D310B2}"/>
    <cellStyle name="Millares 7 4 5" xfId="2890" xr:uid="{DB0DC478-98EE-49B6-90EF-208D2F302AED}"/>
    <cellStyle name="Millares 7 5" xfId="713" xr:uid="{6353CBA6-C998-403B-8316-28CCFE29DBBE}"/>
    <cellStyle name="Millares 7 5 2" xfId="2034" xr:uid="{AC6E11F3-AAA0-4DC8-9128-D1D04EC763AD}"/>
    <cellStyle name="Millares 7 5 2 2" xfId="3630" xr:uid="{9052F15C-9A51-41F8-B6F6-9EE3A4EED144}"/>
    <cellStyle name="Millares 7 5 3" xfId="2584" xr:uid="{13B4BBE4-A751-4561-81DD-171D18231D55}"/>
    <cellStyle name="Millares 7 5 3 2" xfId="4206" xr:uid="{7587FE3E-5535-4E14-88BE-FA8603EC481F}"/>
    <cellStyle name="Millares 7 5 4" xfId="1490" xr:uid="{2804E2BC-EA79-4B9B-B30F-E90EB75686A5}"/>
    <cellStyle name="Millares 7 5 5" xfId="3089" xr:uid="{625FBCEE-085C-4BAA-89A2-C2B98E12B17F}"/>
    <cellStyle name="Millares 7 6" xfId="779" xr:uid="{CCAA672E-131B-484F-A3D7-533788D96C82}"/>
    <cellStyle name="Millares 7 6 2" xfId="2100" xr:uid="{ECA2FCE0-D616-4C41-A4E6-BAF64B67A1ED}"/>
    <cellStyle name="Millares 7 6 2 2" xfId="3696" xr:uid="{C7A439BA-FF3D-4723-B8E1-655E8548C7B0}"/>
    <cellStyle name="Millares 7 6 3" xfId="2650" xr:uid="{59A311C1-2FB1-479E-A2B3-7A7586A5E669}"/>
    <cellStyle name="Millares 7 6 3 2" xfId="4272" xr:uid="{E274A098-F644-4FB4-8613-4822AE895C97}"/>
    <cellStyle name="Millares 7 6 4" xfId="1554" xr:uid="{2C8780C4-22F7-4B3F-8529-FDF1A8CB0CC7}"/>
    <cellStyle name="Millares 7 6 5" xfId="3153" xr:uid="{750EC0AE-A02C-42D1-886F-FBC1CFDC448A}"/>
    <cellStyle name="Millares 7 7" xfId="896" xr:uid="{7B7809CD-A876-429B-AB78-1DB477E2BCD8}"/>
    <cellStyle name="Millares 7 7 2" xfId="2206" xr:uid="{29CA24B9-5ECD-423F-BD6D-7EE1DA223A4B}"/>
    <cellStyle name="Millares 7 7 2 2" xfId="3802" xr:uid="{E06C34F9-7DC3-4722-BDC4-B59B8CF4FE35}"/>
    <cellStyle name="Millares 7 7 3" xfId="1658" xr:uid="{E212D42E-FFE7-439F-B796-68D93A80C52E}"/>
    <cellStyle name="Millares 7 7 4" xfId="3257" xr:uid="{7B19321B-4FF5-416D-9C48-8B83EBB7E39F}"/>
    <cellStyle name="Millares 7 8" xfId="1053" xr:uid="{56D2BB12-7DAE-4B55-8749-926B1476206E}"/>
    <cellStyle name="Millares 7 8 2" xfId="2229" xr:uid="{86AEEBC4-A998-4704-9F68-09936B659965}"/>
    <cellStyle name="Millares 7 8 2 2" xfId="3825" xr:uid="{295AF94B-1B8C-4A75-9D08-0A883426C399}"/>
    <cellStyle name="Millares 7 8 3" xfId="3279" xr:uid="{D4D3CC1D-61D2-4373-943F-7A04600C3DF2}"/>
    <cellStyle name="Millares 7 9" xfId="2291" xr:uid="{4F9DE65F-416B-4883-89F8-DE904C0C6FDC}"/>
    <cellStyle name="Millares 7 9 2" xfId="3858" xr:uid="{F2831031-138E-4B91-BD06-30962FB23394}"/>
    <cellStyle name="Millares 8" xfId="80" xr:uid="{D9651B84-F339-4CF5-9BF0-26BD486AF90A}"/>
    <cellStyle name="Millares 8 10" xfId="1701" xr:uid="{4B5B7FB7-0300-4570-A10E-5F928892E11E}"/>
    <cellStyle name="Millares 8 10 2" xfId="3311" xr:uid="{F1601F4A-84BE-4632-943E-887AE61F2E01}"/>
    <cellStyle name="Millares 8 11" xfId="2372" xr:uid="{BADF5BF5-2E3D-41EC-BA69-118C6EF27D61}"/>
    <cellStyle name="Millares 8 11 2" xfId="3994" xr:uid="{18B930AB-384B-4262-962E-1762485378F8}"/>
    <cellStyle name="Millares 8 12" xfId="4385" xr:uid="{6DFD2B64-1379-47B8-B74F-71416285400E}"/>
    <cellStyle name="Millares 8 13" xfId="2770" xr:uid="{83E475A3-59B0-4271-A1E1-DD4C5DB71814}"/>
    <cellStyle name="Millares 8 2" xfId="327" xr:uid="{B14E3563-25F3-4F97-902E-DE3C049546E9}"/>
    <cellStyle name="Millares 8 2 2" xfId="823" xr:uid="{789FB082-F920-45A2-85D2-216636BE83DE}"/>
    <cellStyle name="Millares 8 2 2 2" xfId="2144" xr:uid="{B1430FAD-C0EF-4D03-BC06-977A9FCCFBBC}"/>
    <cellStyle name="Millares 8 2 2 2 2" xfId="3740" xr:uid="{F38FC32C-8E3D-49AC-A603-1DF30327C73E}"/>
    <cellStyle name="Millares 8 2 2 3" xfId="2692" xr:uid="{8F51ED22-6308-4E97-9DFF-23345EE2B93D}"/>
    <cellStyle name="Millares 8 2 2 3 2" xfId="4314" xr:uid="{84606E25-2AC4-4598-9793-B4DF52438832}"/>
    <cellStyle name="Millares 8 2 2 4" xfId="1597" xr:uid="{3380A84B-833D-4266-B396-B22DF7CDE36F}"/>
    <cellStyle name="Millares 8 2 2 5" xfId="3196" xr:uid="{1B64F3A6-2726-4CA5-B806-DA27751FC06B}"/>
    <cellStyle name="Millares 8 2 3" xfId="953" xr:uid="{C514B057-0677-4EE3-B430-7BE5602CD2CA}"/>
    <cellStyle name="Millares 8 2 3 2" xfId="1901" xr:uid="{EB7CA5F8-8DE8-40DB-AB9B-131A680E7110}"/>
    <cellStyle name="Millares 8 2 3 2 2" xfId="3497" xr:uid="{A775038C-0351-4748-ADCB-F2CDD1529C06}"/>
    <cellStyle name="Millares 8 2 3 3" xfId="1357" xr:uid="{6F8A3C8E-F869-4C05-8887-02B6B5271CC0}"/>
    <cellStyle name="Millares 8 2 3 4" xfId="2956" xr:uid="{9191827B-E291-4BAD-8DED-7427568F0DFB}"/>
    <cellStyle name="Millares 8 2 4" xfId="1135" xr:uid="{EC976327-6F75-472A-AD17-A49B135A095C}"/>
    <cellStyle name="Millares 8 2 4 2" xfId="3915" xr:uid="{9E2BB942-D6B4-419A-B053-35C29FFF1C27}"/>
    <cellStyle name="Millares 8 2 5" xfId="1756" xr:uid="{3670EAC8-CA8C-415B-8B93-15FD4BC9DE0E}"/>
    <cellStyle name="Millares 8 2 5 2" xfId="3364" xr:uid="{5369FB88-F5CC-4CAE-9C93-1063F12BA997}"/>
    <cellStyle name="Millares 8 2 6" xfId="2426" xr:uid="{CCCA06EB-4C83-45A9-A150-7BE65B438720}"/>
    <cellStyle name="Millares 8 2 6 2" xfId="4048" xr:uid="{59084F43-E1DA-4843-90B2-AF6B9BA171D0}"/>
    <cellStyle name="Millares 8 2 7" xfId="4438" xr:uid="{7B170651-CB39-43D5-A1E7-8D2D5BB41EDC}"/>
    <cellStyle name="Millares 8 2 8" xfId="2823" xr:uid="{923C7430-D3F1-440B-A462-B4B1492EBD8F}"/>
    <cellStyle name="Millares 8 3" xfId="588" xr:uid="{0387030E-F234-415F-A2F0-3BF8C5C747F6}"/>
    <cellStyle name="Millares 8 3 2" xfId="872" xr:uid="{A78D24BE-063D-4AF5-B811-4197195589D8}"/>
    <cellStyle name="Millares 8 3 3" xfId="636" xr:uid="{18E9A3C4-4328-4A28-A8C7-AC380AB27097}"/>
    <cellStyle name="Millares 8 3 3 2" xfId="1958" xr:uid="{139E0414-049A-4EB8-828D-34D721662180}"/>
    <cellStyle name="Millares 8 3 3 2 2" xfId="3554" xr:uid="{6CF3C792-C1A5-4501-9900-DFBF93A03116}"/>
    <cellStyle name="Millares 8 3 3 3" xfId="1414" xr:uid="{C39DBE6D-4051-4984-A919-4A8675F33F96}"/>
    <cellStyle name="Millares 8 3 3 4" xfId="3013" xr:uid="{85E5D6DE-DBFC-4AA1-B089-FE185791BCCB}"/>
    <cellStyle name="Millares 8 3 4" xfId="2506" xr:uid="{F50A7743-F1CA-4E5A-AA80-CBB24AFB38F5}"/>
    <cellStyle name="Millares 8 3 4 2" xfId="4128" xr:uid="{8FD8F28A-B12F-461F-982E-941060DBC84D}"/>
    <cellStyle name="Millares 8 4" xfId="668" xr:uid="{A12878CE-70F7-4E11-9BE3-C0AD084FDD3E}"/>
    <cellStyle name="Millares 8 4 2" xfId="1995" xr:uid="{43A610BA-23E5-405A-9386-D21E3A5A7CD4}"/>
    <cellStyle name="Millares 8 4 2 2" xfId="3591" xr:uid="{B70D1FBE-A389-4798-BCCA-74A3BF5B9651}"/>
    <cellStyle name="Millares 8 4 3" xfId="2538" xr:uid="{CA43FA74-E289-4AFC-951B-B85B5F1E9671}"/>
    <cellStyle name="Millares 8 4 3 2" xfId="4160" xr:uid="{D41B562A-85F5-4BF7-81CE-B912658321E3}"/>
    <cellStyle name="Millares 8 4 4" xfId="1451" xr:uid="{E9EA811D-FF6C-4D73-AA58-7001BF4DD233}"/>
    <cellStyle name="Millares 8 4 5" xfId="3050" xr:uid="{3D42398E-B699-4456-90E9-C5DA8F22119B}"/>
    <cellStyle name="Millares 8 5" xfId="717" xr:uid="{5E12F863-09CC-4BF3-94F4-9578261E9F8B}"/>
    <cellStyle name="Millares 8 5 2" xfId="2038" xr:uid="{BFB43F65-C321-406F-8937-460442F34E39}"/>
    <cellStyle name="Millares 8 5 2 2" xfId="3634" xr:uid="{98B42355-7DE0-4A59-803E-350830DB77A6}"/>
    <cellStyle name="Millares 8 5 3" xfId="2588" xr:uid="{495C983F-FC0F-48E0-A262-1866F008540A}"/>
    <cellStyle name="Millares 8 5 3 2" xfId="4210" xr:uid="{9DBE3D52-E737-4788-A651-C20E09B76592}"/>
    <cellStyle name="Millares 8 5 4" xfId="1494" xr:uid="{450BA07E-30D8-4FB7-8B6D-A8CE26AC1C83}"/>
    <cellStyle name="Millares 8 5 5" xfId="3093" xr:uid="{A8179383-A3CA-4597-B1F6-B65EE86BBEF2}"/>
    <cellStyle name="Millares 8 6" xfId="780" xr:uid="{87C01B1B-7866-4D47-A119-540C5A8F2FFE}"/>
    <cellStyle name="Millares 8 7" xfId="764" xr:uid="{7B9390C1-041F-43C2-8CD0-3EF206C0D539}"/>
    <cellStyle name="Millares 8 7 2" xfId="2085" xr:uid="{42AE8CEF-A2E6-45BC-AC83-4F8B374580C3}"/>
    <cellStyle name="Millares 8 7 2 2" xfId="3681" xr:uid="{850E15D3-DA97-46FB-950E-F0E4FF031BAA}"/>
    <cellStyle name="Millares 8 7 3" xfId="2635" xr:uid="{7C40BCB0-B84D-4C77-BC8B-7B68814838C0}"/>
    <cellStyle name="Millares 8 7 3 2" xfId="4257" xr:uid="{75CAA4C0-B7F9-4903-9D01-2AEED5651B11}"/>
    <cellStyle name="Millares 8 7 4" xfId="1539" xr:uid="{E947DCE2-88D9-46BF-9B09-CFCBA9020C03}"/>
    <cellStyle name="Millares 8 7 5" xfId="3138" xr:uid="{74E8F4D2-DD9B-4115-972C-4B914BC5F2A9}"/>
    <cellStyle name="Millares 8 8" xfId="900" xr:uid="{EBB304A6-517D-41A9-A757-95B8DD3876EB}"/>
    <cellStyle name="Millares 8 8 2" xfId="1862" xr:uid="{5E928037-F714-4567-AD97-A5659E21F148}"/>
    <cellStyle name="Millares 8 8 2 2" xfId="3458" xr:uid="{49A1FFBB-75D4-41CE-820F-73763520CD4C}"/>
    <cellStyle name="Millares 8 8 3" xfId="1317" xr:uid="{70B28196-D768-4ED7-8F41-2B753246B0FE}"/>
    <cellStyle name="Millares 8 8 4" xfId="2917" xr:uid="{03DC80CD-CFFB-4742-BC8D-FA9561AFD47D}"/>
    <cellStyle name="Millares 8 9" xfId="1057" xr:uid="{95505895-7126-4E3D-B5A6-C58D96FF4842}"/>
    <cellStyle name="Millares 8 9 2" xfId="3862" xr:uid="{D91A7190-1ECC-46C9-9694-C7ECF2336FFC}"/>
    <cellStyle name="Millares 9" xfId="82" xr:uid="{31BD78DF-75E5-42A4-B52D-1ADE9FAE0C43}"/>
    <cellStyle name="Millares 9 10" xfId="1703" xr:uid="{06397491-1A36-47D4-A579-143824D51261}"/>
    <cellStyle name="Millares 9 10 2" xfId="3313" xr:uid="{24A0A9AA-3215-4E2C-B27D-B3C01E0ABF68}"/>
    <cellStyle name="Millares 9 11" xfId="2374" xr:uid="{A58CA90D-B700-43ED-B6F4-104BE1098FF4}"/>
    <cellStyle name="Millares 9 11 2" xfId="3996" xr:uid="{F049BBBB-A669-4148-8B87-8CA2BB3D746B}"/>
    <cellStyle name="Millares 9 12" xfId="4387" xr:uid="{66412A09-2309-4916-BD6C-5C56DD2E00DB}"/>
    <cellStyle name="Millares 9 13" xfId="2772" xr:uid="{C4EAACDB-E246-45F1-9902-62E98F525F23}"/>
    <cellStyle name="Millares 9 2" xfId="329" xr:uid="{E06DE617-C60A-4514-A7BC-2999F541B939}"/>
    <cellStyle name="Millares 9 2 2" xfId="825" xr:uid="{CAC92D4B-99BD-4B91-B400-315BC2D2EA34}"/>
    <cellStyle name="Millares 9 2 2 2" xfId="2146" xr:uid="{D7F1E380-D943-4B8A-BF1A-4FAB2686ED03}"/>
    <cellStyle name="Millares 9 2 2 2 2" xfId="3742" xr:uid="{4D4855CB-3119-4C65-A4AD-CD629DE685D8}"/>
    <cellStyle name="Millares 9 2 2 3" xfId="2694" xr:uid="{348A9A0E-E951-4913-A652-B2374E2D890F}"/>
    <cellStyle name="Millares 9 2 2 3 2" xfId="4316" xr:uid="{814CB4EF-A870-4625-BFFE-5004FC4BDE32}"/>
    <cellStyle name="Millares 9 2 2 4" xfId="1599" xr:uid="{974BE56A-DE60-4C48-BA55-CEC392450DA2}"/>
    <cellStyle name="Millares 9 2 2 5" xfId="3198" xr:uid="{FC92607D-EBB3-4B4C-A39C-A07FDA3AC305}"/>
    <cellStyle name="Millares 9 2 3" xfId="955" xr:uid="{B1AEF093-A8DE-4BB6-94B3-53494E22A471}"/>
    <cellStyle name="Millares 9 2 3 2" xfId="1903" xr:uid="{C971A6E5-1B27-4F6C-ACCF-1F7FA69FB593}"/>
    <cellStyle name="Millares 9 2 3 2 2" xfId="3499" xr:uid="{D97C1A43-CAE8-4FE9-9708-51E5D0824213}"/>
    <cellStyle name="Millares 9 2 3 3" xfId="1359" xr:uid="{94F6DCE8-28BD-49A9-8D80-A3A7F4613F37}"/>
    <cellStyle name="Millares 9 2 3 4" xfId="2958" xr:uid="{EE4C1A24-1F4D-4732-B923-14DA38DB48CA}"/>
    <cellStyle name="Millares 9 2 4" xfId="1137" xr:uid="{FCCE648A-679F-4E86-B26C-C8E34B0A9678}"/>
    <cellStyle name="Millares 9 2 4 2" xfId="3917" xr:uid="{CB2E4A29-3279-4D3D-BF44-5F235EB77946}"/>
    <cellStyle name="Millares 9 2 5" xfId="1758" xr:uid="{C15D20D3-9B3F-4BBF-B98D-D5F292B0A718}"/>
    <cellStyle name="Millares 9 2 5 2" xfId="3366" xr:uid="{6241C9A4-BF2C-4C15-81B0-6A59799034F3}"/>
    <cellStyle name="Millares 9 2 6" xfId="2428" xr:uid="{EA890460-F7A0-4270-99D6-E270EFE5795A}"/>
    <cellStyle name="Millares 9 2 6 2" xfId="4050" xr:uid="{C0466452-F481-486C-A2B3-57B6D9B4ED5E}"/>
    <cellStyle name="Millares 9 2 7" xfId="4440" xr:uid="{D1DD470E-0E74-4D71-B1A1-4272FA9E52DC}"/>
    <cellStyle name="Millares 9 2 8" xfId="2825" xr:uid="{4DB2404F-8933-44F4-88DA-FFD84730962C}"/>
    <cellStyle name="Millares 9 3" xfId="589" xr:uid="{EA208724-B7D6-4444-83E6-A16B8110CBD8}"/>
    <cellStyle name="Millares 9 3 2" xfId="873" xr:uid="{ADAA9694-DBF2-496B-A942-E7923C782E5B}"/>
    <cellStyle name="Millares 9 3 2 2" xfId="2191" xr:uid="{72D8BF44-48E6-49E7-896F-00EFA77F78A1}"/>
    <cellStyle name="Millares 9 3 2 2 2" xfId="3787" xr:uid="{5BF79CA5-D9B0-4D22-B5C8-C6E68A769257}"/>
    <cellStyle name="Millares 9 3 2 3" xfId="2737" xr:uid="{C6CB361A-C249-42BA-B369-3F0F833814C1}"/>
    <cellStyle name="Millares 9 3 2 3 2" xfId="4359" xr:uid="{C7006AD8-549C-4743-ACCD-8958AE3EB5B9}"/>
    <cellStyle name="Millares 9 3 2 4" xfId="1644" xr:uid="{BAA2D50B-D6F2-4097-B28C-A871EF7D5E6B}"/>
    <cellStyle name="Millares 9 3 2 5" xfId="3243" xr:uid="{E6450F77-7251-405D-9A6E-64D9BAE3312A}"/>
    <cellStyle name="Millares 9 3 3" xfId="1001" xr:uid="{5C900E91-EF0C-4D7C-A194-0BCFC17869FD}"/>
    <cellStyle name="Millares 9 3 3 2" xfId="1954" xr:uid="{3261EDA4-5215-4DCB-9EAE-FE9D48784F40}"/>
    <cellStyle name="Millares 9 3 3 2 2" xfId="3550" xr:uid="{12F3BA46-C3E4-4DA2-9E6F-19E5A51366A0}"/>
    <cellStyle name="Millares 9 3 3 3" xfId="1410" xr:uid="{97E1120B-6994-47E2-B31B-1E7C675BB4B0}"/>
    <cellStyle name="Millares 9 3 3 4" xfId="3009" xr:uid="{B8356BE0-AD04-4C79-955E-86BDBE8E9553}"/>
    <cellStyle name="Millares 9 3 4" xfId="1234" xr:uid="{1CED4694-CF37-47D2-9978-45669D2E5023}"/>
    <cellStyle name="Millares 9 3 4 2" xfId="3963" xr:uid="{28F34F62-2BA2-447D-BCFA-617C6E2069B3}"/>
    <cellStyle name="Millares 9 3 5" xfId="1816" xr:uid="{824F79D5-843C-4558-912A-D265C7EC2918}"/>
    <cellStyle name="Millares 9 3 5 2" xfId="3412" xr:uid="{FDDB02AC-77BF-423C-9550-3C5DB40F350A}"/>
    <cellStyle name="Millares 9 3 6" xfId="2474" xr:uid="{EE536415-3698-473D-B7A7-790366148931}"/>
    <cellStyle name="Millares 9 3 6 2" xfId="4096" xr:uid="{7E1D4301-5B95-4A86-A040-3B34FBFBBD39}"/>
    <cellStyle name="Millares 9 3 7" xfId="4486" xr:uid="{6810C550-9044-4A85-A924-7A8C4CC9D875}"/>
    <cellStyle name="Millares 9 3 8" xfId="2871" xr:uid="{5E2FDA11-E8E4-459A-8B14-B58B40BAEE11}"/>
    <cellStyle name="Millares 9 4" xfId="670" xr:uid="{988EBE61-903F-4E1D-8123-A140B1523024}"/>
    <cellStyle name="Millares 9 4 2" xfId="1834" xr:uid="{1FB7782A-039B-4D46-A3C7-661B32D0BAFF}"/>
    <cellStyle name="Millares 9 4 2 2" xfId="3431" xr:uid="{16AA19D9-4ACE-4550-A4E4-1204D2D4EEE2}"/>
    <cellStyle name="Millares 9 4 3" xfId="2540" xr:uid="{D53DB9EB-8183-4C10-B782-516E2E9FD072}"/>
    <cellStyle name="Millares 9 4 3 2" xfId="4162" xr:uid="{3FF0CCC6-D940-41A7-9C91-D3CD80851CBA}"/>
    <cellStyle name="Millares 9 4 4" xfId="1291" xr:uid="{FF4213C7-369D-4B67-8765-C8FF6C218728}"/>
    <cellStyle name="Millares 9 4 5" xfId="2891" xr:uid="{7302BB2A-EB52-4264-856C-AC6721E3E622}"/>
    <cellStyle name="Millares 9 5" xfId="719" xr:uid="{191918B1-1864-42C2-B3C3-9B5EC51B8F09}"/>
    <cellStyle name="Millares 9 5 2" xfId="2040" xr:uid="{13220642-99D1-4AB3-9791-6144DD51082F}"/>
    <cellStyle name="Millares 9 5 2 2" xfId="3636" xr:uid="{44F6D334-382C-4DE2-8B71-046A9B015B8C}"/>
    <cellStyle name="Millares 9 5 3" xfId="2590" xr:uid="{4720DBDB-1B30-403F-B7D8-150438F3A873}"/>
    <cellStyle name="Millares 9 5 3 2" xfId="4212" xr:uid="{186713E2-8A03-401F-B339-61F066951DFE}"/>
    <cellStyle name="Millares 9 5 4" xfId="1496" xr:uid="{2AD0D0A1-9265-4DE3-88C9-25D653FAEE94}"/>
    <cellStyle name="Millares 9 5 5" xfId="3095" xr:uid="{720290DF-FFE8-491A-AAF0-699D3042F26F}"/>
    <cellStyle name="Millares 9 6" xfId="781" xr:uid="{CA41316B-34E6-442E-8FC5-EC2BFA01E92C}"/>
    <cellStyle name="Millares 9 6 2" xfId="2101" xr:uid="{9B70BD47-E064-4926-AD35-5238325EA40C}"/>
    <cellStyle name="Millares 9 6 2 2" xfId="3697" xr:uid="{0C32FDCE-FB77-46FD-BD8C-828CD8BE3E58}"/>
    <cellStyle name="Millares 9 6 3" xfId="2651" xr:uid="{1CBF415F-01FE-476A-862A-5D914E777EAD}"/>
    <cellStyle name="Millares 9 6 3 2" xfId="4273" xr:uid="{24039DAE-7188-4FAE-B43C-05C7BE8313FB}"/>
    <cellStyle name="Millares 9 6 4" xfId="1555" xr:uid="{871E8205-0B0E-4A44-9F21-A4315138FC68}"/>
    <cellStyle name="Millares 9 6 5" xfId="3154" xr:uid="{2F045B2E-D8AF-43E2-A2CD-09A6556F311D}"/>
    <cellStyle name="Millares 9 7" xfId="902" xr:uid="{970CC982-A21B-4081-AA9F-98163C466EAE}"/>
    <cellStyle name="Millares 9 7 2" xfId="2207" xr:uid="{A6282E2F-840C-4F4B-9BEF-714A99B77C60}"/>
    <cellStyle name="Millares 9 7 2 2" xfId="3803" xr:uid="{3F47F45F-4D2A-4A55-BE09-75C3594167A4}"/>
    <cellStyle name="Millares 9 7 3" xfId="1659" xr:uid="{BA50AAD2-056B-4395-B08A-698B20125B01}"/>
    <cellStyle name="Millares 9 7 4" xfId="3258" xr:uid="{C552526A-178C-41CB-9F0E-5BDC8DA63AA7}"/>
    <cellStyle name="Millares 9 8" xfId="1059" xr:uid="{E6F0E763-39EF-4038-9414-1516B25C84EB}"/>
    <cellStyle name="Millares 9 8 2" xfId="2230" xr:uid="{491F34AC-D6CB-47B2-A4DC-2D957C87FB0E}"/>
    <cellStyle name="Millares 9 8 2 2" xfId="3826" xr:uid="{9BD24F46-4F0A-48BF-AAFD-CE98B75495A4}"/>
    <cellStyle name="Millares 9 8 3" xfId="3280" xr:uid="{50D02884-3B0D-4B36-B5A9-6A5893CA2C9F}"/>
    <cellStyle name="Millares 9 9" xfId="2292" xr:uid="{A6A2CB75-31B2-4DE1-A718-58194FDBF380}"/>
    <cellStyle name="Millares 9 9 2" xfId="3864" xr:uid="{C844A4A2-7B43-4A11-A36F-B59C7B1E822F}"/>
    <cellStyle name="Milliers 2" xfId="1221" xr:uid="{9402005F-347F-4C4B-9DF5-20FCC07D91F2}"/>
    <cellStyle name="Moneda 2" xfId="689" xr:uid="{F858EC0A-A567-44A1-A4DF-7D6BA29AD021}"/>
    <cellStyle name="Moneda 2 2" xfId="1468" xr:uid="{7173D770-DFB2-4F47-8D3F-D8C14FFA873C}"/>
    <cellStyle name="Moneda 2 2 2" xfId="2273" xr:uid="{59FB7386-1AD8-4574-9976-127BA74A5670}"/>
    <cellStyle name="Moneda 2 2 3" xfId="3067" xr:uid="{5C32DB72-E62A-463B-BF36-B654761BC054}"/>
    <cellStyle name="Moneda 2 3" xfId="2012" xr:uid="{8A7DB567-F0E6-4D57-B9A2-1640FE070C18}"/>
    <cellStyle name="Moneda 2 3 2" xfId="3608" xr:uid="{9B9DD4E8-C581-4C24-8A95-56EE456DD548}"/>
    <cellStyle name="Moneda 2 4" xfId="2559" xr:uid="{0C4966BB-394D-4402-9EFB-56B0296FB7A9}"/>
    <cellStyle name="Moneda 2 4 2" xfId="4181" xr:uid="{F8B09BEF-BAF3-4B0E-ADEB-6CDD8C52292F}"/>
    <cellStyle name="Moneda 2 5" xfId="1218" xr:uid="{2012392C-22F0-4AAE-88E3-79EFCBB64B6B}"/>
    <cellStyle name="Moneda 3" xfId="700" xr:uid="{70C4EFB0-AD77-4CDA-B3A7-428C468C0202}"/>
    <cellStyle name="Moneda 3 2" xfId="2021" xr:uid="{07CA09DB-85F4-4C09-B3A1-AEC870A2A682}"/>
    <cellStyle name="Moneda 3 2 2" xfId="3617" xr:uid="{5060719D-160F-4FCD-B696-BD5A6C1AA946}"/>
    <cellStyle name="Moneda 3 3" xfId="2570" xr:uid="{95489DAE-2A96-4558-8DE0-A1C554D6B3D2}"/>
    <cellStyle name="Moneda 3 3 2" xfId="4192" xr:uid="{9D790402-245A-4A4D-B2E0-6E8A25B27B4C}"/>
    <cellStyle name="Moneda 3 4" xfId="1477" xr:uid="{BD1E2D5B-E7E5-4207-8949-B3947139AF8E}"/>
    <cellStyle name="Moneda 3 5" xfId="3076" xr:uid="{C76410AC-2034-4800-B40C-EAA9DF481138}"/>
    <cellStyle name="Moneda 4" xfId="43" xr:uid="{FCA1B04F-C4F1-4507-8DC0-FD3A96BFB090}"/>
    <cellStyle name="Moneda 4 2" xfId="1847" xr:uid="{242436F2-9977-4965-9160-1AB796279D17}"/>
    <cellStyle name="Moneda 4 2 2" xfId="3444" xr:uid="{7E369D5F-E75F-4DE1-9644-549190E0124D}"/>
    <cellStyle name="Moneda 4 3" xfId="1303" xr:uid="{75AE8948-9AFC-4960-A6FC-54D79556C075}"/>
    <cellStyle name="Moneda 4 4" xfId="2903" xr:uid="{581A3AEC-1CC3-4BA6-9ECC-A5DFB9C9D24F}"/>
    <cellStyle name="Moneda 5" xfId="2393" xr:uid="{052A4A99-AE48-4DF6-B7AB-B71BC32B78C5}"/>
    <cellStyle name="Moneda 5 2" xfId="4015" xr:uid="{64A3EFE9-480F-418D-8EC5-7F7ED668920B}"/>
    <cellStyle name="Moneda 6" xfId="1103" xr:uid="{1F01BC7E-FEDE-403D-8F24-082B52610AF2}"/>
    <cellStyle name="Moneda 7" xfId="2746" xr:uid="{181E8C37-EECE-4151-AFC0-2FA57C2BE918}"/>
    <cellStyle name="Nagłówek 1 2" xfId="93" xr:uid="{4E071A5E-59BB-4272-80E8-8F0873BCCA3E}"/>
    <cellStyle name="Nagłówek 2 2" xfId="94" xr:uid="{807B7A83-04D3-4FC6-A8CD-E9322D0540A5}"/>
    <cellStyle name="Nagłówek 3 2" xfId="95" xr:uid="{786285DB-B1B3-4FF9-8E8F-F41B488C50A5}"/>
    <cellStyle name="Nagłówek 4 2" xfId="96" xr:uid="{2A3E9D93-73A4-40A2-ADB0-06367385E763}"/>
    <cellStyle name="Neutral" xfId="9" builtinId="28" customBuiltin="1"/>
    <cellStyle name="Neutral 2" xfId="138" xr:uid="{C5CE3A7D-B5E4-4C05-A306-CB9801F61934}"/>
    <cellStyle name="Neutral 2 2" xfId="377" xr:uid="{FAC37751-F89F-4194-84AF-BF636E1A85A7}"/>
    <cellStyle name="Neutralny 2" xfId="99" xr:uid="{0933BE6B-375C-4A19-A065-3E1B8178789E}"/>
    <cellStyle name="Neutre" xfId="1193" xr:uid="{877E87CC-ACB5-426D-9E0E-EB229E30C8BF}"/>
    <cellStyle name="Normal" xfId="0" builtinId="0"/>
    <cellStyle name="Normal 10" xfId="1215" xr:uid="{6FCEDDA8-9224-43F1-A7E3-46286F8A1292}"/>
    <cellStyle name="Normal 11" xfId="1231" xr:uid="{DBCA722D-9E87-42A7-B5BF-38E2ACC7B69A}"/>
    <cellStyle name="Normal 12" xfId="1209" xr:uid="{6F4BF091-63F8-4C98-A1BA-46D9DE528371}"/>
    <cellStyle name="Normal 13" xfId="1225" xr:uid="{5B2E97C2-2B12-45F0-B07C-DFA9F3DCFB81}"/>
    <cellStyle name="Normal 14" xfId="1203" xr:uid="{793EB062-B36A-41CE-AD83-41375501FC52}"/>
    <cellStyle name="Normal 15" xfId="1220" xr:uid="{E1949964-2914-4199-8429-3F0F3082031A}"/>
    <cellStyle name="Normal 16" xfId="1197" xr:uid="{C183B11B-8977-4389-BBE5-9186901A8B6E}"/>
    <cellStyle name="Normal 17" xfId="1191" xr:uid="{D56664E6-E7DC-429E-888E-0D121ED0B260}"/>
    <cellStyle name="Normal 18" xfId="1033" xr:uid="{B5E0001D-DBAA-4BF7-88ED-84C24E9894DB}"/>
    <cellStyle name="Normal 19" xfId="1211" xr:uid="{2C65EE56-985D-4DB7-A2A3-D5813D150A4A}"/>
    <cellStyle name="Normal 2" xfId="46" xr:uid="{81E93BC8-8855-4365-80C5-B4B29D5EF17B}"/>
    <cellStyle name="Normal 2 2" xfId="48" xr:uid="{67187B90-CD21-4CA1-9CA8-924C2D232FB1}"/>
    <cellStyle name="Normal 2 2 2" xfId="284" xr:uid="{39170946-0132-4A7E-A26B-7944173621CB}"/>
    <cellStyle name="Normal 2 2 2 2" xfId="1246" xr:uid="{6C0D149C-11E5-4B1C-9329-B94F72F08634}"/>
    <cellStyle name="Normal 2 2 2 3" xfId="2244" xr:uid="{801C3CE8-F0F3-4004-9C5A-E2325D872969}"/>
    <cellStyle name="Normal 2 2 2 4" xfId="1101" xr:uid="{BD9B9B04-F5E4-4207-BBD3-B1A5CFB5DB04}"/>
    <cellStyle name="Normal 2 2 3" xfId="293" xr:uid="{40F5EC4D-F6A3-4017-BDE5-19BF0F8BAAA0}"/>
    <cellStyle name="Normal 2 2 4" xfId="610" xr:uid="{EC74165F-9B6A-4B2E-B6F3-252A4AD48F98}"/>
    <cellStyle name="Normal 2 3" xfId="90" xr:uid="{8CA268D5-E394-425D-9533-A97F58399170}"/>
    <cellStyle name="Normal 2 3 2" xfId="595" xr:uid="{693DDF2F-269A-4320-8223-73DE30E74E5E}"/>
    <cellStyle name="Normal 2 3 3" xfId="374" xr:uid="{1296FF72-1A64-452C-AACF-4A54AFA4098D}"/>
    <cellStyle name="Normal 2 3 4" xfId="1226" xr:uid="{10F0ADF6-8110-4F05-8754-9A22101F2A53}"/>
    <cellStyle name="Normal 2 3 5" xfId="2246" xr:uid="{51844E70-C9C3-4112-B87D-D1FB3817F9B9}"/>
    <cellStyle name="Normal 2 3 6" xfId="1042" xr:uid="{51B2DB98-262F-4910-85E8-83C9425850D5}"/>
    <cellStyle name="Normal 2 4" xfId="88" xr:uid="{CA4DF22D-A11D-40A4-87D5-BF77E098D251}"/>
    <cellStyle name="Normal 2 5" xfId="235" xr:uid="{564C62FD-0255-4E6B-9F50-358D540DAF25}"/>
    <cellStyle name="Normal 2 6" xfId="283" xr:uid="{452C02C0-6556-43A1-8ED4-DAFDAB0DD051}"/>
    <cellStyle name="Normal 2 6 2" xfId="289" xr:uid="{77A459DE-70BE-4121-A568-CCE4BD7797DD}"/>
    <cellStyle name="Normal 2 7" xfId="295" xr:uid="{D4933C6F-21E3-4D38-AE5E-6C773961AACF}"/>
    <cellStyle name="Normal 2 8" xfId="609" xr:uid="{FB3FD8E6-FB79-476D-B2AC-2287895D6739}"/>
    <cellStyle name="Normal 20" xfId="1228" xr:uid="{817DE4D8-61AA-4108-B289-D462CA998069}"/>
    <cellStyle name="Normal 21" xfId="45" xr:uid="{67EBD7B2-B95C-4609-8B35-9E245FA9968E}"/>
    <cellStyle name="Normal 21 2" xfId="285" xr:uid="{70B51FF7-5B26-4403-A089-D896FDCE2532}"/>
    <cellStyle name="Normal 21 2 2" xfId="1247" xr:uid="{6B1DA377-81BD-4D94-8177-80A195B46345}"/>
    <cellStyle name="Normal 21 2 3" xfId="2274" xr:uid="{6CA4AB43-7A36-4BDA-A71D-1CA1269824FF}"/>
    <cellStyle name="Normal 21 2 4" xfId="1205" xr:uid="{537C81B6-AE98-4FD1-BBC0-2345E44FE9E5}"/>
    <cellStyle name="Normal 21 3" xfId="1275" xr:uid="{C994D8D6-20D3-4E20-BBDA-ABBA9B8775D8}"/>
    <cellStyle name="Normal 3" xfId="44" xr:uid="{9E35C6EF-6812-4377-BC1C-BFAA09994B47}"/>
    <cellStyle name="Normal 3 2" xfId="286" xr:uid="{594014E7-6564-460A-B433-1C9A08BB2BAC}"/>
    <cellStyle name="Normal 3 2 2" xfId="294" xr:uid="{EB03EF45-B2D5-4D2A-A445-BB774F1164FF}"/>
    <cellStyle name="Normal 3 2 3" xfId="612" xr:uid="{AF3A09CF-A116-4E64-A5B9-4F27D413CE94}"/>
    <cellStyle name="Normal 3 3" xfId="1276" xr:uid="{EDA69C57-03A2-486E-BFCC-417C6A5EA6BA}"/>
    <cellStyle name="Normal 3 4" xfId="1216" xr:uid="{E97B2222-4704-422A-AB21-2955A70FF2D5}"/>
    <cellStyle name="Normal 3 5" xfId="2275" xr:uid="{12BA752D-CB8E-41CA-9B0D-23CDAADD94A3}"/>
    <cellStyle name="Normal 3 6" xfId="1222" xr:uid="{4FE0F1A5-DEB9-4F5A-9A7F-B73C14E91CC8}"/>
    <cellStyle name="Normal 4" xfId="87" xr:uid="{C0229A5A-F234-4CB3-82C3-792B2BBCE8DC}"/>
    <cellStyle name="Normal 4 2" xfId="292" xr:uid="{5E9655A2-521E-45BB-A875-1385DDB4A75F}"/>
    <cellStyle name="Normal 4 3" xfId="611" xr:uid="{8ECD50E4-1458-4A4A-B0AB-86D218ECE943}"/>
    <cellStyle name="Normal 4 3 2" xfId="1321" xr:uid="{4D8F3862-4C9B-48FF-A13E-E5E542C386C8}"/>
    <cellStyle name="Normal 4 3 2 2" xfId="2335" xr:uid="{7B0D6001-0A9C-49E8-87F3-71426A746933}"/>
    <cellStyle name="Normal 4 3 3" xfId="1277" xr:uid="{2C3226EA-3D23-457D-A2D7-3F4A4C07FC4C}"/>
    <cellStyle name="Normal 4 4" xfId="1187" xr:uid="{E10809D9-0584-42CE-AC82-C38CE85DDBC0}"/>
    <cellStyle name="Normal 4 5" xfId="2276" xr:uid="{CB352622-8703-478C-B120-C0519B6B9BE7}"/>
    <cellStyle name="Normal 4 6" xfId="1199" xr:uid="{6DBBDD5B-4C04-4EDC-81B8-D754EC2A0126}"/>
    <cellStyle name="Normal 5" xfId="279" xr:uid="{7B871C4E-61C6-4C7C-90F9-2F70F573C110}"/>
    <cellStyle name="Normal 5 2" xfId="601" xr:uid="{55351A25-939A-4754-A243-4F04706FD287}"/>
    <cellStyle name="Normal 5 3" xfId="479" xr:uid="{711D73CB-7661-42E5-82FC-689D1B5F349C}"/>
    <cellStyle name="Normal 5 4" xfId="1278" xr:uid="{8D3A4809-344B-4A07-B604-A15D78EE2D6D}"/>
    <cellStyle name="Normal 5 5" xfId="1245" xr:uid="{4FB0FC91-EC8C-40F5-A1DB-796FCA2D0AA4}"/>
    <cellStyle name="Normal 5 6" xfId="2277" xr:uid="{6BCB9DE1-29FB-4565-9DD6-B5A8AA20E4D8}"/>
    <cellStyle name="Normal 5 7" xfId="1217" xr:uid="{E158D227-0FC7-40E0-A584-9FFEE9BC996A}"/>
    <cellStyle name="Normal 6" xfId="373" xr:uid="{1905F1F5-A023-4773-8011-108AFAD65573}"/>
    <cellStyle name="Normal 6 2" xfId="1279" xr:uid="{37AB6802-4496-4E69-B8DD-FD008E3FA457}"/>
    <cellStyle name="Normal 6 3" xfId="1249" xr:uid="{D17A94BC-0D21-47BA-89CB-E769817FE86B}"/>
    <cellStyle name="Normal 6 4" xfId="2278" xr:uid="{BDC8DD68-8835-4FD8-ADEA-7F2EC0A98943}"/>
    <cellStyle name="Normal 6 5" xfId="1192" xr:uid="{A6A66D7E-34C6-4FEC-B771-AFF303CB6920}"/>
    <cellStyle name="Normal 7" xfId="291" xr:uid="{AA81C2B3-AA1B-462B-A3F1-69D727B9A31E}"/>
    <cellStyle name="Normal 7 2" xfId="1280" xr:uid="{3BC6FF55-C80A-4A38-BBE4-E3A7F907EDEC}"/>
    <cellStyle name="Normal 7 3" xfId="1248" xr:uid="{15C3CB15-2559-4712-93C3-F325B761AFB5}"/>
    <cellStyle name="Normal 7 4" xfId="2279" xr:uid="{F809A9CA-2ED4-4057-B8BA-192524E0A468}"/>
    <cellStyle name="Normal 7 5" xfId="1214" xr:uid="{215668B6-36CD-40EC-931C-24C1CE32273A}"/>
    <cellStyle name="Normal 8" xfId="606" xr:uid="{C87A60AE-322C-44DA-9D36-871F5DF1A1B5}"/>
    <cellStyle name="Normal 8 2" xfId="1281" xr:uid="{8C46BEB3-CB8B-4872-B19A-7CC121208B16}"/>
    <cellStyle name="Normal 8 3" xfId="1250" xr:uid="{7ED733FE-8BEB-4D2F-AEA8-083807F88074}"/>
    <cellStyle name="Normal 8 4" xfId="2280" xr:uid="{8ECF8A64-9C52-47F6-91DF-FF2DE1C89D01}"/>
    <cellStyle name="Normal 8 5" xfId="1230" xr:uid="{84EBEC78-96AA-4EB9-B712-10507566AC34}"/>
    <cellStyle name="Normal 9" xfId="1208" xr:uid="{CF196F65-78BB-4982-ADAF-60354C0AE2C1}"/>
    <cellStyle name="Normalny 2" xfId="86" xr:uid="{ADD66B2A-4EA5-4A99-AD53-9A4C76A2F757}"/>
    <cellStyle name="Normalny 3" xfId="91" xr:uid="{0EFEE2BD-F683-411C-8866-37C8C66EFEF1}"/>
    <cellStyle name="Notas" xfId="16" builtinId="10" customBuiltin="1"/>
    <cellStyle name="Notas 2" xfId="62" xr:uid="{073FD4FF-603E-4AD2-A01B-C0B5483B379C}"/>
    <cellStyle name="Notas 2 2" xfId="397" xr:uid="{2B6A9CD6-BA50-4D0F-8D63-4111EAC3BFA6}"/>
    <cellStyle name="Notas 2 2 2" xfId="506" xr:uid="{95A50136-0685-4C37-BFC9-34DB622A22D9}"/>
    <cellStyle name="Notas 2 3" xfId="410" xr:uid="{DB7EBF55-0F9F-4459-9801-C00CF47DEB73}"/>
    <cellStyle name="Notas 2 3 2" xfId="519" xr:uid="{3E46B753-5A55-4994-90FA-6ECB8330DB7A}"/>
    <cellStyle name="Notas 2 4" xfId="436" xr:uid="{7F05BDE5-A8F9-448D-A277-07B86E6EA7DC}"/>
    <cellStyle name="Notas 2 4 2" xfId="545" xr:uid="{7B57D0F6-3D3C-4D79-8313-FBA562981A86}"/>
    <cellStyle name="Notas 2 5" xfId="462" xr:uid="{4B1FDF6C-35D2-469C-84A2-D1BD3BA3EEAE}"/>
    <cellStyle name="Notas 2 5 2" xfId="571" xr:uid="{CAB1B525-1BA7-4E05-AFE2-E1F79735D0BF}"/>
    <cellStyle name="Notas 2 6" xfId="493" xr:uid="{B2224F44-67E7-48C4-A1DF-A268B1769E9C}"/>
    <cellStyle name="Notas 2 7" xfId="384" xr:uid="{D7A50A82-93DD-46D3-A6A2-972333763B1E}"/>
    <cellStyle name="Notas 3" xfId="411" xr:uid="{D0A40611-3A76-4AC1-9136-77EA420A9851}"/>
    <cellStyle name="Notas 3 2" xfId="437" xr:uid="{E8DC3EB8-0037-4364-92F7-932CF008CDCD}"/>
    <cellStyle name="Notas 3 2 2" xfId="546" xr:uid="{07D633B1-DC00-4911-A06F-DE01033389B0}"/>
    <cellStyle name="Notas 3 3" xfId="463" xr:uid="{68E67837-69AC-4A96-9270-91852842DAF5}"/>
    <cellStyle name="Notas 3 3 2" xfId="572" xr:uid="{DB7FDDE4-B36A-4329-9AB6-2314B8167FB7}"/>
    <cellStyle name="Notas 3 4" xfId="520" xr:uid="{14F79A57-7858-46FF-9412-23829E2FC5EB}"/>
    <cellStyle name="Obliczenia 2" xfId="102" xr:uid="{6982ACF5-6911-4606-8D97-0DE427045D59}"/>
    <cellStyle name="Percent 2" xfId="64" xr:uid="{8A48E85C-D03B-41EE-A2CD-563363384F7D}"/>
    <cellStyle name="Porcentaje" xfId="1014" builtinId="5"/>
    <cellStyle name="Porcentaje 2" xfId="233" xr:uid="{68D433E8-2E22-490B-BACF-818BA3E8A2A8}"/>
    <cellStyle name="Porcentaje 2 2" xfId="597" xr:uid="{56245AE1-2D46-47D9-9499-BB7DF9DA7110}"/>
    <cellStyle name="Porcentaje 2 3" xfId="376" xr:uid="{298A4CF2-1F75-4D97-88E3-8FE70F154169}"/>
    <cellStyle name="Porcentaje 3" xfId="375" xr:uid="{6B913709-1D75-4ADC-A98B-98A662D9AFEE}"/>
    <cellStyle name="Porcentaje 3 2" xfId="596" xr:uid="{756EAC18-7D70-4D1C-B3DC-A050F6B1CA22}"/>
    <cellStyle name="Result" xfId="287" xr:uid="{AC838679-1395-410B-94F7-B29B0EEBBEA7}"/>
    <cellStyle name="Result2" xfId="288" xr:uid="{04A8B692-C692-4E9B-9472-F88F4444048F}"/>
    <cellStyle name="Salida" xfId="11" builtinId="21" customBuiltin="1"/>
    <cellStyle name="Salida 2" xfId="63" xr:uid="{30401C9E-4579-47CE-8D65-086CB90138A6}"/>
    <cellStyle name="Satisfaisant" xfId="1224" xr:uid="{B2472566-A94B-44C6-97AF-EB8F4DB4CE3F}"/>
    <cellStyle name="Selection" xfId="53" xr:uid="{4FFE9BE7-0561-40DD-A494-157AF5ECAD66}"/>
    <cellStyle name="Sin nombre1" xfId="160" xr:uid="{AA358C62-0E2B-484D-9297-044C6E7487E0}"/>
    <cellStyle name="Sin nombre10" xfId="161" xr:uid="{668A2CA6-836D-4D3B-88E7-AC47C9805F4A}"/>
    <cellStyle name="Sin nombre11" xfId="162" xr:uid="{BA5010FA-2706-4AAF-A0A2-1F911D632691}"/>
    <cellStyle name="Sin nombre12" xfId="163" xr:uid="{97D07FEB-3C0D-4668-9332-856218819CD3}"/>
    <cellStyle name="Sin nombre13" xfId="164" xr:uid="{605B980F-C6D0-43DD-B184-FB08B048F4E7}"/>
    <cellStyle name="Sin nombre14" xfId="165" xr:uid="{1E6D59C7-3091-4391-9D43-CADA3F288539}"/>
    <cellStyle name="Sin nombre15" xfId="166" xr:uid="{F85475C5-F991-4699-B1BB-D2180F2D27F7}"/>
    <cellStyle name="Sin nombre16" xfId="167" xr:uid="{28ABC9E0-E3F6-486F-B47A-493349F693C4}"/>
    <cellStyle name="Sin nombre17" xfId="168" xr:uid="{622E82A4-C9B5-470E-B0F9-7D844419FD54}"/>
    <cellStyle name="Sin nombre18" xfId="169" xr:uid="{3821476D-274E-4D73-9EAF-2EEA54A72E5E}"/>
    <cellStyle name="Sin nombre19" xfId="170" xr:uid="{7496E992-A063-4DFD-A633-DCE110E56CD9}"/>
    <cellStyle name="Sin nombre2" xfId="171" xr:uid="{E371F43B-A110-45D5-AB83-B4DA912C5BA2}"/>
    <cellStyle name="Sin nombre20" xfId="172" xr:uid="{61430FB1-5D98-4D9C-B093-5A31CCAF9836}"/>
    <cellStyle name="Sin nombre21" xfId="173" xr:uid="{BBFC69F4-2A17-453A-80B6-2E0C7E71E840}"/>
    <cellStyle name="Sin nombre22" xfId="174" xr:uid="{E1EF8AA4-F5D5-467F-B5D0-52FDEC89BE10}"/>
    <cellStyle name="Sin nombre23" xfId="175" xr:uid="{4FBF62C4-8BCC-4D0C-8CF5-94D8B1410F21}"/>
    <cellStyle name="Sin nombre24" xfId="176" xr:uid="{ADCFD0C0-2AC7-45D3-8FA4-C1CD753203A5}"/>
    <cellStyle name="Sin nombre25" xfId="177" xr:uid="{EA895B37-8027-4F65-89ED-0664AA596CC6}"/>
    <cellStyle name="Sin nombre26" xfId="178" xr:uid="{C6437130-DD0D-462F-986E-C9367A743659}"/>
    <cellStyle name="Sin nombre27" xfId="179" xr:uid="{383EBFFD-7F70-4A62-9F61-06B618821C29}"/>
    <cellStyle name="Sin nombre28" xfId="180" xr:uid="{5C0226D9-497B-406B-8C6F-060850C9B8A8}"/>
    <cellStyle name="Sin nombre29" xfId="181" xr:uid="{81A9D94B-D853-4045-861B-B098E7CB8765}"/>
    <cellStyle name="Sin nombre3" xfId="182" xr:uid="{99C18B90-208E-4446-B41B-0D7872AD1619}"/>
    <cellStyle name="Sin nombre30" xfId="183" xr:uid="{B0714738-2C90-4709-8073-A206A9EF54D4}"/>
    <cellStyle name="Sin nombre31" xfId="184" xr:uid="{2037F67E-6DF4-4FEA-ABA6-6BFEA97DD7F9}"/>
    <cellStyle name="Sin nombre32" xfId="185" xr:uid="{563A8DF8-C053-4D81-8EB4-4E21C4125F06}"/>
    <cellStyle name="Sin nombre33" xfId="186" xr:uid="{7B4F031E-9B46-45DD-8BD8-3E0FAD1B1F11}"/>
    <cellStyle name="Sin nombre34" xfId="187" xr:uid="{BC44DCAE-205A-46C2-9C6D-F341C7606D1F}"/>
    <cellStyle name="Sin nombre35" xfId="188" xr:uid="{0BA49FB7-77D7-4F17-8CE2-207430DD6C16}"/>
    <cellStyle name="Sin nombre36" xfId="189" xr:uid="{92C907FF-D2EA-490E-9E9F-79B290374D19}"/>
    <cellStyle name="Sin nombre37" xfId="190" xr:uid="{2C6370DB-C9DC-4CF6-98B0-CEB5F53DD047}"/>
    <cellStyle name="Sin nombre38" xfId="191" xr:uid="{C2EF05D5-D33C-492D-AF67-B2DBDB8862A9}"/>
    <cellStyle name="Sin nombre39" xfId="192" xr:uid="{32044005-4853-40BF-932A-5116CCB6430C}"/>
    <cellStyle name="Sin nombre4" xfId="193" xr:uid="{6928A3EA-9069-4AEE-83B9-878CFE4F8569}"/>
    <cellStyle name="Sin nombre40" xfId="194" xr:uid="{F8FCE234-612E-482C-8F6A-7AF81CA0CD72}"/>
    <cellStyle name="Sin nombre41" xfId="195" xr:uid="{1EEF4735-62F6-46BB-A61D-2F1DAFF6E85F}"/>
    <cellStyle name="Sin nombre42" xfId="196" xr:uid="{BFE571EF-4304-4068-ABBC-6E1B2E4A0572}"/>
    <cellStyle name="Sin nombre43" xfId="197" xr:uid="{8FC3EAC5-0399-49C7-8AE3-A5B4A11C5639}"/>
    <cellStyle name="Sin nombre44" xfId="198" xr:uid="{20EC6B96-F4AE-46C8-8D38-2575C595FE29}"/>
    <cellStyle name="Sin nombre45" xfId="199" xr:uid="{18CB3EB2-D006-4B6E-9A17-415B577DC159}"/>
    <cellStyle name="Sin nombre46" xfId="200" xr:uid="{BB51A0D0-3131-4D2C-851D-A69F5C15557D}"/>
    <cellStyle name="Sin nombre47" xfId="201" xr:uid="{35FA95FD-08BC-4508-A5A3-56D3A4E7C222}"/>
    <cellStyle name="Sin nombre48" xfId="202" xr:uid="{F1CCB2D2-7064-4F48-AAA9-9AC78ECDE1A0}"/>
    <cellStyle name="Sin nombre49" xfId="203" xr:uid="{9CEE9191-6F64-4725-856E-A7C1BA0568EF}"/>
    <cellStyle name="Sin nombre5" xfId="204" xr:uid="{333BBE0F-2F27-4A7B-855B-C8484FB20127}"/>
    <cellStyle name="Sin nombre50" xfId="205" xr:uid="{DEFA7AEE-8CE4-49E5-9C16-13259E4B5348}"/>
    <cellStyle name="Sin nombre51" xfId="206" xr:uid="{EDAA9E6B-E546-4688-A803-DD13F8A0F433}"/>
    <cellStyle name="Sin nombre52" xfId="207" xr:uid="{88A50511-C57B-40E1-9E4D-AC576B7BE7DE}"/>
    <cellStyle name="Sin nombre53" xfId="208" xr:uid="{C5FBB2B1-7071-4FA0-A3D6-30F8F61B7CC6}"/>
    <cellStyle name="Sin nombre54" xfId="209" xr:uid="{6EDB7213-B956-44BA-BF00-FADC138CDD52}"/>
    <cellStyle name="Sin nombre55" xfId="210" xr:uid="{823915EB-89ED-48EE-B8D3-35ABDC7B5B15}"/>
    <cellStyle name="Sin nombre56" xfId="211" xr:uid="{6531E39D-F95E-4466-BD89-387D0312ED0E}"/>
    <cellStyle name="Sin nombre57" xfId="212" xr:uid="{FF3184AB-9554-44F1-AF0E-C7B559DC0AA0}"/>
    <cellStyle name="Sin nombre58" xfId="213" xr:uid="{F997D990-2031-4EAF-A10C-DAB6F3B09326}"/>
    <cellStyle name="Sin nombre59" xfId="214" xr:uid="{F98D16F7-8C72-4F46-866A-DFB832683E78}"/>
    <cellStyle name="Sin nombre6" xfId="215" xr:uid="{9243841D-7EE8-4630-816A-C41B84A1801B}"/>
    <cellStyle name="Sin nombre60" xfId="216" xr:uid="{330D6E82-922C-42F7-A0A4-59F140B8C058}"/>
    <cellStyle name="Sin nombre61" xfId="217" xr:uid="{257ED59F-7179-41E0-B971-88462FB3BC3F}"/>
    <cellStyle name="Sin nombre62" xfId="218" xr:uid="{0A187C91-630C-4E29-8741-0C21141E4865}"/>
    <cellStyle name="Sin nombre63" xfId="219" xr:uid="{CAA64AE7-3873-48EC-A995-FCEB179D6E63}"/>
    <cellStyle name="Sin nombre64" xfId="220" xr:uid="{98F0412B-4D02-49D4-8A78-D5307571CF51}"/>
    <cellStyle name="Sin nombre65" xfId="221" xr:uid="{79543143-02A2-49A2-ADF2-7E832AA98DEB}"/>
    <cellStyle name="Sin nombre66" xfId="222" xr:uid="{239CFF88-E480-4E63-B032-04EB647E6606}"/>
    <cellStyle name="Sin nombre67" xfId="223" xr:uid="{0F429337-1E96-4040-9B4C-230308C83B2D}"/>
    <cellStyle name="Sin nombre68" xfId="224" xr:uid="{A00B274A-8792-4B4A-8F29-1FDB9B54C943}"/>
    <cellStyle name="Sin nombre69" xfId="225" xr:uid="{680FB86A-18B3-4CCB-89EB-43749EDFABC0}"/>
    <cellStyle name="Sin nombre7" xfId="226" xr:uid="{04292EC5-4209-4A8C-AF0C-465001D53EB4}"/>
    <cellStyle name="Sin nombre70" xfId="227" xr:uid="{669B90E3-0D34-42BB-B73B-843CC21B1E72}"/>
    <cellStyle name="Sin nombre71" xfId="228" xr:uid="{C5AB2CB8-D03F-41FD-A1D4-C406C3C4C9E4}"/>
    <cellStyle name="Sin nombre72" xfId="229" xr:uid="{3E1FDF94-9CAD-4F84-B9CF-3D3F2917A394}"/>
    <cellStyle name="Sin nombre73" xfId="230" xr:uid="{FEE52D13-740B-481E-8042-40AA11A50B25}"/>
    <cellStyle name="Sin nombre8" xfId="231" xr:uid="{A1B4D07E-1017-4B25-8577-3FF1902AA15B}"/>
    <cellStyle name="Sin nombre9" xfId="232" xr:uid="{E6ECF4A2-A3E6-42B6-A289-E424EEC908F9}"/>
    <cellStyle name="Sortie" xfId="1202" xr:uid="{32BE9A1F-995C-4A74-9A3E-79DF7AFF573E}"/>
    <cellStyle name="Sortie 2" xfId="1282" xr:uid="{54A1140A-C377-4F1B-BF8B-D24C09FAEB94}"/>
    <cellStyle name="Sortie 2 2" xfId="2336" xr:uid="{579998BA-4814-46A8-B236-9EB0558CA956}"/>
    <cellStyle name="Sortie 2 3" xfId="2347" xr:uid="{A4184BD0-A96F-4B06-9D74-B7F73317E208}"/>
    <cellStyle name="Sortie 3" xfId="2281" xr:uid="{C48DD90C-538B-4D00-9C1E-A9AC5161F657}"/>
    <cellStyle name="Sortie 4" xfId="2344" xr:uid="{5E584435-5377-4775-A4E0-9A4C1608388F}"/>
    <cellStyle name="Suma 2" xfId="108" xr:uid="{392F37D3-C362-4A16-86C0-5C6C70E1A72F}"/>
    <cellStyle name="Tekst objaśnienia 2" xfId="107" xr:uid="{F4E124FA-3BF5-483A-8DAB-B1ADE5615364}"/>
    <cellStyle name="Tekst ostrzeżenia 2" xfId="105" xr:uid="{E4F1BC93-E889-4314-89A9-3D22EA233C1F}"/>
    <cellStyle name="Texte explicatif" xfId="1219" xr:uid="{CD922334-46B1-4686-BB7A-ADE5A9AAF90F}"/>
    <cellStyle name="Texto de advertencia" xfId="15" builtinId="11" customBuiltin="1"/>
    <cellStyle name="Texto de advertencia 2" xfId="65" xr:uid="{B5D0BAEB-83A7-4D05-9F0C-A50DB6461116}"/>
    <cellStyle name="Texto explicativo" xfId="17" builtinId="53" customBuiltin="1"/>
    <cellStyle name="Texto explicativo 2" xfId="51" xr:uid="{EA8029F6-28C5-4FF9-AEB1-5E7FB6181B84}"/>
    <cellStyle name="Titre" xfId="1196" xr:uid="{9B91B985-FD1C-4054-BDB7-154511A53C3C}"/>
    <cellStyle name="Titre 1" xfId="1190" xr:uid="{AB6B8DA5-A266-4426-BC74-8902182E4958}"/>
    <cellStyle name="Titre 2" xfId="1031" xr:uid="{26D7347E-27EB-444B-BFD4-1E995F38C6D7}"/>
    <cellStyle name="Titre 3" xfId="1210" xr:uid="{9FFD2D0B-847D-447E-B41F-2CC61B14F537}"/>
    <cellStyle name="Titre 4" xfId="1227" xr:uid="{1E96AA9A-7303-4FA0-971B-0213278675F5}"/>
    <cellStyle name="Título" xfId="2" builtinId="15" customBuiltin="1"/>
    <cellStyle name="Título 2" xfId="4" builtinId="17" customBuiltin="1"/>
    <cellStyle name="Título 3" xfId="5" builtinId="18" customBuiltin="1"/>
    <cellStyle name="Total" xfId="18" builtinId="25" customBuiltin="1"/>
    <cellStyle name="Tytuł 2" xfId="92" xr:uid="{4CB19F49-2971-4D08-BDFD-57DF8194FE22}"/>
    <cellStyle name="Uwaga 2" xfId="106" xr:uid="{09DA4FA2-0DF6-42B7-8AB7-70E0BAB7D2E9}"/>
    <cellStyle name="Vérification" xfId="1204" xr:uid="{01B0911B-C2DF-4DCA-848C-909E74461A91}"/>
    <cellStyle name="Zły 2" xfId="98" xr:uid="{9DC46E7B-9AC7-4816-A023-479E4204A78F}"/>
    <cellStyle name="Κανονικό 2" xfId="89" xr:uid="{13B5167C-494D-4F5A-AB1E-9D21FA120E35}"/>
  </cellStyles>
  <dxfs count="132">
    <dxf>
      <font>
        <b val="0"/>
        <i val="0"/>
        <strike val="0"/>
        <condense val="0"/>
        <extend val="0"/>
        <outline val="0"/>
        <shadow val="0"/>
        <u val="none"/>
        <vertAlign val="baseline"/>
        <sz val="10"/>
        <color rgb="FF002060"/>
        <name val="Calibri Light"/>
        <family val="2"/>
        <scheme val="major"/>
      </font>
      <numFmt numFmtId="2" formatCode="0.00"/>
      <fill>
        <patternFill patternType="solid">
          <fgColor indexed="64"/>
          <bgColor theme="0"/>
        </patternFill>
      </fill>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2060"/>
        <name val="Calibri Light"/>
        <family val="2"/>
        <scheme val="major"/>
      </font>
      <fill>
        <patternFill patternType="solid">
          <fgColor indexed="64"/>
          <bgColor theme="0"/>
        </patternFill>
      </fill>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rgb="FF053D5F"/>
        </top>
      </border>
    </dxf>
    <dxf>
      <border outline="0">
        <left style="thin">
          <color theme="0"/>
        </left>
        <right style="thin">
          <color rgb="FF053D5F"/>
        </right>
        <top style="thin">
          <color rgb="FF053D5F"/>
        </top>
        <bottom style="thin">
          <color rgb="FF053D5F"/>
        </bottom>
      </border>
    </dxf>
    <dxf>
      <font>
        <b val="0"/>
        <i val="0"/>
        <strike val="0"/>
        <condense val="0"/>
        <extend val="0"/>
        <outline val="0"/>
        <shadow val="0"/>
        <u val="none"/>
        <vertAlign val="baseline"/>
        <sz val="11"/>
        <color rgb="FF002060"/>
        <name val="Calibri"/>
        <family val="2"/>
        <scheme val="minor"/>
      </font>
      <fill>
        <patternFill patternType="solid">
          <fgColor indexed="64"/>
          <bgColor rgb="FFD9D9D9"/>
        </patternFill>
      </fill>
    </dxf>
    <dxf>
      <border outline="0">
        <bottom style="thin">
          <color rgb="FF053D5F"/>
        </bottom>
      </border>
    </dxf>
    <dxf>
      <font>
        <b val="0"/>
        <i val="0"/>
        <strike val="0"/>
        <condense val="0"/>
        <extend val="0"/>
        <outline val="0"/>
        <shadow val="0"/>
        <u val="none"/>
        <vertAlign val="baseline"/>
        <sz val="11"/>
        <color rgb="FF002060"/>
        <name val="Calibri"/>
        <family val="2"/>
        <scheme val="minor"/>
      </font>
    </dxf>
    <dxf>
      <font>
        <b val="0"/>
        <i val="0"/>
        <strike val="0"/>
        <condense val="0"/>
        <extend val="0"/>
        <outline val="0"/>
        <shadow val="0"/>
        <u val="none"/>
        <vertAlign val="baseline"/>
        <sz val="10"/>
        <color theme="1"/>
        <name val="Calibri Light"/>
        <family val="2"/>
        <scheme val="major"/>
      </font>
      <fill>
        <patternFill patternType="solid">
          <fgColor indexed="64"/>
          <bgColor theme="0"/>
        </patternFill>
      </fill>
      <alignment horizontal="left"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0"/>
        <color theme="1"/>
        <name val="Calibri Light"/>
        <family val="2"/>
        <scheme val="major"/>
      </font>
      <fill>
        <patternFill patternType="solid">
          <fgColor indexed="64"/>
          <bgColor theme="0"/>
        </patternFill>
      </fill>
      <alignment horizontal="left"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0"/>
        <color theme="1"/>
        <name val="Calibri Light"/>
        <family val="2"/>
        <scheme val="major"/>
      </font>
      <fill>
        <patternFill patternType="solid">
          <fgColor indexed="64"/>
          <bgColor theme="0"/>
        </patternFill>
      </fill>
      <alignment horizontal="left"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0"/>
        <color theme="1"/>
        <name val="Calibri Light"/>
        <family val="2"/>
        <scheme val="major"/>
      </font>
      <fill>
        <patternFill patternType="solid">
          <fgColor indexed="64"/>
          <bgColor theme="0"/>
        </patternFill>
      </fill>
      <alignment horizontal="left"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0"/>
        <color theme="1"/>
        <name val="Calibri Light"/>
        <family val="2"/>
        <scheme val="major"/>
      </font>
      <fill>
        <patternFill patternType="solid">
          <fgColor indexed="64"/>
          <bgColor theme="0"/>
        </patternFill>
      </fill>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Calibri Light"/>
        <family val="2"/>
        <scheme val="maj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Light"/>
        <family val="2"/>
        <scheme val="major"/>
      </font>
      <fill>
        <patternFill patternType="solid">
          <fgColor indexed="64"/>
          <bgColor theme="0"/>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Light"/>
        <family val="2"/>
        <scheme val="major"/>
      </font>
      <fill>
        <patternFill patternType="solid">
          <fgColor indexed="64"/>
          <bgColor theme="0"/>
        </patternFill>
      </fill>
      <alignment horizontal="lef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0"/>
        <name val="Calibri Light"/>
        <family val="2"/>
        <scheme val="major"/>
      </font>
      <numFmt numFmtId="4" formatCode="#,##0.00"/>
      <fill>
        <patternFill patternType="solid">
          <fgColor indexed="64"/>
          <bgColor theme="0" tint="-0.34998626667073579"/>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Light"/>
        <family val="2"/>
        <scheme val="major"/>
      </font>
      <fill>
        <patternFill patternType="solid">
          <fgColor indexed="64"/>
          <bgColor theme="0"/>
        </patternFill>
      </fill>
      <alignment horizontal="center" vertical="center" textRotation="0" wrapText="1"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Light"/>
        <family val="2"/>
        <scheme val="major"/>
      </font>
      <fill>
        <patternFill patternType="solid">
          <fgColor indexed="64"/>
          <bgColor theme="0"/>
        </patternFill>
      </fill>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theme="0"/>
        <name val="Calibri Light"/>
        <family val="2"/>
        <scheme val="major"/>
      </font>
      <numFmt numFmtId="4" formatCode="#,##0.00"/>
      <fill>
        <patternFill patternType="solid">
          <fgColor indexed="64"/>
          <bgColor theme="0" tint="-0.34998626667073579"/>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Light"/>
        <family val="2"/>
        <scheme val="major"/>
      </font>
      <fill>
        <patternFill patternType="solid">
          <fgColor indexed="64"/>
          <bgColor theme="0"/>
        </patternFill>
      </fill>
      <alignment horizontal="center" vertical="center" textRotation="0" wrapText="1"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Light"/>
        <family val="2"/>
        <scheme val="major"/>
      </font>
      <fill>
        <patternFill patternType="solid">
          <fgColor indexed="64"/>
          <bgColor theme="0"/>
        </patternFill>
      </fill>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theme="0"/>
        <name val="Calibri Light"/>
        <family val="2"/>
        <scheme val="major"/>
      </font>
      <numFmt numFmtId="4" formatCode="#,##0.00"/>
      <fill>
        <patternFill patternType="solid">
          <fgColor indexed="64"/>
          <bgColor theme="0" tint="-0.34998626667073579"/>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solid">
          <fgColor indexed="64"/>
          <bgColor theme="0"/>
        </patternFill>
      </fill>
      <alignment horizontal="center" vertical="center" textRotation="0" wrapText="1"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Light"/>
        <family val="2"/>
        <scheme val="major"/>
      </font>
      <fill>
        <patternFill patternType="solid">
          <fgColor indexed="64"/>
          <bgColor theme="0"/>
        </patternFill>
      </fill>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rgb="FFFFFFFF"/>
        <name val="Calibri Light"/>
        <family val="2"/>
        <scheme val="major"/>
      </font>
      <fill>
        <patternFill patternType="solid">
          <fgColor indexed="64"/>
          <bgColor theme="0" tint="-0.34998626667073579"/>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Light"/>
        <family val="2"/>
        <scheme val="major"/>
      </font>
      <fill>
        <patternFill patternType="solid">
          <fgColor indexed="64"/>
          <bgColor theme="0"/>
        </patternFill>
      </fill>
      <alignment horizontal="center" vertical="center" textRotation="0" wrapText="1"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Light"/>
        <family val="2"/>
        <scheme val="major"/>
      </font>
      <fill>
        <patternFill patternType="solid">
          <fgColor indexed="64"/>
          <bgColor theme="0"/>
        </patternFill>
      </fill>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theme="0"/>
        <name val="Calibri Light"/>
        <family val="2"/>
        <scheme val="major"/>
      </font>
      <numFmt numFmtId="4" formatCode="#,##0.00"/>
      <fill>
        <patternFill patternType="solid">
          <fgColor indexed="64"/>
          <bgColor theme="0" tint="-0.34998626667073579"/>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Light"/>
        <family val="2"/>
        <scheme val="major"/>
      </font>
      <fill>
        <patternFill patternType="solid">
          <fgColor indexed="64"/>
          <bgColor theme="0"/>
        </patternFill>
      </fill>
      <alignment horizontal="center" vertical="center" textRotation="0" wrapText="1"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Light"/>
        <family val="2"/>
        <scheme val="major"/>
      </font>
      <fill>
        <patternFill patternType="solid">
          <fgColor indexed="64"/>
          <bgColor theme="0"/>
        </patternFill>
      </fill>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theme="0"/>
        <name val="Calibri Light"/>
        <family val="2"/>
        <scheme val="major"/>
      </font>
      <numFmt numFmtId="4" formatCode="#,##0.00"/>
      <fill>
        <patternFill patternType="solid">
          <fgColor indexed="64"/>
          <bgColor theme="0" tint="-0.34998626667073579"/>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Light"/>
        <family val="2"/>
        <scheme val="major"/>
      </font>
      <fill>
        <patternFill patternType="solid">
          <fgColor indexed="64"/>
          <bgColor theme="0"/>
        </patternFill>
      </fill>
      <alignment horizontal="center" vertical="center" textRotation="0" wrapText="1"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Light"/>
        <family val="2"/>
        <scheme val="major"/>
      </font>
      <fill>
        <patternFill patternType="solid">
          <fgColor indexed="64"/>
          <bgColor theme="0"/>
        </patternFill>
      </fill>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theme="0"/>
        <name val="Calibri Light"/>
        <family val="2"/>
        <scheme val="major"/>
      </font>
      <numFmt numFmtId="4" formatCode="#,##0.00"/>
      <fill>
        <patternFill patternType="solid">
          <fgColor indexed="64"/>
          <bgColor theme="0" tint="-0.34998626667073579"/>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Light"/>
        <family val="2"/>
        <scheme val="major"/>
      </font>
      <fill>
        <patternFill patternType="solid">
          <fgColor indexed="64"/>
          <bgColor theme="0"/>
        </patternFill>
      </fill>
      <alignment horizontal="center" vertical="center" textRotation="0" wrapText="1"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Light"/>
        <family val="2"/>
        <scheme val="major"/>
      </font>
      <fill>
        <patternFill patternType="solid">
          <fgColor indexed="64"/>
          <bgColor theme="0"/>
        </patternFill>
      </fill>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theme="0"/>
        <name val="Calibri Light"/>
        <family val="2"/>
        <scheme val="major"/>
      </font>
      <numFmt numFmtId="4" formatCode="#,##0.00"/>
      <fill>
        <patternFill patternType="solid">
          <fgColor indexed="64"/>
          <bgColor theme="0" tint="-0.34998626667073579"/>
        </patternFill>
      </fill>
      <alignment horizontal="center" vertical="center" textRotation="0" wrapText="1" indent="0" justifyLastLine="0" shrinkToFit="0" readingOrder="0"/>
    </dxf>
    <dxf>
      <font>
        <b val="0"/>
        <i val="0"/>
        <strike val="0"/>
        <condense val="0"/>
        <extend val="0"/>
        <outline val="0"/>
        <shadow val="0"/>
        <u val="none"/>
        <vertAlign val="baseline"/>
        <sz val="28"/>
        <color theme="1"/>
        <name val="Calibri Light"/>
        <family val="2"/>
        <scheme val="none"/>
      </font>
      <alignment horizontal="center" vertical="center" textRotation="0" wrapText="0" indent="0" justifyLastLine="0" shrinkToFit="0" readingOrder="0"/>
      <border diagonalUp="0" diagonalDown="0" outline="0">
        <left/>
        <right/>
        <top style="thin">
          <color theme="0"/>
        </top>
        <bottom style="thin">
          <color theme="0"/>
        </bottom>
      </border>
    </dxf>
    <dxf>
      <border outline="0">
        <top style="thin">
          <color theme="0"/>
        </top>
      </border>
    </dxf>
    <dxf>
      <border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28"/>
        <color theme="1"/>
        <name val="Calibri Light"/>
        <family val="2"/>
        <scheme val="none"/>
      </font>
      <alignment horizontal="center" vertical="center" textRotation="0" wrapText="0" indent="0" justifyLastLine="0" shrinkToFit="0" readingOrder="0"/>
    </dxf>
    <dxf>
      <border outline="0">
        <bottom style="thin">
          <color theme="0"/>
        </bottom>
      </border>
    </dxf>
    <dxf>
      <font>
        <b val="0"/>
        <i val="0"/>
        <strike val="0"/>
        <condense val="0"/>
        <extend val="0"/>
        <outline val="0"/>
        <shadow val="0"/>
        <u val="none"/>
        <vertAlign val="baseline"/>
        <sz val="28"/>
        <color theme="1"/>
        <name val="Calibri Light"/>
        <family val="2"/>
        <scheme val="none"/>
      </font>
      <alignment horizontal="center" vertical="center" textRotation="0" wrapText="0" indent="0" justifyLastLine="0" shrinkToFit="0" readingOrder="0"/>
    </dxf>
    <dxf>
      <font>
        <strike val="0"/>
        <outline val="0"/>
        <shadow val="0"/>
        <u val="none"/>
        <vertAlign val="baseline"/>
        <sz val="28"/>
        <name val="Calibri Light"/>
        <family val="2"/>
        <scheme val="none"/>
      </font>
      <alignment horizontal="center" vertical="center" textRotation="0" wrapText="0" indent="0" justifyLastLine="0" shrinkToFit="0" readingOrder="0"/>
    </dxf>
    <dxf>
      <font>
        <strike val="0"/>
        <outline val="0"/>
        <shadow val="0"/>
        <u val="none"/>
        <vertAlign val="baseline"/>
        <sz val="28"/>
        <name val="Calibri Light"/>
        <family val="2"/>
        <scheme val="none"/>
      </font>
      <alignment horizontal="center" vertical="center" textRotation="0" wrapText="0" indent="0" justifyLastLine="0" shrinkToFit="0" readingOrder="0"/>
    </dxf>
    <dxf>
      <border outline="0">
        <top style="thin">
          <color theme="0"/>
        </top>
      </border>
    </dxf>
    <dxf>
      <border outline="0">
        <left style="thin">
          <color theme="0"/>
        </left>
        <right style="thin">
          <color theme="0"/>
        </right>
        <top style="thin">
          <color theme="0"/>
        </top>
        <bottom style="thin">
          <color theme="0"/>
        </bottom>
      </border>
    </dxf>
    <dxf>
      <font>
        <strike val="0"/>
        <outline val="0"/>
        <shadow val="0"/>
        <u val="none"/>
        <vertAlign val="baseline"/>
        <sz val="28"/>
        <name val="Calibri Light"/>
        <family val="2"/>
        <scheme val="none"/>
      </font>
      <alignment horizontal="center" vertical="center" textRotation="0" wrapText="0" indent="0" justifyLastLine="0" shrinkToFit="0" readingOrder="0"/>
    </dxf>
    <dxf>
      <border outline="0">
        <bottom style="thin">
          <color theme="0"/>
        </bottom>
      </border>
    </dxf>
    <dxf>
      <font>
        <strike val="0"/>
        <outline val="0"/>
        <shadow val="0"/>
        <u val="none"/>
        <vertAlign val="baseline"/>
        <sz val="28"/>
        <name val="Calibri Light"/>
        <family val="2"/>
        <scheme val="none"/>
      </font>
      <alignment horizontal="center" vertical="center" textRotation="0" wrapText="0" indent="0" justifyLastLine="0" shrinkToFit="0" readingOrder="0"/>
    </dxf>
    <dxf>
      <font>
        <strike val="0"/>
        <outline val="0"/>
        <shadow val="0"/>
        <u val="none"/>
        <vertAlign val="baseline"/>
        <sz val="28"/>
        <name val="Calibri Light"/>
        <family val="2"/>
        <scheme val="none"/>
      </font>
      <alignment horizontal="center" vertical="center" textRotation="0" wrapText="0" indent="0" justifyLastLine="0" shrinkToFit="0" readingOrder="0"/>
      <border diagonalUp="0" diagonalDown="0" outline="0">
        <left/>
        <right/>
        <top style="thin">
          <color theme="0"/>
        </top>
        <bottom style="thin">
          <color theme="0"/>
        </bottom>
      </border>
    </dxf>
    <dxf>
      <border outline="0">
        <top style="thin">
          <color theme="0"/>
        </top>
      </border>
    </dxf>
    <dxf>
      <border outline="0">
        <left style="thin">
          <color theme="0"/>
        </left>
        <right style="thin">
          <color theme="0"/>
        </right>
        <top style="thin">
          <color theme="0"/>
        </top>
        <bottom style="thin">
          <color theme="0"/>
        </bottom>
      </border>
    </dxf>
    <dxf>
      <font>
        <strike val="0"/>
        <outline val="0"/>
        <shadow val="0"/>
        <u val="none"/>
        <vertAlign val="baseline"/>
        <sz val="28"/>
        <name val="Calibri Light"/>
        <family val="2"/>
        <scheme val="none"/>
      </font>
      <alignment horizontal="center" vertical="center" textRotation="0" wrapText="0" indent="0" justifyLastLine="0" shrinkToFit="0" readingOrder="0"/>
    </dxf>
    <dxf>
      <border outline="0">
        <bottom style="thin">
          <color theme="0"/>
        </bottom>
      </border>
    </dxf>
    <dxf>
      <font>
        <strike val="0"/>
        <outline val="0"/>
        <shadow val="0"/>
        <u val="none"/>
        <vertAlign val="baseline"/>
        <sz val="28"/>
        <name val="Calibri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28"/>
        <color theme="1"/>
        <name val="Calibri Light"/>
        <family val="2"/>
        <scheme val="major"/>
      </font>
      <fill>
        <patternFill patternType="solid">
          <fgColor indexed="64"/>
          <bgColor theme="0"/>
        </patternFill>
      </fill>
      <alignment horizontal="center"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28"/>
        <color theme="1"/>
        <name val="Calibri Light"/>
        <family val="2"/>
        <scheme val="major"/>
      </font>
      <numFmt numFmtId="181" formatCode="#.##000"/>
      <fill>
        <patternFill patternType="solid">
          <fgColor indexed="64"/>
          <bgColor theme="0"/>
        </patternFill>
      </fill>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28"/>
        <color theme="0"/>
        <name val="Calibri Light"/>
        <family val="2"/>
        <scheme val="major"/>
      </font>
      <numFmt numFmtId="4" formatCode="#,##0.00"/>
      <fill>
        <patternFill patternType="solid">
          <fgColor indexed="64"/>
          <bgColor theme="0" tint="-0.34998626667073579"/>
        </patternFill>
      </fill>
      <alignment horizontal="center" vertical="center" textRotation="0" wrapText="1" indent="0" justifyLastLine="0" shrinkToFit="0" readingOrder="0"/>
    </dxf>
    <dxf>
      <font>
        <strike val="0"/>
        <outline val="0"/>
        <shadow val="0"/>
        <u val="none"/>
        <vertAlign val="baseline"/>
        <sz val="28"/>
      </font>
      <alignment horizontal="center" vertical="center" textRotation="0" wrapText="0" indent="0" justifyLastLine="0" shrinkToFit="0" readingOrder="0"/>
    </dxf>
    <dxf>
      <border outline="0">
        <top style="thin">
          <color theme="0"/>
        </top>
      </border>
    </dxf>
    <dxf>
      <border outline="0">
        <left style="thin">
          <color theme="0"/>
        </left>
        <right style="thin">
          <color theme="0"/>
        </right>
        <top style="thin">
          <color theme="0"/>
        </top>
        <bottom style="thin">
          <color theme="0"/>
        </bottom>
      </border>
    </dxf>
    <dxf>
      <font>
        <strike val="0"/>
        <outline val="0"/>
        <shadow val="0"/>
        <u val="none"/>
        <vertAlign val="baseline"/>
        <sz val="28"/>
      </font>
      <alignment horizontal="center" vertical="center" textRotation="0" wrapText="0" indent="0" justifyLastLine="0" shrinkToFit="0" readingOrder="0"/>
    </dxf>
    <dxf>
      <border outline="0">
        <bottom style="thin">
          <color theme="0"/>
        </bottom>
      </border>
    </dxf>
    <dxf>
      <font>
        <strike val="0"/>
        <outline val="0"/>
        <shadow val="0"/>
        <u val="none"/>
        <vertAlign val="baseline"/>
        <sz val="28"/>
      </font>
      <alignment horizontal="center" vertical="center" textRotation="0" wrapText="0" indent="0" justifyLastLine="0" shrinkToFit="0" readingOrder="0"/>
    </dxf>
    <dxf>
      <font>
        <strike val="0"/>
        <outline val="0"/>
        <shadow val="0"/>
        <u val="none"/>
        <vertAlign val="baseline"/>
        <sz val="28"/>
      </font>
      <alignment horizontal="center" vertical="center" textRotation="0" wrapText="0" indent="0" justifyLastLine="0" shrinkToFit="0" readingOrder="0"/>
      <border diagonalUp="0" diagonalDown="0" outline="0">
        <left/>
        <right/>
        <top style="thin">
          <color theme="0"/>
        </top>
        <bottom style="thin">
          <color theme="0"/>
        </bottom>
      </border>
    </dxf>
    <dxf>
      <border outline="0">
        <top style="thin">
          <color theme="0"/>
        </top>
      </border>
    </dxf>
    <dxf>
      <border outline="0">
        <left style="thin">
          <color theme="0"/>
        </left>
        <right style="thin">
          <color theme="0"/>
        </right>
        <top style="thin">
          <color theme="0"/>
        </top>
        <bottom style="thin">
          <color theme="0"/>
        </bottom>
      </border>
    </dxf>
    <dxf>
      <font>
        <strike val="0"/>
        <outline val="0"/>
        <shadow val="0"/>
        <u val="none"/>
        <vertAlign val="baseline"/>
        <sz val="28"/>
      </font>
      <alignment horizontal="center" vertical="center" textRotation="0" wrapText="0" indent="0" justifyLastLine="0" shrinkToFit="0" readingOrder="0"/>
    </dxf>
    <dxf>
      <border outline="0">
        <bottom style="thin">
          <color theme="0"/>
        </bottom>
      </border>
    </dxf>
    <dxf>
      <font>
        <strike val="0"/>
        <outline val="0"/>
        <shadow val="0"/>
        <u val="none"/>
        <vertAlign val="baseline"/>
        <sz val="28"/>
      </font>
      <alignment horizontal="center" vertical="bottom" textRotation="0" wrapText="0" indent="0" justifyLastLine="0" shrinkToFit="0" readingOrder="0"/>
    </dxf>
    <dxf>
      <font>
        <strike val="0"/>
        <outline val="0"/>
        <shadow val="0"/>
        <u val="none"/>
        <vertAlign val="baseline"/>
        <sz val="28"/>
        <color theme="1"/>
        <name val="Calibri Light"/>
        <family val="2"/>
        <scheme val="major"/>
      </font>
      <alignment horizontal="center" vertical="center" textRotation="0" wrapText="0" indent="0" justifyLastLine="0" shrinkToFit="0" readingOrder="0"/>
    </dxf>
    <dxf>
      <font>
        <strike val="0"/>
        <outline val="0"/>
        <shadow val="0"/>
        <u val="none"/>
        <vertAlign val="baseline"/>
        <sz val="28"/>
        <color theme="1"/>
        <name val="Calibri Light"/>
        <family val="2"/>
        <scheme val="major"/>
      </font>
      <alignment horizontal="center" vertical="center" textRotation="0" wrapText="0" indent="0" justifyLastLine="0" shrinkToFit="0" readingOrder="0"/>
    </dxf>
    <dxf>
      <border outline="0">
        <top style="thin">
          <color theme="0"/>
        </top>
      </border>
    </dxf>
    <dxf>
      <border outline="0">
        <left style="thin">
          <color theme="0"/>
        </left>
        <right style="thin">
          <color theme="0"/>
        </right>
        <top style="thin">
          <color theme="0"/>
        </top>
        <bottom style="thin">
          <color theme="0"/>
        </bottom>
      </border>
    </dxf>
    <dxf>
      <font>
        <strike val="0"/>
        <outline val="0"/>
        <shadow val="0"/>
        <u val="none"/>
        <vertAlign val="baseline"/>
        <sz val="28"/>
        <color theme="1"/>
        <name val="Calibri Light"/>
        <family val="2"/>
        <scheme val="major"/>
      </font>
      <alignment horizontal="center" vertical="center" textRotation="0" wrapText="0" indent="0" justifyLastLine="0" shrinkToFit="0" readingOrder="0"/>
    </dxf>
    <dxf>
      <border outline="0">
        <bottom style="thin">
          <color theme="0"/>
        </bottom>
      </border>
    </dxf>
    <dxf>
      <font>
        <strike val="0"/>
        <outline val="0"/>
        <shadow val="0"/>
        <u val="none"/>
        <vertAlign val="baseline"/>
        <sz val="28"/>
        <color theme="1"/>
        <name val="Calibri Light"/>
        <family val="2"/>
        <scheme val="major"/>
      </font>
      <alignment horizontal="center" vertical="center" textRotation="0" wrapText="0" indent="0" justifyLastLine="0" shrinkToFit="0" readingOrder="0"/>
    </dxf>
    <dxf>
      <font>
        <b val="0"/>
        <i val="0"/>
        <strike val="0"/>
        <condense val="0"/>
        <extend val="0"/>
        <outline val="0"/>
        <shadow val="0"/>
        <u val="none"/>
        <vertAlign val="baseline"/>
        <sz val="28"/>
        <color theme="1"/>
        <name val="Calibri Light"/>
        <family val="2"/>
        <scheme val="major"/>
      </font>
      <alignment horizontal="center" vertical="center" textRotation="0" wrapText="0" indent="0" justifyLastLine="0" shrinkToFit="0" readingOrder="0"/>
      <border diagonalUp="0" diagonalDown="0" outline="0">
        <left/>
        <right/>
        <top style="thin">
          <color theme="0"/>
        </top>
        <bottom/>
      </border>
    </dxf>
    <dxf>
      <font>
        <b val="0"/>
        <i val="0"/>
        <strike val="0"/>
        <condense val="0"/>
        <extend val="0"/>
        <outline val="0"/>
        <shadow val="0"/>
        <u val="none"/>
        <vertAlign val="baseline"/>
        <sz val="28"/>
        <color theme="1"/>
        <name val="Calibri Light"/>
        <family val="2"/>
        <scheme val="major"/>
      </font>
      <alignment horizontal="center" vertical="center" textRotation="0" wrapText="0" indent="0" justifyLastLine="0" shrinkToFit="0" readingOrder="0"/>
      <border diagonalUp="0" diagonalDown="0" outline="0">
        <left/>
        <right/>
        <top style="thin">
          <color theme="0"/>
        </top>
        <bottom/>
      </border>
    </dxf>
    <dxf>
      <border outline="0">
        <top style="thin">
          <color theme="0"/>
        </top>
      </border>
    </dxf>
    <dxf>
      <border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28"/>
        <color theme="1"/>
        <name val="Calibri Light"/>
        <family val="2"/>
        <scheme val="major"/>
      </font>
      <alignment horizontal="center" vertical="center" textRotation="0" wrapText="0" indent="0" justifyLastLine="0" shrinkToFit="0" readingOrder="0"/>
    </dxf>
    <dxf>
      <border outline="0">
        <bottom style="thin">
          <color theme="0"/>
        </bottom>
      </border>
    </dxf>
    <dxf>
      <font>
        <b val="0"/>
        <i val="0"/>
        <strike val="0"/>
        <condense val="0"/>
        <extend val="0"/>
        <outline val="0"/>
        <shadow val="0"/>
        <u val="none"/>
        <vertAlign val="baseline"/>
        <sz val="28"/>
        <color theme="1"/>
        <name val="Calibri Light"/>
        <family val="2"/>
        <scheme val="major"/>
      </font>
      <alignment horizontal="center" vertical="center" textRotation="0" wrapText="0" indent="0" justifyLastLine="0" shrinkToFit="0" readingOrder="0"/>
    </dxf>
    <dxf>
      <font>
        <b val="0"/>
        <i val="0"/>
        <strike val="0"/>
        <condense val="0"/>
        <extend val="0"/>
        <outline val="0"/>
        <shadow val="0"/>
        <u val="none"/>
        <vertAlign val="baseline"/>
        <sz val="28"/>
        <color theme="1"/>
        <name val="Calibri Light"/>
        <family val="2"/>
        <scheme val="major"/>
      </font>
      <alignment horizontal="center" vertical="center" textRotation="0" wrapText="0" indent="0" justifyLastLine="0" shrinkToFit="0" readingOrder="0"/>
      <border diagonalUp="0" diagonalDown="0" outline="0">
        <left/>
        <right/>
        <top style="thin">
          <color theme="0"/>
        </top>
        <bottom style="thin">
          <color theme="0"/>
        </bottom>
      </border>
    </dxf>
    <dxf>
      <border outline="0">
        <top style="thin">
          <color theme="0"/>
        </top>
      </border>
    </dxf>
    <dxf>
      <border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28"/>
        <color theme="1"/>
        <name val="Calibri Light"/>
        <family val="2"/>
        <scheme val="major"/>
      </font>
      <alignment horizontal="center" vertical="center" textRotation="0" wrapText="0" indent="0" justifyLastLine="0" shrinkToFit="0" readingOrder="0"/>
    </dxf>
    <dxf>
      <border outline="0">
        <bottom style="thin">
          <color theme="0"/>
        </bottom>
      </border>
    </dxf>
    <dxf>
      <font>
        <b val="0"/>
        <i val="0"/>
        <strike val="0"/>
        <condense val="0"/>
        <extend val="0"/>
        <outline val="0"/>
        <shadow val="0"/>
        <u val="none"/>
        <vertAlign val="baseline"/>
        <sz val="28"/>
        <color theme="1"/>
        <name val="Calibri Light"/>
        <family val="2"/>
        <scheme val="major"/>
      </font>
      <alignment horizontal="center" vertical="center" textRotation="0" wrapText="0" indent="0" justifyLastLine="0" shrinkToFit="0" readingOrder="0"/>
    </dxf>
    <dxf>
      <font>
        <b val="0"/>
        <i val="0"/>
        <strike val="0"/>
        <condense val="0"/>
        <extend val="0"/>
        <outline val="0"/>
        <shadow val="0"/>
        <u val="none"/>
        <vertAlign val="baseline"/>
        <sz val="28"/>
        <color theme="1"/>
        <name val="Calibri Light"/>
        <family val="2"/>
        <scheme val="major"/>
      </font>
      <alignment horizontal="center" vertical="center" textRotation="0" wrapText="0" indent="0" justifyLastLine="0" shrinkToFit="0" readingOrder="0"/>
      <border diagonalUp="0" diagonalDown="0" outline="0">
        <left/>
        <right/>
        <top style="thin">
          <color theme="0"/>
        </top>
        <bottom style="thin">
          <color theme="0"/>
        </bottom>
      </border>
    </dxf>
    <dxf>
      <border outline="0">
        <top style="thin">
          <color theme="0"/>
        </top>
      </border>
    </dxf>
    <dxf>
      <border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28"/>
        <color theme="1"/>
        <name val="Calibri Light"/>
        <family val="2"/>
        <scheme val="major"/>
      </font>
      <alignment horizontal="center" vertical="center" textRotation="0" wrapText="0" indent="0" justifyLastLine="0" shrinkToFit="0" readingOrder="0"/>
    </dxf>
    <dxf>
      <border outline="0">
        <bottom style="thin">
          <color theme="0"/>
        </bottom>
      </border>
    </dxf>
    <dxf>
      <font>
        <b val="0"/>
        <i val="0"/>
        <strike val="0"/>
        <condense val="0"/>
        <extend val="0"/>
        <outline val="0"/>
        <shadow val="0"/>
        <u val="none"/>
        <vertAlign val="baseline"/>
        <sz val="28"/>
        <color theme="1"/>
        <name val="Calibri Light"/>
        <family val="2"/>
        <scheme val="major"/>
      </font>
      <alignment horizontal="center" vertical="center" textRotation="0" wrapText="0" indent="0" justifyLastLine="0" shrinkToFit="0" readingOrder="0"/>
    </dxf>
    <dxf>
      <font>
        <b val="0"/>
        <i val="0"/>
        <strike val="0"/>
        <condense val="0"/>
        <extend val="0"/>
        <outline val="0"/>
        <shadow val="0"/>
        <u val="none"/>
        <vertAlign val="baseline"/>
        <sz val="28"/>
        <color theme="1"/>
        <name val="Calibri Light"/>
        <family val="2"/>
        <scheme val="major"/>
      </font>
      <alignment horizontal="center" vertical="center" textRotation="0" wrapText="0" indent="0" justifyLastLine="0" shrinkToFit="0" readingOrder="0"/>
    </dxf>
    <dxf>
      <font>
        <b val="0"/>
        <i val="0"/>
        <strike val="0"/>
        <condense val="0"/>
        <extend val="0"/>
        <outline val="0"/>
        <shadow val="0"/>
        <u val="none"/>
        <vertAlign val="baseline"/>
        <sz val="28"/>
        <color theme="1"/>
        <name val="Calibri Light"/>
        <family val="2"/>
        <scheme val="major"/>
      </font>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28"/>
        <color theme="1"/>
        <name val="Calibri Light"/>
        <family val="2"/>
        <scheme val="major"/>
      </font>
      <alignment horizontal="center" vertical="center" textRotation="0" wrapText="0" indent="0" justifyLastLine="0" shrinkToFit="0" readingOrder="0"/>
      <border diagonalUp="0" diagonalDown="0" outline="0">
        <left/>
        <right/>
        <top style="thin">
          <color theme="0"/>
        </top>
        <bottom style="thin">
          <color theme="0"/>
        </bottom>
      </border>
    </dxf>
    <dxf>
      <border outline="0">
        <top style="thin">
          <color theme="0"/>
        </top>
      </border>
    </dxf>
    <dxf>
      <border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28"/>
        <color theme="1"/>
        <name val="Calibri Light"/>
        <family val="2"/>
        <scheme val="major"/>
      </font>
      <alignment horizontal="center" vertical="center" textRotation="0" wrapText="0" indent="0" justifyLastLine="0" shrinkToFit="0" readingOrder="0"/>
    </dxf>
    <dxf>
      <border outline="0">
        <bottom style="thin">
          <color theme="0"/>
        </bottom>
      </border>
    </dxf>
    <dxf>
      <font>
        <b val="0"/>
        <i val="0"/>
        <strike val="0"/>
        <condense val="0"/>
        <extend val="0"/>
        <outline val="0"/>
        <shadow val="0"/>
        <u val="none"/>
        <vertAlign val="baseline"/>
        <sz val="28"/>
        <color theme="1"/>
        <name val="Calibri Light"/>
        <family val="2"/>
        <scheme val="major"/>
      </font>
      <alignment horizontal="center" vertical="center" textRotation="0" wrapText="0" indent="0" justifyLastLine="0" shrinkToFit="0" readingOrder="0"/>
    </dxf>
  </dxfs>
  <tableStyles count="1" defaultTableStyle="TableStyleMedium2" defaultPivotStyle="PivotStyleLight16">
    <tableStyle name="Invisible" pivot="0" table="0" count="0" xr9:uid="{BF41A13F-CE26-4814-A6D7-177DA0A3737D}"/>
  </tableStyles>
  <colors>
    <mruColors>
      <color rgb="FF1A6332"/>
      <color rgb="FF11A944"/>
      <color rgb="FF138C32"/>
      <color rgb="FFF4F4F4"/>
      <color rgb="FF083C12"/>
      <color rgb="FF1D3B59"/>
      <color rgb="FF019F6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i="1">
                <a:latin typeface="+mj-lt"/>
              </a:rPr>
              <a:t>Emissions of scope 1 by source (tCO2e;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95-4251-A96C-634A028170B8}"/>
              </c:ext>
            </c:extLst>
          </c:dPt>
          <c:dPt>
            <c:idx val="1"/>
            <c:bubble3D val="0"/>
            <c:spPr>
              <a:solidFill>
                <a:srgbClr val="1A6332"/>
              </a:solidFill>
              <a:ln w="19050">
                <a:solidFill>
                  <a:schemeClr val="lt1"/>
                </a:solidFill>
              </a:ln>
              <a:effectLst/>
            </c:spPr>
            <c:extLst>
              <c:ext xmlns:c16="http://schemas.microsoft.com/office/drawing/2014/chart" uri="{C3380CC4-5D6E-409C-BE32-E72D297353CC}">
                <c16:uniqueId val="{00000003-C695-4251-A96C-634A028170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95-4251-A96C-634A028170B8}"/>
              </c:ext>
            </c:extLst>
          </c:dPt>
          <c:cat>
            <c:strRef>
              <c:f>'RESULTS-GHG PROTOCOL'!$C$5:$C$7</c:f>
              <c:strCache>
                <c:ptCount val="3"/>
                <c:pt idx="0">
                  <c:v>Stat. Combustion</c:v>
                </c:pt>
                <c:pt idx="1">
                  <c:v>Mob. Combustion</c:v>
                </c:pt>
                <c:pt idx="2">
                  <c:v>Refrigerant Gases</c:v>
                </c:pt>
              </c:strCache>
            </c:strRef>
          </c:cat>
          <c:val>
            <c:numRef>
              <c:f>'RESULTS-GHG PROTOCOL'!$E$5:$E$7</c:f>
              <c:numCache>
                <c:formatCode>0.00%</c:formatCode>
                <c:ptCount val="3"/>
                <c:pt idx="0">
                  <c:v>0</c:v>
                </c:pt>
                <c:pt idx="1">
                  <c:v>0</c:v>
                </c:pt>
                <c:pt idx="2">
                  <c:v>0</c:v>
                </c:pt>
              </c:numCache>
            </c:numRef>
          </c:val>
          <c:extLst>
            <c:ext xmlns:c16="http://schemas.microsoft.com/office/drawing/2014/chart" uri="{C3380CC4-5D6E-409C-BE32-E72D297353CC}">
              <c16:uniqueId val="{00000000-D253-4CB4-8516-3BB7CF82868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i="1">
                <a:latin typeface="+mj-lt"/>
              </a:rPr>
              <a:t>Emissions of scope 2 by source (tCO2e;</a:t>
            </a:r>
            <a:r>
              <a:rPr lang="es-ES" sz="1100" i="1" baseline="0">
                <a:latin typeface="+mj-lt"/>
              </a:rPr>
              <a:t> %)</a:t>
            </a:r>
            <a:endParaRPr lang="es-ES" sz="1100" i="1">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A8-4FA6-BD19-EF5DABD7694D}"/>
              </c:ext>
            </c:extLst>
          </c:dPt>
          <c:dPt>
            <c:idx val="1"/>
            <c:bubble3D val="0"/>
            <c:spPr>
              <a:solidFill>
                <a:srgbClr val="1A6332"/>
              </a:solidFill>
              <a:ln w="19050">
                <a:solidFill>
                  <a:schemeClr val="lt1"/>
                </a:solidFill>
              </a:ln>
              <a:effectLst/>
            </c:spPr>
            <c:extLst>
              <c:ext xmlns:c16="http://schemas.microsoft.com/office/drawing/2014/chart" uri="{C3380CC4-5D6E-409C-BE32-E72D297353CC}">
                <c16:uniqueId val="{00000003-D3A8-4FA6-BD19-EF5DABD7694D}"/>
              </c:ext>
            </c:extLst>
          </c:dPt>
          <c:cat>
            <c:strRef>
              <c:f>'RESULTS-GHG PROTOCOL'!$C$10:$C$11</c:f>
              <c:strCache>
                <c:ptCount val="2"/>
                <c:pt idx="0">
                  <c:v>Electricity</c:v>
                </c:pt>
                <c:pt idx="1">
                  <c:v>Heat</c:v>
                </c:pt>
              </c:strCache>
            </c:strRef>
          </c:cat>
          <c:val>
            <c:numRef>
              <c:f>'RESULTS-GHG PROTOCOL'!$F$10:$F$11</c:f>
              <c:numCache>
                <c:formatCode>0.00%</c:formatCode>
                <c:ptCount val="2"/>
                <c:pt idx="0">
                  <c:v>2.6359725362786032E-4</c:v>
                </c:pt>
                <c:pt idx="1">
                  <c:v>0</c:v>
                </c:pt>
              </c:numCache>
            </c:numRef>
          </c:val>
          <c:extLst>
            <c:ext xmlns:c16="http://schemas.microsoft.com/office/drawing/2014/chart" uri="{C3380CC4-5D6E-409C-BE32-E72D297353CC}">
              <c16:uniqueId val="{00000000-9F83-4411-9F84-3A6F3A41FAE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i="1">
                <a:latin typeface="+mj-lt"/>
              </a:rPr>
              <a:t>Emissions of scope</a:t>
            </a:r>
            <a:r>
              <a:rPr lang="es-ES" sz="1100" i="1" baseline="0">
                <a:latin typeface="+mj-lt"/>
              </a:rPr>
              <a:t> 3 by source (tCO2e; %)</a:t>
            </a:r>
            <a:endParaRPr lang="es-ES" sz="1100" i="1">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pieChart>
        <c:varyColors val="1"/>
        <c:ser>
          <c:idx val="0"/>
          <c:order val="0"/>
          <c:dPt>
            <c:idx val="0"/>
            <c:bubble3D val="0"/>
            <c:spPr>
              <a:solidFill>
                <a:srgbClr val="1A6332"/>
              </a:solidFill>
              <a:ln w="19050">
                <a:solidFill>
                  <a:schemeClr val="lt1"/>
                </a:solidFill>
              </a:ln>
              <a:effectLst/>
            </c:spPr>
            <c:extLst>
              <c:ext xmlns:c16="http://schemas.microsoft.com/office/drawing/2014/chart" uri="{C3380CC4-5D6E-409C-BE32-E72D297353CC}">
                <c16:uniqueId val="{00000001-08E0-44B8-BDAB-59E6252F00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E0-44B8-BDAB-59E6252F00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E0-44B8-BDAB-59E6252F003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8E0-44B8-BDAB-59E6252F003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8E0-44B8-BDAB-59E6252F003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8E0-44B8-BDAB-59E6252F003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8E0-44B8-BDAB-59E6252F003F}"/>
              </c:ext>
            </c:extLst>
          </c:dPt>
          <c:cat>
            <c:strRef>
              <c:f>'RESULTS-GHG PROTOCOL'!$C$14:$C$20</c:f>
              <c:strCache>
                <c:ptCount val="7"/>
                <c:pt idx="0">
                  <c:v>Water consumption</c:v>
                </c:pt>
                <c:pt idx="1">
                  <c:v>Raw materials</c:v>
                </c:pt>
                <c:pt idx="2">
                  <c:v>Upstream transportation</c:v>
                </c:pt>
                <c:pt idx="3">
                  <c:v>Downstream transportation</c:v>
                </c:pt>
                <c:pt idx="4">
                  <c:v>Waste generation</c:v>
                </c:pt>
                <c:pt idx="5">
                  <c:v>Business travel</c:v>
                </c:pt>
                <c:pt idx="6">
                  <c:v>Employee commuting</c:v>
                </c:pt>
              </c:strCache>
            </c:strRef>
          </c:cat>
          <c:val>
            <c:numRef>
              <c:f>'RESULTS-GHG PROTOCOL'!$F$14:$F$20</c:f>
              <c:numCache>
                <c:formatCode>0.00%</c:formatCode>
                <c:ptCount val="7"/>
                <c:pt idx="0">
                  <c:v>1.0037679281093242E-5</c:v>
                </c:pt>
                <c:pt idx="1">
                  <c:v>5.2023902392087676E-7</c:v>
                </c:pt>
                <c:pt idx="2">
                  <c:v>0</c:v>
                </c:pt>
                <c:pt idx="3">
                  <c:v>0</c:v>
                </c:pt>
                <c:pt idx="4">
                  <c:v>0</c:v>
                </c:pt>
                <c:pt idx="5">
                  <c:v>1.4728521528488882E-3</c:v>
                </c:pt>
                <c:pt idx="6">
                  <c:v>0.99825299267521828</c:v>
                </c:pt>
              </c:numCache>
            </c:numRef>
          </c:val>
          <c:extLst>
            <c:ext xmlns:c16="http://schemas.microsoft.com/office/drawing/2014/chart" uri="{C3380CC4-5D6E-409C-BE32-E72D297353CC}">
              <c16:uniqueId val="{00000000-9FEC-4DD3-B6C7-5D1150B8373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Calibri Light" panose="020F0302020204030204" pitchFamily="34" charset="0"/>
                <a:ea typeface="Calibri Light" panose="020F0302020204030204" pitchFamily="34" charset="0"/>
                <a:cs typeface="Calibri Light" panose="020F0302020204030204" pitchFamily="34" charset="0"/>
              </a:defRPr>
            </a:pPr>
            <a:r>
              <a:rPr lang="es-ES"/>
              <a:t>GHG Protocol categories (tCO2e;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title>
    <c:autoTitleDeleted val="0"/>
    <c:plotArea>
      <c:layout/>
      <c:pieChart>
        <c:varyColors val="1"/>
        <c:ser>
          <c:idx val="0"/>
          <c:order val="0"/>
          <c:dPt>
            <c:idx val="0"/>
            <c:bubble3D val="0"/>
            <c:spPr>
              <a:solidFill>
                <a:srgbClr val="1A6332"/>
              </a:solidFill>
              <a:ln w="19050">
                <a:solidFill>
                  <a:schemeClr val="lt1"/>
                </a:solidFill>
              </a:ln>
              <a:effectLst/>
            </c:spPr>
            <c:extLst>
              <c:ext xmlns:c16="http://schemas.microsoft.com/office/drawing/2014/chart" uri="{C3380CC4-5D6E-409C-BE32-E72D297353CC}">
                <c16:uniqueId val="{00000001-298A-4A77-9F11-0836895F85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8A-4A77-9F11-0836895F85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98A-4A77-9F11-0836895F858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98A-4A77-9F11-0836895F858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98A-4A77-9F11-0836895F858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98A-4A77-9F11-0836895F858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98A-4A77-9F11-0836895F858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98A-4A77-9F11-0836895F858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98A-4A77-9F11-0836895F858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98A-4A77-9F11-0836895F858F}"/>
              </c:ext>
            </c:extLst>
          </c:dPt>
          <c:dLbls>
            <c:dLbl>
              <c:idx val="0"/>
              <c:layout>
                <c:manualLayout>
                  <c:x val="0.32683377135903918"/>
                  <c:y val="-9.205810116988723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98A-4A77-9F11-0836895F858F}"/>
                </c:ext>
              </c:extLst>
            </c:dLbl>
            <c:dLbl>
              <c:idx val="2"/>
              <c:layout>
                <c:manualLayout>
                  <c:x val="-0.35555653980752405"/>
                  <c:y val="0.432030917533517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98A-4A77-9F11-0836895F858F}"/>
                </c:ext>
              </c:extLst>
            </c:dLbl>
            <c:dLbl>
              <c:idx val="5"/>
              <c:layout>
                <c:manualLayout>
                  <c:x val="0.36002519723084192"/>
                  <c:y val="0.1822804319057602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298A-4A77-9F11-0836895F858F}"/>
                </c:ext>
              </c:extLst>
            </c:dLbl>
            <c:dLbl>
              <c:idx val="7"/>
              <c:layout>
                <c:manualLayout>
                  <c:x val="-0.364874997316329"/>
                  <c:y val="0.1358895311552773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298A-4A77-9F11-0836895F858F}"/>
                </c:ext>
              </c:extLst>
            </c:dLbl>
            <c:dLbl>
              <c:idx val="8"/>
              <c:layout>
                <c:manualLayout>
                  <c:x val="-0.33595640937617172"/>
                  <c:y val="-3.2836094367717792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298A-4A77-9F11-0836895F858F}"/>
                </c:ext>
              </c:extLst>
            </c:dLbl>
            <c:dLbl>
              <c:idx val="9"/>
              <c:layout>
                <c:manualLayout>
                  <c:x val="0.31145734908136485"/>
                  <c:y val="7.393121655428416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3-298A-4A77-9F11-0836895F858F}"/>
                </c:ext>
              </c:extLst>
            </c:dLbl>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'RESULTS-GHG PROTOCOL'!$I$5:$I$14</c:f>
              <c:strCache>
                <c:ptCount val="10"/>
                <c:pt idx="0">
                  <c:v>Direct emissions</c:v>
                </c:pt>
                <c:pt idx="2">
                  <c:v>Indirect emissions by purchase of electricity and heat</c:v>
                </c:pt>
                <c:pt idx="4">
                  <c:v>Goods and services</c:v>
                </c:pt>
                <c:pt idx="5">
                  <c:v>Upstream transportation</c:v>
                </c:pt>
                <c:pt idx="6">
                  <c:v>Waste generated in operations</c:v>
                </c:pt>
                <c:pt idx="7">
                  <c:v>Business travel</c:v>
                </c:pt>
                <c:pt idx="8">
                  <c:v>Employee commuting</c:v>
                </c:pt>
                <c:pt idx="9">
                  <c:v>Downstream transportation</c:v>
                </c:pt>
              </c:strCache>
            </c:strRef>
          </c:cat>
          <c:val>
            <c:numRef>
              <c:f>'RESULTS-GHG PROTOCOL'!$J$5:$J$14</c:f>
              <c:numCache>
                <c:formatCode>General</c:formatCode>
                <c:ptCount val="10"/>
                <c:pt idx="0" formatCode="_(* #,##0.00_);_(* \(#,##0.00\);_(* &quot;-&quot;??_);_(@_)">
                  <c:v>0</c:v>
                </c:pt>
                <c:pt idx="2" formatCode="_(* #,##0.00_);_(* \(#,##0.00\);_(* &quot;-&quot;??_);_(@_)">
                  <c:v>2.3477134320000004</c:v>
                </c:pt>
                <c:pt idx="4" formatCode="_(* #,##0.00_);_(* \(#,##0.00\);_(* &quot;-&quot;??_);_(@_)">
                  <c:v>9.4033478260869552E-2</c:v>
                </c:pt>
                <c:pt idx="5" formatCode="_(* #,##0.00_);_(* \(#,##0.00\);_(* &quot;-&quot;??_);_(@_)">
                  <c:v>0</c:v>
                </c:pt>
                <c:pt idx="6" formatCode="_(* #,##0.00_);_(* \(#,##0.00\);_(* &quot;-&quot;??_);_(@_)">
                  <c:v>0</c:v>
                </c:pt>
                <c:pt idx="7" formatCode="_(* #,##0.00_);_(* \(#,##0.00\);_(* &quot;-&quot;??_);_(@_)">
                  <c:v>13.117871051400002</c:v>
                </c:pt>
                <c:pt idx="8" formatCode="_(* #,##0.00_);_(* \(#,##0.00\);_(* &quot;-&quot;??_);_(@_)">
                  <c:v>8890.8815519999989</c:v>
                </c:pt>
                <c:pt idx="9" formatCode="_(* #,##0.00_);_(* \(#,##0.00\);_(* &quot;-&quot;??_);_(@_)">
                  <c:v>0</c:v>
                </c:pt>
              </c:numCache>
            </c:numRef>
          </c:val>
          <c:extLst>
            <c:ext xmlns:c16="http://schemas.microsoft.com/office/drawing/2014/chart" uri="{C3380CC4-5D6E-409C-BE32-E72D297353CC}">
              <c16:uniqueId val="{00000000-4B02-4DF6-8BB3-84DFB01E3421}"/>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7.jpeg"/></Relationships>
</file>

<file path=xl/drawings/_rels/drawing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0.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jpeg"/></Relationships>
</file>

<file path=xl/drawings/_rels/drawing8.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_rels/drawing9.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7.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7.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8.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1543047</xdr:colOff>
      <xdr:row>0</xdr:row>
      <xdr:rowOff>131218</xdr:rowOff>
    </xdr:from>
    <xdr:to>
      <xdr:col>4</xdr:col>
      <xdr:colOff>1114425</xdr:colOff>
      <xdr:row>4</xdr:row>
      <xdr:rowOff>96909</xdr:rowOff>
    </xdr:to>
    <xdr:pic>
      <xdr:nvPicPr>
        <xdr:cNvPr id="3" name="Imagen 2">
          <a:extLst>
            <a:ext uri="{FF2B5EF4-FFF2-40B4-BE49-F238E27FC236}">
              <a16:creationId xmlns:a16="http://schemas.microsoft.com/office/drawing/2014/main" id="{1E119229-40CB-4819-65FD-DA52F785F05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9213" b="29814"/>
        <a:stretch/>
      </xdr:blipFill>
      <xdr:spPr>
        <a:xfrm>
          <a:off x="3486147" y="131218"/>
          <a:ext cx="2867028" cy="689591"/>
        </a:xfrm>
        <a:prstGeom prst="rect">
          <a:avLst/>
        </a:prstGeom>
      </xdr:spPr>
    </xdr:pic>
    <xdr:clientData/>
  </xdr:twoCellAnchor>
  <xdr:twoCellAnchor editAs="oneCell">
    <xdr:from>
      <xdr:col>0</xdr:col>
      <xdr:colOff>139700</xdr:colOff>
      <xdr:row>0</xdr:row>
      <xdr:rowOff>101601</xdr:rowOff>
    </xdr:from>
    <xdr:to>
      <xdr:col>2</xdr:col>
      <xdr:colOff>1154950</xdr:colOff>
      <xdr:row>4</xdr:row>
      <xdr:rowOff>96422</xdr:rowOff>
    </xdr:to>
    <xdr:pic>
      <xdr:nvPicPr>
        <xdr:cNvPr id="5" name="Imagen 4">
          <a:extLst>
            <a:ext uri="{FF2B5EF4-FFF2-40B4-BE49-F238E27FC236}">
              <a16:creationId xmlns:a16="http://schemas.microsoft.com/office/drawing/2014/main" id="{D0EB1B5E-70A7-F2AA-CA62-E39345EF00F1}"/>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672" t="17360" r="4216" b="19390"/>
        <a:stretch/>
      </xdr:blipFill>
      <xdr:spPr>
        <a:xfrm>
          <a:off x="139700" y="101601"/>
          <a:ext cx="2958350" cy="7187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694871</xdr:colOff>
      <xdr:row>4</xdr:row>
      <xdr:rowOff>183243</xdr:rowOff>
    </xdr:from>
    <xdr:to>
      <xdr:col>12</xdr:col>
      <xdr:colOff>1836963</xdr:colOff>
      <xdr:row>23</xdr:row>
      <xdr:rowOff>427717</xdr:rowOff>
    </xdr:to>
    <xdr:sp macro="" textlink="">
      <xdr:nvSpPr>
        <xdr:cNvPr id="2" name="Bocadillo: ovalado 1">
          <a:extLst>
            <a:ext uri="{FF2B5EF4-FFF2-40B4-BE49-F238E27FC236}">
              <a16:creationId xmlns:a16="http://schemas.microsoft.com/office/drawing/2014/main" id="{E1E53FE5-2C67-47AC-9EC1-8F3A5C926B3D}"/>
            </a:ext>
          </a:extLst>
        </xdr:cNvPr>
        <xdr:cNvSpPr/>
      </xdr:nvSpPr>
      <xdr:spPr>
        <a:xfrm>
          <a:off x="22588764" y="183243"/>
          <a:ext cx="9700985" cy="1632403"/>
        </a:xfrm>
        <a:prstGeom prst="wedgeEllipseCallout">
          <a:avLst/>
        </a:prstGeom>
        <a:solidFill>
          <a:srgbClr val="11A94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2800" b="1">
              <a:solidFill>
                <a:schemeClr val="bg1"/>
              </a:solidFill>
              <a:latin typeface="Calibri Light" panose="020F0302020204030204" pitchFamily="34" charset="0"/>
              <a:ea typeface="Calibri Light" panose="020F0302020204030204" pitchFamily="34" charset="0"/>
              <a:cs typeface="Calibri Light" panose="020F0302020204030204" pitchFamily="34" charset="0"/>
            </a:rPr>
            <a:t>*Enter</a:t>
          </a:r>
          <a:r>
            <a:rPr lang="es-ES" sz="2800" b="1" baseline="0">
              <a:solidFill>
                <a:schemeClr val="bg1"/>
              </a:solidFill>
              <a:latin typeface="Calibri Light" panose="020F0302020204030204" pitchFamily="34" charset="0"/>
              <a:ea typeface="Calibri Light" panose="020F0302020204030204" pitchFamily="34" charset="0"/>
              <a:cs typeface="Calibri Light" panose="020F0302020204030204" pitchFamily="34" charset="0"/>
            </a:rPr>
            <a:t> annual fuel consumption in boilers, generators, etc. and select fuel type used. </a:t>
          </a:r>
          <a:endParaRPr lang="es-ES" sz="2800" b="1">
            <a:solidFill>
              <a:schemeClr val="bg1"/>
            </a:solidFill>
            <a:latin typeface="Calibri Light" panose="020F0302020204030204" pitchFamily="34" charset="0"/>
            <a:ea typeface="Calibri Light" panose="020F0302020204030204" pitchFamily="34" charset="0"/>
            <a:cs typeface="Calibri Light" panose="020F0302020204030204" pitchFamily="34" charset="0"/>
          </a:endParaRPr>
        </a:p>
      </xdr:txBody>
    </xdr:sp>
    <xdr:clientData/>
  </xdr:twoCellAnchor>
  <xdr:twoCellAnchor>
    <xdr:from>
      <xdr:col>25</xdr:col>
      <xdr:colOff>1687285</xdr:colOff>
      <xdr:row>4</xdr:row>
      <xdr:rowOff>285750</xdr:rowOff>
    </xdr:from>
    <xdr:to>
      <xdr:col>30</xdr:col>
      <xdr:colOff>775607</xdr:colOff>
      <xdr:row>24</xdr:row>
      <xdr:rowOff>45698</xdr:rowOff>
    </xdr:to>
    <xdr:sp macro="" textlink="">
      <xdr:nvSpPr>
        <xdr:cNvPr id="3" name="Bocadillo: ovalado 2">
          <a:extLst>
            <a:ext uri="{FF2B5EF4-FFF2-40B4-BE49-F238E27FC236}">
              <a16:creationId xmlns:a16="http://schemas.microsoft.com/office/drawing/2014/main" id="{3B4C7A7F-9D41-4FCF-B619-4B8E21C7BB5A}"/>
            </a:ext>
          </a:extLst>
        </xdr:cNvPr>
        <xdr:cNvSpPr/>
      </xdr:nvSpPr>
      <xdr:spPr>
        <a:xfrm>
          <a:off x="63286821" y="285750"/>
          <a:ext cx="10150929" cy="1610519"/>
        </a:xfrm>
        <a:prstGeom prst="wedgeEllipseCallout">
          <a:avLst/>
        </a:prstGeom>
        <a:solidFill>
          <a:srgbClr val="11A94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2800" b="1">
              <a:solidFill>
                <a:schemeClr val="bg1"/>
              </a:solidFill>
              <a:latin typeface="Calibri Light" panose="020F0302020204030204" pitchFamily="34" charset="0"/>
              <a:ea typeface="Calibri Light" panose="020F0302020204030204" pitchFamily="34" charset="0"/>
              <a:cs typeface="Calibri Light" panose="020F0302020204030204" pitchFamily="34" charset="0"/>
            </a:rPr>
            <a:t>*Enter</a:t>
          </a:r>
          <a:r>
            <a:rPr lang="es-ES" sz="2800" b="1" baseline="0">
              <a:solidFill>
                <a:schemeClr val="bg1"/>
              </a:solidFill>
              <a:latin typeface="Calibri Light" panose="020F0302020204030204" pitchFamily="34" charset="0"/>
              <a:ea typeface="Calibri Light" panose="020F0302020204030204" pitchFamily="34" charset="0"/>
              <a:cs typeface="Calibri Light" panose="020F0302020204030204" pitchFamily="34" charset="0"/>
            </a:rPr>
            <a:t> annual fuel consumption in </a:t>
          </a:r>
          <a:r>
            <a:rPr lang="es-ES" sz="2800" b="1" u="sng" baseline="0">
              <a:solidFill>
                <a:schemeClr val="bg1"/>
              </a:solidFill>
              <a:latin typeface="Calibri Light" panose="020F0302020204030204" pitchFamily="34" charset="0"/>
              <a:ea typeface="Calibri Light" panose="020F0302020204030204" pitchFamily="34" charset="0"/>
              <a:cs typeface="Calibri Light" panose="020F0302020204030204" pitchFamily="34" charset="0"/>
            </a:rPr>
            <a:t>own vehicles</a:t>
          </a:r>
          <a:r>
            <a:rPr lang="es-ES" sz="2800" b="1" u="none" baseline="0">
              <a:solidFill>
                <a:schemeClr val="bg1"/>
              </a:solidFill>
              <a:latin typeface="Calibri Light" panose="020F0302020204030204" pitchFamily="34" charset="0"/>
              <a:ea typeface="Calibri Light" panose="020F0302020204030204" pitchFamily="34" charset="0"/>
              <a:cs typeface="Calibri Light" panose="020F0302020204030204" pitchFamily="34" charset="0"/>
            </a:rPr>
            <a:t> </a:t>
          </a:r>
          <a:r>
            <a:rPr lang="es-ES" sz="2800" b="1" baseline="0">
              <a:solidFill>
                <a:schemeClr val="bg1"/>
              </a:solidFill>
              <a:latin typeface="Calibri Light" panose="020F0302020204030204" pitchFamily="34" charset="0"/>
              <a:ea typeface="Calibri Light" panose="020F0302020204030204" pitchFamily="34" charset="0"/>
              <a:cs typeface="Calibri Light" panose="020F0302020204030204" pitchFamily="34" charset="0"/>
            </a:rPr>
            <a:t>(cars, buses, pallet trucks, etc).</a:t>
          </a:r>
          <a:endParaRPr lang="es-ES" sz="2800" b="1">
            <a:solidFill>
              <a:schemeClr val="bg1"/>
            </a:solidFill>
            <a:latin typeface="Calibri Light" panose="020F0302020204030204" pitchFamily="34" charset="0"/>
            <a:ea typeface="Calibri Light" panose="020F0302020204030204" pitchFamily="34" charset="0"/>
            <a:cs typeface="Calibri Light" panose="020F0302020204030204" pitchFamily="34" charset="0"/>
          </a:endParaRPr>
        </a:p>
      </xdr:txBody>
    </xdr:sp>
    <xdr:clientData/>
  </xdr:twoCellAnchor>
  <xdr:twoCellAnchor>
    <xdr:from>
      <xdr:col>39</xdr:col>
      <xdr:colOff>2075090</xdr:colOff>
      <xdr:row>3</xdr:row>
      <xdr:rowOff>431346</xdr:rowOff>
    </xdr:from>
    <xdr:to>
      <xdr:col>49</xdr:col>
      <xdr:colOff>207736</xdr:colOff>
      <xdr:row>23</xdr:row>
      <xdr:rowOff>234950</xdr:rowOff>
    </xdr:to>
    <xdr:sp macro="" textlink="">
      <xdr:nvSpPr>
        <xdr:cNvPr id="4" name="Bocadillo: ovalado 3">
          <a:extLst>
            <a:ext uri="{FF2B5EF4-FFF2-40B4-BE49-F238E27FC236}">
              <a16:creationId xmlns:a16="http://schemas.microsoft.com/office/drawing/2014/main" id="{2ECE68E7-3BD7-48F1-B033-832096A04114}"/>
            </a:ext>
          </a:extLst>
        </xdr:cNvPr>
        <xdr:cNvSpPr/>
      </xdr:nvSpPr>
      <xdr:spPr>
        <a:xfrm>
          <a:off x="93657965" y="907596"/>
          <a:ext cx="15992021" cy="1708604"/>
        </a:xfrm>
        <a:prstGeom prst="wedgeEllipseCallout">
          <a:avLst/>
        </a:prstGeom>
        <a:solidFill>
          <a:srgbClr val="11A94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2800" b="1">
              <a:solidFill>
                <a:schemeClr val="bg1"/>
              </a:solidFill>
              <a:latin typeface="Calibri Light" panose="020F0302020204030204" pitchFamily="34" charset="0"/>
              <a:ea typeface="Calibri Light" panose="020F0302020204030204" pitchFamily="34" charset="0"/>
              <a:cs typeface="Calibri Light" panose="020F0302020204030204" pitchFamily="34" charset="0"/>
            </a:rPr>
            <a:t>*Enter</a:t>
          </a:r>
          <a:r>
            <a:rPr lang="es-ES" sz="2800" b="1" baseline="0">
              <a:solidFill>
                <a:schemeClr val="bg1"/>
              </a:solidFill>
              <a:latin typeface="Calibri Light" panose="020F0302020204030204" pitchFamily="34" charset="0"/>
              <a:ea typeface="Calibri Light" panose="020F0302020204030204" pitchFamily="34" charset="0"/>
              <a:cs typeface="Calibri Light" panose="020F0302020204030204" pitchFamily="34" charset="0"/>
            </a:rPr>
            <a:t> refrigerant gas name (for example, R-410 A, SF6, etc.) and the quantity recharged in kg for air conditioner or similar.</a:t>
          </a:r>
          <a:endParaRPr lang="es-ES" sz="2800" b="1">
            <a:solidFill>
              <a:schemeClr val="bg1"/>
            </a:solidFill>
            <a:latin typeface="Calibri Light" panose="020F0302020204030204" pitchFamily="34" charset="0"/>
            <a:ea typeface="Calibri Light" panose="020F0302020204030204" pitchFamily="34" charset="0"/>
            <a:cs typeface="Calibri Light" panose="020F0302020204030204" pitchFamily="34" charset="0"/>
          </a:endParaRPr>
        </a:p>
      </xdr:txBody>
    </xdr:sp>
    <xdr:clientData/>
  </xdr:twoCellAnchor>
  <xdr:twoCellAnchor editAs="oneCell">
    <xdr:from>
      <xdr:col>2</xdr:col>
      <xdr:colOff>4424587</xdr:colOff>
      <xdr:row>1</xdr:row>
      <xdr:rowOff>0</xdr:rowOff>
    </xdr:from>
    <xdr:to>
      <xdr:col>2</xdr:col>
      <xdr:colOff>8356367</xdr:colOff>
      <xdr:row>3</xdr:row>
      <xdr:rowOff>10978</xdr:rowOff>
    </xdr:to>
    <xdr:pic>
      <xdr:nvPicPr>
        <xdr:cNvPr id="5" name="Imagen 4">
          <a:extLst>
            <a:ext uri="{FF2B5EF4-FFF2-40B4-BE49-F238E27FC236}">
              <a16:creationId xmlns:a16="http://schemas.microsoft.com/office/drawing/2014/main" id="{D7599327-CEF7-46D9-AB6B-3F5D850ED17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9213" b="29814"/>
        <a:stretch/>
      </xdr:blipFill>
      <xdr:spPr>
        <a:xfrm>
          <a:off x="5424712" y="476250"/>
          <a:ext cx="3928605" cy="963478"/>
        </a:xfrm>
        <a:prstGeom prst="rect">
          <a:avLst/>
        </a:prstGeom>
      </xdr:spPr>
    </xdr:pic>
    <xdr:clientData/>
  </xdr:twoCellAnchor>
  <xdr:twoCellAnchor editAs="oneCell">
    <xdr:from>
      <xdr:col>2</xdr:col>
      <xdr:colOff>0</xdr:colOff>
      <xdr:row>1</xdr:row>
      <xdr:rowOff>91</xdr:rowOff>
    </xdr:from>
    <xdr:to>
      <xdr:col>2</xdr:col>
      <xdr:colOff>4081433</xdr:colOff>
      <xdr:row>3</xdr:row>
      <xdr:rowOff>57659</xdr:rowOff>
    </xdr:to>
    <xdr:pic>
      <xdr:nvPicPr>
        <xdr:cNvPr id="6" name="Imagen 5">
          <a:extLst>
            <a:ext uri="{FF2B5EF4-FFF2-40B4-BE49-F238E27FC236}">
              <a16:creationId xmlns:a16="http://schemas.microsoft.com/office/drawing/2014/main" id="{636FC270-10BA-4C34-A325-D782FA87FD4C}"/>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672" t="17360" r="4216" b="19390"/>
        <a:stretch/>
      </xdr:blipFill>
      <xdr:spPr>
        <a:xfrm>
          <a:off x="1000125" y="476341"/>
          <a:ext cx="4081433" cy="101006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1793875</xdr:colOff>
      <xdr:row>0</xdr:row>
      <xdr:rowOff>98425</xdr:rowOff>
    </xdr:from>
    <xdr:to>
      <xdr:col>9</xdr:col>
      <xdr:colOff>1333500</xdr:colOff>
      <xdr:row>3</xdr:row>
      <xdr:rowOff>190500</xdr:rowOff>
    </xdr:to>
    <xdr:sp macro="" textlink="">
      <xdr:nvSpPr>
        <xdr:cNvPr id="2" name="Bocadillo: ovalado 1">
          <a:extLst>
            <a:ext uri="{FF2B5EF4-FFF2-40B4-BE49-F238E27FC236}">
              <a16:creationId xmlns:a16="http://schemas.microsoft.com/office/drawing/2014/main" id="{4548DB44-AE5C-4AC2-9919-E27A00F3437B}"/>
            </a:ext>
          </a:extLst>
        </xdr:cNvPr>
        <xdr:cNvSpPr/>
      </xdr:nvSpPr>
      <xdr:spPr>
        <a:xfrm>
          <a:off x="16414750" y="98425"/>
          <a:ext cx="14874875" cy="1933575"/>
        </a:xfrm>
        <a:prstGeom prst="wedgeEllipseCallout">
          <a:avLst/>
        </a:prstGeom>
        <a:solidFill>
          <a:srgbClr val="11A94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s-ES" sz="2800" b="1">
              <a:solidFill>
                <a:schemeClr val="bg1"/>
              </a:solidFill>
              <a:latin typeface="Calibri Light" panose="020F0302020204030204" pitchFamily="34" charset="0"/>
              <a:ea typeface="Calibri Light" panose="020F0302020204030204" pitchFamily="34" charset="0"/>
              <a:cs typeface="Calibri Light" panose="020F0302020204030204" pitchFamily="34" charset="0"/>
            </a:rPr>
            <a:t>*Enter the type of electricity</a:t>
          </a:r>
          <a:r>
            <a:rPr lang="es-ES" sz="2800" b="1" baseline="0">
              <a:solidFill>
                <a:schemeClr val="bg1"/>
              </a:solidFill>
              <a:latin typeface="Calibri Light" panose="020F0302020204030204" pitchFamily="34" charset="0"/>
              <a:ea typeface="Calibri Light" panose="020F0302020204030204" pitchFamily="34" charset="0"/>
              <a:cs typeface="Calibri Light" panose="020F0302020204030204" pitchFamily="34" charset="0"/>
            </a:rPr>
            <a:t> consumed (renewable or non-renewable (national grid)) and </a:t>
          </a:r>
          <a:r>
            <a:rPr lang="es-ES" sz="2800" b="1">
              <a:solidFill>
                <a:schemeClr val="bg1"/>
              </a:solidFill>
              <a:latin typeface="Calibri Light" panose="020F0302020204030204" pitchFamily="34" charset="0"/>
              <a:ea typeface="Calibri Light" panose="020F0302020204030204" pitchFamily="34" charset="0"/>
              <a:cs typeface="Calibri Light" panose="020F0302020204030204" pitchFamily="34" charset="0"/>
            </a:rPr>
            <a:t>country</a:t>
          </a:r>
          <a:r>
            <a:rPr lang="es-ES" sz="2800" b="1" baseline="0">
              <a:solidFill>
                <a:schemeClr val="bg1"/>
              </a:solidFill>
              <a:latin typeface="Calibri Light" panose="020F0302020204030204" pitchFamily="34" charset="0"/>
              <a:ea typeface="Calibri Light" panose="020F0302020204030204" pitchFamily="34" charset="0"/>
              <a:cs typeface="Calibri Light" panose="020F0302020204030204" pitchFamily="34" charset="0"/>
            </a:rPr>
            <a:t> of the production plant, ofice, etc</a:t>
          </a:r>
          <a:r>
            <a:rPr lang="es-ES" sz="1100" b="1" baseline="0">
              <a:solidFill>
                <a:schemeClr val="bg1"/>
              </a:solidFill>
            </a:rPr>
            <a:t>.</a:t>
          </a:r>
          <a:endParaRPr lang="es-ES" sz="1100" b="1">
            <a:solidFill>
              <a:schemeClr val="bg1"/>
            </a:solidFill>
          </a:endParaRPr>
        </a:p>
      </xdr:txBody>
    </xdr:sp>
    <xdr:clientData/>
  </xdr:twoCellAnchor>
  <xdr:twoCellAnchor>
    <xdr:from>
      <xdr:col>22</xdr:col>
      <xdr:colOff>2701925</xdr:colOff>
      <xdr:row>1</xdr:row>
      <xdr:rowOff>165100</xdr:rowOff>
    </xdr:from>
    <xdr:to>
      <xdr:col>26</xdr:col>
      <xdr:colOff>698500</xdr:colOff>
      <xdr:row>3</xdr:row>
      <xdr:rowOff>393700</xdr:rowOff>
    </xdr:to>
    <xdr:sp macro="" textlink="">
      <xdr:nvSpPr>
        <xdr:cNvPr id="3" name="Bocadillo: ovalado 2">
          <a:extLst>
            <a:ext uri="{FF2B5EF4-FFF2-40B4-BE49-F238E27FC236}">
              <a16:creationId xmlns:a16="http://schemas.microsoft.com/office/drawing/2014/main" id="{E466BE17-3877-4240-9AD6-C8B8201E0417}"/>
            </a:ext>
          </a:extLst>
        </xdr:cNvPr>
        <xdr:cNvSpPr/>
      </xdr:nvSpPr>
      <xdr:spPr>
        <a:xfrm>
          <a:off x="60518675" y="625475"/>
          <a:ext cx="11823700" cy="1609725"/>
        </a:xfrm>
        <a:prstGeom prst="wedgeEllipseCallout">
          <a:avLst/>
        </a:prstGeom>
        <a:solidFill>
          <a:srgbClr val="11A94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s-ES" sz="2800" b="1">
              <a:solidFill>
                <a:schemeClr val="bg1"/>
              </a:solidFill>
              <a:latin typeface="Calibri Light" panose="020F0302020204030204" pitchFamily="34" charset="0"/>
              <a:ea typeface="Calibri Light" panose="020F0302020204030204" pitchFamily="34" charset="0"/>
              <a:cs typeface="Calibri Light" panose="020F0302020204030204" pitchFamily="34" charset="0"/>
            </a:rPr>
            <a:t>*Enter the heat</a:t>
          </a:r>
          <a:r>
            <a:rPr lang="es-ES" sz="2800" b="1" baseline="0">
              <a:solidFill>
                <a:schemeClr val="bg1"/>
              </a:solidFill>
              <a:latin typeface="Calibri Light" panose="020F0302020204030204" pitchFamily="34" charset="0"/>
              <a:ea typeface="Calibri Light" panose="020F0302020204030204" pitchFamily="34" charset="0"/>
              <a:cs typeface="Calibri Light" panose="020F0302020204030204" pitchFamily="34" charset="0"/>
            </a:rPr>
            <a:t> consumed in the production plant, ofice, etc</a:t>
          </a:r>
          <a:r>
            <a:rPr lang="es-ES" sz="1100" b="1" baseline="0">
              <a:solidFill>
                <a:schemeClr val="bg1"/>
              </a:solidFill>
            </a:rPr>
            <a:t>.</a:t>
          </a:r>
          <a:endParaRPr lang="es-ES" sz="1100" b="1">
            <a:solidFill>
              <a:schemeClr val="bg1"/>
            </a:solidFill>
          </a:endParaRPr>
        </a:p>
      </xdr:txBody>
    </xdr:sp>
    <xdr:clientData/>
  </xdr:twoCellAnchor>
  <xdr:twoCellAnchor editAs="oneCell">
    <xdr:from>
      <xdr:col>2</xdr:col>
      <xdr:colOff>751112</xdr:colOff>
      <xdr:row>0</xdr:row>
      <xdr:rowOff>428625</xdr:rowOff>
    </xdr:from>
    <xdr:to>
      <xdr:col>3</xdr:col>
      <xdr:colOff>726842</xdr:colOff>
      <xdr:row>2</xdr:row>
      <xdr:rowOff>436428</xdr:rowOff>
    </xdr:to>
    <xdr:pic>
      <xdr:nvPicPr>
        <xdr:cNvPr id="4" name="Imagen 3">
          <a:extLst>
            <a:ext uri="{FF2B5EF4-FFF2-40B4-BE49-F238E27FC236}">
              <a16:creationId xmlns:a16="http://schemas.microsoft.com/office/drawing/2014/main" id="{E4940D74-22EF-4DDD-AA06-10905EEA833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9213" b="29814"/>
        <a:stretch/>
      </xdr:blipFill>
      <xdr:spPr>
        <a:xfrm>
          <a:off x="4989737" y="428625"/>
          <a:ext cx="3928605" cy="960303"/>
        </a:xfrm>
        <a:prstGeom prst="rect">
          <a:avLst/>
        </a:prstGeom>
      </xdr:spPr>
    </xdr:pic>
    <xdr:clientData/>
  </xdr:twoCellAnchor>
  <xdr:twoCellAnchor editAs="oneCell">
    <xdr:from>
      <xdr:col>1</xdr:col>
      <xdr:colOff>285750</xdr:colOff>
      <xdr:row>0</xdr:row>
      <xdr:rowOff>428716</xdr:rowOff>
    </xdr:from>
    <xdr:to>
      <xdr:col>2</xdr:col>
      <xdr:colOff>411133</xdr:colOff>
      <xdr:row>3</xdr:row>
      <xdr:rowOff>10034</xdr:rowOff>
    </xdr:to>
    <xdr:pic>
      <xdr:nvPicPr>
        <xdr:cNvPr id="5" name="Imagen 4">
          <a:extLst>
            <a:ext uri="{FF2B5EF4-FFF2-40B4-BE49-F238E27FC236}">
              <a16:creationId xmlns:a16="http://schemas.microsoft.com/office/drawing/2014/main" id="{EF65D30B-61B1-49D3-B3E6-394E4B95710B}"/>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672" t="17360" r="4216" b="19390"/>
        <a:stretch/>
      </xdr:blipFill>
      <xdr:spPr>
        <a:xfrm>
          <a:off x="571500" y="428716"/>
          <a:ext cx="4078258" cy="101006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4427762</xdr:colOff>
      <xdr:row>0</xdr:row>
      <xdr:rowOff>176893</xdr:rowOff>
    </xdr:from>
    <xdr:to>
      <xdr:col>1</xdr:col>
      <xdr:colOff>8353192</xdr:colOff>
      <xdr:row>2</xdr:row>
      <xdr:rowOff>215085</xdr:rowOff>
    </xdr:to>
    <xdr:pic>
      <xdr:nvPicPr>
        <xdr:cNvPr id="2" name="Imagen 1">
          <a:extLst>
            <a:ext uri="{FF2B5EF4-FFF2-40B4-BE49-F238E27FC236}">
              <a16:creationId xmlns:a16="http://schemas.microsoft.com/office/drawing/2014/main" id="{837F7982-4456-4FE1-B76A-80E53089463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9213" b="29814"/>
        <a:stretch/>
      </xdr:blipFill>
      <xdr:spPr>
        <a:xfrm>
          <a:off x="4659083" y="176893"/>
          <a:ext cx="3925430" cy="963478"/>
        </a:xfrm>
        <a:prstGeom prst="rect">
          <a:avLst/>
        </a:prstGeom>
      </xdr:spPr>
    </xdr:pic>
    <xdr:clientData/>
  </xdr:twoCellAnchor>
  <xdr:twoCellAnchor editAs="oneCell">
    <xdr:from>
      <xdr:col>1</xdr:col>
      <xdr:colOff>0</xdr:colOff>
      <xdr:row>0</xdr:row>
      <xdr:rowOff>176984</xdr:rowOff>
    </xdr:from>
    <xdr:to>
      <xdr:col>1</xdr:col>
      <xdr:colOff>4084608</xdr:colOff>
      <xdr:row>2</xdr:row>
      <xdr:rowOff>264941</xdr:rowOff>
    </xdr:to>
    <xdr:pic>
      <xdr:nvPicPr>
        <xdr:cNvPr id="3" name="Imagen 2">
          <a:extLst>
            <a:ext uri="{FF2B5EF4-FFF2-40B4-BE49-F238E27FC236}">
              <a16:creationId xmlns:a16="http://schemas.microsoft.com/office/drawing/2014/main" id="{A69E7E10-A1DC-41DE-B8A0-9D31EE2A2BE9}"/>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672" t="17360" r="4216" b="19390"/>
        <a:stretch/>
      </xdr:blipFill>
      <xdr:spPr>
        <a:xfrm>
          <a:off x="231321" y="176984"/>
          <a:ext cx="4084608" cy="101324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4414155</xdr:colOff>
      <xdr:row>0</xdr:row>
      <xdr:rowOff>149679</xdr:rowOff>
    </xdr:from>
    <xdr:to>
      <xdr:col>3</xdr:col>
      <xdr:colOff>569907</xdr:colOff>
      <xdr:row>2</xdr:row>
      <xdr:rowOff>187871</xdr:rowOff>
    </xdr:to>
    <xdr:pic>
      <xdr:nvPicPr>
        <xdr:cNvPr id="4" name="Imagen 3">
          <a:extLst>
            <a:ext uri="{FF2B5EF4-FFF2-40B4-BE49-F238E27FC236}">
              <a16:creationId xmlns:a16="http://schemas.microsoft.com/office/drawing/2014/main" id="{280DE22F-12F6-46DF-8B08-5BC257496DC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9213" b="29814"/>
        <a:stretch/>
      </xdr:blipFill>
      <xdr:spPr>
        <a:xfrm>
          <a:off x="4672691" y="149679"/>
          <a:ext cx="3925430" cy="963478"/>
        </a:xfrm>
        <a:prstGeom prst="rect">
          <a:avLst/>
        </a:prstGeom>
      </xdr:spPr>
    </xdr:pic>
    <xdr:clientData/>
  </xdr:twoCellAnchor>
  <xdr:twoCellAnchor editAs="oneCell">
    <xdr:from>
      <xdr:col>0</xdr:col>
      <xdr:colOff>244929</xdr:colOff>
      <xdr:row>0</xdr:row>
      <xdr:rowOff>149770</xdr:rowOff>
    </xdr:from>
    <xdr:to>
      <xdr:col>1</xdr:col>
      <xdr:colOff>4071001</xdr:colOff>
      <xdr:row>2</xdr:row>
      <xdr:rowOff>237727</xdr:rowOff>
    </xdr:to>
    <xdr:pic>
      <xdr:nvPicPr>
        <xdr:cNvPr id="5" name="Imagen 4">
          <a:extLst>
            <a:ext uri="{FF2B5EF4-FFF2-40B4-BE49-F238E27FC236}">
              <a16:creationId xmlns:a16="http://schemas.microsoft.com/office/drawing/2014/main" id="{984BEE68-55DF-40A3-920F-5F86EAB0807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672" t="17360" r="4216" b="19390"/>
        <a:stretch/>
      </xdr:blipFill>
      <xdr:spPr>
        <a:xfrm>
          <a:off x="244929" y="149770"/>
          <a:ext cx="4084608" cy="101324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4570637</xdr:colOff>
      <xdr:row>0</xdr:row>
      <xdr:rowOff>381000</xdr:rowOff>
    </xdr:from>
    <xdr:to>
      <xdr:col>2</xdr:col>
      <xdr:colOff>209317</xdr:colOff>
      <xdr:row>2</xdr:row>
      <xdr:rowOff>388803</xdr:rowOff>
    </xdr:to>
    <xdr:pic>
      <xdr:nvPicPr>
        <xdr:cNvPr id="2" name="Imagen 1">
          <a:extLst>
            <a:ext uri="{FF2B5EF4-FFF2-40B4-BE49-F238E27FC236}">
              <a16:creationId xmlns:a16="http://schemas.microsoft.com/office/drawing/2014/main" id="{89AC8E32-DF67-4590-AAE3-C20ACE397FF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9213" b="29814"/>
        <a:stretch/>
      </xdr:blipFill>
      <xdr:spPr>
        <a:xfrm>
          <a:off x="4856387" y="381000"/>
          <a:ext cx="3925430" cy="960303"/>
        </a:xfrm>
        <a:prstGeom prst="rect">
          <a:avLst/>
        </a:prstGeom>
      </xdr:spPr>
    </xdr:pic>
    <xdr:clientData/>
  </xdr:twoCellAnchor>
  <xdr:twoCellAnchor editAs="oneCell">
    <xdr:from>
      <xdr:col>1</xdr:col>
      <xdr:colOff>139700</xdr:colOff>
      <xdr:row>0</xdr:row>
      <xdr:rowOff>381091</xdr:rowOff>
    </xdr:from>
    <xdr:to>
      <xdr:col>1</xdr:col>
      <xdr:colOff>4227483</xdr:colOff>
      <xdr:row>2</xdr:row>
      <xdr:rowOff>438659</xdr:rowOff>
    </xdr:to>
    <xdr:pic>
      <xdr:nvPicPr>
        <xdr:cNvPr id="3" name="Imagen 2">
          <a:extLst>
            <a:ext uri="{FF2B5EF4-FFF2-40B4-BE49-F238E27FC236}">
              <a16:creationId xmlns:a16="http://schemas.microsoft.com/office/drawing/2014/main" id="{5B1554B1-4CE3-4BD5-ABEC-9A547C09058F}"/>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672" t="17360" r="4216" b="19390"/>
        <a:stretch/>
      </xdr:blipFill>
      <xdr:spPr>
        <a:xfrm>
          <a:off x="425450" y="381091"/>
          <a:ext cx="4087783" cy="101006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239937</xdr:colOff>
      <xdr:row>1</xdr:row>
      <xdr:rowOff>377825</xdr:rowOff>
    </xdr:from>
    <xdr:to>
      <xdr:col>3</xdr:col>
      <xdr:colOff>2942</xdr:colOff>
      <xdr:row>3</xdr:row>
      <xdr:rowOff>388803</xdr:rowOff>
    </xdr:to>
    <xdr:pic>
      <xdr:nvPicPr>
        <xdr:cNvPr id="2" name="Imagen 1">
          <a:extLst>
            <a:ext uri="{FF2B5EF4-FFF2-40B4-BE49-F238E27FC236}">
              <a16:creationId xmlns:a16="http://schemas.microsoft.com/office/drawing/2014/main" id="{A00B60C6-005E-4BD4-8017-916C77C1739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9213" b="29814"/>
        <a:stretch/>
      </xdr:blipFill>
      <xdr:spPr>
        <a:xfrm>
          <a:off x="4859562" y="854075"/>
          <a:ext cx="3922255" cy="966653"/>
        </a:xfrm>
        <a:prstGeom prst="rect">
          <a:avLst/>
        </a:prstGeom>
      </xdr:spPr>
    </xdr:pic>
    <xdr:clientData/>
  </xdr:twoCellAnchor>
  <xdr:twoCellAnchor editAs="oneCell">
    <xdr:from>
      <xdr:col>1</xdr:col>
      <xdr:colOff>187325</xdr:colOff>
      <xdr:row>1</xdr:row>
      <xdr:rowOff>377916</xdr:rowOff>
    </xdr:from>
    <xdr:to>
      <xdr:col>1</xdr:col>
      <xdr:colOff>4160808</xdr:colOff>
      <xdr:row>3</xdr:row>
      <xdr:rowOff>435484</xdr:rowOff>
    </xdr:to>
    <xdr:pic>
      <xdr:nvPicPr>
        <xdr:cNvPr id="3" name="Imagen 2">
          <a:extLst>
            <a:ext uri="{FF2B5EF4-FFF2-40B4-BE49-F238E27FC236}">
              <a16:creationId xmlns:a16="http://schemas.microsoft.com/office/drawing/2014/main" id="{B15419D3-244B-477C-8EB3-89251AAC9432}"/>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672" t="17360" r="4216" b="19390"/>
        <a:stretch/>
      </xdr:blipFill>
      <xdr:spPr>
        <a:xfrm>
          <a:off x="425450" y="854166"/>
          <a:ext cx="4090958" cy="101006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4484912</xdr:colOff>
      <xdr:row>0</xdr:row>
      <xdr:rowOff>323850</xdr:rowOff>
    </xdr:from>
    <xdr:to>
      <xdr:col>2</xdr:col>
      <xdr:colOff>2809642</xdr:colOff>
      <xdr:row>2</xdr:row>
      <xdr:rowOff>369753</xdr:rowOff>
    </xdr:to>
    <xdr:pic>
      <xdr:nvPicPr>
        <xdr:cNvPr id="2" name="Imagen 1">
          <a:extLst>
            <a:ext uri="{FF2B5EF4-FFF2-40B4-BE49-F238E27FC236}">
              <a16:creationId xmlns:a16="http://schemas.microsoft.com/office/drawing/2014/main" id="{EDD158A1-0BA0-448A-AD1A-C00B0A0B54A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9213" b="29814"/>
        <a:stretch/>
      </xdr:blipFill>
      <xdr:spPr>
        <a:xfrm>
          <a:off x="4713512" y="323850"/>
          <a:ext cx="3925430" cy="960303"/>
        </a:xfrm>
        <a:prstGeom prst="rect">
          <a:avLst/>
        </a:prstGeom>
      </xdr:spPr>
    </xdr:pic>
    <xdr:clientData/>
  </xdr:twoCellAnchor>
  <xdr:twoCellAnchor editAs="oneCell">
    <xdr:from>
      <xdr:col>1</xdr:col>
      <xdr:colOff>57150</xdr:colOff>
      <xdr:row>0</xdr:row>
      <xdr:rowOff>323941</xdr:rowOff>
    </xdr:from>
    <xdr:to>
      <xdr:col>1</xdr:col>
      <xdr:colOff>4141758</xdr:colOff>
      <xdr:row>2</xdr:row>
      <xdr:rowOff>419609</xdr:rowOff>
    </xdr:to>
    <xdr:pic>
      <xdr:nvPicPr>
        <xdr:cNvPr id="3" name="Imagen 2">
          <a:extLst>
            <a:ext uri="{FF2B5EF4-FFF2-40B4-BE49-F238E27FC236}">
              <a16:creationId xmlns:a16="http://schemas.microsoft.com/office/drawing/2014/main" id="{16FFE785-FC32-4C9C-8E55-8C193824D4D8}"/>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672" t="17360" r="4216" b="19390"/>
        <a:stretch/>
      </xdr:blipFill>
      <xdr:spPr>
        <a:xfrm>
          <a:off x="285750" y="323941"/>
          <a:ext cx="4084608" cy="101006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109762</xdr:colOff>
      <xdr:row>0</xdr:row>
      <xdr:rowOff>349250</xdr:rowOff>
    </xdr:from>
    <xdr:to>
      <xdr:col>2</xdr:col>
      <xdr:colOff>4038367</xdr:colOff>
      <xdr:row>2</xdr:row>
      <xdr:rowOff>426903</xdr:rowOff>
    </xdr:to>
    <xdr:pic>
      <xdr:nvPicPr>
        <xdr:cNvPr id="2" name="Imagen 1">
          <a:extLst>
            <a:ext uri="{FF2B5EF4-FFF2-40B4-BE49-F238E27FC236}">
              <a16:creationId xmlns:a16="http://schemas.microsoft.com/office/drawing/2014/main" id="{7B1AC222-0E09-4F70-91A5-6D098CA26C3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9213" b="29814"/>
        <a:stretch/>
      </xdr:blipFill>
      <xdr:spPr>
        <a:xfrm>
          <a:off x="4967512" y="349250"/>
          <a:ext cx="3928605" cy="963478"/>
        </a:xfrm>
        <a:prstGeom prst="rect">
          <a:avLst/>
        </a:prstGeom>
      </xdr:spPr>
    </xdr:pic>
    <xdr:clientData/>
  </xdr:twoCellAnchor>
  <xdr:twoCellAnchor editAs="oneCell">
    <xdr:from>
      <xdr:col>1</xdr:col>
      <xdr:colOff>285750</xdr:colOff>
      <xdr:row>0</xdr:row>
      <xdr:rowOff>349341</xdr:rowOff>
    </xdr:from>
    <xdr:to>
      <xdr:col>1</xdr:col>
      <xdr:colOff>4373533</xdr:colOff>
      <xdr:row>3</xdr:row>
      <xdr:rowOff>25909</xdr:rowOff>
    </xdr:to>
    <xdr:pic>
      <xdr:nvPicPr>
        <xdr:cNvPr id="3" name="Imagen 2">
          <a:extLst>
            <a:ext uri="{FF2B5EF4-FFF2-40B4-BE49-F238E27FC236}">
              <a16:creationId xmlns:a16="http://schemas.microsoft.com/office/drawing/2014/main" id="{2D46E1AA-26B1-43E4-91E1-056C3CDA09AE}"/>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672" t="17360" r="4216" b="19390"/>
        <a:stretch/>
      </xdr:blipFill>
      <xdr:spPr>
        <a:xfrm>
          <a:off x="539750" y="349341"/>
          <a:ext cx="4084608" cy="101324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4492167</xdr:colOff>
      <xdr:row>0</xdr:row>
      <xdr:rowOff>318769</xdr:rowOff>
    </xdr:from>
    <xdr:to>
      <xdr:col>2</xdr:col>
      <xdr:colOff>2906704</xdr:colOff>
      <xdr:row>2</xdr:row>
      <xdr:rowOff>353786</xdr:rowOff>
    </xdr:to>
    <xdr:pic>
      <xdr:nvPicPr>
        <xdr:cNvPr id="2" name="Imagen 1">
          <a:extLst>
            <a:ext uri="{FF2B5EF4-FFF2-40B4-BE49-F238E27FC236}">
              <a16:creationId xmlns:a16="http://schemas.microsoft.com/office/drawing/2014/main" id="{8424F11F-F690-4DFD-B72C-AC698444496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9213" b="29814"/>
        <a:stretch/>
      </xdr:blipFill>
      <xdr:spPr>
        <a:xfrm>
          <a:off x="4764310" y="318769"/>
          <a:ext cx="3928605" cy="963478"/>
        </a:xfrm>
        <a:prstGeom prst="rect">
          <a:avLst/>
        </a:prstGeom>
      </xdr:spPr>
    </xdr:pic>
    <xdr:clientData/>
  </xdr:twoCellAnchor>
  <xdr:twoCellAnchor editAs="oneCell">
    <xdr:from>
      <xdr:col>1</xdr:col>
      <xdr:colOff>67580</xdr:colOff>
      <xdr:row>0</xdr:row>
      <xdr:rowOff>312510</xdr:rowOff>
    </xdr:from>
    <xdr:to>
      <xdr:col>1</xdr:col>
      <xdr:colOff>4145838</xdr:colOff>
      <xdr:row>2</xdr:row>
      <xdr:rowOff>400467</xdr:rowOff>
    </xdr:to>
    <xdr:pic>
      <xdr:nvPicPr>
        <xdr:cNvPr id="3" name="Imagen 2">
          <a:extLst>
            <a:ext uri="{FF2B5EF4-FFF2-40B4-BE49-F238E27FC236}">
              <a16:creationId xmlns:a16="http://schemas.microsoft.com/office/drawing/2014/main" id="{D83A764C-33CD-4BCF-9D20-5C7FD28ED8B3}"/>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672" t="17360" r="4216" b="19390"/>
        <a:stretch/>
      </xdr:blipFill>
      <xdr:spPr>
        <a:xfrm>
          <a:off x="339723" y="312510"/>
          <a:ext cx="4081433" cy="101324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441325</xdr:colOff>
      <xdr:row>25</xdr:row>
      <xdr:rowOff>77787</xdr:rowOff>
    </xdr:from>
    <xdr:to>
      <xdr:col>4</xdr:col>
      <xdr:colOff>1057275</xdr:colOff>
      <xdr:row>40</xdr:row>
      <xdr:rowOff>109537</xdr:rowOff>
    </xdr:to>
    <xdr:graphicFrame macro="">
      <xdr:nvGraphicFramePr>
        <xdr:cNvPr id="2" name="Gráfico 1">
          <a:extLst>
            <a:ext uri="{FF2B5EF4-FFF2-40B4-BE49-F238E27FC236}">
              <a16:creationId xmlns:a16="http://schemas.microsoft.com/office/drawing/2014/main" id="{8C5EB872-308A-022C-60A5-73B7E9AECF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20637</xdr:colOff>
      <xdr:row>25</xdr:row>
      <xdr:rowOff>46037</xdr:rowOff>
    </xdr:from>
    <xdr:to>
      <xdr:col>9</xdr:col>
      <xdr:colOff>1146175</xdr:colOff>
      <xdr:row>40</xdr:row>
      <xdr:rowOff>68262</xdr:rowOff>
    </xdr:to>
    <xdr:graphicFrame macro="">
      <xdr:nvGraphicFramePr>
        <xdr:cNvPr id="3" name="Gráfico 2">
          <a:extLst>
            <a:ext uri="{FF2B5EF4-FFF2-40B4-BE49-F238E27FC236}">
              <a16:creationId xmlns:a16="http://schemas.microsoft.com/office/drawing/2014/main" id="{FCFAF6FF-7EE0-9D87-E2F6-888AC8D31D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3011487</xdr:colOff>
      <xdr:row>25</xdr:row>
      <xdr:rowOff>46037</xdr:rowOff>
    </xdr:from>
    <xdr:to>
      <xdr:col>27</xdr:col>
      <xdr:colOff>288925</xdr:colOff>
      <xdr:row>40</xdr:row>
      <xdr:rowOff>357187</xdr:rowOff>
    </xdr:to>
    <xdr:graphicFrame macro="">
      <xdr:nvGraphicFramePr>
        <xdr:cNvPr id="4" name="Gráfico 3">
          <a:extLst>
            <a:ext uri="{FF2B5EF4-FFF2-40B4-BE49-F238E27FC236}">
              <a16:creationId xmlns:a16="http://schemas.microsoft.com/office/drawing/2014/main" id="{85BF296C-C949-1BFE-BD54-0902F8851F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51545</xdr:colOff>
      <xdr:row>1</xdr:row>
      <xdr:rowOff>287991</xdr:rowOff>
    </xdr:from>
    <xdr:to>
      <xdr:col>29</xdr:col>
      <xdr:colOff>320674</xdr:colOff>
      <xdr:row>19</xdr:row>
      <xdr:rowOff>346075</xdr:rowOff>
    </xdr:to>
    <xdr:graphicFrame macro="">
      <xdr:nvGraphicFramePr>
        <xdr:cNvPr id="5" name="Gráfico 4">
          <a:extLst>
            <a:ext uri="{FF2B5EF4-FFF2-40B4-BE49-F238E27FC236}">
              <a16:creationId xmlns:a16="http://schemas.microsoft.com/office/drawing/2014/main" id="{FBD18BC1-A76F-F464-D3C4-3B81F5B80A9C}"/>
            </a:ext>
            <a:ext uri="{147F2762-F138-4A5C-976F-8EAC2B608ADB}">
              <a16:predDERef xmlns:a16="http://schemas.microsoft.com/office/drawing/2014/main" pred="{85BF296C-C949-1BFE-BD54-0902F8851F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761090</xdr:colOff>
      <xdr:row>1</xdr:row>
      <xdr:rowOff>29617</xdr:rowOff>
    </xdr:from>
    <xdr:to>
      <xdr:col>7</xdr:col>
      <xdr:colOff>380093</xdr:colOff>
      <xdr:row>5</xdr:row>
      <xdr:rowOff>59715</xdr:rowOff>
    </xdr:to>
    <xdr:pic>
      <xdr:nvPicPr>
        <xdr:cNvPr id="2" name="Imagen 1">
          <a:extLst>
            <a:ext uri="{FF2B5EF4-FFF2-40B4-BE49-F238E27FC236}">
              <a16:creationId xmlns:a16="http://schemas.microsoft.com/office/drawing/2014/main" id="{F893B73F-E5C6-4E2C-B2FB-098F9781776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9213" b="29814"/>
        <a:stretch/>
      </xdr:blipFill>
      <xdr:spPr>
        <a:xfrm>
          <a:off x="3577769" y="192903"/>
          <a:ext cx="2857503" cy="683241"/>
        </a:xfrm>
        <a:prstGeom prst="rect">
          <a:avLst/>
        </a:prstGeom>
      </xdr:spPr>
    </xdr:pic>
    <xdr:clientData/>
  </xdr:twoCellAnchor>
  <xdr:twoCellAnchor editAs="oneCell">
    <xdr:from>
      <xdr:col>0</xdr:col>
      <xdr:colOff>231322</xdr:colOff>
      <xdr:row>1</xdr:row>
      <xdr:rowOff>0</xdr:rowOff>
    </xdr:from>
    <xdr:to>
      <xdr:col>3</xdr:col>
      <xdr:colOff>360293</xdr:colOff>
      <xdr:row>5</xdr:row>
      <xdr:rowOff>62403</xdr:rowOff>
    </xdr:to>
    <xdr:pic>
      <xdr:nvPicPr>
        <xdr:cNvPr id="3" name="Imagen 2">
          <a:extLst>
            <a:ext uri="{FF2B5EF4-FFF2-40B4-BE49-F238E27FC236}">
              <a16:creationId xmlns:a16="http://schemas.microsoft.com/office/drawing/2014/main" id="{9E2FEA3C-B595-44C7-BAA6-D9EDC966B143}"/>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672" t="17360" r="4216" b="19390"/>
        <a:stretch/>
      </xdr:blipFill>
      <xdr:spPr>
        <a:xfrm>
          <a:off x="231322" y="163286"/>
          <a:ext cx="2945650" cy="715546"/>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438147</xdr:colOff>
      <xdr:row>0</xdr:row>
      <xdr:rowOff>124867</xdr:rowOff>
    </xdr:from>
    <xdr:to>
      <xdr:col>8</xdr:col>
      <xdr:colOff>254000</xdr:colOff>
      <xdr:row>4</xdr:row>
      <xdr:rowOff>144533</xdr:rowOff>
    </xdr:to>
    <xdr:pic>
      <xdr:nvPicPr>
        <xdr:cNvPr id="2" name="Imagen 1">
          <a:extLst>
            <a:ext uri="{FF2B5EF4-FFF2-40B4-BE49-F238E27FC236}">
              <a16:creationId xmlns:a16="http://schemas.microsoft.com/office/drawing/2014/main" id="{8C2B1AF4-C28D-45A1-A2B9-4CED335784D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9213" b="29814"/>
        <a:stretch/>
      </xdr:blipFill>
      <xdr:spPr>
        <a:xfrm>
          <a:off x="3486147" y="124867"/>
          <a:ext cx="2863853" cy="686416"/>
        </a:xfrm>
        <a:prstGeom prst="rect">
          <a:avLst/>
        </a:prstGeom>
      </xdr:spPr>
    </xdr:pic>
    <xdr:clientData/>
  </xdr:twoCellAnchor>
  <xdr:twoCellAnchor editAs="oneCell">
    <xdr:from>
      <xdr:col>0</xdr:col>
      <xdr:colOff>142875</xdr:colOff>
      <xdr:row>0</xdr:row>
      <xdr:rowOff>95250</xdr:rowOff>
    </xdr:from>
    <xdr:to>
      <xdr:col>4</xdr:col>
      <xdr:colOff>50050</xdr:colOff>
      <xdr:row>4</xdr:row>
      <xdr:rowOff>140871</xdr:rowOff>
    </xdr:to>
    <xdr:pic>
      <xdr:nvPicPr>
        <xdr:cNvPr id="3" name="Imagen 2">
          <a:extLst>
            <a:ext uri="{FF2B5EF4-FFF2-40B4-BE49-F238E27FC236}">
              <a16:creationId xmlns:a16="http://schemas.microsoft.com/office/drawing/2014/main" id="{79B9128C-E0A6-48F2-B3D6-0691E6DEBFF5}"/>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672" t="17360" r="4216" b="19390"/>
        <a:stretch/>
      </xdr:blipFill>
      <xdr:spPr>
        <a:xfrm>
          <a:off x="142875" y="95250"/>
          <a:ext cx="2955175" cy="712371"/>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14</xdr:col>
      <xdr:colOff>529432</xdr:colOff>
      <xdr:row>14</xdr:row>
      <xdr:rowOff>71438</xdr:rowOff>
    </xdr:from>
    <xdr:to>
      <xdr:col>16</xdr:col>
      <xdr:colOff>690563</xdr:colOff>
      <xdr:row>19</xdr:row>
      <xdr:rowOff>98425</xdr:rowOff>
    </xdr:to>
    <xdr:sp macro="" textlink="">
      <xdr:nvSpPr>
        <xdr:cNvPr id="2" name="CuadroTexto 1">
          <a:extLst>
            <a:ext uri="{FF2B5EF4-FFF2-40B4-BE49-F238E27FC236}">
              <a16:creationId xmlns:a16="http://schemas.microsoft.com/office/drawing/2014/main" id="{AB899DBD-3B64-C224-FFD6-CCE75448CD20}"/>
            </a:ext>
          </a:extLst>
        </xdr:cNvPr>
        <xdr:cNvSpPr txBox="1"/>
      </xdr:nvSpPr>
      <xdr:spPr>
        <a:xfrm>
          <a:off x="13733463" y="2071688"/>
          <a:ext cx="3161506" cy="860425"/>
        </a:xfrm>
        <a:prstGeom prst="rect">
          <a:avLst/>
        </a:prstGeom>
        <a:solidFill>
          <a:schemeClr val="lt1"/>
        </a:solidFill>
        <a:ln w="9525" cmpd="sng">
          <a:solidFill>
            <a:srgbClr val="1A633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a:t>This</a:t>
          </a:r>
          <a:r>
            <a:rPr lang="es-ES" sz="1100" baseline="0"/>
            <a:t> list of materials covers the most common materials used in companies. As we move on to more detailed Carbon footprint calculations, a deeper research on materials used can be done.</a:t>
          </a:r>
          <a:endParaRPr lang="es-ES" sz="1100"/>
        </a:p>
      </xdr:txBody>
    </xdr:sp>
    <xdr:clientData/>
  </xdr:twoCellAnchor>
  <xdr:twoCellAnchor editAs="oneCell">
    <xdr:from>
      <xdr:col>3</xdr:col>
      <xdr:colOff>206371</xdr:colOff>
      <xdr:row>0</xdr:row>
      <xdr:rowOff>116136</xdr:rowOff>
    </xdr:from>
    <xdr:to>
      <xdr:col>7</xdr:col>
      <xdr:colOff>12699</xdr:colOff>
      <xdr:row>4</xdr:row>
      <xdr:rowOff>126277</xdr:rowOff>
    </xdr:to>
    <xdr:pic>
      <xdr:nvPicPr>
        <xdr:cNvPr id="3" name="Imagen 2">
          <a:extLst>
            <a:ext uri="{FF2B5EF4-FFF2-40B4-BE49-F238E27FC236}">
              <a16:creationId xmlns:a16="http://schemas.microsoft.com/office/drawing/2014/main" id="{F9100997-00BA-4F8B-83E3-828BE9C7CCC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9213" b="29814"/>
        <a:stretch/>
      </xdr:blipFill>
      <xdr:spPr>
        <a:xfrm>
          <a:off x="3492496" y="116136"/>
          <a:ext cx="2854328" cy="676891"/>
        </a:xfrm>
        <a:prstGeom prst="rect">
          <a:avLst/>
        </a:prstGeom>
      </xdr:spPr>
    </xdr:pic>
    <xdr:clientData/>
  </xdr:twoCellAnchor>
  <xdr:twoCellAnchor editAs="oneCell">
    <xdr:from>
      <xdr:col>0</xdr:col>
      <xdr:colOff>139699</xdr:colOff>
      <xdr:row>0</xdr:row>
      <xdr:rowOff>83344</xdr:rowOff>
    </xdr:from>
    <xdr:to>
      <xdr:col>2</xdr:col>
      <xdr:colOff>1261311</xdr:colOff>
      <xdr:row>4</xdr:row>
      <xdr:rowOff>135315</xdr:rowOff>
    </xdr:to>
    <xdr:pic>
      <xdr:nvPicPr>
        <xdr:cNvPr id="4" name="Imagen 3">
          <a:extLst>
            <a:ext uri="{FF2B5EF4-FFF2-40B4-BE49-F238E27FC236}">
              <a16:creationId xmlns:a16="http://schemas.microsoft.com/office/drawing/2014/main" id="{2FAA97CE-E9F6-403B-8248-96F7E7FA097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672" t="17360" r="4216" b="19390"/>
        <a:stretch/>
      </xdr:blipFill>
      <xdr:spPr>
        <a:xfrm>
          <a:off x="139699" y="83344"/>
          <a:ext cx="2955175" cy="71872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4</xdr:col>
      <xdr:colOff>476247</xdr:colOff>
      <xdr:row>0</xdr:row>
      <xdr:rowOff>124867</xdr:rowOff>
    </xdr:from>
    <xdr:to>
      <xdr:col>8</xdr:col>
      <xdr:colOff>47625</xdr:colOff>
      <xdr:row>4</xdr:row>
      <xdr:rowOff>160408</xdr:rowOff>
    </xdr:to>
    <xdr:pic>
      <xdr:nvPicPr>
        <xdr:cNvPr id="2" name="Imagen 1">
          <a:extLst>
            <a:ext uri="{FF2B5EF4-FFF2-40B4-BE49-F238E27FC236}">
              <a16:creationId xmlns:a16="http://schemas.microsoft.com/office/drawing/2014/main" id="{D9FDE281-2294-4221-987F-C114607D406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9213" b="29814"/>
        <a:stretch/>
      </xdr:blipFill>
      <xdr:spPr>
        <a:xfrm>
          <a:off x="3524247" y="124867"/>
          <a:ext cx="2867028" cy="683241"/>
        </a:xfrm>
        <a:prstGeom prst="rect">
          <a:avLst/>
        </a:prstGeom>
      </xdr:spPr>
    </xdr:pic>
    <xdr:clientData/>
  </xdr:twoCellAnchor>
  <xdr:twoCellAnchor editAs="oneCell">
    <xdr:from>
      <xdr:col>0</xdr:col>
      <xdr:colOff>180975</xdr:colOff>
      <xdr:row>0</xdr:row>
      <xdr:rowOff>92075</xdr:rowOff>
    </xdr:from>
    <xdr:to>
      <xdr:col>4</xdr:col>
      <xdr:colOff>84975</xdr:colOff>
      <xdr:row>5</xdr:row>
      <xdr:rowOff>1171</xdr:rowOff>
    </xdr:to>
    <xdr:pic>
      <xdr:nvPicPr>
        <xdr:cNvPr id="3" name="Imagen 2">
          <a:extLst>
            <a:ext uri="{FF2B5EF4-FFF2-40B4-BE49-F238E27FC236}">
              <a16:creationId xmlns:a16="http://schemas.microsoft.com/office/drawing/2014/main" id="{51D1D711-3AB1-4E37-B220-1A88DC164A39}"/>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672" t="17360" r="4216" b="19390"/>
        <a:stretch/>
      </xdr:blipFill>
      <xdr:spPr>
        <a:xfrm>
          <a:off x="180975" y="92075"/>
          <a:ext cx="2952000" cy="71872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Ramón García" id="{ACB72BEB-1692-418B-866E-79FDEC552A67}" userId="S::rgarcia@iamfactor.com::6f8d223c-bc8d-44d4-90e4-5be5157c71e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38DC7F3-85B9-4ED8-A03E-97DCC6876528}" name="Tabla3" displayName="Tabla3" ref="C11:E16" totalsRowShown="0" headerRowDxfId="131" dataDxfId="129" headerRowBorderDxfId="130" tableBorderDxfId="128" totalsRowBorderDxfId="127">
  <autoFilter ref="C11:E16" xr:uid="{538DC7F3-85B9-4ED8-A03E-97DCC6876528}"/>
  <tableColumns count="3">
    <tableColumn id="1" xr3:uid="{241323B1-488E-423D-A6C1-49E79DFD9003}" name="Sources" dataDxfId="126"/>
    <tableColumn id="2" xr3:uid="{A68EBBEF-0BE8-4BF6-9307-40D0913DBEC6}" name="Sectors" dataDxfId="125"/>
    <tableColumn id="3" xr3:uid="{EFD0AF49-B2AE-4E23-92E7-96C1AF8B0B71}" name="Unit" dataDxfId="124"/>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B02384B-B1C4-4A86-8D1E-BB5609D05892}" name="Tabla4" displayName="Tabla4" ref="G11:G20" totalsRowShown="0" headerRowDxfId="123" dataDxfId="121" headerRowBorderDxfId="122" tableBorderDxfId="120" totalsRowBorderDxfId="119">
  <autoFilter ref="G11:G20" xr:uid="{1B02384B-B1C4-4A86-8D1E-BB5609D05892}"/>
  <tableColumns count="1">
    <tableColumn id="1" xr3:uid="{00ACFADD-1D81-48E7-932F-711CFA1AD334}" name="Sources" dataDxfId="118"/>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5D34C39-8CCA-4412-89E7-528CC1701C7A}" name="units_mob_comb" displayName="units_mob_comb" ref="H11:H13" totalsRowShown="0" headerRowDxfId="117" dataDxfId="115" headerRowBorderDxfId="116" tableBorderDxfId="114" totalsRowBorderDxfId="113">
  <autoFilter ref="H11:H13" xr:uid="{65D34C39-8CCA-4412-89E7-528CC1701C7A}"/>
  <tableColumns count="1">
    <tableColumn id="1" xr3:uid="{E38F1342-D111-444B-A79A-739D38601BDB}" name="Units" dataDxfId="112"/>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AFF0164-0F53-48E1-AB9C-5BB4A917682D}" name="Tabla12" displayName="Tabla12" ref="I11:J12" totalsRowShown="0" headerRowDxfId="111" dataDxfId="109" headerRowBorderDxfId="110" tableBorderDxfId="108" totalsRowBorderDxfId="107">
  <autoFilter ref="I11:J12" xr:uid="{3AFF0164-0F53-48E1-AB9C-5BB4A917682D}"/>
  <tableColumns count="2">
    <tableColumn id="1" xr3:uid="{A5038369-D370-4E2F-ABF9-EB148C27BB70}" name="Units DEFRA" dataDxfId="106"/>
    <tableColumn id="2" xr3:uid="{24E177AF-30A4-4E30-B620-62168186C7FB}" name="Units liters" dataDxfId="105"/>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F4F78A5-FF34-45BF-9520-A0E71D712AA6}" name="Tabla14" displayName="Tabla14" ref="P7:Q9" totalsRowShown="0" headerRowDxfId="104" dataDxfId="102" headerRowBorderDxfId="103" tableBorderDxfId="101" totalsRowBorderDxfId="100">
  <autoFilter ref="P7:Q9" xr:uid="{3F4F78A5-FF34-45BF-9520-A0E71D712AA6}"/>
  <tableColumns count="2">
    <tableColumn id="1" xr3:uid="{0BAA62FE-471D-49A7-B60B-34EBF801896F}" name="Type" dataDxfId="99"/>
    <tableColumn id="2" xr3:uid="{C1E334F3-DB3C-4938-9DEA-B162C6A8F0E0}" name="Electric unit" dataDxfId="98"/>
  </tableColumns>
  <tableStyleInfo name="TableStyleMedium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64AFE6-11C5-4CB2-94E3-F2BADF9E2AE0}" name="Tabla1" displayName="Tabla1" ref="H4:H8" totalsRowShown="0" headerRowDxfId="97" dataDxfId="95" headerRowBorderDxfId="96" tableBorderDxfId="94" totalsRowBorderDxfId="93">
  <autoFilter ref="H4:H8" xr:uid="{7864AFE6-11C5-4CB2-94E3-F2BADF9E2AE0}"/>
  <tableColumns count="1">
    <tableColumn id="2" xr3:uid="{FB1A12A9-5777-4528-9275-3D0D4047383B}" name="Sources" dataDxfId="92"/>
  </tableColumns>
  <tableStyleInfo name="TableStyleMedium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E68A845-21D4-49FC-8619-9580C481774F}" name="Tabla15" displayName="Tabla15" ref="I4:I6" totalsRowShown="0" headerRowDxfId="91" dataDxfId="89" headerRowBorderDxfId="90" tableBorderDxfId="88" totalsRowBorderDxfId="87">
  <autoFilter ref="I4:I6" xr:uid="{FE68A845-21D4-49FC-8619-9580C481774F}"/>
  <tableColumns count="1">
    <tableColumn id="1" xr3:uid="{2833CED3-CE81-4664-AE2F-2B441986C56F}" name="Unit" dataDxfId="86"/>
  </tableColumns>
  <tableStyleInfo name="TableStyleMedium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F7BB736-66FB-4AF8-A37D-49DF6138D207}" name="Tabla17" displayName="Tabla17" ref="O7:O15" totalsRowShown="0" headerRowDxfId="85" dataDxfId="83" headerRowBorderDxfId="84" tableBorderDxfId="82" totalsRowBorderDxfId="81">
  <autoFilter ref="O7:O15" xr:uid="{BF7BB736-66FB-4AF8-A37D-49DF6138D207}"/>
  <tableColumns count="1">
    <tableColumn id="1" xr3:uid="{60CD8CC6-EC5E-4437-AA5D-1ED0436330A4}" name="Mean of transport" dataDxfId="80"/>
  </tableColumns>
  <tableStyleInfo name="TableStyleMedium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C9C7492-AD3C-4680-B4A8-F0EB12825320}" name="Tabla5" displayName="Tabla5" ref="K8:K23" totalsRowShown="0" headerRowDxfId="79" dataDxfId="77" headerRowBorderDxfId="78" tableBorderDxfId="76" totalsRowBorderDxfId="75">
  <autoFilter ref="K8:K23" xr:uid="{3C9C7492-AD3C-4680-B4A8-F0EB12825320}"/>
  <tableColumns count="1">
    <tableColumn id="1" xr3:uid="{3DF32FA5-224E-43E8-822F-4EC360B26480}" name="Type" dataDxfId="74"/>
  </tableColumns>
  <tableStyleInfo name="TableStyleMedium4"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D25626E-2E66-40DA-96DF-E40C6E3E201D}" name="Tabla18" displayName="Tabla18" ref="L8:M10" totalsRowShown="0" headerRowDxfId="73" dataDxfId="71" headerRowBorderDxfId="72" tableBorderDxfId="70" totalsRowBorderDxfId="69">
  <autoFilter ref="L8:M10" xr:uid="{8D25626E-2E66-40DA-96DF-E40C6E3E201D}"/>
  <tableColumns count="2">
    <tableColumn id="1" xr3:uid="{31B6DE98-85B0-41B6-8A32-849CEF9CF88B}" name="Hazardousity" dataDxfId="68"/>
    <tableColumn id="2" xr3:uid="{C3D24DEB-CDA8-4273-9E35-244033572AE3}" name="Treatment" dataDxfId="67"/>
  </tableColumns>
  <tableStyleInfo name="TableStyleMedium4"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B0C719D-19C0-43FB-86EE-F04A5C651F50}" name="Tabla20" displayName="Tabla20" ref="AB8:AB13" totalsRowShown="0" headerRowDxfId="66" dataDxfId="64" headerRowBorderDxfId="65" tableBorderDxfId="63" totalsRowBorderDxfId="62">
  <autoFilter ref="AB8:AB13" xr:uid="{4B0C719D-19C0-43FB-86EE-F04A5C651F50}"/>
  <tableColumns count="1">
    <tableColumn id="1" xr3:uid="{8B775F31-6919-4A50-956A-98A983D2F63B}" name="Transport" dataDxfId="61"/>
  </tableColumns>
  <tableStyleInfo name="TableStyleMedium4"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5BEAC6-3510-4EC0-A5AD-11EF34EDEA8A}" name="Energy_industries" displayName="Energy_industries" ref="B9:B13" totalsRowShown="0" headerRowDxfId="60" dataDxfId="58" headerRowBorderDxfId="59" tableBorderDxfId="57" totalsRowBorderDxfId="56">
  <autoFilter ref="B9:B13" xr:uid="{AE5BEAC6-3510-4EC0-A5AD-11EF34EDEA8A}"/>
  <tableColumns count="1">
    <tableColumn id="1" xr3:uid="{1A4D07A8-9E72-4AD3-8505-0C7FEB56CCAE}" name="Fuel type" dataDxfId="55"/>
  </tableColumns>
  <tableStyleInfo name="TableStyleMedium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F41ED7F-F6DE-4108-B8D4-47ABFFC9CC2B}" name="Manufacture_industries" displayName="Manufacture_industries" ref="B16:B20" totalsRowShown="0" headerRowDxfId="54" dataDxfId="52" headerRowBorderDxfId="53" tableBorderDxfId="51" totalsRowBorderDxfId="50">
  <autoFilter ref="B16:B20" xr:uid="{7F41ED7F-F6DE-4108-B8D4-47ABFFC9CC2B}"/>
  <tableColumns count="1">
    <tableColumn id="1" xr3:uid="{10B52E3C-69B0-40E9-BBD9-C4C895F5E271}" name="Fuel type" dataDxfId="49"/>
  </tableColumns>
  <tableStyleInfo name="TableStyleMedium4"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7443ECA-8E9A-4C7D-A924-F80A01812872}" name="Commercial_institutional" displayName="Commercial_institutional" ref="B23:B27" totalsRowShown="0" headerRowDxfId="48" dataDxfId="46" headerRowBorderDxfId="47" tableBorderDxfId="45" totalsRowBorderDxfId="44">
  <autoFilter ref="B23:B27" xr:uid="{87443ECA-8E9A-4C7D-A924-F80A01812872}"/>
  <tableColumns count="1">
    <tableColumn id="1" xr3:uid="{F5B577E2-A96C-40AE-97D8-0EE6D7ADFBBC}" name="Fuel type" dataDxfId="43"/>
  </tableColumns>
  <tableStyleInfo name="TableStyleMedium4"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7D0BB3A-0D43-43C0-A9B5-85FCAB5ED29A}" name="Residential_and_others" displayName="Residential_and_others" ref="B30:B34" totalsRowShown="0" headerRowDxfId="42" dataDxfId="40" headerRowBorderDxfId="41" tableBorderDxfId="39" totalsRowBorderDxfId="38">
  <autoFilter ref="B30:B34" xr:uid="{27D0BB3A-0D43-43C0-A9B5-85FCAB5ED29A}"/>
  <tableColumns count="1">
    <tableColumn id="1" xr3:uid="{4FFCE47E-04FE-44D7-AA72-1CC17514B96A}" name="Fuel type" dataDxfId="37"/>
  </tableColumns>
  <tableStyleInfo name="TableStyleMedium4"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BBC8CB8-D4E0-4936-A119-225D09745456}" name="refrigerant_gases" displayName="refrigerant_gases" ref="U9:U24" totalsRowShown="0" headerRowDxfId="36" dataDxfId="34" headerRowBorderDxfId="35" tableBorderDxfId="33" totalsRowBorderDxfId="32">
  <autoFilter ref="U9:U24" xr:uid="{ABBC8CB8-D4E0-4936-A119-225D09745456}"/>
  <tableColumns count="1">
    <tableColumn id="1" xr3:uid="{F8877131-548A-4C6A-84F1-56D40CCD9ED2}" name="Type of Gas" dataDxfId="31"/>
  </tableColumns>
  <tableStyleInfo name="TableStyleMedium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569B033-FE24-40F5-929F-B34A8042C37A}" name="Business_travel" displayName="Business_travel" ref="B16:B21" totalsRowShown="0" headerRowDxfId="30" dataDxfId="28" headerRowBorderDxfId="29" tableBorderDxfId="27" totalsRowBorderDxfId="26">
  <autoFilter ref="B16:B21" xr:uid="{3569B033-FE24-40F5-929F-B34A8042C37A}"/>
  <tableColumns count="1">
    <tableColumn id="1" xr3:uid="{B93EAFB8-FB3C-4291-8048-95654949587C}" name="Fuel type" dataDxfId="25"/>
  </tableColumns>
  <tableStyleInfo name="TableStyleMedium4"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2CD6187-4598-462F-8567-2229E57F1D05}" name="E_commuting" displayName="E_commuting" ref="B24:B33" totalsRowShown="0" headerRowDxfId="24" dataDxfId="22" headerRowBorderDxfId="23" tableBorderDxfId="21" totalsRowBorderDxfId="20">
  <autoFilter ref="B24:B33" xr:uid="{E2CD6187-4598-462F-8567-2229E57F1D05}"/>
  <tableColumns count="1">
    <tableColumn id="1" xr3:uid="{11C9A976-C4C5-423B-AD89-DB6AD9B43E80}" name="Fuel type" dataDxfId="19"/>
  </tableColumns>
  <tableStyleInfo name="TableStyleMedium4"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FD44C0F-3CBB-4A03-9570-51DE7E8CD54B}" name="Tabla16" displayName="Tabla16" ref="J21:P63" totalsRowShown="0" headerRowDxfId="18" dataDxfId="16" headerRowBorderDxfId="17" tableBorderDxfId="15" totalsRowBorderDxfId="14">
  <autoFilter ref="J21:P63" xr:uid="{5FD44C0F-3CBB-4A03-9570-51DE7E8CD54B}"/>
  <tableColumns count="7">
    <tableColumn id="1" xr3:uid="{91B35413-EE75-42E1-9303-FD475CE968A1}" name="Type" dataDxfId="13"/>
    <tableColumn id="2" xr3:uid="{18BDF56A-5B42-4031-A19E-5D9CFC580083}" name="Value" dataDxfId="12" dataCellStyle="Millares 10"/>
    <tableColumn id="3" xr3:uid="{1D1E8945-B2E2-4E5C-8EA1-A883BEA35245}" name="Unit" dataDxfId="11"/>
    <tableColumn id="4" xr3:uid="{B3CC49F6-ACDC-43DC-B05C-CAB9F877543A}" name="Source" dataDxfId="10"/>
    <tableColumn id="5" xr3:uid="{BE2511D4-A460-4DF0-BF52-6E99EB4DF869}" name="Columna2" dataDxfId="9"/>
    <tableColumn id="6" xr3:uid="{2B934628-637C-4AD1-9A61-E2EDCA461153}" name="Columna3" dataDxfId="8"/>
    <tableColumn id="7" xr3:uid="{2193AF70-9D8B-4013-86BF-122A8AAA32B2}" name="Columna4" dataDxfId="7"/>
  </tableColumns>
  <tableStyleInfo name="TableStyleMedium4"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AB7AFCB-6431-4D5D-BA8A-EB09B77BD42E}" name="countries" displayName="countries" ref="B37:C88" totalsRowShown="0" headerRowDxfId="6" dataDxfId="4" headerRowBorderDxfId="5" tableBorderDxfId="3" totalsRowBorderDxfId="2" headerRowCellStyle="Normal 2 2" dataCellStyle="Normal 2 2">
  <autoFilter ref="B37:C88" xr:uid="{2AB7AFCB-6431-4D5D-BA8A-EB09B77BD42E}"/>
  <tableColumns count="2">
    <tableColumn id="1" xr3:uid="{0F8B9D54-3E72-4E2A-8C10-EB17AEAD9C7A}" name="Country" dataDxfId="1" dataCellStyle="Normal 2 2"/>
    <tableColumn id="2" xr3:uid="{042D9E1A-7F9D-426A-9E50-4FDD8100E166}" name="kgCO2e/room per night" dataDxfId="0" dataCellStyle="Millares"/>
  </tableColumns>
  <tableStyleInfo name="TableStyleMedium4"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U22" dT="2021-12-14T16:29:38.23" personId="{ACB72BEB-1692-418B-866E-79FDEC552A67}" id="{8CEF0F38-E75F-48F6-A69B-1FC165C0C4D8}">
    <text>Tomado el valor del 410B</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8" Type="http://schemas.openxmlformats.org/officeDocument/2006/relationships/table" Target="../tables/table16.xml"/><Relationship Id="rId3" Type="http://schemas.openxmlformats.org/officeDocument/2006/relationships/vmlDrawing" Target="../drawings/vmlDrawing1.vml"/><Relationship Id="rId7" Type="http://schemas.openxmlformats.org/officeDocument/2006/relationships/table" Target="../tables/table15.xml"/><Relationship Id="rId2" Type="http://schemas.openxmlformats.org/officeDocument/2006/relationships/drawing" Target="../drawings/drawing12.xml"/><Relationship Id="rId1" Type="http://schemas.openxmlformats.org/officeDocument/2006/relationships/printerSettings" Target="../printerSettings/printerSettings7.bin"/><Relationship Id="rId6" Type="http://schemas.openxmlformats.org/officeDocument/2006/relationships/table" Target="../tables/table14.xml"/><Relationship Id="rId5" Type="http://schemas.openxmlformats.org/officeDocument/2006/relationships/table" Target="../tables/table13.xml"/><Relationship Id="rId10" Type="http://schemas.microsoft.com/office/2017/10/relationships/threadedComment" Target="../threadedComments/threadedComment1.xml"/><Relationship Id="rId4" Type="http://schemas.openxmlformats.org/officeDocument/2006/relationships/table" Target="../tables/table12.xml"/><Relationship Id="rId9"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drawing" Target="../drawings/drawing14.xml"/><Relationship Id="rId1" Type="http://schemas.openxmlformats.org/officeDocument/2006/relationships/printerSettings" Target="../printerSettings/printerSettings9.bin"/><Relationship Id="rId6" Type="http://schemas.openxmlformats.org/officeDocument/2006/relationships/table" Target="../tables/table20.xml"/><Relationship Id="rId5" Type="http://schemas.openxmlformats.org/officeDocument/2006/relationships/table" Target="../tables/table19.xml"/><Relationship Id="rId4" Type="http://schemas.openxmlformats.org/officeDocument/2006/relationships/table" Target="../tables/table1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58CC2-25B6-4900-BADE-0D1E27A19B80}">
  <sheetPr>
    <tabColor rgb="FF11A944"/>
  </sheetPr>
  <dimension ref="A8:I26"/>
  <sheetViews>
    <sheetView workbookViewId="0">
      <selection activeCell="C10" sqref="C10"/>
    </sheetView>
  </sheetViews>
  <sheetFormatPr baseColWidth="10" defaultColWidth="10.88671875" defaultRowHeight="14.4" x14ac:dyDescent="0.3"/>
  <cols>
    <col min="1" max="1" width="10.88671875" style="1"/>
    <col min="2" max="2" width="16.88671875" style="1" customWidth="1"/>
    <col min="3" max="3" width="36.33203125" style="1" customWidth="1"/>
    <col min="4" max="4" width="10.88671875" style="1"/>
    <col min="5" max="5" width="83.6640625" style="1" bestFit="1" customWidth="1"/>
    <col min="6" max="7" width="10.88671875" style="1"/>
    <col min="8" max="8" width="46" style="1" customWidth="1"/>
    <col min="9" max="16384" width="10.88671875" style="1"/>
  </cols>
  <sheetData>
    <row r="8" spans="1:9" x14ac:dyDescent="0.3">
      <c r="B8" s="259" t="s">
        <v>0</v>
      </c>
      <c r="C8" s="260"/>
      <c r="E8" s="233" t="s">
        <v>1</v>
      </c>
      <c r="G8" s="259" t="s">
        <v>2</v>
      </c>
      <c r="H8" s="260"/>
    </row>
    <row r="9" spans="1:9" x14ac:dyDescent="0.3">
      <c r="B9" s="3"/>
      <c r="C9" s="3"/>
      <c r="E9" s="3"/>
      <c r="G9" s="3"/>
      <c r="H9" s="3"/>
    </row>
    <row r="10" spans="1:9" ht="14.4" customHeight="1" x14ac:dyDescent="0.3">
      <c r="A10" s="2"/>
      <c r="B10" s="262" t="s">
        <v>3</v>
      </c>
      <c r="C10" s="131" t="s">
        <v>4</v>
      </c>
      <c r="D10" s="127"/>
      <c r="E10" s="263" t="s">
        <v>5</v>
      </c>
      <c r="F10" s="127"/>
      <c r="G10" s="128"/>
      <c r="H10" s="134" t="s">
        <v>6</v>
      </c>
      <c r="I10" s="126"/>
    </row>
    <row r="11" spans="1:9" x14ac:dyDescent="0.3">
      <c r="A11" s="2"/>
      <c r="B11" s="262"/>
      <c r="C11" s="131" t="s">
        <v>7</v>
      </c>
      <c r="D11" s="127"/>
      <c r="E11" s="263"/>
      <c r="F11" s="127"/>
      <c r="G11" s="129"/>
      <c r="H11" s="134" t="s">
        <v>8</v>
      </c>
      <c r="I11" s="126"/>
    </row>
    <row r="12" spans="1:9" x14ac:dyDescent="0.3">
      <c r="A12" s="2"/>
      <c r="B12" s="262"/>
      <c r="C12" s="131" t="s">
        <v>9</v>
      </c>
      <c r="D12" s="127"/>
      <c r="E12" s="263"/>
      <c r="F12" s="127"/>
      <c r="G12" s="130"/>
      <c r="H12" s="134" t="s">
        <v>10</v>
      </c>
      <c r="I12" s="126"/>
    </row>
    <row r="13" spans="1:9" x14ac:dyDescent="0.3">
      <c r="A13" s="2"/>
      <c r="B13" s="262"/>
      <c r="C13" s="131" t="s">
        <v>11</v>
      </c>
      <c r="D13" s="127"/>
      <c r="E13" s="263"/>
      <c r="F13" s="127"/>
      <c r="G13" s="132"/>
      <c r="H13" s="134" t="s">
        <v>12</v>
      </c>
      <c r="I13" s="126"/>
    </row>
    <row r="14" spans="1:9" x14ac:dyDescent="0.3">
      <c r="A14" s="2"/>
      <c r="B14" s="262"/>
      <c r="C14" s="131" t="s">
        <v>13</v>
      </c>
      <c r="D14" s="127"/>
      <c r="E14" s="263"/>
      <c r="F14" s="126"/>
      <c r="G14" s="133"/>
      <c r="H14" s="134" t="s">
        <v>14</v>
      </c>
    </row>
    <row r="15" spans="1:9" x14ac:dyDescent="0.3">
      <c r="A15" s="2"/>
      <c r="B15" s="262"/>
      <c r="C15" s="131" t="s">
        <v>15</v>
      </c>
      <c r="D15" s="127"/>
      <c r="E15" s="263"/>
      <c r="F15" s="126"/>
      <c r="G15" s="4"/>
      <c r="H15" s="4"/>
    </row>
    <row r="16" spans="1:9" x14ac:dyDescent="0.3">
      <c r="A16" s="2"/>
      <c r="B16" s="262"/>
      <c r="C16" s="131" t="s">
        <v>16</v>
      </c>
      <c r="D16" s="127"/>
      <c r="E16" s="263"/>
      <c r="F16" s="126"/>
    </row>
    <row r="17" spans="1:6" x14ac:dyDescent="0.3">
      <c r="A17" s="2"/>
      <c r="B17" s="262"/>
      <c r="C17" s="131" t="s">
        <v>17</v>
      </c>
      <c r="D17" s="127"/>
      <c r="E17" s="263"/>
      <c r="F17" s="126"/>
    </row>
    <row r="18" spans="1:6" x14ac:dyDescent="0.3">
      <c r="A18" s="2"/>
      <c r="B18" s="262"/>
      <c r="C18" s="131" t="s">
        <v>18</v>
      </c>
      <c r="D18" s="127"/>
      <c r="E18" s="263"/>
      <c r="F18" s="126"/>
    </row>
    <row r="19" spans="1:6" x14ac:dyDescent="0.3">
      <c r="B19" s="4"/>
      <c r="C19" s="4"/>
      <c r="E19" s="4"/>
    </row>
    <row r="20" spans="1:6" x14ac:dyDescent="0.3">
      <c r="B20" s="261" t="s">
        <v>19</v>
      </c>
      <c r="C20" s="261"/>
    </row>
    <row r="21" spans="1:6" x14ac:dyDescent="0.3">
      <c r="B21" s="3"/>
      <c r="C21" s="3"/>
      <c r="E21" s="3"/>
    </row>
    <row r="22" spans="1:6" x14ac:dyDescent="0.3">
      <c r="A22" s="2"/>
      <c r="B22" s="262" t="s">
        <v>20</v>
      </c>
      <c r="C22" s="131" t="s">
        <v>21</v>
      </c>
      <c r="D22" s="127"/>
      <c r="E22" s="263" t="s">
        <v>22</v>
      </c>
      <c r="F22" s="126"/>
    </row>
    <row r="23" spans="1:6" x14ac:dyDescent="0.3">
      <c r="A23" s="2"/>
      <c r="B23" s="262"/>
      <c r="C23" s="131" t="s">
        <v>23</v>
      </c>
      <c r="D23" s="127"/>
      <c r="E23" s="263"/>
      <c r="F23" s="126"/>
    </row>
    <row r="24" spans="1:6" x14ac:dyDescent="0.3">
      <c r="A24" s="2"/>
      <c r="B24" s="262"/>
      <c r="C24" s="131" t="s">
        <v>24</v>
      </c>
      <c r="D24" s="127"/>
      <c r="E24" s="263"/>
      <c r="F24" s="126"/>
    </row>
    <row r="25" spans="1:6" x14ac:dyDescent="0.3">
      <c r="A25" s="2"/>
      <c r="B25" s="262"/>
      <c r="C25" s="131" t="s">
        <v>25</v>
      </c>
      <c r="D25" s="127"/>
      <c r="E25" s="263"/>
      <c r="F25" s="126"/>
    </row>
    <row r="26" spans="1:6" x14ac:dyDescent="0.3">
      <c r="B26" s="4"/>
      <c r="C26" s="4"/>
      <c r="E26" s="4"/>
    </row>
  </sheetData>
  <sheetProtection algorithmName="SHA-512" hashValue="S26zxO1v4ufGXps1joVXRAdug0VgGifoGXm81fQi1+xJY33PvU8Rtd+aEO+gsv/xJRZSS8j5EJ12IcXgQxiE1g==" saltValue="uId018iB/ruIAupZ9vwJVg==" spinCount="100000" sheet="1" objects="1" scenarios="1"/>
  <mergeCells count="7">
    <mergeCell ref="G8:H8"/>
    <mergeCell ref="B20:C20"/>
    <mergeCell ref="B22:B25"/>
    <mergeCell ref="E22:E25"/>
    <mergeCell ref="B10:B18"/>
    <mergeCell ref="E10:E18"/>
    <mergeCell ref="B8:C8"/>
  </mergeCells>
  <hyperlinks>
    <hyperlink ref="C10" location="'Scope 1'!A1" display="Scope 1" xr:uid="{2E99B22E-538C-4FFA-BCC9-1D4BE4B369DC}"/>
    <hyperlink ref="C11" location="'Scope 2'!A1" display="Scope 2" xr:uid="{44A751B2-F6FC-4A45-AEE7-1ACA038BC7D5}"/>
    <hyperlink ref="C12" location="'Scope 3-Water consumption'!A1" display="Scope 3-Water consumption" xr:uid="{22B924D0-6CF6-4062-AF20-FD631158B2E8}"/>
    <hyperlink ref="C13" location="'Scope 3-Raw materials'!A1" display="Scope 3-Raw materials" xr:uid="{801F8856-1D55-4947-A195-47203DBD5400}"/>
    <hyperlink ref="C14" location="'Scope 3-Upstream transp.'!A1" display="Scope 3-Upstream transportation" xr:uid="{0A52CF5F-A2C9-477E-B590-02AC3365A819}"/>
    <hyperlink ref="C15" location="'Scope 3-Downstream transp.'!A1" display="Scope 3-Downstream transportation" xr:uid="{D4362D02-E088-49B0-8515-5254280A3BE5}"/>
    <hyperlink ref="C16" location="'Scope 3-Waste generation'!A1" display="Scope 3-Wate generation" xr:uid="{70B7ADA2-22C7-4477-99A4-1D5B989BD9FD}"/>
    <hyperlink ref="C17" location="'Scope 3-Business travel'!A1" display="Scope 3-Business travel" xr:uid="{302029F2-C47A-4346-A14C-0CD52D7E18E8}"/>
    <hyperlink ref="C18" location="'Scope 3-Employee commuting'!A1" display="Scope 3-Employee commuting" xr:uid="{F0259F9E-2AED-4A50-A40B-BB505588CEFC}"/>
    <hyperlink ref="C22" location="'EF-S1'!A1" display="Emission factors for scope 1" xr:uid="{DA5996A2-0432-4D29-B8A3-D80A58D27ECD}"/>
    <hyperlink ref="C23" location="'EF-S2'!A1" display="Emission factors for scope 2" xr:uid="{E7DA78DB-5CD7-4C79-B9BB-8CA1683F1C24}"/>
    <hyperlink ref="C24" location="'EF-S3'!A1" display="Emission factors for scope 3" xr:uid="{16C1417B-1F34-4567-A141-A8C6ED9EEBC3}"/>
    <hyperlink ref="C25" location="'EF-S3 Waste'!A1" display="Emission factors for waste" xr:uid="{7DB339BF-53BD-4688-B275-EF163900C6F9}"/>
    <hyperlink ref="B20:C20" location="'RESULTS-GHG PROTOCOL'!A1" display="RESULTS" xr:uid="{52AC8237-A8AE-4AED-88F1-E8428952377F}"/>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BE800-99AE-41A9-9125-C5CA678059BE}">
  <sheetPr>
    <tabColor rgb="FF083C12"/>
  </sheetPr>
  <dimension ref="A1:AS104"/>
  <sheetViews>
    <sheetView topLeftCell="A5" zoomScale="40" zoomScaleNormal="40" workbookViewId="0">
      <selection activeCell="D29" sqref="D29"/>
    </sheetView>
  </sheetViews>
  <sheetFormatPr baseColWidth="10" defaultColWidth="10.88671875" defaultRowHeight="36.6" x14ac:dyDescent="0.7"/>
  <cols>
    <col min="1" max="1" width="3.6640625" style="136" customWidth="1"/>
    <col min="2" max="2" width="10.88671875" style="136"/>
    <col min="3" max="3" width="126.44140625" style="136" customWidth="1"/>
    <col min="4" max="4" width="42.109375" style="136" customWidth="1"/>
    <col min="5" max="5" width="59.5546875" style="136" customWidth="1"/>
    <col min="6" max="6" width="25" style="136" customWidth="1"/>
    <col min="7" max="7" width="54" style="136" customWidth="1"/>
    <col min="8" max="8" width="42.44140625" style="136" customWidth="1"/>
    <col min="9" max="9" width="44" style="136" customWidth="1"/>
    <col min="10" max="10" width="27.44140625" style="136" customWidth="1"/>
    <col min="11" max="11" width="30.109375" style="136" customWidth="1"/>
    <col min="12" max="12" width="35.44140625" style="136" customWidth="1"/>
    <col min="13" max="13" width="31.44140625" style="136" customWidth="1"/>
    <col min="14" max="14" width="63.44140625" style="136" customWidth="1"/>
    <col min="15" max="15" width="58.88671875" style="136" customWidth="1"/>
    <col min="16" max="16" width="53.88671875" style="136" customWidth="1"/>
    <col min="17" max="18" width="16.109375" style="136" customWidth="1"/>
    <col min="19" max="19" width="18.6640625" style="136" customWidth="1"/>
    <col min="20" max="20" width="58.44140625" style="136" customWidth="1"/>
    <col min="21" max="21" width="46.109375" style="136" customWidth="1"/>
    <col min="22" max="22" width="122.33203125" style="136" customWidth="1"/>
    <col min="23" max="23" width="21.33203125" style="136" customWidth="1"/>
    <col min="24" max="24" width="75.6640625" style="136" customWidth="1"/>
    <col min="25" max="25" width="70.88671875" style="136" customWidth="1"/>
    <col min="26" max="26" width="55.33203125" style="136" customWidth="1"/>
    <col min="27" max="27" width="29.5546875" style="136" customWidth="1"/>
    <col min="28" max="28" width="32.109375" style="136" customWidth="1"/>
    <col min="29" max="29" width="34.5546875" style="136" customWidth="1"/>
    <col min="30" max="30" width="30.6640625" style="136" customWidth="1"/>
    <col min="31" max="31" width="55.5546875" style="136" customWidth="1"/>
    <col min="32" max="32" width="41.109375" style="136" customWidth="1"/>
    <col min="33" max="33" width="56.6640625" style="136" customWidth="1"/>
    <col min="34" max="36" width="10.88671875" style="136"/>
    <col min="37" max="37" width="60.88671875" style="136" customWidth="1"/>
    <col min="38" max="38" width="48.5546875" style="136" customWidth="1"/>
    <col min="39" max="39" width="57.33203125" style="136" customWidth="1"/>
    <col min="40" max="40" width="32.44140625" style="136" customWidth="1"/>
    <col min="41" max="41" width="81" style="136" customWidth="1"/>
    <col min="42" max="42" width="37" style="136" customWidth="1"/>
    <col min="43" max="43" width="40" style="136" customWidth="1"/>
    <col min="44" max="16384" width="10.88671875" style="136"/>
  </cols>
  <sheetData>
    <row r="1" spans="1:38" x14ac:dyDescent="0.7">
      <c r="A1" s="135"/>
      <c r="B1" s="135"/>
      <c r="C1" s="135"/>
      <c r="D1" s="135"/>
      <c r="E1" s="135"/>
      <c r="F1" s="135"/>
      <c r="G1" s="135"/>
      <c r="H1" s="135"/>
      <c r="I1" s="135"/>
      <c r="J1" s="135"/>
      <c r="K1" s="135"/>
      <c r="L1" s="135"/>
      <c r="M1" s="135"/>
      <c r="N1" s="135"/>
      <c r="O1" s="135"/>
      <c r="P1" s="135"/>
      <c r="Q1" s="135"/>
      <c r="R1" s="135"/>
      <c r="T1" s="135"/>
      <c r="U1" s="135"/>
      <c r="V1" s="135"/>
      <c r="W1" s="135"/>
      <c r="X1" s="135"/>
      <c r="Y1" s="135"/>
      <c r="Z1" s="135"/>
      <c r="AA1" s="135"/>
      <c r="AB1" s="135"/>
      <c r="AC1" s="135"/>
      <c r="AD1" s="135"/>
      <c r="AE1" s="135"/>
      <c r="AF1" s="135"/>
      <c r="AG1" s="135"/>
      <c r="AH1" s="135"/>
      <c r="AI1" s="135"/>
      <c r="AJ1" s="135"/>
      <c r="AK1" s="135"/>
      <c r="AL1" s="135"/>
    </row>
    <row r="2" spans="1:38" x14ac:dyDescent="0.7">
      <c r="A2" s="135"/>
      <c r="B2" s="135"/>
      <c r="C2" s="135"/>
      <c r="D2" s="135"/>
      <c r="E2" s="135"/>
      <c r="F2" s="135"/>
      <c r="G2" s="135"/>
      <c r="H2" s="135"/>
      <c r="I2" s="135"/>
      <c r="J2" s="135"/>
      <c r="K2" s="135"/>
      <c r="L2" s="135"/>
      <c r="M2" s="135"/>
      <c r="N2" s="135"/>
      <c r="O2" s="135"/>
      <c r="P2" s="135"/>
      <c r="Q2" s="135"/>
      <c r="R2" s="135"/>
      <c r="T2" s="135"/>
      <c r="U2" s="135"/>
      <c r="V2" s="135"/>
      <c r="W2" s="135"/>
      <c r="X2" s="135"/>
      <c r="Y2" s="135"/>
      <c r="Z2" s="135"/>
      <c r="AA2" s="135"/>
      <c r="AB2" s="135"/>
      <c r="AC2" s="135"/>
      <c r="AD2" s="135"/>
      <c r="AE2" s="135"/>
      <c r="AF2" s="135"/>
      <c r="AG2" s="135"/>
      <c r="AH2" s="135"/>
      <c r="AI2" s="135"/>
      <c r="AJ2" s="135"/>
      <c r="AK2" s="135"/>
      <c r="AL2" s="135"/>
    </row>
    <row r="3" spans="1:38" x14ac:dyDescent="0.7">
      <c r="A3" s="135"/>
      <c r="B3" s="135"/>
      <c r="C3" s="135"/>
      <c r="D3" s="135"/>
      <c r="E3" s="135"/>
      <c r="F3" s="135"/>
      <c r="G3" s="135"/>
      <c r="H3" s="135"/>
      <c r="I3" s="135"/>
      <c r="J3" s="135"/>
      <c r="K3" s="135"/>
      <c r="L3" s="135"/>
      <c r="M3" s="135"/>
      <c r="N3" s="135"/>
      <c r="O3" s="135"/>
      <c r="P3" s="135"/>
      <c r="Q3" s="135"/>
      <c r="R3" s="135"/>
      <c r="T3" s="135"/>
      <c r="U3" s="135"/>
      <c r="V3" s="135"/>
      <c r="W3" s="135"/>
      <c r="X3" s="135"/>
      <c r="Y3" s="135"/>
      <c r="Z3" s="135"/>
      <c r="AA3" s="135"/>
      <c r="AB3" s="135"/>
      <c r="AC3" s="135"/>
      <c r="AD3" s="135"/>
      <c r="AE3" s="135"/>
      <c r="AF3" s="135"/>
      <c r="AG3" s="135"/>
      <c r="AH3" s="135"/>
      <c r="AI3" s="135"/>
      <c r="AJ3" s="135"/>
      <c r="AK3" s="135"/>
      <c r="AL3" s="135"/>
    </row>
    <row r="4" spans="1:38" x14ac:dyDescent="0.7">
      <c r="A4" s="135"/>
      <c r="B4" s="135"/>
      <c r="C4" s="135"/>
      <c r="D4" s="135"/>
      <c r="E4" s="135"/>
      <c r="F4" s="135"/>
      <c r="G4" s="135"/>
      <c r="H4" s="135"/>
      <c r="I4" s="135"/>
      <c r="J4" s="135"/>
      <c r="K4" s="135"/>
      <c r="L4" s="135"/>
      <c r="M4" s="135"/>
      <c r="N4" s="135"/>
      <c r="O4" s="135"/>
      <c r="P4" s="135"/>
      <c r="Q4" s="135"/>
      <c r="R4" s="135"/>
      <c r="T4" s="135"/>
      <c r="U4" s="135"/>
      <c r="V4" s="135"/>
      <c r="W4" s="135"/>
      <c r="X4" s="135"/>
      <c r="Y4" s="135"/>
      <c r="Z4" s="135"/>
      <c r="AA4" s="135"/>
      <c r="AB4" s="135"/>
      <c r="AC4" s="135"/>
      <c r="AD4" s="135"/>
      <c r="AE4" s="135"/>
      <c r="AF4" s="135"/>
      <c r="AG4" s="135"/>
      <c r="AH4" s="135"/>
      <c r="AI4" s="135"/>
      <c r="AJ4" s="135"/>
      <c r="AK4" s="135"/>
      <c r="AL4" s="135"/>
    </row>
    <row r="5" spans="1:38" x14ac:dyDescent="0.7">
      <c r="A5" s="135"/>
      <c r="B5" s="135"/>
      <c r="C5" s="135"/>
      <c r="D5" s="135"/>
      <c r="E5" s="135"/>
      <c r="F5" s="135"/>
      <c r="G5" s="135"/>
      <c r="H5" s="135"/>
      <c r="I5" s="135"/>
      <c r="J5" s="135"/>
      <c r="K5" s="135"/>
      <c r="L5" s="135"/>
      <c r="M5" s="135"/>
      <c r="N5" s="135"/>
      <c r="O5" s="135"/>
      <c r="P5" s="135"/>
      <c r="Q5" s="135"/>
      <c r="R5" s="135"/>
      <c r="T5" s="135"/>
      <c r="U5" s="135"/>
      <c r="V5" s="135"/>
      <c r="W5" s="135"/>
      <c r="X5" s="135"/>
      <c r="Y5" s="135"/>
      <c r="Z5" s="135"/>
      <c r="AA5" s="135"/>
      <c r="AB5" s="135"/>
      <c r="AC5" s="135"/>
      <c r="AD5" s="135"/>
      <c r="AE5" s="135"/>
      <c r="AF5" s="135"/>
      <c r="AG5" s="135"/>
      <c r="AH5" s="135"/>
      <c r="AI5" s="135"/>
      <c r="AJ5" s="135"/>
      <c r="AK5" s="135"/>
      <c r="AL5" s="135"/>
    </row>
    <row r="6" spans="1:38" x14ac:dyDescent="0.7">
      <c r="A6" s="135"/>
      <c r="B6" s="135"/>
      <c r="C6" s="234" t="s">
        <v>26</v>
      </c>
      <c r="D6" s="135"/>
      <c r="E6" s="135"/>
      <c r="F6" s="135"/>
      <c r="G6" s="135"/>
      <c r="L6" s="135"/>
      <c r="M6" s="135"/>
      <c r="N6" s="135"/>
      <c r="O6" s="135"/>
      <c r="P6" s="135"/>
      <c r="Q6" s="135"/>
      <c r="R6" s="135"/>
      <c r="T6" s="135"/>
      <c r="U6" s="135"/>
      <c r="V6" s="135"/>
      <c r="W6" s="135"/>
      <c r="X6" s="135"/>
      <c r="Y6" s="135"/>
      <c r="Z6" s="135"/>
      <c r="AA6" s="135"/>
      <c r="AB6" s="135"/>
      <c r="AC6" s="135"/>
      <c r="AD6" s="135"/>
      <c r="AE6" s="135"/>
      <c r="AF6" s="135"/>
      <c r="AG6" s="135"/>
      <c r="AH6" s="135"/>
      <c r="AI6" s="135"/>
      <c r="AJ6" s="135"/>
      <c r="AK6" s="135"/>
      <c r="AL6" s="135"/>
    </row>
    <row r="7" spans="1:38" x14ac:dyDescent="0.7">
      <c r="A7" s="135"/>
      <c r="B7" s="135"/>
      <c r="C7" s="137" t="s">
        <v>27</v>
      </c>
      <c r="D7" s="135"/>
      <c r="E7" s="135"/>
      <c r="F7" s="135"/>
      <c r="G7" s="135"/>
      <c r="L7" s="135"/>
      <c r="M7" s="135"/>
      <c r="N7" s="135"/>
      <c r="O7" s="135"/>
      <c r="P7" s="135"/>
      <c r="Q7" s="135"/>
      <c r="R7" s="135"/>
      <c r="T7" s="135"/>
      <c r="U7" s="135"/>
      <c r="V7" s="135"/>
      <c r="W7" s="135"/>
      <c r="X7" s="135"/>
      <c r="Y7" s="135"/>
      <c r="Z7" s="135"/>
      <c r="AA7" s="135"/>
      <c r="AB7" s="135"/>
      <c r="AC7" s="135"/>
      <c r="AD7" s="135"/>
      <c r="AE7" s="135"/>
      <c r="AF7" s="135"/>
      <c r="AG7" s="135"/>
      <c r="AH7" s="135"/>
      <c r="AI7" s="135"/>
      <c r="AJ7" s="135"/>
      <c r="AK7" s="135"/>
      <c r="AL7" s="135"/>
    </row>
    <row r="8" spans="1:38" hidden="1" x14ac:dyDescent="0.7">
      <c r="A8" s="135"/>
      <c r="B8" s="135"/>
      <c r="C8" s="135"/>
      <c r="D8" s="135"/>
      <c r="E8" s="135"/>
      <c r="F8" s="135"/>
      <c r="G8" s="135"/>
      <c r="L8" s="135"/>
      <c r="M8" s="135"/>
      <c r="N8" s="135"/>
      <c r="O8" s="135"/>
      <c r="P8" s="135"/>
      <c r="Q8" s="135"/>
      <c r="R8" s="135"/>
      <c r="T8" s="135"/>
      <c r="U8" s="135"/>
      <c r="V8" s="135"/>
      <c r="W8" s="135"/>
      <c r="X8" s="135"/>
      <c r="Y8" s="135"/>
      <c r="Z8" s="135"/>
      <c r="AA8" s="135"/>
      <c r="AB8" s="135"/>
      <c r="AC8" s="135"/>
      <c r="AD8" s="135"/>
      <c r="AE8" s="135"/>
      <c r="AF8" s="135"/>
      <c r="AG8" s="135"/>
      <c r="AH8" s="135"/>
      <c r="AI8" s="135"/>
      <c r="AJ8" s="135"/>
      <c r="AK8" s="135"/>
      <c r="AL8" s="135"/>
    </row>
    <row r="9" spans="1:38" hidden="1" x14ac:dyDescent="0.7">
      <c r="A9" s="135"/>
      <c r="B9" s="135"/>
      <c r="C9" s="135"/>
      <c r="D9" s="135"/>
      <c r="E9" s="135"/>
      <c r="F9" s="135"/>
      <c r="G9" s="135"/>
      <c r="H9" s="135"/>
      <c r="I9" s="135"/>
      <c r="J9" s="135"/>
      <c r="L9" s="135"/>
      <c r="M9" s="135"/>
      <c r="N9" s="135"/>
      <c r="O9" s="135"/>
      <c r="P9" s="135"/>
      <c r="Q9" s="135"/>
      <c r="R9" s="135"/>
      <c r="T9" s="135"/>
      <c r="U9" s="135"/>
      <c r="V9" s="135"/>
      <c r="W9" s="135"/>
      <c r="X9" s="135"/>
      <c r="Y9" s="135"/>
      <c r="Z9" s="135"/>
      <c r="AA9" s="135"/>
      <c r="AB9" s="135"/>
      <c r="AC9" s="135"/>
      <c r="AD9" s="135"/>
      <c r="AE9" s="135"/>
      <c r="AF9" s="135"/>
      <c r="AG9" s="135"/>
      <c r="AH9" s="135"/>
      <c r="AI9" s="135"/>
      <c r="AJ9" s="135"/>
      <c r="AK9" s="135"/>
      <c r="AL9" s="135"/>
    </row>
    <row r="10" spans="1:38" hidden="1" x14ac:dyDescent="0.7">
      <c r="A10" s="135"/>
      <c r="B10" s="135"/>
      <c r="C10" s="264" t="s">
        <v>28</v>
      </c>
      <c r="D10" s="265"/>
      <c r="E10" s="266"/>
      <c r="F10" s="138"/>
      <c r="G10" s="264" t="s">
        <v>29</v>
      </c>
      <c r="H10" s="265"/>
      <c r="I10" s="265"/>
      <c r="J10" s="266"/>
      <c r="K10" s="139"/>
      <c r="L10" s="135"/>
      <c r="M10" s="135"/>
      <c r="N10" s="135"/>
      <c r="O10" s="135"/>
      <c r="P10" s="135"/>
      <c r="Q10" s="135"/>
      <c r="R10" s="135"/>
      <c r="T10" s="135"/>
      <c r="U10" s="135"/>
      <c r="V10" s="135"/>
      <c r="W10" s="135"/>
      <c r="X10" s="135"/>
      <c r="Y10" s="135"/>
      <c r="Z10" s="135"/>
      <c r="AA10" s="135"/>
      <c r="AB10" s="135"/>
      <c r="AC10" s="135"/>
      <c r="AD10" s="135"/>
      <c r="AE10" s="135"/>
      <c r="AF10" s="135"/>
      <c r="AG10" s="135"/>
      <c r="AH10" s="135"/>
      <c r="AI10" s="135"/>
      <c r="AJ10" s="135"/>
      <c r="AK10" s="135"/>
      <c r="AL10" s="135"/>
    </row>
    <row r="11" spans="1:38" hidden="1" x14ac:dyDescent="0.7">
      <c r="A11" s="135"/>
      <c r="B11" s="135"/>
      <c r="C11" s="140" t="s">
        <v>30</v>
      </c>
      <c r="D11" s="141" t="s">
        <v>31</v>
      </c>
      <c r="E11" s="141" t="s">
        <v>32</v>
      </c>
      <c r="F11" s="135"/>
      <c r="G11" s="140" t="s">
        <v>30</v>
      </c>
      <c r="H11" s="140" t="s">
        <v>33</v>
      </c>
      <c r="I11" s="140" t="s">
        <v>34</v>
      </c>
      <c r="J11" s="141" t="s">
        <v>35</v>
      </c>
      <c r="L11" s="135"/>
      <c r="M11" s="135"/>
      <c r="N11" s="135"/>
      <c r="O11" s="135"/>
      <c r="P11" s="135"/>
      <c r="Q11" s="135"/>
      <c r="R11" s="135"/>
      <c r="T11" s="135"/>
      <c r="U11" s="135"/>
      <c r="V11" s="135"/>
      <c r="W11" s="135"/>
      <c r="X11" s="135"/>
      <c r="Y11" s="135"/>
      <c r="Z11" s="135"/>
      <c r="AA11" s="135"/>
      <c r="AB11" s="135"/>
      <c r="AC11" s="135"/>
      <c r="AD11" s="135"/>
      <c r="AE11" s="135"/>
      <c r="AF11" s="135"/>
      <c r="AG11" s="135"/>
      <c r="AH11" s="135"/>
      <c r="AI11" s="135"/>
      <c r="AJ11" s="135"/>
      <c r="AK11" s="135"/>
      <c r="AL11" s="135"/>
    </row>
    <row r="12" spans="1:38" hidden="1" x14ac:dyDescent="0.7">
      <c r="A12" s="135"/>
      <c r="B12" s="135"/>
      <c r="C12" s="142" t="s">
        <v>36</v>
      </c>
      <c r="D12" s="143" t="s">
        <v>27</v>
      </c>
      <c r="E12" s="144" t="s">
        <v>37</v>
      </c>
      <c r="F12" s="135"/>
      <c r="G12" s="142" t="s">
        <v>38</v>
      </c>
      <c r="H12" s="142" t="s">
        <v>39</v>
      </c>
      <c r="I12" s="145" t="s">
        <v>40</v>
      </c>
      <c r="J12" s="146" t="s">
        <v>39</v>
      </c>
      <c r="L12" s="135"/>
      <c r="M12" s="135"/>
      <c r="N12" s="135"/>
      <c r="O12" s="135"/>
      <c r="P12" s="135"/>
      <c r="Q12" s="135"/>
      <c r="R12" s="135"/>
      <c r="T12" s="135"/>
      <c r="U12" s="135"/>
      <c r="V12" s="135"/>
      <c r="W12" s="135"/>
      <c r="X12" s="135"/>
      <c r="Y12" s="135"/>
      <c r="Z12" s="135"/>
      <c r="AA12" s="135"/>
      <c r="AB12" s="135"/>
      <c r="AC12" s="135"/>
      <c r="AD12" s="135"/>
      <c r="AE12" s="135"/>
      <c r="AF12" s="135"/>
      <c r="AG12" s="135"/>
      <c r="AH12" s="135"/>
      <c r="AI12" s="135"/>
      <c r="AJ12" s="135"/>
      <c r="AK12" s="135"/>
      <c r="AL12" s="135"/>
    </row>
    <row r="13" spans="1:38" hidden="1" x14ac:dyDescent="0.7">
      <c r="A13" s="135"/>
      <c r="B13" s="135"/>
      <c r="C13" s="142" t="s">
        <v>41</v>
      </c>
      <c r="D13" s="143" t="s">
        <v>42</v>
      </c>
      <c r="E13" s="144" t="s">
        <v>43</v>
      </c>
      <c r="F13" s="135"/>
      <c r="G13" s="142" t="s">
        <v>41</v>
      </c>
      <c r="H13" s="145" t="s">
        <v>40</v>
      </c>
      <c r="L13" s="135"/>
      <c r="M13" s="135"/>
      <c r="N13" s="135"/>
      <c r="O13" s="135"/>
      <c r="P13" s="135"/>
      <c r="Q13" s="135"/>
      <c r="R13" s="135"/>
      <c r="T13" s="135"/>
      <c r="U13" s="135"/>
      <c r="V13" s="135"/>
      <c r="W13" s="135"/>
      <c r="X13" s="135"/>
      <c r="Y13" s="135"/>
      <c r="Z13" s="135"/>
      <c r="AA13" s="135"/>
      <c r="AB13" s="135"/>
      <c r="AC13" s="135"/>
      <c r="AD13" s="135"/>
      <c r="AE13" s="135"/>
      <c r="AF13" s="135"/>
      <c r="AG13" s="135"/>
      <c r="AH13" s="135"/>
      <c r="AI13" s="135"/>
      <c r="AJ13" s="135"/>
      <c r="AK13" s="135"/>
      <c r="AL13" s="135"/>
    </row>
    <row r="14" spans="1:38" hidden="1" x14ac:dyDescent="0.7">
      <c r="A14" s="135"/>
      <c r="B14" s="135"/>
      <c r="C14" s="142" t="s">
        <v>44</v>
      </c>
      <c r="D14" s="143" t="s">
        <v>45</v>
      </c>
      <c r="E14" s="144" t="s">
        <v>39</v>
      </c>
      <c r="F14" s="135"/>
      <c r="G14" s="142" t="s">
        <v>46</v>
      </c>
      <c r="L14" s="135"/>
      <c r="M14" s="135"/>
      <c r="N14" s="135"/>
      <c r="O14" s="135"/>
      <c r="P14" s="135"/>
      <c r="Q14" s="135"/>
      <c r="R14" s="135"/>
      <c r="T14" s="135"/>
      <c r="U14" s="135"/>
      <c r="V14" s="135"/>
      <c r="W14" s="135"/>
      <c r="X14" s="135"/>
      <c r="Y14" s="135"/>
      <c r="Z14" s="135"/>
      <c r="AA14" s="135"/>
      <c r="AB14" s="135"/>
      <c r="AC14" s="135"/>
      <c r="AD14" s="135"/>
      <c r="AE14" s="135"/>
      <c r="AF14" s="135"/>
      <c r="AG14" s="135"/>
      <c r="AH14" s="135"/>
      <c r="AI14" s="135"/>
      <c r="AJ14" s="135"/>
      <c r="AK14" s="135"/>
      <c r="AL14" s="135"/>
    </row>
    <row r="15" spans="1:38" hidden="1" x14ac:dyDescent="0.7">
      <c r="A15" s="135"/>
      <c r="B15" s="135"/>
      <c r="C15" s="145" t="s">
        <v>47</v>
      </c>
      <c r="D15" s="143" t="s">
        <v>48</v>
      </c>
      <c r="E15" s="144" t="s">
        <v>49</v>
      </c>
      <c r="F15" s="135"/>
      <c r="G15" s="142" t="s">
        <v>50</v>
      </c>
      <c r="L15" s="135"/>
      <c r="M15" s="135"/>
      <c r="N15" s="135"/>
      <c r="O15" s="135"/>
      <c r="P15" s="135"/>
      <c r="Q15" s="135"/>
      <c r="R15" s="135"/>
      <c r="T15" s="135"/>
      <c r="U15" s="135"/>
      <c r="V15" s="135"/>
      <c r="W15" s="135"/>
      <c r="X15" s="135"/>
      <c r="Y15" s="135"/>
      <c r="Z15" s="135"/>
      <c r="AA15" s="135"/>
      <c r="AB15" s="135"/>
      <c r="AC15" s="135"/>
      <c r="AD15" s="135"/>
      <c r="AE15" s="135"/>
      <c r="AF15" s="135"/>
      <c r="AG15" s="135"/>
      <c r="AH15" s="135"/>
      <c r="AI15" s="135"/>
      <c r="AJ15" s="135"/>
      <c r="AK15" s="135"/>
      <c r="AL15" s="135"/>
    </row>
    <row r="16" spans="1:38" hidden="1" x14ac:dyDescent="0.7">
      <c r="A16" s="135"/>
      <c r="B16" s="135"/>
      <c r="C16" s="145"/>
      <c r="D16" s="147" t="s">
        <v>51</v>
      </c>
      <c r="E16" s="144"/>
      <c r="F16" s="135"/>
      <c r="G16" s="142" t="s">
        <v>52</v>
      </c>
      <c r="K16" s="135"/>
      <c r="L16" s="135"/>
      <c r="M16" s="135"/>
      <c r="N16" s="135"/>
      <c r="O16" s="135"/>
      <c r="P16" s="135"/>
      <c r="Q16" s="135"/>
      <c r="R16" s="135"/>
      <c r="T16" s="135"/>
      <c r="U16" s="135"/>
      <c r="V16" s="135"/>
      <c r="W16" s="135"/>
      <c r="X16" s="135"/>
      <c r="Y16" s="135"/>
      <c r="Z16" s="135"/>
      <c r="AA16" s="135"/>
      <c r="AB16" s="135"/>
      <c r="AC16" s="135"/>
      <c r="AD16" s="135"/>
      <c r="AE16" s="135"/>
      <c r="AF16" s="135"/>
      <c r="AG16" s="135"/>
      <c r="AH16" s="135"/>
      <c r="AI16" s="135"/>
      <c r="AJ16" s="135"/>
      <c r="AK16" s="135"/>
      <c r="AL16" s="135"/>
    </row>
    <row r="17" spans="1:45" hidden="1" x14ac:dyDescent="0.7">
      <c r="A17" s="135"/>
      <c r="B17" s="135"/>
      <c r="C17" s="135"/>
      <c r="D17" s="135"/>
      <c r="E17" s="135"/>
      <c r="F17" s="135"/>
      <c r="G17" s="142" t="s">
        <v>53</v>
      </c>
      <c r="K17" s="135"/>
      <c r="L17" s="135"/>
      <c r="M17" s="135"/>
      <c r="N17" s="135"/>
      <c r="O17" s="135"/>
      <c r="P17" s="135"/>
      <c r="Q17" s="135"/>
      <c r="R17" s="135"/>
      <c r="T17" s="135"/>
      <c r="U17" s="135"/>
      <c r="V17" s="135"/>
      <c r="W17" s="135"/>
      <c r="X17" s="135"/>
      <c r="Y17" s="135"/>
      <c r="Z17" s="135"/>
      <c r="AA17" s="135"/>
      <c r="AB17" s="135"/>
      <c r="AC17" s="135"/>
      <c r="AD17" s="135"/>
      <c r="AE17" s="135"/>
      <c r="AF17" s="135"/>
      <c r="AG17" s="135"/>
      <c r="AH17" s="135"/>
      <c r="AI17" s="135"/>
      <c r="AJ17" s="135"/>
      <c r="AK17" s="135"/>
      <c r="AL17" s="135"/>
    </row>
    <row r="18" spans="1:45" hidden="1" x14ac:dyDescent="0.7">
      <c r="A18" s="135"/>
      <c r="B18" s="135"/>
      <c r="C18" s="135"/>
      <c r="D18" s="135"/>
      <c r="E18" s="135"/>
      <c r="F18" s="135"/>
      <c r="G18" s="145" t="s">
        <v>47</v>
      </c>
      <c r="K18" s="135"/>
      <c r="L18" s="135"/>
      <c r="M18" s="135"/>
      <c r="N18" s="135"/>
      <c r="O18" s="135"/>
      <c r="P18" s="135"/>
      <c r="Q18" s="135"/>
      <c r="R18" s="135"/>
      <c r="T18" s="135"/>
      <c r="U18" s="135"/>
      <c r="V18" s="135"/>
      <c r="W18" s="135"/>
      <c r="X18" s="135"/>
      <c r="Y18" s="135"/>
      <c r="Z18" s="135"/>
      <c r="AA18" s="135"/>
      <c r="AB18" s="135"/>
      <c r="AC18" s="135"/>
      <c r="AD18" s="135"/>
      <c r="AE18" s="135"/>
      <c r="AF18" s="135"/>
      <c r="AG18" s="135"/>
      <c r="AH18" s="135"/>
      <c r="AI18" s="135"/>
      <c r="AJ18" s="135"/>
      <c r="AK18" s="135"/>
      <c r="AL18" s="135"/>
    </row>
    <row r="19" spans="1:45" hidden="1" x14ac:dyDescent="0.7">
      <c r="A19" s="135"/>
      <c r="B19" s="135"/>
      <c r="C19" s="135"/>
      <c r="D19" s="135"/>
      <c r="E19" s="135"/>
      <c r="F19" s="135"/>
      <c r="G19" s="142" t="s">
        <v>54</v>
      </c>
      <c r="K19" s="135"/>
      <c r="L19" s="135"/>
      <c r="M19" s="135"/>
      <c r="N19" s="135"/>
      <c r="O19" s="135"/>
      <c r="P19" s="135"/>
      <c r="Q19" s="135"/>
      <c r="R19" s="135"/>
      <c r="T19" s="135"/>
      <c r="U19" s="135"/>
      <c r="V19" s="135"/>
      <c r="W19" s="135"/>
      <c r="X19" s="135"/>
      <c r="Y19" s="135"/>
      <c r="Z19" s="135"/>
      <c r="AA19" s="135"/>
      <c r="AB19" s="135"/>
      <c r="AC19" s="135"/>
      <c r="AD19" s="135"/>
      <c r="AE19" s="135"/>
      <c r="AF19" s="135"/>
      <c r="AG19" s="135"/>
      <c r="AH19" s="135"/>
      <c r="AI19" s="135"/>
      <c r="AJ19" s="135"/>
      <c r="AK19" s="135"/>
      <c r="AL19" s="135"/>
    </row>
    <row r="20" spans="1:45" hidden="1" x14ac:dyDescent="0.7">
      <c r="A20" s="135"/>
      <c r="B20" s="135"/>
      <c r="C20" s="135"/>
      <c r="D20" s="135"/>
      <c r="E20" s="135"/>
      <c r="F20" s="135"/>
      <c r="G20" s="145" t="s">
        <v>55</v>
      </c>
      <c r="K20" s="135"/>
      <c r="L20" s="135"/>
      <c r="M20" s="135"/>
      <c r="N20" s="135"/>
      <c r="O20" s="135"/>
      <c r="P20" s="135"/>
      <c r="Q20" s="135"/>
      <c r="R20" s="135"/>
      <c r="T20" s="135"/>
      <c r="U20" s="135"/>
      <c r="V20" s="135"/>
      <c r="W20" s="135"/>
      <c r="X20" s="135"/>
      <c r="Y20" s="135"/>
      <c r="Z20" s="135"/>
      <c r="AA20" s="135"/>
      <c r="AB20" s="135"/>
      <c r="AC20" s="135"/>
      <c r="AD20" s="135"/>
      <c r="AE20" s="135"/>
      <c r="AF20" s="135"/>
      <c r="AG20" s="135"/>
      <c r="AH20" s="135"/>
      <c r="AI20" s="135"/>
      <c r="AJ20" s="135"/>
      <c r="AK20" s="135"/>
      <c r="AL20" s="135"/>
    </row>
    <row r="21" spans="1:45" hidden="1" x14ac:dyDescent="0.7">
      <c r="A21" s="135"/>
      <c r="B21" s="135"/>
      <c r="C21" s="135"/>
      <c r="D21" s="135"/>
      <c r="E21" s="135"/>
      <c r="F21" s="135"/>
      <c r="G21" s="135"/>
      <c r="H21" s="135"/>
      <c r="I21" s="135"/>
      <c r="J21" s="135"/>
      <c r="K21" s="135"/>
      <c r="L21" s="135"/>
      <c r="M21" s="135"/>
      <c r="N21" s="135"/>
      <c r="O21" s="135"/>
      <c r="P21" s="135"/>
      <c r="Q21" s="135"/>
      <c r="R21" s="135"/>
      <c r="T21" s="135"/>
      <c r="U21" s="135"/>
      <c r="V21" s="135"/>
      <c r="W21" s="135"/>
      <c r="X21" s="135"/>
      <c r="Y21" s="135"/>
      <c r="Z21" s="135"/>
      <c r="AA21" s="135"/>
      <c r="AB21" s="135"/>
      <c r="AC21" s="135"/>
      <c r="AD21" s="135"/>
      <c r="AE21" s="135"/>
      <c r="AF21" s="135"/>
      <c r="AG21" s="135"/>
      <c r="AH21" s="135"/>
      <c r="AI21" s="135"/>
      <c r="AJ21" s="135"/>
      <c r="AK21" s="135"/>
      <c r="AL21" s="135"/>
    </row>
    <row r="22" spans="1:45" hidden="1" x14ac:dyDescent="0.7">
      <c r="A22" s="135"/>
      <c r="B22" s="135"/>
      <c r="C22" s="135"/>
      <c r="D22" s="135"/>
      <c r="E22" s="135"/>
      <c r="F22" s="135"/>
      <c r="G22" s="135"/>
      <c r="H22" s="135"/>
      <c r="I22" s="135"/>
      <c r="J22" s="135"/>
      <c r="K22" s="135"/>
      <c r="L22" s="135"/>
      <c r="M22" s="135"/>
      <c r="N22" s="135"/>
      <c r="O22" s="135"/>
      <c r="P22" s="135"/>
      <c r="Q22" s="135"/>
      <c r="R22" s="135"/>
      <c r="T22" s="135"/>
      <c r="U22" s="135"/>
      <c r="V22" s="135"/>
      <c r="W22" s="135"/>
      <c r="X22" s="135"/>
      <c r="Y22" s="135"/>
      <c r="Z22" s="135"/>
      <c r="AA22" s="135"/>
      <c r="AB22" s="135"/>
      <c r="AC22" s="135"/>
      <c r="AD22" s="135"/>
      <c r="AE22" s="135"/>
      <c r="AF22" s="135"/>
      <c r="AG22" s="135"/>
      <c r="AH22" s="135"/>
      <c r="AI22" s="135"/>
      <c r="AJ22" s="135"/>
      <c r="AK22" s="135"/>
      <c r="AL22" s="135"/>
    </row>
    <row r="23" spans="1:45" hidden="1" x14ac:dyDescent="0.7">
      <c r="A23" s="135"/>
      <c r="B23" s="135"/>
      <c r="C23" s="135"/>
      <c r="D23" s="135"/>
      <c r="E23" s="135"/>
      <c r="F23" s="135"/>
      <c r="G23" s="135"/>
      <c r="H23" s="135"/>
      <c r="I23" s="135"/>
      <c r="J23" s="135"/>
      <c r="K23" s="135"/>
      <c r="L23" s="135"/>
      <c r="M23" s="135"/>
      <c r="N23" s="135"/>
      <c r="O23" s="135"/>
      <c r="P23" s="135"/>
      <c r="Q23" s="135"/>
      <c r="R23" s="135"/>
      <c r="T23" s="135"/>
      <c r="U23" s="135"/>
      <c r="V23" s="135"/>
      <c r="W23" s="135"/>
      <c r="X23" s="135"/>
      <c r="Y23" s="135"/>
      <c r="Z23" s="135"/>
      <c r="AA23" s="135"/>
      <c r="AB23" s="135"/>
      <c r="AC23" s="135"/>
      <c r="AD23" s="135"/>
      <c r="AE23" s="135"/>
      <c r="AF23" s="135"/>
      <c r="AG23" s="135"/>
      <c r="AH23" s="135"/>
      <c r="AI23" s="135"/>
      <c r="AJ23" s="135"/>
      <c r="AK23" s="135"/>
      <c r="AL23" s="135"/>
    </row>
    <row r="24" spans="1:45" x14ac:dyDescent="0.7">
      <c r="A24" s="135"/>
      <c r="B24" s="135"/>
      <c r="C24" s="135"/>
      <c r="D24" s="135"/>
      <c r="E24" s="135"/>
      <c r="F24" s="135"/>
      <c r="G24" s="135"/>
      <c r="H24" s="135"/>
      <c r="I24" s="135"/>
      <c r="J24" s="135"/>
      <c r="K24" s="135"/>
      <c r="L24" s="135"/>
      <c r="M24" s="135"/>
      <c r="N24" s="135"/>
      <c r="O24" s="135"/>
      <c r="P24" s="135"/>
      <c r="Q24" s="135"/>
      <c r="R24" s="135"/>
      <c r="S24" s="135"/>
      <c r="T24" s="135"/>
      <c r="U24" s="135"/>
      <c r="V24" s="135"/>
      <c r="W24" s="135"/>
      <c r="X24" s="135"/>
      <c r="Y24" s="135"/>
      <c r="Z24" s="135"/>
      <c r="AA24" s="135"/>
      <c r="AB24" s="135"/>
      <c r="AC24" s="135"/>
      <c r="AD24" s="135"/>
      <c r="AE24" s="135"/>
      <c r="AF24" s="135"/>
      <c r="AG24" s="135"/>
      <c r="AH24" s="135"/>
      <c r="AI24" s="135"/>
      <c r="AJ24" s="135"/>
      <c r="AK24" s="135"/>
      <c r="AL24" s="135"/>
      <c r="AM24" s="135"/>
      <c r="AN24" s="135"/>
      <c r="AO24" s="135"/>
      <c r="AP24" s="135"/>
      <c r="AQ24" s="135"/>
      <c r="AR24" s="135"/>
    </row>
    <row r="25" spans="1:45" x14ac:dyDescent="0.7">
      <c r="A25" s="267" t="s">
        <v>56</v>
      </c>
      <c r="B25" s="268"/>
      <c r="C25" s="268"/>
      <c r="D25" s="268"/>
      <c r="E25" s="268"/>
      <c r="F25" s="268"/>
      <c r="G25" s="268"/>
      <c r="H25" s="268"/>
      <c r="I25" s="268"/>
      <c r="J25" s="268"/>
      <c r="K25" s="268"/>
      <c r="L25" s="268"/>
      <c r="M25" s="268"/>
      <c r="N25" s="268"/>
      <c r="O25" s="268"/>
      <c r="P25" s="268"/>
      <c r="Q25" s="269"/>
      <c r="R25" s="135"/>
      <c r="S25" s="276" t="s">
        <v>57</v>
      </c>
      <c r="T25" s="277"/>
      <c r="U25" s="277"/>
      <c r="V25" s="277"/>
      <c r="W25" s="277"/>
      <c r="X25" s="277"/>
      <c r="Y25" s="277"/>
      <c r="Z25" s="277"/>
      <c r="AA25" s="277"/>
      <c r="AB25" s="277"/>
      <c r="AC25" s="277"/>
      <c r="AD25" s="277"/>
      <c r="AE25" s="277"/>
      <c r="AF25" s="277"/>
      <c r="AG25" s="277"/>
      <c r="AH25" s="278"/>
      <c r="AI25" s="135"/>
      <c r="AJ25" s="267" t="s">
        <v>58</v>
      </c>
      <c r="AK25" s="268"/>
      <c r="AL25" s="268"/>
      <c r="AM25" s="268"/>
      <c r="AN25" s="268"/>
      <c r="AO25" s="268"/>
      <c r="AP25" s="268"/>
      <c r="AQ25" s="268"/>
      <c r="AR25" s="269"/>
      <c r="AS25" s="139"/>
    </row>
    <row r="26" spans="1:45" x14ac:dyDescent="0.7">
      <c r="A26" s="135"/>
      <c r="B26" s="135"/>
      <c r="R26" s="135"/>
      <c r="S26" s="148"/>
      <c r="T26" s="149"/>
      <c r="U26" s="149"/>
      <c r="V26" s="148"/>
      <c r="W26" s="148"/>
      <c r="X26" s="148"/>
      <c r="Y26" s="148"/>
      <c r="Z26" s="148"/>
      <c r="AA26" s="148"/>
      <c r="AB26" s="148"/>
      <c r="AC26" s="148"/>
      <c r="AD26" s="148"/>
      <c r="AE26" s="148"/>
      <c r="AF26" s="148"/>
      <c r="AG26" s="148"/>
      <c r="AH26" s="148"/>
      <c r="AI26" s="135"/>
      <c r="AJ26" s="150"/>
      <c r="AK26" s="150"/>
      <c r="AL26" s="150"/>
      <c r="AM26" s="150"/>
      <c r="AN26" s="150"/>
      <c r="AO26" s="148"/>
      <c r="AP26" s="148"/>
      <c r="AQ26" s="148"/>
      <c r="AR26" s="148"/>
    </row>
    <row r="27" spans="1:45" x14ac:dyDescent="0.7">
      <c r="C27" s="273" t="s">
        <v>59</v>
      </c>
      <c r="D27" s="274"/>
      <c r="E27" s="274"/>
      <c r="F27" s="275"/>
      <c r="G27" s="270" t="s">
        <v>60</v>
      </c>
      <c r="H27" s="272"/>
      <c r="I27" s="271"/>
      <c r="J27" s="270" t="s">
        <v>61</v>
      </c>
      <c r="K27" s="272"/>
      <c r="L27" s="272"/>
      <c r="M27" s="272"/>
      <c r="N27" s="272"/>
      <c r="O27" s="272"/>
      <c r="P27" s="271"/>
      <c r="R27" s="135"/>
      <c r="T27" s="273" t="s">
        <v>59</v>
      </c>
      <c r="U27" s="274"/>
      <c r="V27" s="274"/>
      <c r="W27" s="275"/>
      <c r="X27" s="270" t="s">
        <v>60</v>
      </c>
      <c r="Y27" s="272"/>
      <c r="Z27" s="271"/>
      <c r="AA27" s="270" t="s">
        <v>61</v>
      </c>
      <c r="AB27" s="272"/>
      <c r="AC27" s="272"/>
      <c r="AD27" s="272"/>
      <c r="AE27" s="272"/>
      <c r="AF27" s="272"/>
      <c r="AG27" s="271"/>
      <c r="AI27" s="135"/>
      <c r="AJ27" s="151"/>
      <c r="AK27" s="279" t="s">
        <v>59</v>
      </c>
      <c r="AL27" s="280"/>
      <c r="AM27" s="280"/>
      <c r="AN27" s="281"/>
      <c r="AO27" s="236" t="s">
        <v>60</v>
      </c>
      <c r="AP27" s="270" t="s">
        <v>61</v>
      </c>
      <c r="AQ27" s="271"/>
    </row>
    <row r="28" spans="1:45" x14ac:dyDescent="0.7">
      <c r="C28" s="152" t="s">
        <v>62</v>
      </c>
      <c r="D28" s="152" t="s">
        <v>63</v>
      </c>
      <c r="E28" s="152" t="s">
        <v>64</v>
      </c>
      <c r="F28" s="152" t="s">
        <v>32</v>
      </c>
      <c r="G28" s="237" t="s">
        <v>65</v>
      </c>
      <c r="H28" s="237" t="s">
        <v>66</v>
      </c>
      <c r="I28" s="237" t="s">
        <v>67</v>
      </c>
      <c r="J28" s="237" t="s">
        <v>68</v>
      </c>
      <c r="K28" s="237" t="s">
        <v>69</v>
      </c>
      <c r="L28" s="237" t="s">
        <v>70</v>
      </c>
      <c r="M28" s="237" t="s">
        <v>71</v>
      </c>
      <c r="N28" s="237" t="s">
        <v>72</v>
      </c>
      <c r="O28" s="237" t="s">
        <v>73</v>
      </c>
      <c r="P28" s="237" t="s">
        <v>74</v>
      </c>
      <c r="R28" s="135"/>
      <c r="T28" s="152" t="s">
        <v>62</v>
      </c>
      <c r="U28" s="152" t="s">
        <v>75</v>
      </c>
      <c r="V28" s="152" t="s">
        <v>76</v>
      </c>
      <c r="W28" s="152" t="s">
        <v>32</v>
      </c>
      <c r="X28" s="237" t="s">
        <v>77</v>
      </c>
      <c r="Y28" s="237" t="s">
        <v>78</v>
      </c>
      <c r="Z28" s="237" t="s">
        <v>79</v>
      </c>
      <c r="AA28" s="237" t="s">
        <v>68</v>
      </c>
      <c r="AB28" s="237" t="s">
        <v>69</v>
      </c>
      <c r="AC28" s="237" t="s">
        <v>70</v>
      </c>
      <c r="AD28" s="237" t="s">
        <v>71</v>
      </c>
      <c r="AE28" s="237" t="s">
        <v>72</v>
      </c>
      <c r="AF28" s="237" t="s">
        <v>73</v>
      </c>
      <c r="AG28" s="237" t="s">
        <v>74</v>
      </c>
      <c r="AI28" s="135"/>
      <c r="AJ28" s="135"/>
      <c r="AK28" s="152" t="s">
        <v>62</v>
      </c>
      <c r="AL28" s="152" t="s">
        <v>80</v>
      </c>
      <c r="AM28" s="152" t="s">
        <v>64</v>
      </c>
      <c r="AN28" s="152" t="s">
        <v>32</v>
      </c>
      <c r="AO28" s="237" t="s">
        <v>81</v>
      </c>
      <c r="AP28" s="237" t="s">
        <v>82</v>
      </c>
      <c r="AQ28" s="237" t="s">
        <v>74</v>
      </c>
    </row>
    <row r="29" spans="1:45" x14ac:dyDescent="0.7">
      <c r="C29" s="152"/>
      <c r="D29" s="137"/>
      <c r="E29" s="153"/>
      <c r="F29" s="154"/>
      <c r="G29" s="155" t="e" cm="1">
        <f t="array" ref="G29">+_xlfn.IFS($C$7=$D$12,VLOOKUP(D29,'EF-S1'!$B$10:$E$13,2,),$C$7=$D$13,VLOOKUP(D29,'EF-S1'!$B$17:$E$20,2,),$C$7=$D$14,VLOOKUP(D29,'EF-S1'!$B$24:$E$27,2,),$C$7=$D$15,VLOOKUP(D29,'EF-S1'!$B$31:$E$34,2,))</f>
        <v>#N/A</v>
      </c>
      <c r="H29" s="155" t="e" cm="1">
        <f t="array" ref="H29">+_xlfn.IFS($C$7=$D$12,VLOOKUP(D29,'EF-S1'!$B$10:$E$13,3,),$C$7=$D$13,VLOOKUP(D29,'EF-S1'!$B$17:$E$20,3,),$C$7=$D$14,VLOOKUP(D29,'EF-S1'!$B$24:$E$27,3,),$C$7=$D$15,VLOOKUP(D29,'EF-S1'!$B$31:$E$34,3,))</f>
        <v>#N/A</v>
      </c>
      <c r="I29" s="155" t="e" cm="1">
        <f t="array" ref="I29">+_xlfn.IFS($C$7=$D$12,VLOOKUP(D29,'EF-S1'!$B$10:$E$13,4,),$C$7=$D$13,VLOOKUP(D29,'EF-S1'!$B$17:$E$20,4,),$C$7=$D$14,VLOOKUP(D29,'EF-S1'!$B$24:$E$27,4,),$C$7=$D$15,VLOOKUP(D29,'EF-S1'!$B$31:$E$34,4,))</f>
        <v>#N/A</v>
      </c>
      <c r="J29" s="155" t="e" cm="1">
        <f t="array" ref="J29">+_xlfn.IFS(D29=$C$12,_xlfn.IFS(F29=$E$12,E29*G29*'EF-S1'!$C$38*1/'EF-S1'!$E$45,F29=$E$13,E29*G29*1/'EF-S1'!$E$45,F29=$E$14,E29*G29*'EF-S1'!$C$38*1/'EF-S1'!$E$45*1/'EF-S1'!$E$47,F29=$E$15,E29*G29*'EF-S1'!$D$38*1/'EF-S1'!$E$45),D29=$C$13,_xlfn.IFS(F29=$E$12,E29*G29*'EF-S1'!$C$39*1/'EF-S1'!$E$45,F29=$E$13,E29*G29*1/'EF-S1'!$E$45,F29=$E$14,E29*G29*'EF-S1'!$C$39*1/'EF-S1'!$E$45*1/'EF-S1'!$E$47,F29=$E$15,E29*G29*'EF-S1'!$D$39*1/'EF-S1'!$E$45),D29=$C$14,_xlfn.IFS(F29=$E$12,E29*G29*'EF-S1'!$C$40*1/'EF-S1'!$E$45,F29=$E$13,E29*G29*1/'EF-S1'!$E$45,F29=$E$14,E29*G29*'EF-S1'!$C$40*1/'EF-S1'!$E$45*1/'EF-S1'!$E$47,F29=$E$15,E29*G29*'EF-S1'!$D$40*1/'EF-S1'!$E$45),D29=$C$15,_xlfn.IFS(F29=$E$12,E29*G29*'EF-S1'!$C$41*1/'EF-S1'!$E$45,F29=$E$13,E29*G29*1/'EF-S1'!$E$45,F29=$E$14,E29*G29*'EF-S1'!$C$41*1/'EF-S1'!$E$45*1/'EF-S1'!$E$47,F29=$E$15,E29*G29*'EF-S1'!$D$41*1/'EF-S1'!$E$45))</f>
        <v>#N/A</v>
      </c>
      <c r="K29" s="155" t="e" cm="1">
        <f t="array" ref="K29">+_xlfn.IFS(D29=$C$12,_xlfn.IFS(F29=$E$12,E29*H29*'EF-S1'!$C$38*1/'EF-S1'!$E$45,F29=$E$13,E29*H29*1/'EF-S1'!$E$45,F29=$E$14,E29*H29*'EF-S1'!$C$38*1/'EF-S1'!$E$45*1/'EF-S1'!$E$47,F29=$E$15,E29*H29*'EF-S1'!$D$38*1/'EF-S1'!$E$45),D29=$C$13,_xlfn.IFS(F29=$E$12,E29*H29*'EF-S1'!$C$39*1/'EF-S1'!$E$45,F29=$E$13,E29*H29*1/'EF-S1'!$E$45,F29=$E$14,E29*H29*'EF-S1'!$C$39*1/'EF-S1'!$E$45*1/'EF-S1'!$E$47,F29=$E$15,E29*H29*'EF-S1'!$D$39*1/'EF-S1'!$E$45),D29=$C$14,_xlfn.IFS(F29=$E$12,E29*H29*'EF-S1'!$C$40*1/'EF-S1'!$E$45,F29=$E$13,E29*H29*1/'EF-S1'!$E$45,F29=$E$14,E29*H29*'EF-S1'!$C$40*1/'EF-S1'!$E$45*1/'EF-S1'!$E$47,F29=$E$15,E29*H29*'EF-S1'!$D$40*1/'EF-S1'!$E$45),D29=$C$15,_xlfn.IFS(F29=$E$12,E29*H29*'EF-S1'!$C$41*1/'EF-S1'!$E$45,F29=$E$13,E29*H29*1/'EF-S1'!$E$45,F29=$E$14,E29*H29*'EF-S1'!$C$41*1/'EF-S1'!$E$45*1/'EF-S1'!$E$47,F29=$E$15,E29*H29*'EF-S1'!$D$41*1/'EF-S1'!$E$45))</f>
        <v>#N/A</v>
      </c>
      <c r="L29" s="155" t="e" cm="1">
        <f t="array" ref="L29">+_xlfn.IFS(D29=$C$12,_xlfn.IFS(F29=$E$12,E29*I29*'EF-S1'!$C$38*1/'EF-S1'!$E$45,F29=$E$13,E29*I29*1/'EF-S1'!$E$45,F29=$E$14,E29*I29*'EF-S1'!$C$38*1/'EF-S1'!$E$45*1/'EF-S1'!$E$47,F29=$E$15,E29*I29*'EF-S1'!$D$38*1/'EF-S1'!$E$45),D29=$C$13,_xlfn.IFS(F29=$E$12,E29*I29*'EF-S1'!$C$39*1/'EF-S1'!$E$45,F29=$E$13,E29*I29*1/'EF-S1'!$E$45,F29=$E$14,E29*I29*'EF-S1'!$C$39*1/'EF-S1'!$E$45*1/'EF-S1'!$E$47,F29=$E$15,E29*I29*'EF-S1'!$D$39*1/'EF-S1'!$E$45),D29=$C$14,_xlfn.IFS(F29=$E$12,E29*I29*'EF-S1'!$C$40*1/'EF-S1'!$E$45,F29=$E$13,E29*I29*1/'EF-S1'!$E$45,F29=$E$14,E29*I29*'EF-S1'!$C$40*1/'EF-S1'!$E$45*1/'EF-S1'!$E$47,F29=$E$15,E29*I29*'EF-S1'!$D$40*1/'EF-S1'!$E$45),D29=$C$15,_xlfn.IFS(F29=$E$12,E29*I29*'EF-S1'!$C$41*1/'EF-S1'!$E$45,F29=$E$13,E29*I29*1/'EF-S1'!$E$45,F29=$E$14,E29*I29*'EF-S1'!$C$41*1/'EF-S1'!$E$45*1/'EF-S1'!$E$47,F29=$E$15,E29*I29*'EF-S1'!$D$41*1/'EF-S1'!$E$45))</f>
        <v>#N/A</v>
      </c>
      <c r="M29" s="155" t="e">
        <f>+J29/1000</f>
        <v>#N/A</v>
      </c>
      <c r="N29" s="155" t="e">
        <f t="shared" ref="N29:O29" si="0">+K29/1000</f>
        <v>#N/A</v>
      </c>
      <c r="O29" s="155" t="e">
        <f t="shared" si="0"/>
        <v>#N/A</v>
      </c>
      <c r="P29" s="156">
        <f>+IFERROR(SUM(M29:O29),0)</f>
        <v>0</v>
      </c>
      <c r="R29" s="135"/>
      <c r="T29" s="152"/>
      <c r="U29" s="157"/>
      <c r="V29" s="158"/>
      <c r="W29" s="159"/>
      <c r="X29" s="155" t="e" cm="1">
        <f t="array" ref="X29">+_xlfn.IFS(W29="km",VLOOKUP(U29,'EF-S1'!$J$10:$M$16,2,),W29="l",VLOOKUP(U29,'EF-S1'!$J$26:$M$29,2,))</f>
        <v>#N/A</v>
      </c>
      <c r="Y29" s="155" t="e" cm="1">
        <f t="array" ref="Y29">+_xlfn.IFS(W29="km",VLOOKUP(U29,'EF-S1'!$J$10:$M$16,3,),W29="l",VLOOKUP(U29,'EF-S1'!$J$26:$M$29,3,))</f>
        <v>#N/A</v>
      </c>
      <c r="Z29" s="155" t="e" cm="1">
        <f t="array" ref="Z29">+_xlfn.IFS(W29="km",VLOOKUP(U29,'EF-S1'!$J$10:$M$16,4,),W29="l",VLOOKUP(U29,'EF-S1'!$J$26:$M$29,4,))</f>
        <v>#N/A</v>
      </c>
      <c r="AA29" s="155" t="e">
        <f t="shared" ref="AA29:AC35" si="1">+$V29*X29</f>
        <v>#N/A</v>
      </c>
      <c r="AB29" s="155" t="e">
        <f t="shared" si="1"/>
        <v>#N/A</v>
      </c>
      <c r="AC29" s="155" t="e">
        <f t="shared" si="1"/>
        <v>#N/A</v>
      </c>
      <c r="AD29" s="155" t="e">
        <f>+AA29/1000</f>
        <v>#N/A</v>
      </c>
      <c r="AE29" s="155" t="e">
        <f t="shared" ref="AE29:AF29" si="2">+AB29/1000</f>
        <v>#N/A</v>
      </c>
      <c r="AF29" s="155" t="e">
        <f t="shared" si="2"/>
        <v>#N/A</v>
      </c>
      <c r="AG29" s="156">
        <f>+IFERROR(SUM(AD29:AF29),0)</f>
        <v>0</v>
      </c>
      <c r="AI29" s="135"/>
      <c r="AJ29" s="135"/>
      <c r="AK29" s="152"/>
      <c r="AL29" s="160"/>
      <c r="AM29" s="158"/>
      <c r="AN29" s="159" t="s">
        <v>49</v>
      </c>
      <c r="AO29" s="155" t="e">
        <f>+VLOOKUP(AL29,'EF-S1'!$U$10:$V$24,2,)</f>
        <v>#N/A</v>
      </c>
      <c r="AP29" s="155" t="e">
        <f t="shared" ref="AP29:AP34" si="3">+AM29*AO29</f>
        <v>#N/A</v>
      </c>
      <c r="AQ29" s="156">
        <f>+IFERROR(AP29/1000,0)</f>
        <v>0</v>
      </c>
    </row>
    <row r="30" spans="1:45" x14ac:dyDescent="0.7">
      <c r="C30" s="152"/>
      <c r="D30" s="137"/>
      <c r="E30" s="158"/>
      <c r="F30" s="154"/>
      <c r="G30" s="155" t="e" cm="1">
        <f t="array" ref="G30">+_xlfn.IFS($C$7=$D$12,VLOOKUP(D30,'EF-S1'!$B$10:$E$13,2,),$C$7=$D$13,VLOOKUP(D30,'EF-S1'!$B$17:$E$20,2,),$C$7=$D$14,VLOOKUP(D30,'EF-S1'!$B$24:$E$27,2,),$C$7=$D$15,VLOOKUP(D30,'EF-S1'!$B$31:$E$34,2,))</f>
        <v>#N/A</v>
      </c>
      <c r="H30" s="155" t="e" cm="1">
        <f t="array" ref="H30">+_xlfn.IFS($C$7=$D$12,VLOOKUP(D30,'EF-S1'!$B$10:$E$13,3,),$C$7=$D$13,VLOOKUP(D30,'EF-S1'!$B$17:$E$20,3,),$C$7=$D$14,VLOOKUP(D30,'EF-S1'!$B$24:$E$27,3,),$C$7=$D$15,VLOOKUP(D30,'EF-S1'!$B$31:$E$34,3,))</f>
        <v>#N/A</v>
      </c>
      <c r="I30" s="155" t="e" cm="1">
        <f t="array" ref="I30">+_xlfn.IFS($C$7=$D$12,VLOOKUP(D30,'EF-S1'!$B$10:$E$13,4,),$C$7=$D$13,VLOOKUP(D30,'EF-S1'!$B$17:$E$20,4,),$C$7=$D$14,VLOOKUP(D30,'EF-S1'!$B$24:$E$27,4,),$C$7=$D$15,VLOOKUP(D30,'EF-S1'!$B$31:$E$34,4,))</f>
        <v>#N/A</v>
      </c>
      <c r="J30" s="155" t="e" cm="1">
        <f t="array" ref="J30">+_xlfn.IFS(D30=$C$12,_xlfn.IFS(F30=$E$12,E30*G30*'EF-S1'!$C$38*1/'EF-S1'!$E$45,F30=$E$13,E30*G30*1/'EF-S1'!$E$45,F30=$E$14,E30*G30*'EF-S1'!$C$38*1/'EF-S1'!$E$45*1/'EF-S1'!$E$47,F30=$E$15,E30*G30*'EF-S1'!$D$38*1/'EF-S1'!$E$45),D30=$C$13,_xlfn.IFS(F30=$E$12,E30*G30*'EF-S1'!$C$39*1/'EF-S1'!$E$45,F30=$E$13,E30*G30*1/'EF-S1'!$E$45,F30=$E$14,E30*G30*'EF-S1'!$C$39*1/'EF-S1'!$E$45*1/'EF-S1'!$E$47,F30=$E$15,E30*G30*'EF-S1'!$D$39*1/'EF-S1'!$E$45),D30=$C$14,_xlfn.IFS(F30=$E$12,E30*G30*'EF-S1'!$C$40*1/'EF-S1'!$E$45,F30=$E$13,E30*G30*1/'EF-S1'!$E$45,F30=$E$14,E30*G30*'EF-S1'!$C$40*1/'EF-S1'!$E$45*1/'EF-S1'!$E$47,F30=$E$15,E30*G30*'EF-S1'!$D$40*1/'EF-S1'!$E$45),D30=$C$15,_xlfn.IFS(F30=$E$12,E30*G30*'EF-S1'!$C$41*1/'EF-S1'!$E$45,F30=$E$13,E30*G30*1/'EF-S1'!$E$45,F30=$E$14,E30*G30*'EF-S1'!$C$41*1/'EF-S1'!$E$45*1/'EF-S1'!$E$47,F30=$E$15,E30*G30*'EF-S1'!$D$41*1/'EF-S1'!$E$45))</f>
        <v>#N/A</v>
      </c>
      <c r="K30" s="155" t="e" cm="1">
        <f t="array" ref="K30">+_xlfn.IFS(D30=$C$12,_xlfn.IFS(F30=$E$12,E30*H30*'EF-S1'!$C$38*1/'EF-S1'!$E$45,F30=$E$13,E30*H30*1/'EF-S1'!$E$45,F30=$E$14,E30*H30*'EF-S1'!$C$38*1/'EF-S1'!$E$45*1/'EF-S1'!$E$47,F30=$E$15,E30*H30*'EF-S1'!$D$38*1/'EF-S1'!$E$45),D30=$C$13,_xlfn.IFS(F30=$E$12,E30*H30*'EF-S1'!$C$39*1/'EF-S1'!$E$45,F30=$E$13,E30*H30*1/'EF-S1'!$E$45,F30=$E$14,E30*H30*'EF-S1'!$C$39*1/'EF-S1'!$E$45*1/'EF-S1'!$E$47,F30=$E$15,E30*H30*'EF-S1'!$D$39*1/'EF-S1'!$E$45),D30=$C$14,_xlfn.IFS(F30=$E$12,E30*H30*'EF-S1'!$C$40*1/'EF-S1'!$E$45,F30=$E$13,E30*H30*1/'EF-S1'!$E$45,F30=$E$14,E30*H30*'EF-S1'!$C$40*1/'EF-S1'!$E$45*1/'EF-S1'!$E$47,F30=$E$15,E30*H30*'EF-S1'!$D$40*1/'EF-S1'!$E$45),D30=$C$15,_xlfn.IFS(F30=$E$12,E30*H30*'EF-S1'!$C$41*1/'EF-S1'!$E$45,F30=$E$13,E30*H30*1/'EF-S1'!$E$45,F30=$E$14,E30*H30*'EF-S1'!$C$41*1/'EF-S1'!$E$45*1/'EF-S1'!$E$47,F30=$E$15,E30*H30*'EF-S1'!$D$41*1/'EF-S1'!$E$45))</f>
        <v>#N/A</v>
      </c>
      <c r="L30" s="155" t="e" cm="1">
        <f t="array" ref="L30">+_xlfn.IFS(D30=$C$12,_xlfn.IFS(F30=$E$12,E30*I30*'EF-S1'!$C$38*1/'EF-S1'!$E$45,F30=$E$13,E30*I30*1/'EF-S1'!$E$45,F30=$E$14,E30*I30*'EF-S1'!$C$38*1/'EF-S1'!$E$45*1/'EF-S1'!$E$47,F30=$E$15,E30*I30*'EF-S1'!$D$38*1/'EF-S1'!$E$45),D30=$C$13,_xlfn.IFS(F30=$E$12,E30*I30*'EF-S1'!$C$39*1/'EF-S1'!$E$45,F30=$E$13,E30*I30*1/'EF-S1'!$E$45,F30=$E$14,E30*I30*'EF-S1'!$C$39*1/'EF-S1'!$E$45*1/'EF-S1'!$E$47,F30=$E$15,E30*I30*'EF-S1'!$D$39*1/'EF-S1'!$E$45),D30=$C$14,_xlfn.IFS(F30=$E$12,E30*I30*'EF-S1'!$C$40*1/'EF-S1'!$E$45,F30=$E$13,E30*I30*1/'EF-S1'!$E$45,F30=$E$14,E30*I30*'EF-S1'!$C$40*1/'EF-S1'!$E$45*1/'EF-S1'!$E$47,F30=$E$15,E30*I30*'EF-S1'!$D$40*1/'EF-S1'!$E$45),D30=$C$15,_xlfn.IFS(F30=$E$12,E30*I30*'EF-S1'!$C$41*1/'EF-S1'!$E$45,F30=$E$13,E30*I30*1/'EF-S1'!$E$45,F30=$E$14,E30*I30*'EF-S1'!$C$41*1/'EF-S1'!$E$45*1/'EF-S1'!$E$47,F30=$E$15,E30*I30*'EF-S1'!$D$41*1/'EF-S1'!$E$45))</f>
        <v>#N/A</v>
      </c>
      <c r="M30" s="155" t="e">
        <f t="shared" ref="M30:M33" si="4">+J30/1000</f>
        <v>#N/A</v>
      </c>
      <c r="N30" s="155" t="e">
        <f t="shared" ref="N30:N33" si="5">+K30/1000</f>
        <v>#N/A</v>
      </c>
      <c r="O30" s="155" t="e">
        <f t="shared" ref="O30:O33" si="6">+L30/1000</f>
        <v>#N/A</v>
      </c>
      <c r="P30" s="156">
        <f t="shared" ref="P30:P93" si="7">+IFERROR(SUM(M30:O30),0)</f>
        <v>0</v>
      </c>
      <c r="R30" s="135"/>
      <c r="T30" s="152"/>
      <c r="U30" s="157"/>
      <c r="V30" s="158"/>
      <c r="W30" s="159"/>
      <c r="X30" s="155" t="e" cm="1">
        <f t="array" ref="X30">+_xlfn.IFS(W30="km",VLOOKUP(U30,'EF-S1'!$J$10:$M$16,2,),W30="l",VLOOKUP(U30,'EF-S1'!$J$26:$M$29,2,))</f>
        <v>#N/A</v>
      </c>
      <c r="Y30" s="155" t="e" cm="1">
        <f t="array" ref="Y30">+_xlfn.IFS(W30="km",VLOOKUP(U30,'EF-S1'!$J$10:$M$16,3,),W30="l",VLOOKUP(U30,'EF-S1'!$J$26:$M$29,3,))</f>
        <v>#N/A</v>
      </c>
      <c r="Z30" s="155" t="e" cm="1">
        <f t="array" ref="Z30">+_xlfn.IFS(W30="km",VLOOKUP(U30,'EF-S1'!$J$10:$M$16,4,),W30="l",VLOOKUP(U30,'EF-S1'!$J$26:$M$29,4,))</f>
        <v>#N/A</v>
      </c>
      <c r="AA30" s="155" t="e">
        <f t="shared" si="1"/>
        <v>#N/A</v>
      </c>
      <c r="AB30" s="155" t="e">
        <f t="shared" si="1"/>
        <v>#N/A</v>
      </c>
      <c r="AC30" s="155" t="e">
        <f t="shared" si="1"/>
        <v>#N/A</v>
      </c>
      <c r="AD30" s="155" t="e">
        <f t="shared" ref="AD30:AD35" si="8">+AA30/1000</f>
        <v>#N/A</v>
      </c>
      <c r="AE30" s="155" t="e">
        <f t="shared" ref="AE30:AE35" si="9">+AB30/1000</f>
        <v>#N/A</v>
      </c>
      <c r="AF30" s="155" t="e">
        <f t="shared" ref="AF30:AF35" si="10">+AC30/1000</f>
        <v>#N/A</v>
      </c>
      <c r="AG30" s="156">
        <f t="shared" ref="AG30:AG93" si="11">+IFERROR(SUM(AD30:AF30),0)</f>
        <v>0</v>
      </c>
      <c r="AI30" s="135"/>
      <c r="AJ30" s="135"/>
      <c r="AK30" s="152"/>
      <c r="AL30" s="160"/>
      <c r="AM30" s="158"/>
      <c r="AN30" s="159" t="s">
        <v>49</v>
      </c>
      <c r="AO30" s="155" t="e">
        <f>+VLOOKUP(AL30,'EF-S1'!$U$10:$V$24,2,)</f>
        <v>#N/A</v>
      </c>
      <c r="AP30" s="155" t="e">
        <f t="shared" si="3"/>
        <v>#N/A</v>
      </c>
      <c r="AQ30" s="156">
        <f t="shared" ref="AQ30:AQ93" si="12">+IFERROR(AP30/1000,0)</f>
        <v>0</v>
      </c>
    </row>
    <row r="31" spans="1:45" x14ac:dyDescent="0.7">
      <c r="C31" s="152"/>
      <c r="D31" s="137"/>
      <c r="E31" s="158"/>
      <c r="F31" s="154"/>
      <c r="G31" s="155" t="e" cm="1">
        <f t="array" ref="G31">+_xlfn.IFS($C$7=$D$12,VLOOKUP(D31,'EF-S1'!$B$10:$E$13,2,),$C$7=$D$13,VLOOKUP(D31,'EF-S1'!$B$17:$E$20,2,),$C$7=$D$14,VLOOKUP(D31,'EF-S1'!$B$24:$E$27,2,),$C$7=$D$15,VLOOKUP(D31,'EF-S1'!$B$31:$E$34,2,))</f>
        <v>#N/A</v>
      </c>
      <c r="H31" s="155" t="e" cm="1">
        <f t="array" ref="H31">+_xlfn.IFS($C$7=$D$12,VLOOKUP(D31,'EF-S1'!$B$10:$E$13,3,),$C$7=$D$13,VLOOKUP(D31,'EF-S1'!$B$17:$E$20,3,),$C$7=$D$14,VLOOKUP(D31,'EF-S1'!$B$24:$E$27,3,),$C$7=$D$15,VLOOKUP(D31,'EF-S1'!$B$31:$E$34,3,))</f>
        <v>#N/A</v>
      </c>
      <c r="I31" s="155" t="e" cm="1">
        <f t="array" ref="I31">+_xlfn.IFS($C$7=$D$12,VLOOKUP(D31,'EF-S1'!$B$10:$E$13,4,),$C$7=$D$13,VLOOKUP(D31,'EF-S1'!$B$17:$E$20,4,),$C$7=$D$14,VLOOKUP(D31,'EF-S1'!$B$24:$E$27,4,),$C$7=$D$15,VLOOKUP(D31,'EF-S1'!$B$31:$E$34,4,))</f>
        <v>#N/A</v>
      </c>
      <c r="J31" s="155" t="e" cm="1">
        <f t="array" ref="J31">+_xlfn.IFS(D31=$C$12,_xlfn.IFS(F31=$E$12,E31*G31*'EF-S1'!$C$38*1/'EF-S1'!$E$45,F31=$E$13,E31*G31*1/'EF-S1'!$E$45,F31=$E$14,E31*G31*'EF-S1'!$C$38*1/'EF-S1'!$E$45*1/'EF-S1'!$E$47,F31=$E$15,E31*G31*'EF-S1'!$D$38*1/'EF-S1'!$E$45),D31=$C$13,_xlfn.IFS(F31=$E$12,E31*G31*'EF-S1'!$C$39*1/'EF-S1'!$E$45,F31=$E$13,E31*G31*1/'EF-S1'!$E$45,F31=$E$14,E31*G31*'EF-S1'!$C$39*1/'EF-S1'!$E$45*1/'EF-S1'!$E$47,F31=$E$15,E31*G31*'EF-S1'!$D$39*1/'EF-S1'!$E$45),D31=$C$14,_xlfn.IFS(F31=$E$12,E31*G31*'EF-S1'!$C$40*1/'EF-S1'!$E$45,F31=$E$13,E31*G31*1/'EF-S1'!$E$45,F31=$E$14,E31*G31*'EF-S1'!$C$40*1/'EF-S1'!$E$45*1/'EF-S1'!$E$47,F31=$E$15,E31*G31*'EF-S1'!$D$40*1/'EF-S1'!$E$45),D31=$C$15,_xlfn.IFS(F31=$E$12,E31*G31*'EF-S1'!$C$41*1/'EF-S1'!$E$45,F31=$E$13,E31*G31*1/'EF-S1'!$E$45,F31=$E$14,E31*G31*'EF-S1'!$C$41*1/'EF-S1'!$E$45*1/'EF-S1'!$E$47,F31=$E$15,E31*G31*'EF-S1'!$D$41*1/'EF-S1'!$E$45))</f>
        <v>#N/A</v>
      </c>
      <c r="K31" s="155" t="e" cm="1">
        <f t="array" ref="K31">+_xlfn.IFS(D31=$C$12,_xlfn.IFS(F31=$E$12,E31*H31*'EF-S1'!$C$38*1/'EF-S1'!$E$45,F31=$E$13,E31*H31*1/'EF-S1'!$E$45,F31=$E$14,E31*H31*'EF-S1'!$C$38*1/'EF-S1'!$E$45*1/'EF-S1'!$E$47,F31=$E$15,E31*H31*'EF-S1'!$D$38*1/'EF-S1'!$E$45),D31=$C$13,_xlfn.IFS(F31=$E$12,E31*H31*'EF-S1'!$C$39*1/'EF-S1'!$E$45,F31=$E$13,E31*H31*1/'EF-S1'!$E$45,F31=$E$14,E31*H31*'EF-S1'!$C$39*1/'EF-S1'!$E$45*1/'EF-S1'!$E$47,F31=$E$15,E31*H31*'EF-S1'!$D$39*1/'EF-S1'!$E$45),D31=$C$14,_xlfn.IFS(F31=$E$12,E31*H31*'EF-S1'!$C$40*1/'EF-S1'!$E$45,F31=$E$13,E31*H31*1/'EF-S1'!$E$45,F31=$E$14,E31*H31*'EF-S1'!$C$40*1/'EF-S1'!$E$45*1/'EF-S1'!$E$47,F31=$E$15,E31*H31*'EF-S1'!$D$40*1/'EF-S1'!$E$45),D31=$C$15,_xlfn.IFS(F31=$E$12,E31*H31*'EF-S1'!$C$41*1/'EF-S1'!$E$45,F31=$E$13,E31*H31*1/'EF-S1'!$E$45,F31=$E$14,E31*H31*'EF-S1'!$C$41*1/'EF-S1'!$E$45*1/'EF-S1'!$E$47,F31=$E$15,E31*H31*'EF-S1'!$D$41*1/'EF-S1'!$E$45))</f>
        <v>#N/A</v>
      </c>
      <c r="L31" s="155" t="e" cm="1">
        <f t="array" ref="L31">+_xlfn.IFS(D31=$C$12,_xlfn.IFS(F31=$E$12,E31*I31*'EF-S1'!$C$38*1/'EF-S1'!$E$45,F31=$E$13,E31*I31*1/'EF-S1'!$E$45,F31=$E$14,E31*I31*'EF-S1'!$C$38*1/'EF-S1'!$E$45*1/'EF-S1'!$E$47,F31=$E$15,E31*I31*'EF-S1'!$D$38*1/'EF-S1'!$E$45),D31=$C$13,_xlfn.IFS(F31=$E$12,E31*I31*'EF-S1'!$C$39*1/'EF-S1'!$E$45,F31=$E$13,E31*I31*1/'EF-S1'!$E$45,F31=$E$14,E31*I31*'EF-S1'!$C$39*1/'EF-S1'!$E$45*1/'EF-S1'!$E$47,F31=$E$15,E31*I31*'EF-S1'!$D$39*1/'EF-S1'!$E$45),D31=$C$14,_xlfn.IFS(F31=$E$12,E31*I31*'EF-S1'!$C$40*1/'EF-S1'!$E$45,F31=$E$13,E31*I31*1/'EF-S1'!$E$45,F31=$E$14,E31*I31*'EF-S1'!$C$40*1/'EF-S1'!$E$45*1/'EF-S1'!$E$47,F31=$E$15,E31*I31*'EF-S1'!$D$40*1/'EF-S1'!$E$45),D31=$C$15,_xlfn.IFS(F31=$E$12,E31*I31*'EF-S1'!$C$41*1/'EF-S1'!$E$45,F31=$E$13,E31*I31*1/'EF-S1'!$E$45,F31=$E$14,E31*I31*'EF-S1'!$C$41*1/'EF-S1'!$E$45*1/'EF-S1'!$E$47,F31=$E$15,E31*I31*'EF-S1'!$D$41*1/'EF-S1'!$E$45))</f>
        <v>#N/A</v>
      </c>
      <c r="M31" s="155" t="e">
        <f t="shared" si="4"/>
        <v>#N/A</v>
      </c>
      <c r="N31" s="155" t="e">
        <f t="shared" si="5"/>
        <v>#N/A</v>
      </c>
      <c r="O31" s="155" t="e">
        <f t="shared" si="6"/>
        <v>#N/A</v>
      </c>
      <c r="P31" s="156">
        <f t="shared" si="7"/>
        <v>0</v>
      </c>
      <c r="T31" s="152"/>
      <c r="U31" s="157"/>
      <c r="V31" s="158"/>
      <c r="W31" s="159"/>
      <c r="X31" s="155" t="e" cm="1">
        <f t="array" ref="X31">+_xlfn.IFS(W31="km",VLOOKUP(U31,'EF-S1'!$J$10:$M$16,2,),W31="l",VLOOKUP(U31,'EF-S1'!$J$26:$M$29,2,))</f>
        <v>#N/A</v>
      </c>
      <c r="Y31" s="155" t="e" cm="1">
        <f t="array" ref="Y31">+_xlfn.IFS(W31="km",VLOOKUP(U31,'EF-S1'!$J$10:$M$16,3,),W31="l",VLOOKUP(U31,'EF-S1'!$J$26:$M$29,3,))</f>
        <v>#N/A</v>
      </c>
      <c r="Z31" s="155" t="e" cm="1">
        <f t="array" ref="Z31">+_xlfn.IFS(W31="km",VLOOKUP(U31,'EF-S1'!$J$10:$M$16,4,),W31="l",VLOOKUP(U31,'EF-S1'!$J$26:$M$29,4,))</f>
        <v>#N/A</v>
      </c>
      <c r="AA31" s="155" t="e">
        <f t="shared" si="1"/>
        <v>#N/A</v>
      </c>
      <c r="AB31" s="155" t="e">
        <f t="shared" si="1"/>
        <v>#N/A</v>
      </c>
      <c r="AC31" s="155" t="e">
        <f t="shared" si="1"/>
        <v>#N/A</v>
      </c>
      <c r="AD31" s="155" t="e">
        <f t="shared" si="8"/>
        <v>#N/A</v>
      </c>
      <c r="AE31" s="155" t="e">
        <f t="shared" si="9"/>
        <v>#N/A</v>
      </c>
      <c r="AF31" s="155" t="e">
        <f t="shared" si="10"/>
        <v>#N/A</v>
      </c>
      <c r="AG31" s="156">
        <f t="shared" si="11"/>
        <v>0</v>
      </c>
      <c r="AI31" s="135"/>
      <c r="AJ31" s="135"/>
      <c r="AK31" s="152"/>
      <c r="AL31" s="160"/>
      <c r="AM31" s="158"/>
      <c r="AN31" s="159" t="s">
        <v>49</v>
      </c>
      <c r="AO31" s="155" t="e">
        <f>+VLOOKUP(AL31,'EF-S1'!$U$10:$V$24,2,)</f>
        <v>#N/A</v>
      </c>
      <c r="AP31" s="155" t="e">
        <f t="shared" si="3"/>
        <v>#N/A</v>
      </c>
      <c r="AQ31" s="156">
        <f t="shared" si="12"/>
        <v>0</v>
      </c>
    </row>
    <row r="32" spans="1:45" x14ac:dyDescent="0.7">
      <c r="C32" s="152"/>
      <c r="D32" s="137"/>
      <c r="E32" s="158"/>
      <c r="F32" s="154"/>
      <c r="G32" s="155" t="e" cm="1">
        <f t="array" ref="G32">+_xlfn.IFS($C$7=$D$12,VLOOKUP(D32,'EF-S1'!$B$10:$E$13,2,),$C$7=$D$13,VLOOKUP(D32,'EF-S1'!$B$17:$E$20,2,),$C$7=$D$14,VLOOKUP(D32,'EF-S1'!$B$24:$E$27,2,),$C$7=$D$15,VLOOKUP(D32,'EF-S1'!$B$31:$E$34,2,))</f>
        <v>#N/A</v>
      </c>
      <c r="H32" s="155" t="e" cm="1">
        <f t="array" ref="H32">+_xlfn.IFS($C$7=$D$12,VLOOKUP(D32,'EF-S1'!$B$10:$E$13,3,),$C$7=$D$13,VLOOKUP(D32,'EF-S1'!$B$17:$E$20,3,),$C$7=$D$14,VLOOKUP(D32,'EF-S1'!$B$24:$E$27,3,),$C$7=$D$15,VLOOKUP(D32,'EF-S1'!$B$31:$E$34,3,))</f>
        <v>#N/A</v>
      </c>
      <c r="I32" s="155" t="e" cm="1">
        <f t="array" ref="I32">+_xlfn.IFS($C$7=$D$12,VLOOKUP(D32,'EF-S1'!$B$10:$E$13,4,),$C$7=$D$13,VLOOKUP(D32,'EF-S1'!$B$17:$E$20,4,),$C$7=$D$14,VLOOKUP(D32,'EF-S1'!$B$24:$E$27,4,),$C$7=$D$15,VLOOKUP(D32,'EF-S1'!$B$31:$E$34,4,))</f>
        <v>#N/A</v>
      </c>
      <c r="J32" s="155" t="e" cm="1">
        <f t="array" ref="J32">+_xlfn.IFS(D32=$C$12,_xlfn.IFS(F32=$E$12,E32*G32*'EF-S1'!$C$38*1/'EF-S1'!$E$45,F32=$E$13,E32*G32*1/'EF-S1'!$E$45,F32=$E$14,E32*G32*'EF-S1'!$C$38*1/'EF-S1'!$E$45*1/'EF-S1'!$E$47,F32=$E$15,E32*G32*'EF-S1'!$D$38*1/'EF-S1'!$E$45),D32=$C$13,_xlfn.IFS(F32=$E$12,E32*G32*'EF-S1'!$C$39*1/'EF-S1'!$E$45,F32=$E$13,E32*G32*1/'EF-S1'!$E$45,F32=$E$14,E32*G32*'EF-S1'!$C$39*1/'EF-S1'!$E$45*1/'EF-S1'!$E$47,F32=$E$15,E32*G32*'EF-S1'!$D$39*1/'EF-S1'!$E$45),D32=$C$14,_xlfn.IFS(F32=$E$12,E32*G32*'EF-S1'!$C$40*1/'EF-S1'!$E$45,F32=$E$13,E32*G32*1/'EF-S1'!$E$45,F32=$E$14,E32*G32*'EF-S1'!$C$40*1/'EF-S1'!$E$45*1/'EF-S1'!$E$47,F32=$E$15,E32*G32*'EF-S1'!$D$40*1/'EF-S1'!$E$45),D32=$C$15,_xlfn.IFS(F32=$E$12,E32*G32*'EF-S1'!$C$41*1/'EF-S1'!$E$45,F32=$E$13,E32*G32*1/'EF-S1'!$E$45,F32=$E$14,E32*G32*'EF-S1'!$C$41*1/'EF-S1'!$E$45*1/'EF-S1'!$E$47,F32=$E$15,E32*G32*'EF-S1'!$D$41*1/'EF-S1'!$E$45))</f>
        <v>#N/A</v>
      </c>
      <c r="K32" s="155" t="e" cm="1">
        <f t="array" ref="K32">+_xlfn.IFS(D32=$C$12,_xlfn.IFS(F32=$E$12,E32*H32*'EF-S1'!$C$38*1/'EF-S1'!$E$45,F32=$E$13,E32*H32*1/'EF-S1'!$E$45,F32=$E$14,E32*H32*'EF-S1'!$C$38*1/'EF-S1'!$E$45*1/'EF-S1'!$E$47,F32=$E$15,E32*H32*'EF-S1'!$D$38*1/'EF-S1'!$E$45),D32=$C$13,_xlfn.IFS(F32=$E$12,E32*H32*'EF-S1'!$C$39*1/'EF-S1'!$E$45,F32=$E$13,E32*H32*1/'EF-S1'!$E$45,F32=$E$14,E32*H32*'EF-S1'!$C$39*1/'EF-S1'!$E$45*1/'EF-S1'!$E$47,F32=$E$15,E32*H32*'EF-S1'!$D$39*1/'EF-S1'!$E$45),D32=$C$14,_xlfn.IFS(F32=$E$12,E32*H32*'EF-S1'!$C$40*1/'EF-S1'!$E$45,F32=$E$13,E32*H32*1/'EF-S1'!$E$45,F32=$E$14,E32*H32*'EF-S1'!$C$40*1/'EF-S1'!$E$45*1/'EF-S1'!$E$47,F32=$E$15,E32*H32*'EF-S1'!$D$40*1/'EF-S1'!$E$45),D32=$C$15,_xlfn.IFS(F32=$E$12,E32*H32*'EF-S1'!$C$41*1/'EF-S1'!$E$45,F32=$E$13,E32*H32*1/'EF-S1'!$E$45,F32=$E$14,E32*H32*'EF-S1'!$C$41*1/'EF-S1'!$E$45*1/'EF-S1'!$E$47,F32=$E$15,E32*H32*'EF-S1'!$D$41*1/'EF-S1'!$E$45))</f>
        <v>#N/A</v>
      </c>
      <c r="L32" s="155" t="e" cm="1">
        <f t="array" ref="L32">+_xlfn.IFS(D32=$C$12,_xlfn.IFS(F32=$E$12,E32*I32*'EF-S1'!$C$38*1/'EF-S1'!$E$45,F32=$E$13,E32*I32*1/'EF-S1'!$E$45,F32=$E$14,E32*I32*'EF-S1'!$C$38*1/'EF-S1'!$E$45*1/'EF-S1'!$E$47,F32=$E$15,E32*I32*'EF-S1'!$D$38*1/'EF-S1'!$E$45),D32=$C$13,_xlfn.IFS(F32=$E$12,E32*I32*'EF-S1'!$C$39*1/'EF-S1'!$E$45,F32=$E$13,E32*I32*1/'EF-S1'!$E$45,F32=$E$14,E32*I32*'EF-S1'!$C$39*1/'EF-S1'!$E$45*1/'EF-S1'!$E$47,F32=$E$15,E32*I32*'EF-S1'!$D$39*1/'EF-S1'!$E$45),D32=$C$14,_xlfn.IFS(F32=$E$12,E32*I32*'EF-S1'!$C$40*1/'EF-S1'!$E$45,F32=$E$13,E32*I32*1/'EF-S1'!$E$45,F32=$E$14,E32*I32*'EF-S1'!$C$40*1/'EF-S1'!$E$45*1/'EF-S1'!$E$47,F32=$E$15,E32*I32*'EF-S1'!$D$40*1/'EF-S1'!$E$45),D32=$C$15,_xlfn.IFS(F32=$E$12,E32*I32*'EF-S1'!$C$41*1/'EF-S1'!$E$45,F32=$E$13,E32*I32*1/'EF-S1'!$E$45,F32=$E$14,E32*I32*'EF-S1'!$C$41*1/'EF-S1'!$E$45*1/'EF-S1'!$E$47,F32=$E$15,E32*I32*'EF-S1'!$D$41*1/'EF-S1'!$E$45))</f>
        <v>#N/A</v>
      </c>
      <c r="M32" s="155" t="e">
        <f t="shared" si="4"/>
        <v>#N/A</v>
      </c>
      <c r="N32" s="155" t="e">
        <f t="shared" si="5"/>
        <v>#N/A</v>
      </c>
      <c r="O32" s="155" t="e">
        <f t="shared" si="6"/>
        <v>#N/A</v>
      </c>
      <c r="P32" s="156">
        <f t="shared" si="7"/>
        <v>0</v>
      </c>
      <c r="T32" s="152"/>
      <c r="U32" s="157"/>
      <c r="V32" s="158"/>
      <c r="W32" s="159"/>
      <c r="X32" s="155" t="e" cm="1">
        <f t="array" ref="X32">+_xlfn.IFS(W32="km",VLOOKUP(U32,'EF-S1'!$J$10:$M$16,2,),W32="l",VLOOKUP(U32,'EF-S1'!$J$26:$M$29,2,))</f>
        <v>#N/A</v>
      </c>
      <c r="Y32" s="155" t="e" cm="1">
        <f t="array" ref="Y32">+_xlfn.IFS(W32="km",VLOOKUP(U32,'EF-S1'!$J$10:$M$16,3,),W32="l",VLOOKUP(U32,'EF-S1'!$J$26:$M$29,3,))</f>
        <v>#N/A</v>
      </c>
      <c r="Z32" s="155" t="e" cm="1">
        <f t="array" ref="Z32">+_xlfn.IFS(W32="km",VLOOKUP(U32,'EF-S1'!$J$10:$M$16,4,),W32="l",VLOOKUP(U32,'EF-S1'!$J$26:$M$29,4,))</f>
        <v>#N/A</v>
      </c>
      <c r="AA32" s="155" t="e">
        <f t="shared" si="1"/>
        <v>#N/A</v>
      </c>
      <c r="AB32" s="155" t="e">
        <f t="shared" si="1"/>
        <v>#N/A</v>
      </c>
      <c r="AC32" s="155" t="e">
        <f t="shared" si="1"/>
        <v>#N/A</v>
      </c>
      <c r="AD32" s="155" t="e">
        <f t="shared" si="8"/>
        <v>#N/A</v>
      </c>
      <c r="AE32" s="155" t="e">
        <f t="shared" si="9"/>
        <v>#N/A</v>
      </c>
      <c r="AF32" s="155" t="e">
        <f t="shared" si="10"/>
        <v>#N/A</v>
      </c>
      <c r="AG32" s="156">
        <f t="shared" si="11"/>
        <v>0</v>
      </c>
      <c r="AI32" s="135"/>
      <c r="AJ32" s="135"/>
      <c r="AK32" s="152"/>
      <c r="AL32" s="160"/>
      <c r="AM32" s="158"/>
      <c r="AN32" s="159" t="s">
        <v>49</v>
      </c>
      <c r="AO32" s="155" t="e">
        <f>+VLOOKUP(AL32,'EF-S1'!$U$10:$V$24,2,)</f>
        <v>#N/A</v>
      </c>
      <c r="AP32" s="155" t="e">
        <f t="shared" si="3"/>
        <v>#N/A</v>
      </c>
      <c r="AQ32" s="156">
        <f t="shared" si="12"/>
        <v>0</v>
      </c>
    </row>
    <row r="33" spans="1:43" x14ac:dyDescent="0.7">
      <c r="C33" s="152"/>
      <c r="D33" s="137"/>
      <c r="E33" s="158"/>
      <c r="F33" s="154"/>
      <c r="G33" s="155" t="e" cm="1">
        <f t="array" ref="G33">+_xlfn.IFS($C$7=$D$12,VLOOKUP(D33,'EF-S1'!$B$10:$E$13,2,),$C$7=$D$13,VLOOKUP(D33,'EF-S1'!$B$17:$E$20,2,),$C$7=$D$14,VLOOKUP(D33,'EF-S1'!$B$24:$E$27,2,),$C$7=$D$15,VLOOKUP(D33,'EF-S1'!$B$31:$E$34,2,))</f>
        <v>#N/A</v>
      </c>
      <c r="H33" s="155" t="e" cm="1">
        <f t="array" ref="H33">+_xlfn.IFS($C$7=$D$12,VLOOKUP(D33,'EF-S1'!$B$10:$E$13,3,),$C$7=$D$13,VLOOKUP(D33,'EF-S1'!$B$17:$E$20,3,),$C$7=$D$14,VLOOKUP(D33,'EF-S1'!$B$24:$E$27,3,),$C$7=$D$15,VLOOKUP(D33,'EF-S1'!$B$31:$E$34,3,))</f>
        <v>#N/A</v>
      </c>
      <c r="I33" s="155" t="e" cm="1">
        <f t="array" ref="I33">+_xlfn.IFS($C$7=$D$12,VLOOKUP(D33,'EF-S1'!$B$10:$E$13,4,),$C$7=$D$13,VLOOKUP(D33,'EF-S1'!$B$17:$E$20,4,),$C$7=$D$14,VLOOKUP(D33,'EF-S1'!$B$24:$E$27,4,),$C$7=$D$15,VLOOKUP(D33,'EF-S1'!$B$31:$E$34,4,))</f>
        <v>#N/A</v>
      </c>
      <c r="J33" s="155" t="e" cm="1">
        <f t="array" ref="J33">+_xlfn.IFS(D33=$C$12,_xlfn.IFS(F33=$E$12,E33*G33*'EF-S1'!$C$38*1/'EF-S1'!$E$45,F33=$E$13,E33*G33*1/'EF-S1'!$E$45,F33=$E$14,E33*G33*'EF-S1'!$C$38*1/'EF-S1'!$E$45*1/'EF-S1'!$E$47,F33=$E$15,E33*G33*'EF-S1'!$D$38*1/'EF-S1'!$E$45),D33=$C$13,_xlfn.IFS(F33=$E$12,E33*G33*'EF-S1'!$C$39*1/'EF-S1'!$E$45,F33=$E$13,E33*G33*1/'EF-S1'!$E$45,F33=$E$14,E33*G33*'EF-S1'!$C$39*1/'EF-S1'!$E$45*1/'EF-S1'!$E$47,F33=$E$15,E33*G33*'EF-S1'!$D$39*1/'EF-S1'!$E$45),D33=$C$14,_xlfn.IFS(F33=$E$12,E33*G33*'EF-S1'!$C$40*1/'EF-S1'!$E$45,F33=$E$13,E33*G33*1/'EF-S1'!$E$45,F33=$E$14,E33*G33*'EF-S1'!$C$40*1/'EF-S1'!$E$45*1/'EF-S1'!$E$47,F33=$E$15,E33*G33*'EF-S1'!$D$40*1/'EF-S1'!$E$45),D33=$C$15,_xlfn.IFS(F33=$E$12,E33*G33*'EF-S1'!$C$41*1/'EF-S1'!$E$45,F33=$E$13,E33*G33*1/'EF-S1'!$E$45,F33=$E$14,E33*G33*'EF-S1'!$C$41*1/'EF-S1'!$E$45*1/'EF-S1'!$E$47,F33=$E$15,E33*G33*'EF-S1'!$D$41*1/'EF-S1'!$E$45))</f>
        <v>#N/A</v>
      </c>
      <c r="K33" s="155" t="e" cm="1">
        <f t="array" ref="K33">+_xlfn.IFS(D33=$C$12,_xlfn.IFS(F33=$E$12,E33*H33*'EF-S1'!$C$38*1/'EF-S1'!$E$45,F33=$E$13,E33*H33*1/'EF-S1'!$E$45,F33=$E$14,E33*H33*'EF-S1'!$C$38*1/'EF-S1'!$E$45*1/'EF-S1'!$E$47,F33=$E$15,E33*H33*'EF-S1'!$D$38*1/'EF-S1'!$E$45),D33=$C$13,_xlfn.IFS(F33=$E$12,E33*H33*'EF-S1'!$C$39*1/'EF-S1'!$E$45,F33=$E$13,E33*H33*1/'EF-S1'!$E$45,F33=$E$14,E33*H33*'EF-S1'!$C$39*1/'EF-S1'!$E$45*1/'EF-S1'!$E$47,F33=$E$15,E33*H33*'EF-S1'!$D$39*1/'EF-S1'!$E$45),D33=$C$14,_xlfn.IFS(F33=$E$12,E33*H33*'EF-S1'!$C$40*1/'EF-S1'!$E$45,F33=$E$13,E33*H33*1/'EF-S1'!$E$45,F33=$E$14,E33*H33*'EF-S1'!$C$40*1/'EF-S1'!$E$45*1/'EF-S1'!$E$47,F33=$E$15,E33*H33*'EF-S1'!$D$40*1/'EF-S1'!$E$45),D33=$C$15,_xlfn.IFS(F33=$E$12,E33*H33*'EF-S1'!$C$41*1/'EF-S1'!$E$45,F33=$E$13,E33*H33*1/'EF-S1'!$E$45,F33=$E$14,E33*H33*'EF-S1'!$C$41*1/'EF-S1'!$E$45*1/'EF-S1'!$E$47,F33=$E$15,E33*H33*'EF-S1'!$D$41*1/'EF-S1'!$E$45))</f>
        <v>#N/A</v>
      </c>
      <c r="L33" s="155" t="e" cm="1">
        <f t="array" ref="L33">+_xlfn.IFS(D33=$C$12,_xlfn.IFS(F33=$E$12,E33*I33*'EF-S1'!$C$38*1/'EF-S1'!$E$45,F33=$E$13,E33*I33*1/'EF-S1'!$E$45,F33=$E$14,E33*I33*'EF-S1'!$C$38*1/'EF-S1'!$E$45*1/'EF-S1'!$E$47,F33=$E$15,E33*I33*'EF-S1'!$D$38*1/'EF-S1'!$E$45),D33=$C$13,_xlfn.IFS(F33=$E$12,E33*I33*'EF-S1'!$C$39*1/'EF-S1'!$E$45,F33=$E$13,E33*I33*1/'EF-S1'!$E$45,F33=$E$14,E33*I33*'EF-S1'!$C$39*1/'EF-S1'!$E$45*1/'EF-S1'!$E$47,F33=$E$15,E33*I33*'EF-S1'!$D$39*1/'EF-S1'!$E$45),D33=$C$14,_xlfn.IFS(F33=$E$12,E33*I33*'EF-S1'!$C$40*1/'EF-S1'!$E$45,F33=$E$13,E33*I33*1/'EF-S1'!$E$45,F33=$E$14,E33*I33*'EF-S1'!$C$40*1/'EF-S1'!$E$45*1/'EF-S1'!$E$47,F33=$E$15,E33*I33*'EF-S1'!$D$40*1/'EF-S1'!$E$45),D33=$C$15,_xlfn.IFS(F33=$E$12,E33*I33*'EF-S1'!$C$41*1/'EF-S1'!$E$45,F33=$E$13,E33*I33*1/'EF-S1'!$E$45,F33=$E$14,E33*I33*'EF-S1'!$C$41*1/'EF-S1'!$E$45*1/'EF-S1'!$E$47,F33=$E$15,E33*I33*'EF-S1'!$D$41*1/'EF-S1'!$E$45))</f>
        <v>#N/A</v>
      </c>
      <c r="M33" s="155" t="e">
        <f t="shared" si="4"/>
        <v>#N/A</v>
      </c>
      <c r="N33" s="155" t="e">
        <f t="shared" si="5"/>
        <v>#N/A</v>
      </c>
      <c r="O33" s="155" t="e">
        <f t="shared" si="6"/>
        <v>#N/A</v>
      </c>
      <c r="P33" s="156">
        <f t="shared" si="7"/>
        <v>0</v>
      </c>
      <c r="T33" s="152"/>
      <c r="U33" s="157"/>
      <c r="V33" s="158"/>
      <c r="W33" s="159"/>
      <c r="X33" s="155" t="e" cm="1">
        <f t="array" ref="X33">+_xlfn.IFS(W33="km",VLOOKUP(U33,'EF-S1'!$J$10:$M$16,2,),W33="l",VLOOKUP(U33,'EF-S1'!$J$26:$M$29,2,))</f>
        <v>#N/A</v>
      </c>
      <c r="Y33" s="155" t="e" cm="1">
        <f t="array" ref="Y33">+_xlfn.IFS(W33="km",VLOOKUP(U33,'EF-S1'!$J$10:$M$16,3,),W33="l",VLOOKUP(U33,'EF-S1'!$J$26:$M$29,3,))</f>
        <v>#N/A</v>
      </c>
      <c r="Z33" s="155" t="e" cm="1">
        <f t="array" ref="Z33">+_xlfn.IFS(W33="km",VLOOKUP(U33,'EF-S1'!$J$10:$M$16,4,),W33="l",VLOOKUP(U33,'EF-S1'!$J$26:$M$29,4,))</f>
        <v>#N/A</v>
      </c>
      <c r="AA33" s="155" t="e">
        <f t="shared" si="1"/>
        <v>#N/A</v>
      </c>
      <c r="AB33" s="155" t="e">
        <f t="shared" si="1"/>
        <v>#N/A</v>
      </c>
      <c r="AC33" s="155" t="e">
        <f t="shared" si="1"/>
        <v>#N/A</v>
      </c>
      <c r="AD33" s="155" t="e">
        <f t="shared" si="8"/>
        <v>#N/A</v>
      </c>
      <c r="AE33" s="155" t="e">
        <f t="shared" si="9"/>
        <v>#N/A</v>
      </c>
      <c r="AF33" s="155" t="e">
        <f t="shared" si="10"/>
        <v>#N/A</v>
      </c>
      <c r="AG33" s="156">
        <f t="shared" si="11"/>
        <v>0</v>
      </c>
      <c r="AI33" s="135"/>
      <c r="AJ33" s="135"/>
      <c r="AK33" s="152"/>
      <c r="AL33" s="160"/>
      <c r="AM33" s="158"/>
      <c r="AN33" s="159" t="s">
        <v>49</v>
      </c>
      <c r="AO33" s="155" t="e">
        <f>+VLOOKUP(AL33,'EF-S1'!$U$10:$V$24,2,)</f>
        <v>#N/A</v>
      </c>
      <c r="AP33" s="155" t="e">
        <f t="shared" si="3"/>
        <v>#N/A</v>
      </c>
      <c r="AQ33" s="156">
        <f t="shared" si="12"/>
        <v>0</v>
      </c>
    </row>
    <row r="34" spans="1:43" x14ac:dyDescent="0.7">
      <c r="C34" s="152"/>
      <c r="D34" s="137"/>
      <c r="E34" s="158"/>
      <c r="F34" s="154"/>
      <c r="G34" s="155" t="e" cm="1">
        <f t="array" ref="G34">+_xlfn.IFS($C$7=$D$12,VLOOKUP(D34,'EF-S1'!$B$10:$E$13,2,),$C$7=$D$13,VLOOKUP(D34,'EF-S1'!$B$17:$E$20,2,),$C$7=$D$14,VLOOKUP(D34,'EF-S1'!$B$24:$E$27,2,),$C$7=$D$15,VLOOKUP(D34,'EF-S1'!$B$31:$E$34,2,))</f>
        <v>#N/A</v>
      </c>
      <c r="H34" s="155" t="e" cm="1">
        <f t="array" ref="H34">+_xlfn.IFS($C$7=$D$12,VLOOKUP(D34,'EF-S1'!$B$10:$E$13,3,),$C$7=$D$13,VLOOKUP(D34,'EF-S1'!$B$17:$E$20,3,),$C$7=$D$14,VLOOKUP(D34,'EF-S1'!$B$24:$E$27,3,),$C$7=$D$15,VLOOKUP(D34,'EF-S1'!$B$31:$E$34,3,))</f>
        <v>#N/A</v>
      </c>
      <c r="I34" s="155" t="e" cm="1">
        <f t="array" ref="I34">+_xlfn.IFS($C$7=$D$12,VLOOKUP(D34,'EF-S1'!$B$10:$E$13,4,),$C$7=$D$13,VLOOKUP(D34,'EF-S1'!$B$17:$E$20,4,),$C$7=$D$14,VLOOKUP(D34,'EF-S1'!$B$24:$E$27,4,),$C$7=$D$15,VLOOKUP(D34,'EF-S1'!$B$31:$E$34,4,))</f>
        <v>#N/A</v>
      </c>
      <c r="J34" s="155" t="e" cm="1">
        <f t="array" ref="J34">+_xlfn.IFS(D34=$C$12,_xlfn.IFS(F34=$E$12,E34*G34*'EF-S1'!$C$38*1/'EF-S1'!$E$45,F34=$E$13,E34*G34*1/'EF-S1'!$E$45,F34=$E$14,E34*G34*'EF-S1'!$C$38*1/'EF-S1'!$E$45*1/'EF-S1'!$E$47,F34=$E$15,E34*G34*'EF-S1'!$D$38*1/'EF-S1'!$E$45),D34=$C$13,_xlfn.IFS(F34=$E$12,E34*G34*'EF-S1'!$C$39*1/'EF-S1'!$E$45,F34=$E$13,E34*G34*1/'EF-S1'!$E$45,F34=$E$14,E34*G34*'EF-S1'!$C$39*1/'EF-S1'!$E$45*1/'EF-S1'!$E$47,F34=$E$15,E34*G34*'EF-S1'!$D$39*1/'EF-S1'!$E$45),D34=$C$14,_xlfn.IFS(F34=$E$12,E34*G34*'EF-S1'!$C$40*1/'EF-S1'!$E$45,F34=$E$13,E34*G34*1/'EF-S1'!$E$45,F34=$E$14,E34*G34*'EF-S1'!$C$40*1/'EF-S1'!$E$45*1/'EF-S1'!$E$47,F34=$E$15,E34*G34*'EF-S1'!$D$40*1/'EF-S1'!$E$45),D34=$C$15,_xlfn.IFS(F34=$E$12,E34*G34*'EF-S1'!$C$41*1/'EF-S1'!$E$45,F34=$E$13,E34*G34*1/'EF-S1'!$E$45,F34=$E$14,E34*G34*'EF-S1'!$C$41*1/'EF-S1'!$E$45*1/'EF-S1'!$E$47,F34=$E$15,E34*G34*'EF-S1'!$D$41*1/'EF-S1'!$E$45))</f>
        <v>#N/A</v>
      </c>
      <c r="K34" s="155" t="e" cm="1">
        <f t="array" ref="K34">+_xlfn.IFS(D34=$C$12,_xlfn.IFS(F34=$E$12,E34*H34*'EF-S1'!$C$38*1/'EF-S1'!$E$45,F34=$E$13,E34*H34*1/'EF-S1'!$E$45,F34=$E$14,E34*H34*'EF-S1'!$C$38*1/'EF-S1'!$E$45*1/'EF-S1'!$E$47,F34=$E$15,E34*H34*'EF-S1'!$D$38*1/'EF-S1'!$E$45),D34=$C$13,_xlfn.IFS(F34=$E$12,E34*H34*'EF-S1'!$C$39*1/'EF-S1'!$E$45,F34=$E$13,E34*H34*1/'EF-S1'!$E$45,F34=$E$14,E34*H34*'EF-S1'!$C$39*1/'EF-S1'!$E$45*1/'EF-S1'!$E$47,F34=$E$15,E34*H34*'EF-S1'!$D$39*1/'EF-S1'!$E$45),D34=$C$14,_xlfn.IFS(F34=$E$12,E34*H34*'EF-S1'!$C$40*1/'EF-S1'!$E$45,F34=$E$13,E34*H34*1/'EF-S1'!$E$45,F34=$E$14,E34*H34*'EF-S1'!$C$40*1/'EF-S1'!$E$45*1/'EF-S1'!$E$47,F34=$E$15,E34*H34*'EF-S1'!$D$40*1/'EF-S1'!$E$45),D34=$C$15,_xlfn.IFS(F34=$E$12,E34*H34*'EF-S1'!$C$41*1/'EF-S1'!$E$45,F34=$E$13,E34*H34*1/'EF-S1'!$E$45,F34=$E$14,E34*H34*'EF-S1'!$C$41*1/'EF-S1'!$E$45*1/'EF-S1'!$E$47,F34=$E$15,E34*H34*'EF-S1'!$D$41*1/'EF-S1'!$E$45))</f>
        <v>#N/A</v>
      </c>
      <c r="L34" s="155" t="e" cm="1">
        <f t="array" ref="L34">+_xlfn.IFS(D34=$C$12,_xlfn.IFS(F34=$E$12,E34*I34*'EF-S1'!$C$38*1/'EF-S1'!$E$45,F34=$E$13,E34*I34*1/'EF-S1'!$E$45,F34=$E$14,E34*I34*'EF-S1'!$C$38*1/'EF-S1'!$E$45*1/'EF-S1'!$E$47,F34=$E$15,E34*I34*'EF-S1'!$D$38*1/'EF-S1'!$E$45),D34=$C$13,_xlfn.IFS(F34=$E$12,E34*I34*'EF-S1'!$C$39*1/'EF-S1'!$E$45,F34=$E$13,E34*I34*1/'EF-S1'!$E$45,F34=$E$14,E34*I34*'EF-S1'!$C$39*1/'EF-S1'!$E$45*1/'EF-S1'!$E$47,F34=$E$15,E34*I34*'EF-S1'!$D$39*1/'EF-S1'!$E$45),D34=$C$14,_xlfn.IFS(F34=$E$12,E34*I34*'EF-S1'!$C$40*1/'EF-S1'!$E$45,F34=$E$13,E34*I34*1/'EF-S1'!$E$45,F34=$E$14,E34*I34*'EF-S1'!$C$40*1/'EF-S1'!$E$45*1/'EF-S1'!$E$47,F34=$E$15,E34*I34*'EF-S1'!$D$40*1/'EF-S1'!$E$45),D34=$C$15,_xlfn.IFS(F34=$E$12,E34*I34*'EF-S1'!$C$41*1/'EF-S1'!$E$45,F34=$E$13,E34*I34*1/'EF-S1'!$E$45,F34=$E$14,E34*I34*'EF-S1'!$C$41*1/'EF-S1'!$E$45*1/'EF-S1'!$E$47,F34=$E$15,E34*I34*'EF-S1'!$D$41*1/'EF-S1'!$E$45))</f>
        <v>#N/A</v>
      </c>
      <c r="M34" s="155" t="e">
        <f t="shared" ref="M34:M97" si="13">+J34/1000</f>
        <v>#N/A</v>
      </c>
      <c r="N34" s="155" t="e">
        <f t="shared" ref="N34:N97" si="14">+K34/1000</f>
        <v>#N/A</v>
      </c>
      <c r="O34" s="155" t="e">
        <f t="shared" ref="O34:O97" si="15">+L34/1000</f>
        <v>#N/A</v>
      </c>
      <c r="P34" s="156">
        <f t="shared" si="7"/>
        <v>0</v>
      </c>
      <c r="T34" s="152"/>
      <c r="U34" s="157"/>
      <c r="V34" s="158"/>
      <c r="W34" s="159"/>
      <c r="X34" s="155" t="e" cm="1">
        <f t="array" ref="X34">+_xlfn.IFS(W34="km",VLOOKUP(U34,'EF-S1'!$J$10:$M$16,2,),W34="l",VLOOKUP(U34,'EF-S1'!$J$26:$M$29,2,))</f>
        <v>#N/A</v>
      </c>
      <c r="Y34" s="155" t="e" cm="1">
        <f t="array" ref="Y34">+_xlfn.IFS(W34="km",VLOOKUP(U34,'EF-S1'!$J$10:$M$16,3,),W34="l",VLOOKUP(U34,'EF-S1'!$J$26:$M$29,3,))</f>
        <v>#N/A</v>
      </c>
      <c r="Z34" s="155" t="e" cm="1">
        <f t="array" ref="Z34">+_xlfn.IFS(W34="km",VLOOKUP(U34,'EF-S1'!$J$10:$M$16,4,),W34="l",VLOOKUP(U34,'EF-S1'!$J$26:$M$29,4,))</f>
        <v>#N/A</v>
      </c>
      <c r="AA34" s="155" t="e">
        <f t="shared" si="1"/>
        <v>#N/A</v>
      </c>
      <c r="AB34" s="155" t="e">
        <f t="shared" si="1"/>
        <v>#N/A</v>
      </c>
      <c r="AC34" s="155" t="e">
        <f t="shared" si="1"/>
        <v>#N/A</v>
      </c>
      <c r="AD34" s="155" t="e">
        <f t="shared" si="8"/>
        <v>#N/A</v>
      </c>
      <c r="AE34" s="155" t="e">
        <f t="shared" si="9"/>
        <v>#N/A</v>
      </c>
      <c r="AF34" s="155" t="e">
        <f t="shared" si="10"/>
        <v>#N/A</v>
      </c>
      <c r="AG34" s="156">
        <f t="shared" si="11"/>
        <v>0</v>
      </c>
      <c r="AK34" s="152"/>
      <c r="AL34" s="160"/>
      <c r="AM34" s="158"/>
      <c r="AN34" s="159" t="s">
        <v>49</v>
      </c>
      <c r="AO34" s="155" t="e">
        <f>+VLOOKUP(AL34,'EF-S1'!$U$10:$V$24,2,)</f>
        <v>#N/A</v>
      </c>
      <c r="AP34" s="155" t="e">
        <f t="shared" si="3"/>
        <v>#N/A</v>
      </c>
      <c r="AQ34" s="156">
        <f t="shared" si="12"/>
        <v>0</v>
      </c>
    </row>
    <row r="35" spans="1:43" x14ac:dyDescent="0.7">
      <c r="A35" s="135"/>
      <c r="B35" s="135"/>
      <c r="C35" s="152"/>
      <c r="D35" s="137"/>
      <c r="E35" s="158"/>
      <c r="F35" s="154"/>
      <c r="G35" s="155" t="e" cm="1">
        <f t="array" ref="G35">+_xlfn.IFS($C$7=$D$12,VLOOKUP(D35,'EF-S1'!$B$10:$E$13,2,),$C$7=$D$13,VLOOKUP(D35,'EF-S1'!$B$17:$E$20,2,),$C$7=$D$14,VLOOKUP(D35,'EF-S1'!$B$24:$E$27,2,),$C$7=$D$15,VLOOKUP(D35,'EF-S1'!$B$31:$E$34,2,))</f>
        <v>#N/A</v>
      </c>
      <c r="H35" s="155" t="e" cm="1">
        <f t="array" ref="H35">+_xlfn.IFS($C$7=$D$12,VLOOKUP(D35,'EF-S1'!$B$10:$E$13,3,),$C$7=$D$13,VLOOKUP(D35,'EF-S1'!$B$17:$E$20,3,),$C$7=$D$14,VLOOKUP(D35,'EF-S1'!$B$24:$E$27,3,),$C$7=$D$15,VLOOKUP(D35,'EF-S1'!$B$31:$E$34,3,))</f>
        <v>#N/A</v>
      </c>
      <c r="I35" s="155" t="e" cm="1">
        <f t="array" ref="I35">+_xlfn.IFS($C$7=$D$12,VLOOKUP(D35,'EF-S1'!$B$10:$E$13,4,),$C$7=$D$13,VLOOKUP(D35,'EF-S1'!$B$17:$E$20,4,),$C$7=$D$14,VLOOKUP(D35,'EF-S1'!$B$24:$E$27,4,),$C$7=$D$15,VLOOKUP(D35,'EF-S1'!$B$31:$E$34,4,))</f>
        <v>#N/A</v>
      </c>
      <c r="J35" s="155" t="e" cm="1">
        <f t="array" ref="J35">+_xlfn.IFS(D35=$C$12,_xlfn.IFS(F35=$E$12,E35*G35*'EF-S1'!$C$38*1/'EF-S1'!$E$45,F35=$E$13,E35*G35*1/'EF-S1'!$E$45,F35=$E$14,E35*G35*'EF-S1'!$C$38*1/'EF-S1'!$E$45*1/'EF-S1'!$E$47,F35=$E$15,E35*G35*'EF-S1'!$D$38*1/'EF-S1'!$E$45),D35=$C$13,_xlfn.IFS(F35=$E$12,E35*G35*'EF-S1'!$C$39*1/'EF-S1'!$E$45,F35=$E$13,E35*G35*1/'EF-S1'!$E$45,F35=$E$14,E35*G35*'EF-S1'!$C$39*1/'EF-S1'!$E$45*1/'EF-S1'!$E$47,F35=$E$15,E35*G35*'EF-S1'!$D$39*1/'EF-S1'!$E$45),D35=$C$14,_xlfn.IFS(F35=$E$12,E35*G35*'EF-S1'!$C$40*1/'EF-S1'!$E$45,F35=$E$13,E35*G35*1/'EF-S1'!$E$45,F35=$E$14,E35*G35*'EF-S1'!$C$40*1/'EF-S1'!$E$45*1/'EF-S1'!$E$47,F35=$E$15,E35*G35*'EF-S1'!$D$40*1/'EF-S1'!$E$45),D35=$C$15,_xlfn.IFS(F35=$E$12,E35*G35*'EF-S1'!$C$41*1/'EF-S1'!$E$45,F35=$E$13,E35*G35*1/'EF-S1'!$E$45,F35=$E$14,E35*G35*'EF-S1'!$C$41*1/'EF-S1'!$E$45*1/'EF-S1'!$E$47,F35=$E$15,E35*G35*'EF-S1'!$D$41*1/'EF-S1'!$E$45))</f>
        <v>#N/A</v>
      </c>
      <c r="K35" s="155" t="e" cm="1">
        <f t="array" ref="K35">+_xlfn.IFS(D35=$C$12,_xlfn.IFS(F35=$E$12,E35*H35*'EF-S1'!$C$38*1/'EF-S1'!$E$45,F35=$E$13,E35*H35*1/'EF-S1'!$E$45,F35=$E$14,E35*H35*'EF-S1'!$C$38*1/'EF-S1'!$E$45*1/'EF-S1'!$E$47,F35=$E$15,E35*H35*'EF-S1'!$D$38*1/'EF-S1'!$E$45),D35=$C$13,_xlfn.IFS(F35=$E$12,E35*H35*'EF-S1'!$C$39*1/'EF-S1'!$E$45,F35=$E$13,E35*H35*1/'EF-S1'!$E$45,F35=$E$14,E35*H35*'EF-S1'!$C$39*1/'EF-S1'!$E$45*1/'EF-S1'!$E$47,F35=$E$15,E35*H35*'EF-S1'!$D$39*1/'EF-S1'!$E$45),D35=$C$14,_xlfn.IFS(F35=$E$12,E35*H35*'EF-S1'!$C$40*1/'EF-S1'!$E$45,F35=$E$13,E35*H35*1/'EF-S1'!$E$45,F35=$E$14,E35*H35*'EF-S1'!$C$40*1/'EF-S1'!$E$45*1/'EF-S1'!$E$47,F35=$E$15,E35*H35*'EF-S1'!$D$40*1/'EF-S1'!$E$45),D35=$C$15,_xlfn.IFS(F35=$E$12,E35*H35*'EF-S1'!$C$41*1/'EF-S1'!$E$45,F35=$E$13,E35*H35*1/'EF-S1'!$E$45,F35=$E$14,E35*H35*'EF-S1'!$C$41*1/'EF-S1'!$E$45*1/'EF-S1'!$E$47,F35=$E$15,E35*H35*'EF-S1'!$D$41*1/'EF-S1'!$E$45))</f>
        <v>#N/A</v>
      </c>
      <c r="L35" s="155" t="e" cm="1">
        <f t="array" ref="L35">+_xlfn.IFS(D35=$C$12,_xlfn.IFS(F35=$E$12,E35*I35*'EF-S1'!$C$38*1/'EF-S1'!$E$45,F35=$E$13,E35*I35*1/'EF-S1'!$E$45,F35=$E$14,E35*I35*'EF-S1'!$C$38*1/'EF-S1'!$E$45*1/'EF-S1'!$E$47,F35=$E$15,E35*I35*'EF-S1'!$D$38*1/'EF-S1'!$E$45),D35=$C$13,_xlfn.IFS(F35=$E$12,E35*I35*'EF-S1'!$C$39*1/'EF-S1'!$E$45,F35=$E$13,E35*I35*1/'EF-S1'!$E$45,F35=$E$14,E35*I35*'EF-S1'!$C$39*1/'EF-S1'!$E$45*1/'EF-S1'!$E$47,F35=$E$15,E35*I35*'EF-S1'!$D$39*1/'EF-S1'!$E$45),D35=$C$14,_xlfn.IFS(F35=$E$12,E35*I35*'EF-S1'!$C$40*1/'EF-S1'!$E$45,F35=$E$13,E35*I35*1/'EF-S1'!$E$45,F35=$E$14,E35*I35*'EF-S1'!$C$40*1/'EF-S1'!$E$45*1/'EF-S1'!$E$47,F35=$E$15,E35*I35*'EF-S1'!$D$40*1/'EF-S1'!$E$45),D35=$C$15,_xlfn.IFS(F35=$E$12,E35*I35*'EF-S1'!$C$41*1/'EF-S1'!$E$45,F35=$E$13,E35*I35*1/'EF-S1'!$E$45,F35=$E$14,E35*I35*'EF-S1'!$C$41*1/'EF-S1'!$E$45*1/'EF-S1'!$E$47,F35=$E$15,E35*I35*'EF-S1'!$D$41*1/'EF-S1'!$E$45))</f>
        <v>#N/A</v>
      </c>
      <c r="M35" s="155" t="e">
        <f t="shared" si="13"/>
        <v>#N/A</v>
      </c>
      <c r="N35" s="155" t="e">
        <f t="shared" si="14"/>
        <v>#N/A</v>
      </c>
      <c r="O35" s="155" t="e">
        <f t="shared" si="15"/>
        <v>#N/A</v>
      </c>
      <c r="P35" s="156">
        <f t="shared" si="7"/>
        <v>0</v>
      </c>
      <c r="S35" s="135"/>
      <c r="T35" s="152"/>
      <c r="U35" s="157"/>
      <c r="V35" s="158"/>
      <c r="W35" s="159"/>
      <c r="X35" s="155" t="e" cm="1">
        <f t="array" ref="X35">+_xlfn.IFS(W35="km",VLOOKUP(U35,'EF-S1'!$J$10:$M$16,2,),W35="l",VLOOKUP(U35,'EF-S1'!$J$26:$M$29,2,))</f>
        <v>#N/A</v>
      </c>
      <c r="Y35" s="155" t="e" cm="1">
        <f t="array" ref="Y35">+_xlfn.IFS(W35="km",VLOOKUP(U35,'EF-S1'!$J$10:$M$16,3,),W35="l",VLOOKUP(U35,'EF-S1'!$J$26:$M$29,3,))</f>
        <v>#N/A</v>
      </c>
      <c r="Z35" s="155" t="e" cm="1">
        <f t="array" ref="Z35">+_xlfn.IFS(W35="km",VLOOKUP(U35,'EF-S1'!$J$10:$M$16,4,),W35="l",VLOOKUP(U35,'EF-S1'!$J$26:$M$29,4,))</f>
        <v>#N/A</v>
      </c>
      <c r="AA35" s="155" t="e">
        <f t="shared" si="1"/>
        <v>#N/A</v>
      </c>
      <c r="AB35" s="155" t="e">
        <f t="shared" si="1"/>
        <v>#N/A</v>
      </c>
      <c r="AC35" s="155" t="e">
        <f t="shared" si="1"/>
        <v>#N/A</v>
      </c>
      <c r="AD35" s="155" t="e">
        <f t="shared" si="8"/>
        <v>#N/A</v>
      </c>
      <c r="AE35" s="155" t="e">
        <f t="shared" si="9"/>
        <v>#N/A</v>
      </c>
      <c r="AF35" s="155" t="e">
        <f t="shared" si="10"/>
        <v>#N/A</v>
      </c>
      <c r="AG35" s="156">
        <f t="shared" si="11"/>
        <v>0</v>
      </c>
      <c r="AK35" s="152"/>
      <c r="AL35" s="160"/>
      <c r="AM35" s="158"/>
      <c r="AN35" s="159" t="s">
        <v>49</v>
      </c>
      <c r="AO35" s="155" t="e">
        <f>+VLOOKUP(AL35,'EF-S1'!$U$10:$V$24,2,)</f>
        <v>#N/A</v>
      </c>
      <c r="AP35" s="155" t="e">
        <f t="shared" ref="AP35:AP98" si="16">+AM35*AO35</f>
        <v>#N/A</v>
      </c>
      <c r="AQ35" s="156">
        <f t="shared" si="12"/>
        <v>0</v>
      </c>
    </row>
    <row r="36" spans="1:43" x14ac:dyDescent="0.7">
      <c r="C36" s="152"/>
      <c r="D36" s="137"/>
      <c r="E36" s="158"/>
      <c r="F36" s="154"/>
      <c r="G36" s="155" t="e" cm="1">
        <f t="array" ref="G36">+_xlfn.IFS($C$7=$D$12,VLOOKUP(D36,'EF-S1'!$B$10:$E$13,2,),$C$7=$D$13,VLOOKUP(D36,'EF-S1'!$B$17:$E$20,2,),$C$7=$D$14,VLOOKUP(D36,'EF-S1'!$B$24:$E$27,2,),$C$7=$D$15,VLOOKUP(D36,'EF-S1'!$B$31:$E$34,2,))</f>
        <v>#N/A</v>
      </c>
      <c r="H36" s="155" t="e" cm="1">
        <f t="array" ref="H36">+_xlfn.IFS($C$7=$D$12,VLOOKUP(D36,'EF-S1'!$B$10:$E$13,3,),$C$7=$D$13,VLOOKUP(D36,'EF-S1'!$B$17:$E$20,3,),$C$7=$D$14,VLOOKUP(D36,'EF-S1'!$B$24:$E$27,3,),$C$7=$D$15,VLOOKUP(D36,'EF-S1'!$B$31:$E$34,3,))</f>
        <v>#N/A</v>
      </c>
      <c r="I36" s="155" t="e" cm="1">
        <f t="array" ref="I36">+_xlfn.IFS($C$7=$D$12,VLOOKUP(D36,'EF-S1'!$B$10:$E$13,4,),$C$7=$D$13,VLOOKUP(D36,'EF-S1'!$B$17:$E$20,4,),$C$7=$D$14,VLOOKUP(D36,'EF-S1'!$B$24:$E$27,4,),$C$7=$D$15,VLOOKUP(D36,'EF-S1'!$B$31:$E$34,4,))</f>
        <v>#N/A</v>
      </c>
      <c r="J36" s="155" t="e" cm="1">
        <f t="array" ref="J36">+_xlfn.IFS(D36=$C$12,_xlfn.IFS(F36=$E$12,E36*G36*'EF-S1'!$C$38*1/'EF-S1'!$E$45,F36=$E$13,E36*G36*1/'EF-S1'!$E$45,F36=$E$14,E36*G36*'EF-S1'!$C$38*1/'EF-S1'!$E$45*1/'EF-S1'!$E$47,F36=$E$15,E36*G36*'EF-S1'!$D$38*1/'EF-S1'!$E$45),D36=$C$13,_xlfn.IFS(F36=$E$12,E36*G36*'EF-S1'!$C$39*1/'EF-S1'!$E$45,F36=$E$13,E36*G36*1/'EF-S1'!$E$45,F36=$E$14,E36*G36*'EF-S1'!$C$39*1/'EF-S1'!$E$45*1/'EF-S1'!$E$47,F36=$E$15,E36*G36*'EF-S1'!$D$39*1/'EF-S1'!$E$45),D36=$C$14,_xlfn.IFS(F36=$E$12,E36*G36*'EF-S1'!$C$40*1/'EF-S1'!$E$45,F36=$E$13,E36*G36*1/'EF-S1'!$E$45,F36=$E$14,E36*G36*'EF-S1'!$C$40*1/'EF-S1'!$E$45*1/'EF-S1'!$E$47,F36=$E$15,E36*G36*'EF-S1'!$D$40*1/'EF-S1'!$E$45),D36=$C$15,_xlfn.IFS(F36=$E$12,E36*G36*'EF-S1'!$C$41*1/'EF-S1'!$E$45,F36=$E$13,E36*G36*1/'EF-S1'!$E$45,F36=$E$14,E36*G36*'EF-S1'!$C$41*1/'EF-S1'!$E$45*1/'EF-S1'!$E$47,F36=$E$15,E36*G36*'EF-S1'!$D$41*1/'EF-S1'!$E$45))</f>
        <v>#N/A</v>
      </c>
      <c r="K36" s="155" t="e" cm="1">
        <f t="array" ref="K36">+_xlfn.IFS(D36=$C$12,_xlfn.IFS(F36=$E$12,E36*H36*'EF-S1'!$C$38*1/'EF-S1'!$E$45,F36=$E$13,E36*H36*1/'EF-S1'!$E$45,F36=$E$14,E36*H36*'EF-S1'!$C$38*1/'EF-S1'!$E$45*1/'EF-S1'!$E$47,F36=$E$15,E36*H36*'EF-S1'!$D$38*1/'EF-S1'!$E$45),D36=$C$13,_xlfn.IFS(F36=$E$12,E36*H36*'EF-S1'!$C$39*1/'EF-S1'!$E$45,F36=$E$13,E36*H36*1/'EF-S1'!$E$45,F36=$E$14,E36*H36*'EF-S1'!$C$39*1/'EF-S1'!$E$45*1/'EF-S1'!$E$47,F36=$E$15,E36*H36*'EF-S1'!$D$39*1/'EF-S1'!$E$45),D36=$C$14,_xlfn.IFS(F36=$E$12,E36*H36*'EF-S1'!$C$40*1/'EF-S1'!$E$45,F36=$E$13,E36*H36*1/'EF-S1'!$E$45,F36=$E$14,E36*H36*'EF-S1'!$C$40*1/'EF-S1'!$E$45*1/'EF-S1'!$E$47,F36=$E$15,E36*H36*'EF-S1'!$D$40*1/'EF-S1'!$E$45),D36=$C$15,_xlfn.IFS(F36=$E$12,E36*H36*'EF-S1'!$C$41*1/'EF-S1'!$E$45,F36=$E$13,E36*H36*1/'EF-S1'!$E$45,F36=$E$14,E36*H36*'EF-S1'!$C$41*1/'EF-S1'!$E$45*1/'EF-S1'!$E$47,F36=$E$15,E36*H36*'EF-S1'!$D$41*1/'EF-S1'!$E$45))</f>
        <v>#N/A</v>
      </c>
      <c r="L36" s="155" t="e" cm="1">
        <f t="array" ref="L36">+_xlfn.IFS(D36=$C$12,_xlfn.IFS(F36=$E$12,E36*I36*'EF-S1'!$C$38*1/'EF-S1'!$E$45,F36=$E$13,E36*I36*1/'EF-S1'!$E$45,F36=$E$14,E36*I36*'EF-S1'!$C$38*1/'EF-S1'!$E$45*1/'EF-S1'!$E$47,F36=$E$15,E36*I36*'EF-S1'!$D$38*1/'EF-S1'!$E$45),D36=$C$13,_xlfn.IFS(F36=$E$12,E36*I36*'EF-S1'!$C$39*1/'EF-S1'!$E$45,F36=$E$13,E36*I36*1/'EF-S1'!$E$45,F36=$E$14,E36*I36*'EF-S1'!$C$39*1/'EF-S1'!$E$45*1/'EF-S1'!$E$47,F36=$E$15,E36*I36*'EF-S1'!$D$39*1/'EF-S1'!$E$45),D36=$C$14,_xlfn.IFS(F36=$E$12,E36*I36*'EF-S1'!$C$40*1/'EF-S1'!$E$45,F36=$E$13,E36*I36*1/'EF-S1'!$E$45,F36=$E$14,E36*I36*'EF-S1'!$C$40*1/'EF-S1'!$E$45*1/'EF-S1'!$E$47,F36=$E$15,E36*I36*'EF-S1'!$D$40*1/'EF-S1'!$E$45),D36=$C$15,_xlfn.IFS(F36=$E$12,E36*I36*'EF-S1'!$C$41*1/'EF-S1'!$E$45,F36=$E$13,E36*I36*1/'EF-S1'!$E$45,F36=$E$14,E36*I36*'EF-S1'!$C$41*1/'EF-S1'!$E$45*1/'EF-S1'!$E$47,F36=$E$15,E36*I36*'EF-S1'!$D$41*1/'EF-S1'!$E$45))</f>
        <v>#N/A</v>
      </c>
      <c r="M36" s="155" t="e">
        <f t="shared" si="13"/>
        <v>#N/A</v>
      </c>
      <c r="N36" s="155" t="e">
        <f t="shared" si="14"/>
        <v>#N/A</v>
      </c>
      <c r="O36" s="155" t="e">
        <f t="shared" si="15"/>
        <v>#N/A</v>
      </c>
      <c r="P36" s="156">
        <f t="shared" si="7"/>
        <v>0</v>
      </c>
      <c r="T36" s="152"/>
      <c r="U36" s="157"/>
      <c r="V36" s="158"/>
      <c r="W36" s="159"/>
      <c r="X36" s="155" t="e" cm="1">
        <f t="array" ref="X36">+_xlfn.IFS(W36="km",VLOOKUP(U36,'EF-S1'!$J$10:$M$16,2,),W36="l",VLOOKUP(U36,'EF-S1'!$J$26:$M$29,2,))</f>
        <v>#N/A</v>
      </c>
      <c r="Y36" s="155" t="e" cm="1">
        <f t="array" ref="Y36">+_xlfn.IFS(W36="km",VLOOKUP(U36,'EF-S1'!$J$10:$M$16,3,),W36="l",VLOOKUP(U36,'EF-S1'!$J$26:$M$29,3,))</f>
        <v>#N/A</v>
      </c>
      <c r="Z36" s="155" t="e" cm="1">
        <f t="array" ref="Z36">+_xlfn.IFS(W36="km",VLOOKUP(U36,'EF-S1'!$J$10:$M$16,4,),W36="l",VLOOKUP(U36,'EF-S1'!$J$26:$M$29,4,))</f>
        <v>#N/A</v>
      </c>
      <c r="AA36" s="155" t="e">
        <f t="shared" ref="AA36:AA99" si="17">+$V36*X36</f>
        <v>#N/A</v>
      </c>
      <c r="AB36" s="155" t="e">
        <f t="shared" ref="AB36:AB99" si="18">+$V36*Y36</f>
        <v>#N/A</v>
      </c>
      <c r="AC36" s="155" t="e">
        <f t="shared" ref="AC36:AC99" si="19">+$V36*Z36</f>
        <v>#N/A</v>
      </c>
      <c r="AD36" s="155" t="e">
        <f t="shared" ref="AD36:AD99" si="20">+AA36/1000</f>
        <v>#N/A</v>
      </c>
      <c r="AE36" s="155" t="e">
        <f t="shared" ref="AE36:AE99" si="21">+AB36/1000</f>
        <v>#N/A</v>
      </c>
      <c r="AF36" s="155" t="e">
        <f t="shared" ref="AF36:AF99" si="22">+AC36/1000</f>
        <v>#N/A</v>
      </c>
      <c r="AG36" s="156">
        <f t="shared" si="11"/>
        <v>0</v>
      </c>
      <c r="AK36" s="152"/>
      <c r="AL36" s="160"/>
      <c r="AM36" s="158"/>
      <c r="AN36" s="159" t="s">
        <v>49</v>
      </c>
      <c r="AO36" s="155" t="e">
        <f>+VLOOKUP(AL36,'EF-S1'!$U$10:$V$24,2,)</f>
        <v>#N/A</v>
      </c>
      <c r="AP36" s="155" t="e">
        <f t="shared" si="16"/>
        <v>#N/A</v>
      </c>
      <c r="AQ36" s="156">
        <f t="shared" si="12"/>
        <v>0</v>
      </c>
    </row>
    <row r="37" spans="1:43" x14ac:dyDescent="0.7">
      <c r="C37" s="152"/>
      <c r="D37" s="137"/>
      <c r="E37" s="158"/>
      <c r="F37" s="154"/>
      <c r="G37" s="155" t="e" cm="1">
        <f t="array" ref="G37">+_xlfn.IFS($C$7=$D$12,VLOOKUP(D37,'EF-S1'!$B$10:$E$13,2,),$C$7=$D$13,VLOOKUP(D37,'EF-S1'!$B$17:$E$20,2,),$C$7=$D$14,VLOOKUP(D37,'EF-S1'!$B$24:$E$27,2,),$C$7=$D$15,VLOOKUP(D37,'EF-S1'!$B$31:$E$34,2,))</f>
        <v>#N/A</v>
      </c>
      <c r="H37" s="155" t="e" cm="1">
        <f t="array" ref="H37">+_xlfn.IFS($C$7=$D$12,VLOOKUP(D37,'EF-S1'!$B$10:$E$13,3,),$C$7=$D$13,VLOOKUP(D37,'EF-S1'!$B$17:$E$20,3,),$C$7=$D$14,VLOOKUP(D37,'EF-S1'!$B$24:$E$27,3,),$C$7=$D$15,VLOOKUP(D37,'EF-S1'!$B$31:$E$34,3,))</f>
        <v>#N/A</v>
      </c>
      <c r="I37" s="155" t="e" cm="1">
        <f t="array" ref="I37">+_xlfn.IFS($C$7=$D$12,VLOOKUP(D37,'EF-S1'!$B$10:$E$13,4,),$C$7=$D$13,VLOOKUP(D37,'EF-S1'!$B$17:$E$20,4,),$C$7=$D$14,VLOOKUP(D37,'EF-S1'!$B$24:$E$27,4,),$C$7=$D$15,VLOOKUP(D37,'EF-S1'!$B$31:$E$34,4,))</f>
        <v>#N/A</v>
      </c>
      <c r="J37" s="155" t="e" cm="1">
        <f t="array" ref="J37">+_xlfn.IFS(D37=$C$12,_xlfn.IFS(F37=$E$12,E37*G37*'EF-S1'!$C$38*1/'EF-S1'!$E$45,F37=$E$13,E37*G37*1/'EF-S1'!$E$45,F37=$E$14,E37*G37*'EF-S1'!$C$38*1/'EF-S1'!$E$45*1/'EF-S1'!$E$47,F37=$E$15,E37*G37*'EF-S1'!$D$38*1/'EF-S1'!$E$45),D37=$C$13,_xlfn.IFS(F37=$E$12,E37*G37*'EF-S1'!$C$39*1/'EF-S1'!$E$45,F37=$E$13,E37*G37*1/'EF-S1'!$E$45,F37=$E$14,E37*G37*'EF-S1'!$C$39*1/'EF-S1'!$E$45*1/'EF-S1'!$E$47,F37=$E$15,E37*G37*'EF-S1'!$D$39*1/'EF-S1'!$E$45),D37=$C$14,_xlfn.IFS(F37=$E$12,E37*G37*'EF-S1'!$C$40*1/'EF-S1'!$E$45,F37=$E$13,E37*G37*1/'EF-S1'!$E$45,F37=$E$14,E37*G37*'EF-S1'!$C$40*1/'EF-S1'!$E$45*1/'EF-S1'!$E$47,F37=$E$15,E37*G37*'EF-S1'!$D$40*1/'EF-S1'!$E$45),D37=$C$15,_xlfn.IFS(F37=$E$12,E37*G37*'EF-S1'!$C$41*1/'EF-S1'!$E$45,F37=$E$13,E37*G37*1/'EF-S1'!$E$45,F37=$E$14,E37*G37*'EF-S1'!$C$41*1/'EF-S1'!$E$45*1/'EF-S1'!$E$47,F37=$E$15,E37*G37*'EF-S1'!$D$41*1/'EF-S1'!$E$45))</f>
        <v>#N/A</v>
      </c>
      <c r="K37" s="155" t="e" cm="1">
        <f t="array" ref="K37">+_xlfn.IFS(D37=$C$12,_xlfn.IFS(F37=$E$12,E37*H37*'EF-S1'!$C$38*1/'EF-S1'!$E$45,F37=$E$13,E37*H37*1/'EF-S1'!$E$45,F37=$E$14,E37*H37*'EF-S1'!$C$38*1/'EF-S1'!$E$45*1/'EF-S1'!$E$47,F37=$E$15,E37*H37*'EF-S1'!$D$38*1/'EF-S1'!$E$45),D37=$C$13,_xlfn.IFS(F37=$E$12,E37*H37*'EF-S1'!$C$39*1/'EF-S1'!$E$45,F37=$E$13,E37*H37*1/'EF-S1'!$E$45,F37=$E$14,E37*H37*'EF-S1'!$C$39*1/'EF-S1'!$E$45*1/'EF-S1'!$E$47,F37=$E$15,E37*H37*'EF-S1'!$D$39*1/'EF-S1'!$E$45),D37=$C$14,_xlfn.IFS(F37=$E$12,E37*H37*'EF-S1'!$C$40*1/'EF-S1'!$E$45,F37=$E$13,E37*H37*1/'EF-S1'!$E$45,F37=$E$14,E37*H37*'EF-S1'!$C$40*1/'EF-S1'!$E$45*1/'EF-S1'!$E$47,F37=$E$15,E37*H37*'EF-S1'!$D$40*1/'EF-S1'!$E$45),D37=$C$15,_xlfn.IFS(F37=$E$12,E37*H37*'EF-S1'!$C$41*1/'EF-S1'!$E$45,F37=$E$13,E37*H37*1/'EF-S1'!$E$45,F37=$E$14,E37*H37*'EF-S1'!$C$41*1/'EF-S1'!$E$45*1/'EF-S1'!$E$47,F37=$E$15,E37*H37*'EF-S1'!$D$41*1/'EF-S1'!$E$45))</f>
        <v>#N/A</v>
      </c>
      <c r="L37" s="155" t="e" cm="1">
        <f t="array" ref="L37">+_xlfn.IFS(D37=$C$12,_xlfn.IFS(F37=$E$12,E37*I37*'EF-S1'!$C$38*1/'EF-S1'!$E$45,F37=$E$13,E37*I37*1/'EF-S1'!$E$45,F37=$E$14,E37*I37*'EF-S1'!$C$38*1/'EF-S1'!$E$45*1/'EF-S1'!$E$47,F37=$E$15,E37*I37*'EF-S1'!$D$38*1/'EF-S1'!$E$45),D37=$C$13,_xlfn.IFS(F37=$E$12,E37*I37*'EF-S1'!$C$39*1/'EF-S1'!$E$45,F37=$E$13,E37*I37*1/'EF-S1'!$E$45,F37=$E$14,E37*I37*'EF-S1'!$C$39*1/'EF-S1'!$E$45*1/'EF-S1'!$E$47,F37=$E$15,E37*I37*'EF-S1'!$D$39*1/'EF-S1'!$E$45),D37=$C$14,_xlfn.IFS(F37=$E$12,E37*I37*'EF-S1'!$C$40*1/'EF-S1'!$E$45,F37=$E$13,E37*I37*1/'EF-S1'!$E$45,F37=$E$14,E37*I37*'EF-S1'!$C$40*1/'EF-S1'!$E$45*1/'EF-S1'!$E$47,F37=$E$15,E37*I37*'EF-S1'!$D$40*1/'EF-S1'!$E$45),D37=$C$15,_xlfn.IFS(F37=$E$12,E37*I37*'EF-S1'!$C$41*1/'EF-S1'!$E$45,F37=$E$13,E37*I37*1/'EF-S1'!$E$45,F37=$E$14,E37*I37*'EF-S1'!$C$41*1/'EF-S1'!$E$45*1/'EF-S1'!$E$47,F37=$E$15,E37*I37*'EF-S1'!$D$41*1/'EF-S1'!$E$45))</f>
        <v>#N/A</v>
      </c>
      <c r="M37" s="155" t="e">
        <f t="shared" si="13"/>
        <v>#N/A</v>
      </c>
      <c r="N37" s="155" t="e">
        <f t="shared" si="14"/>
        <v>#N/A</v>
      </c>
      <c r="O37" s="155" t="e">
        <f t="shared" si="15"/>
        <v>#N/A</v>
      </c>
      <c r="P37" s="156">
        <f t="shared" si="7"/>
        <v>0</v>
      </c>
      <c r="T37" s="152"/>
      <c r="U37" s="157"/>
      <c r="V37" s="158"/>
      <c r="W37" s="159"/>
      <c r="X37" s="155" t="e" cm="1">
        <f t="array" ref="X37">+_xlfn.IFS(W37="km",VLOOKUP(U37,'EF-S1'!$J$10:$M$16,2,),W37="l",VLOOKUP(U37,'EF-S1'!$J$26:$M$29,2,))</f>
        <v>#N/A</v>
      </c>
      <c r="Y37" s="155" t="e" cm="1">
        <f t="array" ref="Y37">+_xlfn.IFS(W37="km",VLOOKUP(U37,'EF-S1'!$J$10:$M$16,3,),W37="l",VLOOKUP(U37,'EF-S1'!$J$26:$M$29,3,))</f>
        <v>#N/A</v>
      </c>
      <c r="Z37" s="155" t="e" cm="1">
        <f t="array" ref="Z37">+_xlfn.IFS(W37="km",VLOOKUP(U37,'EF-S1'!$J$10:$M$16,4,),W37="l",VLOOKUP(U37,'EF-S1'!$J$26:$M$29,4,))</f>
        <v>#N/A</v>
      </c>
      <c r="AA37" s="155" t="e">
        <f t="shared" si="17"/>
        <v>#N/A</v>
      </c>
      <c r="AB37" s="155" t="e">
        <f t="shared" si="18"/>
        <v>#N/A</v>
      </c>
      <c r="AC37" s="155" t="e">
        <f t="shared" si="19"/>
        <v>#N/A</v>
      </c>
      <c r="AD37" s="155" t="e">
        <f t="shared" si="20"/>
        <v>#N/A</v>
      </c>
      <c r="AE37" s="155" t="e">
        <f t="shared" si="21"/>
        <v>#N/A</v>
      </c>
      <c r="AF37" s="155" t="e">
        <f t="shared" si="22"/>
        <v>#N/A</v>
      </c>
      <c r="AG37" s="156">
        <f t="shared" si="11"/>
        <v>0</v>
      </c>
      <c r="AK37" s="152"/>
      <c r="AL37" s="160"/>
      <c r="AM37" s="158"/>
      <c r="AN37" s="159" t="s">
        <v>49</v>
      </c>
      <c r="AO37" s="155" t="e">
        <f>+VLOOKUP(AL37,'EF-S1'!$U$10:$V$24,2,)</f>
        <v>#N/A</v>
      </c>
      <c r="AP37" s="155" t="e">
        <f t="shared" si="16"/>
        <v>#N/A</v>
      </c>
      <c r="AQ37" s="156">
        <f t="shared" si="12"/>
        <v>0</v>
      </c>
    </row>
    <row r="38" spans="1:43" x14ac:dyDescent="0.7">
      <c r="C38" s="152"/>
      <c r="D38" s="137"/>
      <c r="E38" s="158"/>
      <c r="F38" s="154"/>
      <c r="G38" s="155" t="e" cm="1">
        <f t="array" ref="G38">+_xlfn.IFS($C$7=$D$12,VLOOKUP(D38,'EF-S1'!$B$10:$E$13,2,),$C$7=$D$13,VLOOKUP(D38,'EF-S1'!$B$17:$E$20,2,),$C$7=$D$14,VLOOKUP(D38,'EF-S1'!$B$24:$E$27,2,),$C$7=$D$15,VLOOKUP(D38,'EF-S1'!$B$31:$E$34,2,))</f>
        <v>#N/A</v>
      </c>
      <c r="H38" s="155" t="e" cm="1">
        <f t="array" ref="H38">+_xlfn.IFS($C$7=$D$12,VLOOKUP(D38,'EF-S1'!$B$10:$E$13,3,),$C$7=$D$13,VLOOKUP(D38,'EF-S1'!$B$17:$E$20,3,),$C$7=$D$14,VLOOKUP(D38,'EF-S1'!$B$24:$E$27,3,),$C$7=$D$15,VLOOKUP(D38,'EF-S1'!$B$31:$E$34,3,))</f>
        <v>#N/A</v>
      </c>
      <c r="I38" s="155" t="e" cm="1">
        <f t="array" ref="I38">+_xlfn.IFS($C$7=$D$12,VLOOKUP(D38,'EF-S1'!$B$10:$E$13,4,),$C$7=$D$13,VLOOKUP(D38,'EF-S1'!$B$17:$E$20,4,),$C$7=$D$14,VLOOKUP(D38,'EF-S1'!$B$24:$E$27,4,),$C$7=$D$15,VLOOKUP(D38,'EF-S1'!$B$31:$E$34,4,))</f>
        <v>#N/A</v>
      </c>
      <c r="J38" s="155" t="e" cm="1">
        <f t="array" ref="J38">+_xlfn.IFS(D38=$C$12,_xlfn.IFS(F38=$E$12,E38*G38*'EF-S1'!$C$38*1/'EF-S1'!$E$45,F38=$E$13,E38*G38*1/'EF-S1'!$E$45,F38=$E$14,E38*G38*'EF-S1'!$C$38*1/'EF-S1'!$E$45*1/'EF-S1'!$E$47,F38=$E$15,E38*G38*'EF-S1'!$D$38*1/'EF-S1'!$E$45),D38=$C$13,_xlfn.IFS(F38=$E$12,E38*G38*'EF-S1'!$C$39*1/'EF-S1'!$E$45,F38=$E$13,E38*G38*1/'EF-S1'!$E$45,F38=$E$14,E38*G38*'EF-S1'!$C$39*1/'EF-S1'!$E$45*1/'EF-S1'!$E$47,F38=$E$15,E38*G38*'EF-S1'!$D$39*1/'EF-S1'!$E$45),D38=$C$14,_xlfn.IFS(F38=$E$12,E38*G38*'EF-S1'!$C$40*1/'EF-S1'!$E$45,F38=$E$13,E38*G38*1/'EF-S1'!$E$45,F38=$E$14,E38*G38*'EF-S1'!$C$40*1/'EF-S1'!$E$45*1/'EF-S1'!$E$47,F38=$E$15,E38*G38*'EF-S1'!$D$40*1/'EF-S1'!$E$45),D38=$C$15,_xlfn.IFS(F38=$E$12,E38*G38*'EF-S1'!$C$41*1/'EF-S1'!$E$45,F38=$E$13,E38*G38*1/'EF-S1'!$E$45,F38=$E$14,E38*G38*'EF-S1'!$C$41*1/'EF-S1'!$E$45*1/'EF-S1'!$E$47,F38=$E$15,E38*G38*'EF-S1'!$D$41*1/'EF-S1'!$E$45))</f>
        <v>#N/A</v>
      </c>
      <c r="K38" s="155" t="e" cm="1">
        <f t="array" ref="K38">+_xlfn.IFS(D38=$C$12,_xlfn.IFS(F38=$E$12,E38*H38*'EF-S1'!$C$38*1/'EF-S1'!$E$45,F38=$E$13,E38*H38*1/'EF-S1'!$E$45,F38=$E$14,E38*H38*'EF-S1'!$C$38*1/'EF-S1'!$E$45*1/'EF-S1'!$E$47,F38=$E$15,E38*H38*'EF-S1'!$D$38*1/'EF-S1'!$E$45),D38=$C$13,_xlfn.IFS(F38=$E$12,E38*H38*'EF-S1'!$C$39*1/'EF-S1'!$E$45,F38=$E$13,E38*H38*1/'EF-S1'!$E$45,F38=$E$14,E38*H38*'EF-S1'!$C$39*1/'EF-S1'!$E$45*1/'EF-S1'!$E$47,F38=$E$15,E38*H38*'EF-S1'!$D$39*1/'EF-S1'!$E$45),D38=$C$14,_xlfn.IFS(F38=$E$12,E38*H38*'EF-S1'!$C$40*1/'EF-S1'!$E$45,F38=$E$13,E38*H38*1/'EF-S1'!$E$45,F38=$E$14,E38*H38*'EF-S1'!$C$40*1/'EF-S1'!$E$45*1/'EF-S1'!$E$47,F38=$E$15,E38*H38*'EF-S1'!$D$40*1/'EF-S1'!$E$45),D38=$C$15,_xlfn.IFS(F38=$E$12,E38*H38*'EF-S1'!$C$41*1/'EF-S1'!$E$45,F38=$E$13,E38*H38*1/'EF-S1'!$E$45,F38=$E$14,E38*H38*'EF-S1'!$C$41*1/'EF-S1'!$E$45*1/'EF-S1'!$E$47,F38=$E$15,E38*H38*'EF-S1'!$D$41*1/'EF-S1'!$E$45))</f>
        <v>#N/A</v>
      </c>
      <c r="L38" s="155" t="e" cm="1">
        <f t="array" ref="L38">+_xlfn.IFS(D38=$C$12,_xlfn.IFS(F38=$E$12,E38*I38*'EF-S1'!$C$38*1/'EF-S1'!$E$45,F38=$E$13,E38*I38*1/'EF-S1'!$E$45,F38=$E$14,E38*I38*'EF-S1'!$C$38*1/'EF-S1'!$E$45*1/'EF-S1'!$E$47,F38=$E$15,E38*I38*'EF-S1'!$D$38*1/'EF-S1'!$E$45),D38=$C$13,_xlfn.IFS(F38=$E$12,E38*I38*'EF-S1'!$C$39*1/'EF-S1'!$E$45,F38=$E$13,E38*I38*1/'EF-S1'!$E$45,F38=$E$14,E38*I38*'EF-S1'!$C$39*1/'EF-S1'!$E$45*1/'EF-S1'!$E$47,F38=$E$15,E38*I38*'EF-S1'!$D$39*1/'EF-S1'!$E$45),D38=$C$14,_xlfn.IFS(F38=$E$12,E38*I38*'EF-S1'!$C$40*1/'EF-S1'!$E$45,F38=$E$13,E38*I38*1/'EF-S1'!$E$45,F38=$E$14,E38*I38*'EF-S1'!$C$40*1/'EF-S1'!$E$45*1/'EF-S1'!$E$47,F38=$E$15,E38*I38*'EF-S1'!$D$40*1/'EF-S1'!$E$45),D38=$C$15,_xlfn.IFS(F38=$E$12,E38*I38*'EF-S1'!$C$41*1/'EF-S1'!$E$45,F38=$E$13,E38*I38*1/'EF-S1'!$E$45,F38=$E$14,E38*I38*'EF-S1'!$C$41*1/'EF-S1'!$E$45*1/'EF-S1'!$E$47,F38=$E$15,E38*I38*'EF-S1'!$D$41*1/'EF-S1'!$E$45))</f>
        <v>#N/A</v>
      </c>
      <c r="M38" s="155" t="e">
        <f t="shared" si="13"/>
        <v>#N/A</v>
      </c>
      <c r="N38" s="155" t="e">
        <f t="shared" si="14"/>
        <v>#N/A</v>
      </c>
      <c r="O38" s="155" t="e">
        <f t="shared" si="15"/>
        <v>#N/A</v>
      </c>
      <c r="P38" s="156">
        <f t="shared" si="7"/>
        <v>0</v>
      </c>
      <c r="T38" s="152"/>
      <c r="U38" s="157"/>
      <c r="V38" s="158"/>
      <c r="W38" s="159"/>
      <c r="X38" s="155" t="e" cm="1">
        <f t="array" ref="X38">+_xlfn.IFS(W38="km",VLOOKUP(U38,'EF-S1'!$J$10:$M$16,2,),W38="l",VLOOKUP(U38,'EF-S1'!$J$26:$M$29,2,))</f>
        <v>#N/A</v>
      </c>
      <c r="Y38" s="155" t="e" cm="1">
        <f t="array" ref="Y38">+_xlfn.IFS(W38="km",VLOOKUP(U38,'EF-S1'!$J$10:$M$16,3,),W38="l",VLOOKUP(U38,'EF-S1'!$J$26:$M$29,3,))</f>
        <v>#N/A</v>
      </c>
      <c r="Z38" s="155" t="e" cm="1">
        <f t="array" ref="Z38">+_xlfn.IFS(W38="km",VLOOKUP(U38,'EF-S1'!$J$10:$M$16,4,),W38="l",VLOOKUP(U38,'EF-S1'!$J$26:$M$29,4,))</f>
        <v>#N/A</v>
      </c>
      <c r="AA38" s="155" t="e">
        <f t="shared" si="17"/>
        <v>#N/A</v>
      </c>
      <c r="AB38" s="155" t="e">
        <f t="shared" si="18"/>
        <v>#N/A</v>
      </c>
      <c r="AC38" s="155" t="e">
        <f t="shared" si="19"/>
        <v>#N/A</v>
      </c>
      <c r="AD38" s="155" t="e">
        <f t="shared" si="20"/>
        <v>#N/A</v>
      </c>
      <c r="AE38" s="155" t="e">
        <f t="shared" si="21"/>
        <v>#N/A</v>
      </c>
      <c r="AF38" s="155" t="e">
        <f t="shared" si="22"/>
        <v>#N/A</v>
      </c>
      <c r="AG38" s="156">
        <f t="shared" si="11"/>
        <v>0</v>
      </c>
      <c r="AK38" s="152"/>
      <c r="AL38" s="160"/>
      <c r="AM38" s="158"/>
      <c r="AN38" s="159" t="s">
        <v>49</v>
      </c>
      <c r="AO38" s="155" t="e">
        <f>+VLOOKUP(AL38,'EF-S1'!$U$10:$V$24,2,)</f>
        <v>#N/A</v>
      </c>
      <c r="AP38" s="155" t="e">
        <f t="shared" si="16"/>
        <v>#N/A</v>
      </c>
      <c r="AQ38" s="156">
        <f t="shared" si="12"/>
        <v>0</v>
      </c>
    </row>
    <row r="39" spans="1:43" x14ac:dyDescent="0.7">
      <c r="C39" s="152"/>
      <c r="D39" s="137"/>
      <c r="E39" s="158"/>
      <c r="F39" s="154"/>
      <c r="G39" s="155" t="e" cm="1">
        <f t="array" ref="G39">+_xlfn.IFS($C$7=$D$12,VLOOKUP(D39,'EF-S1'!$B$10:$E$13,2,),$C$7=$D$13,VLOOKUP(D39,'EF-S1'!$B$17:$E$20,2,),$C$7=$D$14,VLOOKUP(D39,'EF-S1'!$B$24:$E$27,2,),$C$7=$D$15,VLOOKUP(D39,'EF-S1'!$B$31:$E$34,2,))</f>
        <v>#N/A</v>
      </c>
      <c r="H39" s="155" t="e" cm="1">
        <f t="array" ref="H39">+_xlfn.IFS($C$7=$D$12,VLOOKUP(D39,'EF-S1'!$B$10:$E$13,3,),$C$7=$D$13,VLOOKUP(D39,'EF-S1'!$B$17:$E$20,3,),$C$7=$D$14,VLOOKUP(D39,'EF-S1'!$B$24:$E$27,3,),$C$7=$D$15,VLOOKUP(D39,'EF-S1'!$B$31:$E$34,3,))</f>
        <v>#N/A</v>
      </c>
      <c r="I39" s="155" t="e" cm="1">
        <f t="array" ref="I39">+_xlfn.IFS($C$7=$D$12,VLOOKUP(D39,'EF-S1'!$B$10:$E$13,4,),$C$7=$D$13,VLOOKUP(D39,'EF-S1'!$B$17:$E$20,4,),$C$7=$D$14,VLOOKUP(D39,'EF-S1'!$B$24:$E$27,4,),$C$7=$D$15,VLOOKUP(D39,'EF-S1'!$B$31:$E$34,4,))</f>
        <v>#N/A</v>
      </c>
      <c r="J39" s="155" t="e" cm="1">
        <f t="array" ref="J39">+_xlfn.IFS(D39=$C$12,_xlfn.IFS(F39=$E$12,E39*G39*'EF-S1'!$C$38*1/'EF-S1'!$E$45,F39=$E$13,E39*G39*1/'EF-S1'!$E$45,F39=$E$14,E39*G39*'EF-S1'!$C$38*1/'EF-S1'!$E$45*1/'EF-S1'!$E$47,F39=$E$15,E39*G39*'EF-S1'!$D$38*1/'EF-S1'!$E$45),D39=$C$13,_xlfn.IFS(F39=$E$12,E39*G39*'EF-S1'!$C$39*1/'EF-S1'!$E$45,F39=$E$13,E39*G39*1/'EF-S1'!$E$45,F39=$E$14,E39*G39*'EF-S1'!$C$39*1/'EF-S1'!$E$45*1/'EF-S1'!$E$47,F39=$E$15,E39*G39*'EF-S1'!$D$39*1/'EF-S1'!$E$45),D39=$C$14,_xlfn.IFS(F39=$E$12,E39*G39*'EF-S1'!$C$40*1/'EF-S1'!$E$45,F39=$E$13,E39*G39*1/'EF-S1'!$E$45,F39=$E$14,E39*G39*'EF-S1'!$C$40*1/'EF-S1'!$E$45*1/'EF-S1'!$E$47,F39=$E$15,E39*G39*'EF-S1'!$D$40*1/'EF-S1'!$E$45),D39=$C$15,_xlfn.IFS(F39=$E$12,E39*G39*'EF-S1'!$C$41*1/'EF-S1'!$E$45,F39=$E$13,E39*G39*1/'EF-S1'!$E$45,F39=$E$14,E39*G39*'EF-S1'!$C$41*1/'EF-S1'!$E$45*1/'EF-S1'!$E$47,F39=$E$15,E39*G39*'EF-S1'!$D$41*1/'EF-S1'!$E$45))</f>
        <v>#N/A</v>
      </c>
      <c r="K39" s="155" t="e" cm="1">
        <f t="array" ref="K39">+_xlfn.IFS(D39=$C$12,_xlfn.IFS(F39=$E$12,E39*H39*'EF-S1'!$C$38*1/'EF-S1'!$E$45,F39=$E$13,E39*H39*1/'EF-S1'!$E$45,F39=$E$14,E39*H39*'EF-S1'!$C$38*1/'EF-S1'!$E$45*1/'EF-S1'!$E$47,F39=$E$15,E39*H39*'EF-S1'!$D$38*1/'EF-S1'!$E$45),D39=$C$13,_xlfn.IFS(F39=$E$12,E39*H39*'EF-S1'!$C$39*1/'EF-S1'!$E$45,F39=$E$13,E39*H39*1/'EF-S1'!$E$45,F39=$E$14,E39*H39*'EF-S1'!$C$39*1/'EF-S1'!$E$45*1/'EF-S1'!$E$47,F39=$E$15,E39*H39*'EF-S1'!$D$39*1/'EF-S1'!$E$45),D39=$C$14,_xlfn.IFS(F39=$E$12,E39*H39*'EF-S1'!$C$40*1/'EF-S1'!$E$45,F39=$E$13,E39*H39*1/'EF-S1'!$E$45,F39=$E$14,E39*H39*'EF-S1'!$C$40*1/'EF-S1'!$E$45*1/'EF-S1'!$E$47,F39=$E$15,E39*H39*'EF-S1'!$D$40*1/'EF-S1'!$E$45),D39=$C$15,_xlfn.IFS(F39=$E$12,E39*H39*'EF-S1'!$C$41*1/'EF-S1'!$E$45,F39=$E$13,E39*H39*1/'EF-S1'!$E$45,F39=$E$14,E39*H39*'EF-S1'!$C$41*1/'EF-S1'!$E$45*1/'EF-S1'!$E$47,F39=$E$15,E39*H39*'EF-S1'!$D$41*1/'EF-S1'!$E$45))</f>
        <v>#N/A</v>
      </c>
      <c r="L39" s="155" t="e" cm="1">
        <f t="array" ref="L39">+_xlfn.IFS(D39=$C$12,_xlfn.IFS(F39=$E$12,E39*I39*'EF-S1'!$C$38*1/'EF-S1'!$E$45,F39=$E$13,E39*I39*1/'EF-S1'!$E$45,F39=$E$14,E39*I39*'EF-S1'!$C$38*1/'EF-S1'!$E$45*1/'EF-S1'!$E$47,F39=$E$15,E39*I39*'EF-S1'!$D$38*1/'EF-S1'!$E$45),D39=$C$13,_xlfn.IFS(F39=$E$12,E39*I39*'EF-S1'!$C$39*1/'EF-S1'!$E$45,F39=$E$13,E39*I39*1/'EF-S1'!$E$45,F39=$E$14,E39*I39*'EF-S1'!$C$39*1/'EF-S1'!$E$45*1/'EF-S1'!$E$47,F39=$E$15,E39*I39*'EF-S1'!$D$39*1/'EF-S1'!$E$45),D39=$C$14,_xlfn.IFS(F39=$E$12,E39*I39*'EF-S1'!$C$40*1/'EF-S1'!$E$45,F39=$E$13,E39*I39*1/'EF-S1'!$E$45,F39=$E$14,E39*I39*'EF-S1'!$C$40*1/'EF-S1'!$E$45*1/'EF-S1'!$E$47,F39=$E$15,E39*I39*'EF-S1'!$D$40*1/'EF-S1'!$E$45),D39=$C$15,_xlfn.IFS(F39=$E$12,E39*I39*'EF-S1'!$C$41*1/'EF-S1'!$E$45,F39=$E$13,E39*I39*1/'EF-S1'!$E$45,F39=$E$14,E39*I39*'EF-S1'!$C$41*1/'EF-S1'!$E$45*1/'EF-S1'!$E$47,F39=$E$15,E39*I39*'EF-S1'!$D$41*1/'EF-S1'!$E$45))</f>
        <v>#N/A</v>
      </c>
      <c r="M39" s="155" t="e">
        <f t="shared" si="13"/>
        <v>#N/A</v>
      </c>
      <c r="N39" s="155" t="e">
        <f t="shared" si="14"/>
        <v>#N/A</v>
      </c>
      <c r="O39" s="155" t="e">
        <f t="shared" si="15"/>
        <v>#N/A</v>
      </c>
      <c r="P39" s="156">
        <f t="shared" si="7"/>
        <v>0</v>
      </c>
      <c r="T39" s="152"/>
      <c r="U39" s="157"/>
      <c r="V39" s="158"/>
      <c r="W39" s="159"/>
      <c r="X39" s="155" t="e" cm="1">
        <f t="array" ref="X39">+_xlfn.IFS(W39="km",VLOOKUP(U39,'EF-S1'!$J$10:$M$16,2,),W39="l",VLOOKUP(U39,'EF-S1'!$J$26:$M$29,2,))</f>
        <v>#N/A</v>
      </c>
      <c r="Y39" s="155" t="e" cm="1">
        <f t="array" ref="Y39">+_xlfn.IFS(W39="km",VLOOKUP(U39,'EF-S1'!$J$10:$M$16,3,),W39="l",VLOOKUP(U39,'EF-S1'!$J$26:$M$29,3,))</f>
        <v>#N/A</v>
      </c>
      <c r="Z39" s="155" t="e" cm="1">
        <f t="array" ref="Z39">+_xlfn.IFS(W39="km",VLOOKUP(U39,'EF-S1'!$J$10:$M$16,4,),W39="l",VLOOKUP(U39,'EF-S1'!$J$26:$M$29,4,))</f>
        <v>#N/A</v>
      </c>
      <c r="AA39" s="155" t="e">
        <f t="shared" si="17"/>
        <v>#N/A</v>
      </c>
      <c r="AB39" s="155" t="e">
        <f t="shared" si="18"/>
        <v>#N/A</v>
      </c>
      <c r="AC39" s="155" t="e">
        <f t="shared" si="19"/>
        <v>#N/A</v>
      </c>
      <c r="AD39" s="155" t="e">
        <f t="shared" si="20"/>
        <v>#N/A</v>
      </c>
      <c r="AE39" s="155" t="e">
        <f t="shared" si="21"/>
        <v>#N/A</v>
      </c>
      <c r="AF39" s="155" t="e">
        <f t="shared" si="22"/>
        <v>#N/A</v>
      </c>
      <c r="AG39" s="156">
        <f t="shared" si="11"/>
        <v>0</v>
      </c>
      <c r="AK39" s="152"/>
      <c r="AL39" s="160"/>
      <c r="AM39" s="158"/>
      <c r="AN39" s="159" t="s">
        <v>49</v>
      </c>
      <c r="AO39" s="155" t="e">
        <f>+VLOOKUP(AL39,'EF-S1'!$U$10:$V$24,2,)</f>
        <v>#N/A</v>
      </c>
      <c r="AP39" s="155" t="e">
        <f t="shared" si="16"/>
        <v>#N/A</v>
      </c>
      <c r="AQ39" s="156">
        <f t="shared" si="12"/>
        <v>0</v>
      </c>
    </row>
    <row r="40" spans="1:43" x14ac:dyDescent="0.7">
      <c r="C40" s="152"/>
      <c r="D40" s="137"/>
      <c r="E40" s="158"/>
      <c r="F40" s="154"/>
      <c r="G40" s="155" t="e" cm="1">
        <f t="array" ref="G40">+_xlfn.IFS($C$7=$D$12,VLOOKUP(D40,'EF-S1'!$B$10:$E$13,2,),$C$7=$D$13,VLOOKUP(D40,'EF-S1'!$B$17:$E$20,2,),$C$7=$D$14,VLOOKUP(D40,'EF-S1'!$B$24:$E$27,2,),$C$7=$D$15,VLOOKUP(D40,'EF-S1'!$B$31:$E$34,2,))</f>
        <v>#N/A</v>
      </c>
      <c r="H40" s="155" t="e" cm="1">
        <f t="array" ref="H40">+_xlfn.IFS($C$7=$D$12,VLOOKUP(D40,'EF-S1'!$B$10:$E$13,3,),$C$7=$D$13,VLOOKUP(D40,'EF-S1'!$B$17:$E$20,3,),$C$7=$D$14,VLOOKUP(D40,'EF-S1'!$B$24:$E$27,3,),$C$7=$D$15,VLOOKUP(D40,'EF-S1'!$B$31:$E$34,3,))</f>
        <v>#N/A</v>
      </c>
      <c r="I40" s="155" t="e" cm="1">
        <f t="array" ref="I40">+_xlfn.IFS($C$7=$D$12,VLOOKUP(D40,'EF-S1'!$B$10:$E$13,4,),$C$7=$D$13,VLOOKUP(D40,'EF-S1'!$B$17:$E$20,4,),$C$7=$D$14,VLOOKUP(D40,'EF-S1'!$B$24:$E$27,4,),$C$7=$D$15,VLOOKUP(D40,'EF-S1'!$B$31:$E$34,4,))</f>
        <v>#N/A</v>
      </c>
      <c r="J40" s="155" t="e" cm="1">
        <f t="array" ref="J40">+_xlfn.IFS(D40=$C$12,_xlfn.IFS(F40=$E$12,E40*G40*'EF-S1'!$C$38*1/'EF-S1'!$E$45,F40=$E$13,E40*G40*1/'EF-S1'!$E$45,F40=$E$14,E40*G40*'EF-S1'!$C$38*1/'EF-S1'!$E$45*1/'EF-S1'!$E$47,F40=$E$15,E40*G40*'EF-S1'!$D$38*1/'EF-S1'!$E$45),D40=$C$13,_xlfn.IFS(F40=$E$12,E40*G40*'EF-S1'!$C$39*1/'EF-S1'!$E$45,F40=$E$13,E40*G40*1/'EF-S1'!$E$45,F40=$E$14,E40*G40*'EF-S1'!$C$39*1/'EF-S1'!$E$45*1/'EF-S1'!$E$47,F40=$E$15,E40*G40*'EF-S1'!$D$39*1/'EF-S1'!$E$45),D40=$C$14,_xlfn.IFS(F40=$E$12,E40*G40*'EF-S1'!$C$40*1/'EF-S1'!$E$45,F40=$E$13,E40*G40*1/'EF-S1'!$E$45,F40=$E$14,E40*G40*'EF-S1'!$C$40*1/'EF-S1'!$E$45*1/'EF-S1'!$E$47,F40=$E$15,E40*G40*'EF-S1'!$D$40*1/'EF-S1'!$E$45),D40=$C$15,_xlfn.IFS(F40=$E$12,E40*G40*'EF-S1'!$C$41*1/'EF-S1'!$E$45,F40=$E$13,E40*G40*1/'EF-S1'!$E$45,F40=$E$14,E40*G40*'EF-S1'!$C$41*1/'EF-S1'!$E$45*1/'EF-S1'!$E$47,F40=$E$15,E40*G40*'EF-S1'!$D$41*1/'EF-S1'!$E$45))</f>
        <v>#N/A</v>
      </c>
      <c r="K40" s="155" t="e" cm="1">
        <f t="array" ref="K40">+_xlfn.IFS(D40=$C$12,_xlfn.IFS(F40=$E$12,E40*H40*'EF-S1'!$C$38*1/'EF-S1'!$E$45,F40=$E$13,E40*H40*1/'EF-S1'!$E$45,F40=$E$14,E40*H40*'EF-S1'!$C$38*1/'EF-S1'!$E$45*1/'EF-S1'!$E$47,F40=$E$15,E40*H40*'EF-S1'!$D$38*1/'EF-S1'!$E$45),D40=$C$13,_xlfn.IFS(F40=$E$12,E40*H40*'EF-S1'!$C$39*1/'EF-S1'!$E$45,F40=$E$13,E40*H40*1/'EF-S1'!$E$45,F40=$E$14,E40*H40*'EF-S1'!$C$39*1/'EF-S1'!$E$45*1/'EF-S1'!$E$47,F40=$E$15,E40*H40*'EF-S1'!$D$39*1/'EF-S1'!$E$45),D40=$C$14,_xlfn.IFS(F40=$E$12,E40*H40*'EF-S1'!$C$40*1/'EF-S1'!$E$45,F40=$E$13,E40*H40*1/'EF-S1'!$E$45,F40=$E$14,E40*H40*'EF-S1'!$C$40*1/'EF-S1'!$E$45*1/'EF-S1'!$E$47,F40=$E$15,E40*H40*'EF-S1'!$D$40*1/'EF-S1'!$E$45),D40=$C$15,_xlfn.IFS(F40=$E$12,E40*H40*'EF-S1'!$C$41*1/'EF-S1'!$E$45,F40=$E$13,E40*H40*1/'EF-S1'!$E$45,F40=$E$14,E40*H40*'EF-S1'!$C$41*1/'EF-S1'!$E$45*1/'EF-S1'!$E$47,F40=$E$15,E40*H40*'EF-S1'!$D$41*1/'EF-S1'!$E$45))</f>
        <v>#N/A</v>
      </c>
      <c r="L40" s="155" t="e" cm="1">
        <f t="array" ref="L40">+_xlfn.IFS(D40=$C$12,_xlfn.IFS(F40=$E$12,E40*I40*'EF-S1'!$C$38*1/'EF-S1'!$E$45,F40=$E$13,E40*I40*1/'EF-S1'!$E$45,F40=$E$14,E40*I40*'EF-S1'!$C$38*1/'EF-S1'!$E$45*1/'EF-S1'!$E$47,F40=$E$15,E40*I40*'EF-S1'!$D$38*1/'EF-S1'!$E$45),D40=$C$13,_xlfn.IFS(F40=$E$12,E40*I40*'EF-S1'!$C$39*1/'EF-S1'!$E$45,F40=$E$13,E40*I40*1/'EF-S1'!$E$45,F40=$E$14,E40*I40*'EF-S1'!$C$39*1/'EF-S1'!$E$45*1/'EF-S1'!$E$47,F40=$E$15,E40*I40*'EF-S1'!$D$39*1/'EF-S1'!$E$45),D40=$C$14,_xlfn.IFS(F40=$E$12,E40*I40*'EF-S1'!$C$40*1/'EF-S1'!$E$45,F40=$E$13,E40*I40*1/'EF-S1'!$E$45,F40=$E$14,E40*I40*'EF-S1'!$C$40*1/'EF-S1'!$E$45*1/'EF-S1'!$E$47,F40=$E$15,E40*I40*'EF-S1'!$D$40*1/'EF-S1'!$E$45),D40=$C$15,_xlfn.IFS(F40=$E$12,E40*I40*'EF-S1'!$C$41*1/'EF-S1'!$E$45,F40=$E$13,E40*I40*1/'EF-S1'!$E$45,F40=$E$14,E40*I40*'EF-S1'!$C$41*1/'EF-S1'!$E$45*1/'EF-S1'!$E$47,F40=$E$15,E40*I40*'EF-S1'!$D$41*1/'EF-S1'!$E$45))</f>
        <v>#N/A</v>
      </c>
      <c r="M40" s="155" t="e">
        <f t="shared" si="13"/>
        <v>#N/A</v>
      </c>
      <c r="N40" s="155" t="e">
        <f t="shared" si="14"/>
        <v>#N/A</v>
      </c>
      <c r="O40" s="155" t="e">
        <f t="shared" si="15"/>
        <v>#N/A</v>
      </c>
      <c r="P40" s="156">
        <f t="shared" si="7"/>
        <v>0</v>
      </c>
      <c r="T40" s="152"/>
      <c r="U40" s="157"/>
      <c r="V40" s="158"/>
      <c r="W40" s="159"/>
      <c r="X40" s="155" t="e" cm="1">
        <f t="array" ref="X40">+_xlfn.IFS(W40="km",VLOOKUP(U40,'EF-S1'!$J$10:$M$16,2,),W40="l",VLOOKUP(U40,'EF-S1'!$J$26:$M$29,2,))</f>
        <v>#N/A</v>
      </c>
      <c r="Y40" s="155" t="e" cm="1">
        <f t="array" ref="Y40">+_xlfn.IFS(W40="km",VLOOKUP(U40,'EF-S1'!$J$10:$M$16,3,),W40="l",VLOOKUP(U40,'EF-S1'!$J$26:$M$29,3,))</f>
        <v>#N/A</v>
      </c>
      <c r="Z40" s="155" t="e" cm="1">
        <f t="array" ref="Z40">+_xlfn.IFS(W40="km",VLOOKUP(U40,'EF-S1'!$J$10:$M$16,4,),W40="l",VLOOKUP(U40,'EF-S1'!$J$26:$M$29,4,))</f>
        <v>#N/A</v>
      </c>
      <c r="AA40" s="155" t="e">
        <f t="shared" si="17"/>
        <v>#N/A</v>
      </c>
      <c r="AB40" s="155" t="e">
        <f t="shared" si="18"/>
        <v>#N/A</v>
      </c>
      <c r="AC40" s="155" t="e">
        <f t="shared" si="19"/>
        <v>#N/A</v>
      </c>
      <c r="AD40" s="155" t="e">
        <f t="shared" si="20"/>
        <v>#N/A</v>
      </c>
      <c r="AE40" s="155" t="e">
        <f t="shared" si="21"/>
        <v>#N/A</v>
      </c>
      <c r="AF40" s="155" t="e">
        <f t="shared" si="22"/>
        <v>#N/A</v>
      </c>
      <c r="AG40" s="156">
        <f t="shared" si="11"/>
        <v>0</v>
      </c>
      <c r="AK40" s="152"/>
      <c r="AL40" s="160"/>
      <c r="AM40" s="158"/>
      <c r="AN40" s="159" t="s">
        <v>49</v>
      </c>
      <c r="AO40" s="155" t="e">
        <f>+VLOOKUP(AL40,'EF-S1'!$U$10:$V$24,2,)</f>
        <v>#N/A</v>
      </c>
      <c r="AP40" s="155" t="e">
        <f t="shared" si="16"/>
        <v>#N/A</v>
      </c>
      <c r="AQ40" s="156">
        <f t="shared" si="12"/>
        <v>0</v>
      </c>
    </row>
    <row r="41" spans="1:43" x14ac:dyDescent="0.7">
      <c r="C41" s="152"/>
      <c r="D41" s="137"/>
      <c r="E41" s="158"/>
      <c r="F41" s="154"/>
      <c r="G41" s="155" t="e" cm="1">
        <f t="array" ref="G41">+_xlfn.IFS($C$7=$D$12,VLOOKUP(D41,'EF-S1'!$B$10:$E$13,2,),$C$7=$D$13,VLOOKUP(D41,'EF-S1'!$B$17:$E$20,2,),$C$7=$D$14,VLOOKUP(D41,'EF-S1'!$B$24:$E$27,2,),$C$7=$D$15,VLOOKUP(D41,'EF-S1'!$B$31:$E$34,2,))</f>
        <v>#N/A</v>
      </c>
      <c r="H41" s="155" t="e" cm="1">
        <f t="array" ref="H41">+_xlfn.IFS($C$7=$D$12,VLOOKUP(D41,'EF-S1'!$B$10:$E$13,3,),$C$7=$D$13,VLOOKUP(D41,'EF-S1'!$B$17:$E$20,3,),$C$7=$D$14,VLOOKUP(D41,'EF-S1'!$B$24:$E$27,3,),$C$7=$D$15,VLOOKUP(D41,'EF-S1'!$B$31:$E$34,3,))</f>
        <v>#N/A</v>
      </c>
      <c r="I41" s="155" t="e" cm="1">
        <f t="array" ref="I41">+_xlfn.IFS($C$7=$D$12,VLOOKUP(D41,'EF-S1'!$B$10:$E$13,4,),$C$7=$D$13,VLOOKUP(D41,'EF-S1'!$B$17:$E$20,4,),$C$7=$D$14,VLOOKUP(D41,'EF-S1'!$B$24:$E$27,4,),$C$7=$D$15,VLOOKUP(D41,'EF-S1'!$B$31:$E$34,4,))</f>
        <v>#N/A</v>
      </c>
      <c r="J41" s="155" t="e" cm="1">
        <f t="array" ref="J41">+_xlfn.IFS(D41=$C$12,_xlfn.IFS(F41=$E$12,E41*G41*'EF-S1'!$C$38*1/'EF-S1'!$E$45,F41=$E$13,E41*G41*1/'EF-S1'!$E$45,F41=$E$14,E41*G41*'EF-S1'!$C$38*1/'EF-S1'!$E$45*1/'EF-S1'!$E$47,F41=$E$15,E41*G41*'EF-S1'!$D$38*1/'EF-S1'!$E$45),D41=$C$13,_xlfn.IFS(F41=$E$12,E41*G41*'EF-S1'!$C$39*1/'EF-S1'!$E$45,F41=$E$13,E41*G41*1/'EF-S1'!$E$45,F41=$E$14,E41*G41*'EF-S1'!$C$39*1/'EF-S1'!$E$45*1/'EF-S1'!$E$47,F41=$E$15,E41*G41*'EF-S1'!$D$39*1/'EF-S1'!$E$45),D41=$C$14,_xlfn.IFS(F41=$E$12,E41*G41*'EF-S1'!$C$40*1/'EF-S1'!$E$45,F41=$E$13,E41*G41*1/'EF-S1'!$E$45,F41=$E$14,E41*G41*'EF-S1'!$C$40*1/'EF-S1'!$E$45*1/'EF-S1'!$E$47,F41=$E$15,E41*G41*'EF-S1'!$D$40*1/'EF-S1'!$E$45),D41=$C$15,_xlfn.IFS(F41=$E$12,E41*G41*'EF-S1'!$C$41*1/'EF-S1'!$E$45,F41=$E$13,E41*G41*1/'EF-S1'!$E$45,F41=$E$14,E41*G41*'EF-S1'!$C$41*1/'EF-S1'!$E$45*1/'EF-S1'!$E$47,F41=$E$15,E41*G41*'EF-S1'!$D$41*1/'EF-S1'!$E$45))</f>
        <v>#N/A</v>
      </c>
      <c r="K41" s="155" t="e" cm="1">
        <f t="array" ref="K41">+_xlfn.IFS(D41=$C$12,_xlfn.IFS(F41=$E$12,E41*H41*'EF-S1'!$C$38*1/'EF-S1'!$E$45,F41=$E$13,E41*H41*1/'EF-S1'!$E$45,F41=$E$14,E41*H41*'EF-S1'!$C$38*1/'EF-S1'!$E$45*1/'EF-S1'!$E$47,F41=$E$15,E41*H41*'EF-S1'!$D$38*1/'EF-S1'!$E$45),D41=$C$13,_xlfn.IFS(F41=$E$12,E41*H41*'EF-S1'!$C$39*1/'EF-S1'!$E$45,F41=$E$13,E41*H41*1/'EF-S1'!$E$45,F41=$E$14,E41*H41*'EF-S1'!$C$39*1/'EF-S1'!$E$45*1/'EF-S1'!$E$47,F41=$E$15,E41*H41*'EF-S1'!$D$39*1/'EF-S1'!$E$45),D41=$C$14,_xlfn.IFS(F41=$E$12,E41*H41*'EF-S1'!$C$40*1/'EF-S1'!$E$45,F41=$E$13,E41*H41*1/'EF-S1'!$E$45,F41=$E$14,E41*H41*'EF-S1'!$C$40*1/'EF-S1'!$E$45*1/'EF-S1'!$E$47,F41=$E$15,E41*H41*'EF-S1'!$D$40*1/'EF-S1'!$E$45),D41=$C$15,_xlfn.IFS(F41=$E$12,E41*H41*'EF-S1'!$C$41*1/'EF-S1'!$E$45,F41=$E$13,E41*H41*1/'EF-S1'!$E$45,F41=$E$14,E41*H41*'EF-S1'!$C$41*1/'EF-S1'!$E$45*1/'EF-S1'!$E$47,F41=$E$15,E41*H41*'EF-S1'!$D$41*1/'EF-S1'!$E$45))</f>
        <v>#N/A</v>
      </c>
      <c r="L41" s="155" t="e" cm="1">
        <f t="array" ref="L41">+_xlfn.IFS(D41=$C$12,_xlfn.IFS(F41=$E$12,E41*I41*'EF-S1'!$C$38*1/'EF-S1'!$E$45,F41=$E$13,E41*I41*1/'EF-S1'!$E$45,F41=$E$14,E41*I41*'EF-S1'!$C$38*1/'EF-S1'!$E$45*1/'EF-S1'!$E$47,F41=$E$15,E41*I41*'EF-S1'!$D$38*1/'EF-S1'!$E$45),D41=$C$13,_xlfn.IFS(F41=$E$12,E41*I41*'EF-S1'!$C$39*1/'EF-S1'!$E$45,F41=$E$13,E41*I41*1/'EF-S1'!$E$45,F41=$E$14,E41*I41*'EF-S1'!$C$39*1/'EF-S1'!$E$45*1/'EF-S1'!$E$47,F41=$E$15,E41*I41*'EF-S1'!$D$39*1/'EF-S1'!$E$45),D41=$C$14,_xlfn.IFS(F41=$E$12,E41*I41*'EF-S1'!$C$40*1/'EF-S1'!$E$45,F41=$E$13,E41*I41*1/'EF-S1'!$E$45,F41=$E$14,E41*I41*'EF-S1'!$C$40*1/'EF-S1'!$E$45*1/'EF-S1'!$E$47,F41=$E$15,E41*I41*'EF-S1'!$D$40*1/'EF-S1'!$E$45),D41=$C$15,_xlfn.IFS(F41=$E$12,E41*I41*'EF-S1'!$C$41*1/'EF-S1'!$E$45,F41=$E$13,E41*I41*1/'EF-S1'!$E$45,F41=$E$14,E41*I41*'EF-S1'!$C$41*1/'EF-S1'!$E$45*1/'EF-S1'!$E$47,F41=$E$15,E41*I41*'EF-S1'!$D$41*1/'EF-S1'!$E$45))</f>
        <v>#N/A</v>
      </c>
      <c r="M41" s="155" t="e">
        <f t="shared" si="13"/>
        <v>#N/A</v>
      </c>
      <c r="N41" s="155" t="e">
        <f t="shared" si="14"/>
        <v>#N/A</v>
      </c>
      <c r="O41" s="155" t="e">
        <f t="shared" si="15"/>
        <v>#N/A</v>
      </c>
      <c r="P41" s="156">
        <f t="shared" si="7"/>
        <v>0</v>
      </c>
      <c r="T41" s="152"/>
      <c r="U41" s="157"/>
      <c r="V41" s="158"/>
      <c r="W41" s="159"/>
      <c r="X41" s="155" t="e" cm="1">
        <f t="array" ref="X41">+_xlfn.IFS(W41="km",VLOOKUP(U41,'EF-S1'!$J$10:$M$16,2,),W41="l",VLOOKUP(U41,'EF-S1'!$J$26:$M$29,2,))</f>
        <v>#N/A</v>
      </c>
      <c r="Y41" s="155" t="e" cm="1">
        <f t="array" ref="Y41">+_xlfn.IFS(W41="km",VLOOKUP(U41,'EF-S1'!$J$10:$M$16,3,),W41="l",VLOOKUP(U41,'EF-S1'!$J$26:$M$29,3,))</f>
        <v>#N/A</v>
      </c>
      <c r="Z41" s="155" t="e" cm="1">
        <f t="array" ref="Z41">+_xlfn.IFS(W41="km",VLOOKUP(U41,'EF-S1'!$J$10:$M$16,4,),W41="l",VLOOKUP(U41,'EF-S1'!$J$26:$M$29,4,))</f>
        <v>#N/A</v>
      </c>
      <c r="AA41" s="155" t="e">
        <f t="shared" si="17"/>
        <v>#N/A</v>
      </c>
      <c r="AB41" s="155" t="e">
        <f t="shared" si="18"/>
        <v>#N/A</v>
      </c>
      <c r="AC41" s="155" t="e">
        <f t="shared" si="19"/>
        <v>#N/A</v>
      </c>
      <c r="AD41" s="155" t="e">
        <f t="shared" si="20"/>
        <v>#N/A</v>
      </c>
      <c r="AE41" s="155" t="e">
        <f t="shared" si="21"/>
        <v>#N/A</v>
      </c>
      <c r="AF41" s="155" t="e">
        <f t="shared" si="22"/>
        <v>#N/A</v>
      </c>
      <c r="AG41" s="156">
        <f t="shared" si="11"/>
        <v>0</v>
      </c>
      <c r="AK41" s="152"/>
      <c r="AL41" s="160"/>
      <c r="AM41" s="158"/>
      <c r="AN41" s="159" t="s">
        <v>49</v>
      </c>
      <c r="AO41" s="155" t="e">
        <f>+VLOOKUP(AL41,'EF-S1'!$U$10:$V$24,2,)</f>
        <v>#N/A</v>
      </c>
      <c r="AP41" s="155" t="e">
        <f t="shared" si="16"/>
        <v>#N/A</v>
      </c>
      <c r="AQ41" s="156">
        <f t="shared" si="12"/>
        <v>0</v>
      </c>
    </row>
    <row r="42" spans="1:43" x14ac:dyDescent="0.7">
      <c r="C42" s="152"/>
      <c r="D42" s="137"/>
      <c r="E42" s="158"/>
      <c r="F42" s="154"/>
      <c r="G42" s="155" t="e" cm="1">
        <f t="array" ref="G42">+_xlfn.IFS($C$7=$D$12,VLOOKUP(D42,'EF-S1'!$B$10:$E$13,2,),$C$7=$D$13,VLOOKUP(D42,'EF-S1'!$B$17:$E$20,2,),$C$7=$D$14,VLOOKUP(D42,'EF-S1'!$B$24:$E$27,2,),$C$7=$D$15,VLOOKUP(D42,'EF-S1'!$B$31:$E$34,2,))</f>
        <v>#N/A</v>
      </c>
      <c r="H42" s="155" t="e" cm="1">
        <f t="array" ref="H42">+_xlfn.IFS($C$7=$D$12,VLOOKUP(D42,'EF-S1'!$B$10:$E$13,3,),$C$7=$D$13,VLOOKUP(D42,'EF-S1'!$B$17:$E$20,3,),$C$7=$D$14,VLOOKUP(D42,'EF-S1'!$B$24:$E$27,3,),$C$7=$D$15,VLOOKUP(D42,'EF-S1'!$B$31:$E$34,3,))</f>
        <v>#N/A</v>
      </c>
      <c r="I42" s="155" t="e" cm="1">
        <f t="array" ref="I42">+_xlfn.IFS($C$7=$D$12,VLOOKUP(D42,'EF-S1'!$B$10:$E$13,4,),$C$7=$D$13,VLOOKUP(D42,'EF-S1'!$B$17:$E$20,4,),$C$7=$D$14,VLOOKUP(D42,'EF-S1'!$B$24:$E$27,4,),$C$7=$D$15,VLOOKUP(D42,'EF-S1'!$B$31:$E$34,4,))</f>
        <v>#N/A</v>
      </c>
      <c r="J42" s="155" t="e" cm="1">
        <f t="array" ref="J42">+_xlfn.IFS(D42=$C$12,_xlfn.IFS(F42=$E$12,E42*G42*'EF-S1'!$C$38*1/'EF-S1'!$E$45,F42=$E$13,E42*G42*1/'EF-S1'!$E$45,F42=$E$14,E42*G42*'EF-S1'!$C$38*1/'EF-S1'!$E$45*1/'EF-S1'!$E$47,F42=$E$15,E42*G42*'EF-S1'!$D$38*1/'EF-S1'!$E$45),D42=$C$13,_xlfn.IFS(F42=$E$12,E42*G42*'EF-S1'!$C$39*1/'EF-S1'!$E$45,F42=$E$13,E42*G42*1/'EF-S1'!$E$45,F42=$E$14,E42*G42*'EF-S1'!$C$39*1/'EF-S1'!$E$45*1/'EF-S1'!$E$47,F42=$E$15,E42*G42*'EF-S1'!$D$39*1/'EF-S1'!$E$45),D42=$C$14,_xlfn.IFS(F42=$E$12,E42*G42*'EF-S1'!$C$40*1/'EF-S1'!$E$45,F42=$E$13,E42*G42*1/'EF-S1'!$E$45,F42=$E$14,E42*G42*'EF-S1'!$C$40*1/'EF-S1'!$E$45*1/'EF-S1'!$E$47,F42=$E$15,E42*G42*'EF-S1'!$D$40*1/'EF-S1'!$E$45),D42=$C$15,_xlfn.IFS(F42=$E$12,E42*G42*'EF-S1'!$C$41*1/'EF-S1'!$E$45,F42=$E$13,E42*G42*1/'EF-S1'!$E$45,F42=$E$14,E42*G42*'EF-S1'!$C$41*1/'EF-S1'!$E$45*1/'EF-S1'!$E$47,F42=$E$15,E42*G42*'EF-S1'!$D$41*1/'EF-S1'!$E$45))</f>
        <v>#N/A</v>
      </c>
      <c r="K42" s="155" t="e" cm="1">
        <f t="array" ref="K42">+_xlfn.IFS(D42=$C$12,_xlfn.IFS(F42=$E$12,E42*H42*'EF-S1'!$C$38*1/'EF-S1'!$E$45,F42=$E$13,E42*H42*1/'EF-S1'!$E$45,F42=$E$14,E42*H42*'EF-S1'!$C$38*1/'EF-S1'!$E$45*1/'EF-S1'!$E$47,F42=$E$15,E42*H42*'EF-S1'!$D$38*1/'EF-S1'!$E$45),D42=$C$13,_xlfn.IFS(F42=$E$12,E42*H42*'EF-S1'!$C$39*1/'EF-S1'!$E$45,F42=$E$13,E42*H42*1/'EF-S1'!$E$45,F42=$E$14,E42*H42*'EF-S1'!$C$39*1/'EF-S1'!$E$45*1/'EF-S1'!$E$47,F42=$E$15,E42*H42*'EF-S1'!$D$39*1/'EF-S1'!$E$45),D42=$C$14,_xlfn.IFS(F42=$E$12,E42*H42*'EF-S1'!$C$40*1/'EF-S1'!$E$45,F42=$E$13,E42*H42*1/'EF-S1'!$E$45,F42=$E$14,E42*H42*'EF-S1'!$C$40*1/'EF-S1'!$E$45*1/'EF-S1'!$E$47,F42=$E$15,E42*H42*'EF-S1'!$D$40*1/'EF-S1'!$E$45),D42=$C$15,_xlfn.IFS(F42=$E$12,E42*H42*'EF-S1'!$C$41*1/'EF-S1'!$E$45,F42=$E$13,E42*H42*1/'EF-S1'!$E$45,F42=$E$14,E42*H42*'EF-S1'!$C$41*1/'EF-S1'!$E$45*1/'EF-S1'!$E$47,F42=$E$15,E42*H42*'EF-S1'!$D$41*1/'EF-S1'!$E$45))</f>
        <v>#N/A</v>
      </c>
      <c r="L42" s="155" t="e" cm="1">
        <f t="array" ref="L42">+_xlfn.IFS(D42=$C$12,_xlfn.IFS(F42=$E$12,E42*I42*'EF-S1'!$C$38*1/'EF-S1'!$E$45,F42=$E$13,E42*I42*1/'EF-S1'!$E$45,F42=$E$14,E42*I42*'EF-S1'!$C$38*1/'EF-S1'!$E$45*1/'EF-S1'!$E$47,F42=$E$15,E42*I42*'EF-S1'!$D$38*1/'EF-S1'!$E$45),D42=$C$13,_xlfn.IFS(F42=$E$12,E42*I42*'EF-S1'!$C$39*1/'EF-S1'!$E$45,F42=$E$13,E42*I42*1/'EF-S1'!$E$45,F42=$E$14,E42*I42*'EF-S1'!$C$39*1/'EF-S1'!$E$45*1/'EF-S1'!$E$47,F42=$E$15,E42*I42*'EF-S1'!$D$39*1/'EF-S1'!$E$45),D42=$C$14,_xlfn.IFS(F42=$E$12,E42*I42*'EF-S1'!$C$40*1/'EF-S1'!$E$45,F42=$E$13,E42*I42*1/'EF-S1'!$E$45,F42=$E$14,E42*I42*'EF-S1'!$C$40*1/'EF-S1'!$E$45*1/'EF-S1'!$E$47,F42=$E$15,E42*I42*'EF-S1'!$D$40*1/'EF-S1'!$E$45),D42=$C$15,_xlfn.IFS(F42=$E$12,E42*I42*'EF-S1'!$C$41*1/'EF-S1'!$E$45,F42=$E$13,E42*I42*1/'EF-S1'!$E$45,F42=$E$14,E42*I42*'EF-S1'!$C$41*1/'EF-S1'!$E$45*1/'EF-S1'!$E$47,F42=$E$15,E42*I42*'EF-S1'!$D$41*1/'EF-S1'!$E$45))</f>
        <v>#N/A</v>
      </c>
      <c r="M42" s="155" t="e">
        <f t="shared" si="13"/>
        <v>#N/A</v>
      </c>
      <c r="N42" s="155" t="e">
        <f t="shared" si="14"/>
        <v>#N/A</v>
      </c>
      <c r="O42" s="155" t="e">
        <f t="shared" si="15"/>
        <v>#N/A</v>
      </c>
      <c r="P42" s="156">
        <f t="shared" si="7"/>
        <v>0</v>
      </c>
      <c r="T42" s="152"/>
      <c r="U42" s="157"/>
      <c r="V42" s="158"/>
      <c r="W42" s="159"/>
      <c r="X42" s="155" t="e" cm="1">
        <f t="array" ref="X42">+_xlfn.IFS(W42="km",VLOOKUP(U42,'EF-S1'!$J$10:$M$16,2,),W42="l",VLOOKUP(U42,'EF-S1'!$J$26:$M$29,2,))</f>
        <v>#N/A</v>
      </c>
      <c r="Y42" s="155" t="e" cm="1">
        <f t="array" ref="Y42">+_xlfn.IFS(W42="km",VLOOKUP(U42,'EF-S1'!$J$10:$M$16,3,),W42="l",VLOOKUP(U42,'EF-S1'!$J$26:$M$29,3,))</f>
        <v>#N/A</v>
      </c>
      <c r="Z42" s="155" t="e" cm="1">
        <f t="array" ref="Z42">+_xlfn.IFS(W42="km",VLOOKUP(U42,'EF-S1'!$J$10:$M$16,4,),W42="l",VLOOKUP(U42,'EF-S1'!$J$26:$M$29,4,))</f>
        <v>#N/A</v>
      </c>
      <c r="AA42" s="155" t="e">
        <f t="shared" si="17"/>
        <v>#N/A</v>
      </c>
      <c r="AB42" s="155" t="e">
        <f t="shared" si="18"/>
        <v>#N/A</v>
      </c>
      <c r="AC42" s="155" t="e">
        <f t="shared" si="19"/>
        <v>#N/A</v>
      </c>
      <c r="AD42" s="155" t="e">
        <f t="shared" si="20"/>
        <v>#N/A</v>
      </c>
      <c r="AE42" s="155" t="e">
        <f t="shared" si="21"/>
        <v>#N/A</v>
      </c>
      <c r="AF42" s="155" t="e">
        <f t="shared" si="22"/>
        <v>#N/A</v>
      </c>
      <c r="AG42" s="156">
        <f t="shared" si="11"/>
        <v>0</v>
      </c>
      <c r="AK42" s="152"/>
      <c r="AL42" s="160"/>
      <c r="AM42" s="158"/>
      <c r="AN42" s="159" t="s">
        <v>49</v>
      </c>
      <c r="AO42" s="155" t="e">
        <f>+VLOOKUP(AL42,'EF-S1'!$U$10:$V$24,2,)</f>
        <v>#N/A</v>
      </c>
      <c r="AP42" s="155" t="e">
        <f t="shared" si="16"/>
        <v>#N/A</v>
      </c>
      <c r="AQ42" s="156">
        <f t="shared" si="12"/>
        <v>0</v>
      </c>
    </row>
    <row r="43" spans="1:43" x14ac:dyDescent="0.7">
      <c r="C43" s="152"/>
      <c r="D43" s="137"/>
      <c r="E43" s="158"/>
      <c r="F43" s="154"/>
      <c r="G43" s="155" t="e" cm="1">
        <f t="array" ref="G43">+_xlfn.IFS($C$7=$D$12,VLOOKUP(D43,'EF-S1'!$B$10:$E$13,2,),$C$7=$D$13,VLOOKUP(D43,'EF-S1'!$B$17:$E$20,2,),$C$7=$D$14,VLOOKUP(D43,'EF-S1'!$B$24:$E$27,2,),$C$7=$D$15,VLOOKUP(D43,'EF-S1'!$B$31:$E$34,2,))</f>
        <v>#N/A</v>
      </c>
      <c r="H43" s="155" t="e" cm="1">
        <f t="array" ref="H43">+_xlfn.IFS($C$7=$D$12,VLOOKUP(D43,'EF-S1'!$B$10:$E$13,3,),$C$7=$D$13,VLOOKUP(D43,'EF-S1'!$B$17:$E$20,3,),$C$7=$D$14,VLOOKUP(D43,'EF-S1'!$B$24:$E$27,3,),$C$7=$D$15,VLOOKUP(D43,'EF-S1'!$B$31:$E$34,3,))</f>
        <v>#N/A</v>
      </c>
      <c r="I43" s="155" t="e" cm="1">
        <f t="array" ref="I43">+_xlfn.IFS($C$7=$D$12,VLOOKUP(D43,'EF-S1'!$B$10:$E$13,4,),$C$7=$D$13,VLOOKUP(D43,'EF-S1'!$B$17:$E$20,4,),$C$7=$D$14,VLOOKUP(D43,'EF-S1'!$B$24:$E$27,4,),$C$7=$D$15,VLOOKUP(D43,'EF-S1'!$B$31:$E$34,4,))</f>
        <v>#N/A</v>
      </c>
      <c r="J43" s="155" t="e" cm="1">
        <f t="array" ref="J43">+_xlfn.IFS(D43=$C$12,_xlfn.IFS(F43=$E$12,E43*G43*'EF-S1'!$C$38*1/'EF-S1'!$E$45,F43=$E$13,E43*G43*1/'EF-S1'!$E$45,F43=$E$14,E43*G43*'EF-S1'!$C$38*1/'EF-S1'!$E$45*1/'EF-S1'!$E$47,F43=$E$15,E43*G43*'EF-S1'!$D$38*1/'EF-S1'!$E$45),D43=$C$13,_xlfn.IFS(F43=$E$12,E43*G43*'EF-S1'!$C$39*1/'EF-S1'!$E$45,F43=$E$13,E43*G43*1/'EF-S1'!$E$45,F43=$E$14,E43*G43*'EF-S1'!$C$39*1/'EF-S1'!$E$45*1/'EF-S1'!$E$47,F43=$E$15,E43*G43*'EF-S1'!$D$39*1/'EF-S1'!$E$45),D43=$C$14,_xlfn.IFS(F43=$E$12,E43*G43*'EF-S1'!$C$40*1/'EF-S1'!$E$45,F43=$E$13,E43*G43*1/'EF-S1'!$E$45,F43=$E$14,E43*G43*'EF-S1'!$C$40*1/'EF-S1'!$E$45*1/'EF-S1'!$E$47,F43=$E$15,E43*G43*'EF-S1'!$D$40*1/'EF-S1'!$E$45),D43=$C$15,_xlfn.IFS(F43=$E$12,E43*G43*'EF-S1'!$C$41*1/'EF-S1'!$E$45,F43=$E$13,E43*G43*1/'EF-S1'!$E$45,F43=$E$14,E43*G43*'EF-S1'!$C$41*1/'EF-S1'!$E$45*1/'EF-S1'!$E$47,F43=$E$15,E43*G43*'EF-S1'!$D$41*1/'EF-S1'!$E$45))</f>
        <v>#N/A</v>
      </c>
      <c r="K43" s="155" t="e" cm="1">
        <f t="array" ref="K43">+_xlfn.IFS(D43=$C$12,_xlfn.IFS(F43=$E$12,E43*H43*'EF-S1'!$C$38*1/'EF-S1'!$E$45,F43=$E$13,E43*H43*1/'EF-S1'!$E$45,F43=$E$14,E43*H43*'EF-S1'!$C$38*1/'EF-S1'!$E$45*1/'EF-S1'!$E$47,F43=$E$15,E43*H43*'EF-S1'!$D$38*1/'EF-S1'!$E$45),D43=$C$13,_xlfn.IFS(F43=$E$12,E43*H43*'EF-S1'!$C$39*1/'EF-S1'!$E$45,F43=$E$13,E43*H43*1/'EF-S1'!$E$45,F43=$E$14,E43*H43*'EF-S1'!$C$39*1/'EF-S1'!$E$45*1/'EF-S1'!$E$47,F43=$E$15,E43*H43*'EF-S1'!$D$39*1/'EF-S1'!$E$45),D43=$C$14,_xlfn.IFS(F43=$E$12,E43*H43*'EF-S1'!$C$40*1/'EF-S1'!$E$45,F43=$E$13,E43*H43*1/'EF-S1'!$E$45,F43=$E$14,E43*H43*'EF-S1'!$C$40*1/'EF-S1'!$E$45*1/'EF-S1'!$E$47,F43=$E$15,E43*H43*'EF-S1'!$D$40*1/'EF-S1'!$E$45),D43=$C$15,_xlfn.IFS(F43=$E$12,E43*H43*'EF-S1'!$C$41*1/'EF-S1'!$E$45,F43=$E$13,E43*H43*1/'EF-S1'!$E$45,F43=$E$14,E43*H43*'EF-S1'!$C$41*1/'EF-S1'!$E$45*1/'EF-S1'!$E$47,F43=$E$15,E43*H43*'EF-S1'!$D$41*1/'EF-S1'!$E$45))</f>
        <v>#N/A</v>
      </c>
      <c r="L43" s="155" t="e" cm="1">
        <f t="array" ref="L43">+_xlfn.IFS(D43=$C$12,_xlfn.IFS(F43=$E$12,E43*I43*'EF-S1'!$C$38*1/'EF-S1'!$E$45,F43=$E$13,E43*I43*1/'EF-S1'!$E$45,F43=$E$14,E43*I43*'EF-S1'!$C$38*1/'EF-S1'!$E$45*1/'EF-S1'!$E$47,F43=$E$15,E43*I43*'EF-S1'!$D$38*1/'EF-S1'!$E$45),D43=$C$13,_xlfn.IFS(F43=$E$12,E43*I43*'EF-S1'!$C$39*1/'EF-S1'!$E$45,F43=$E$13,E43*I43*1/'EF-S1'!$E$45,F43=$E$14,E43*I43*'EF-S1'!$C$39*1/'EF-S1'!$E$45*1/'EF-S1'!$E$47,F43=$E$15,E43*I43*'EF-S1'!$D$39*1/'EF-S1'!$E$45),D43=$C$14,_xlfn.IFS(F43=$E$12,E43*I43*'EF-S1'!$C$40*1/'EF-S1'!$E$45,F43=$E$13,E43*I43*1/'EF-S1'!$E$45,F43=$E$14,E43*I43*'EF-S1'!$C$40*1/'EF-S1'!$E$45*1/'EF-S1'!$E$47,F43=$E$15,E43*I43*'EF-S1'!$D$40*1/'EF-S1'!$E$45),D43=$C$15,_xlfn.IFS(F43=$E$12,E43*I43*'EF-S1'!$C$41*1/'EF-S1'!$E$45,F43=$E$13,E43*I43*1/'EF-S1'!$E$45,F43=$E$14,E43*I43*'EF-S1'!$C$41*1/'EF-S1'!$E$45*1/'EF-S1'!$E$47,F43=$E$15,E43*I43*'EF-S1'!$D$41*1/'EF-S1'!$E$45))</f>
        <v>#N/A</v>
      </c>
      <c r="M43" s="155" t="e">
        <f t="shared" si="13"/>
        <v>#N/A</v>
      </c>
      <c r="N43" s="155" t="e">
        <f t="shared" si="14"/>
        <v>#N/A</v>
      </c>
      <c r="O43" s="155" t="e">
        <f t="shared" si="15"/>
        <v>#N/A</v>
      </c>
      <c r="P43" s="156">
        <f t="shared" si="7"/>
        <v>0</v>
      </c>
      <c r="T43" s="152"/>
      <c r="U43" s="157"/>
      <c r="V43" s="158"/>
      <c r="W43" s="159"/>
      <c r="X43" s="155" t="e" cm="1">
        <f t="array" ref="X43">+_xlfn.IFS(W43="km",VLOOKUP(U43,'EF-S1'!$J$10:$M$16,2,),W43="l",VLOOKUP(U43,'EF-S1'!$J$26:$M$29,2,))</f>
        <v>#N/A</v>
      </c>
      <c r="Y43" s="155" t="e" cm="1">
        <f t="array" ref="Y43">+_xlfn.IFS(W43="km",VLOOKUP(U43,'EF-S1'!$J$10:$M$16,3,),W43="l",VLOOKUP(U43,'EF-S1'!$J$26:$M$29,3,))</f>
        <v>#N/A</v>
      </c>
      <c r="Z43" s="155" t="e" cm="1">
        <f t="array" ref="Z43">+_xlfn.IFS(W43="km",VLOOKUP(U43,'EF-S1'!$J$10:$M$16,4,),W43="l",VLOOKUP(U43,'EF-S1'!$J$26:$M$29,4,))</f>
        <v>#N/A</v>
      </c>
      <c r="AA43" s="155" t="e">
        <f t="shared" si="17"/>
        <v>#N/A</v>
      </c>
      <c r="AB43" s="155" t="e">
        <f t="shared" si="18"/>
        <v>#N/A</v>
      </c>
      <c r="AC43" s="155" t="e">
        <f t="shared" si="19"/>
        <v>#N/A</v>
      </c>
      <c r="AD43" s="155" t="e">
        <f t="shared" si="20"/>
        <v>#N/A</v>
      </c>
      <c r="AE43" s="155" t="e">
        <f t="shared" si="21"/>
        <v>#N/A</v>
      </c>
      <c r="AF43" s="155" t="e">
        <f t="shared" si="22"/>
        <v>#N/A</v>
      </c>
      <c r="AG43" s="156">
        <f t="shared" si="11"/>
        <v>0</v>
      </c>
      <c r="AK43" s="152"/>
      <c r="AL43" s="160"/>
      <c r="AM43" s="158"/>
      <c r="AN43" s="159" t="s">
        <v>49</v>
      </c>
      <c r="AO43" s="155" t="e">
        <f>+VLOOKUP(AL43,'EF-S1'!$U$10:$V$24,2,)</f>
        <v>#N/A</v>
      </c>
      <c r="AP43" s="155" t="e">
        <f t="shared" si="16"/>
        <v>#N/A</v>
      </c>
      <c r="AQ43" s="156">
        <f t="shared" si="12"/>
        <v>0</v>
      </c>
    </row>
    <row r="44" spans="1:43" x14ac:dyDescent="0.7">
      <c r="C44" s="152"/>
      <c r="D44" s="137"/>
      <c r="E44" s="158"/>
      <c r="F44" s="154"/>
      <c r="G44" s="155" t="e" cm="1">
        <f t="array" ref="G44">+_xlfn.IFS($C$7=$D$12,VLOOKUP(D44,'EF-S1'!$B$10:$E$13,2,),$C$7=$D$13,VLOOKUP(D44,'EF-S1'!$B$17:$E$20,2,),$C$7=$D$14,VLOOKUP(D44,'EF-S1'!$B$24:$E$27,2,),$C$7=$D$15,VLOOKUP(D44,'EF-S1'!$B$31:$E$34,2,))</f>
        <v>#N/A</v>
      </c>
      <c r="H44" s="155" t="e" cm="1">
        <f t="array" ref="H44">+_xlfn.IFS($C$7=$D$12,VLOOKUP(D44,'EF-S1'!$B$10:$E$13,3,),$C$7=$D$13,VLOOKUP(D44,'EF-S1'!$B$17:$E$20,3,),$C$7=$D$14,VLOOKUP(D44,'EF-S1'!$B$24:$E$27,3,),$C$7=$D$15,VLOOKUP(D44,'EF-S1'!$B$31:$E$34,3,))</f>
        <v>#N/A</v>
      </c>
      <c r="I44" s="155" t="e" cm="1">
        <f t="array" ref="I44">+_xlfn.IFS($C$7=$D$12,VLOOKUP(D44,'EF-S1'!$B$10:$E$13,4,),$C$7=$D$13,VLOOKUP(D44,'EF-S1'!$B$17:$E$20,4,),$C$7=$D$14,VLOOKUP(D44,'EF-S1'!$B$24:$E$27,4,),$C$7=$D$15,VLOOKUP(D44,'EF-S1'!$B$31:$E$34,4,))</f>
        <v>#N/A</v>
      </c>
      <c r="J44" s="155" t="e" cm="1">
        <f t="array" ref="J44">+_xlfn.IFS(D44=$C$12,_xlfn.IFS(F44=$E$12,E44*G44*'EF-S1'!$C$38*1/'EF-S1'!$E$45,F44=$E$13,E44*G44*1/'EF-S1'!$E$45,F44=$E$14,E44*G44*'EF-S1'!$C$38*1/'EF-S1'!$E$45*1/'EF-S1'!$E$47,F44=$E$15,E44*G44*'EF-S1'!$D$38*1/'EF-S1'!$E$45),D44=$C$13,_xlfn.IFS(F44=$E$12,E44*G44*'EF-S1'!$C$39*1/'EF-S1'!$E$45,F44=$E$13,E44*G44*1/'EF-S1'!$E$45,F44=$E$14,E44*G44*'EF-S1'!$C$39*1/'EF-S1'!$E$45*1/'EF-S1'!$E$47,F44=$E$15,E44*G44*'EF-S1'!$D$39*1/'EF-S1'!$E$45),D44=$C$14,_xlfn.IFS(F44=$E$12,E44*G44*'EF-S1'!$C$40*1/'EF-S1'!$E$45,F44=$E$13,E44*G44*1/'EF-S1'!$E$45,F44=$E$14,E44*G44*'EF-S1'!$C$40*1/'EF-S1'!$E$45*1/'EF-S1'!$E$47,F44=$E$15,E44*G44*'EF-S1'!$D$40*1/'EF-S1'!$E$45),D44=$C$15,_xlfn.IFS(F44=$E$12,E44*G44*'EF-S1'!$C$41*1/'EF-S1'!$E$45,F44=$E$13,E44*G44*1/'EF-S1'!$E$45,F44=$E$14,E44*G44*'EF-S1'!$C$41*1/'EF-S1'!$E$45*1/'EF-S1'!$E$47,F44=$E$15,E44*G44*'EF-S1'!$D$41*1/'EF-S1'!$E$45))</f>
        <v>#N/A</v>
      </c>
      <c r="K44" s="155" t="e" cm="1">
        <f t="array" ref="K44">+_xlfn.IFS(D44=$C$12,_xlfn.IFS(F44=$E$12,E44*H44*'EF-S1'!$C$38*1/'EF-S1'!$E$45,F44=$E$13,E44*H44*1/'EF-S1'!$E$45,F44=$E$14,E44*H44*'EF-S1'!$C$38*1/'EF-S1'!$E$45*1/'EF-S1'!$E$47,F44=$E$15,E44*H44*'EF-S1'!$D$38*1/'EF-S1'!$E$45),D44=$C$13,_xlfn.IFS(F44=$E$12,E44*H44*'EF-S1'!$C$39*1/'EF-S1'!$E$45,F44=$E$13,E44*H44*1/'EF-S1'!$E$45,F44=$E$14,E44*H44*'EF-S1'!$C$39*1/'EF-S1'!$E$45*1/'EF-S1'!$E$47,F44=$E$15,E44*H44*'EF-S1'!$D$39*1/'EF-S1'!$E$45),D44=$C$14,_xlfn.IFS(F44=$E$12,E44*H44*'EF-S1'!$C$40*1/'EF-S1'!$E$45,F44=$E$13,E44*H44*1/'EF-S1'!$E$45,F44=$E$14,E44*H44*'EF-S1'!$C$40*1/'EF-S1'!$E$45*1/'EF-S1'!$E$47,F44=$E$15,E44*H44*'EF-S1'!$D$40*1/'EF-S1'!$E$45),D44=$C$15,_xlfn.IFS(F44=$E$12,E44*H44*'EF-S1'!$C$41*1/'EF-S1'!$E$45,F44=$E$13,E44*H44*1/'EF-S1'!$E$45,F44=$E$14,E44*H44*'EF-S1'!$C$41*1/'EF-S1'!$E$45*1/'EF-S1'!$E$47,F44=$E$15,E44*H44*'EF-S1'!$D$41*1/'EF-S1'!$E$45))</f>
        <v>#N/A</v>
      </c>
      <c r="L44" s="155" t="e" cm="1">
        <f t="array" ref="L44">+_xlfn.IFS(D44=$C$12,_xlfn.IFS(F44=$E$12,E44*I44*'EF-S1'!$C$38*1/'EF-S1'!$E$45,F44=$E$13,E44*I44*1/'EF-S1'!$E$45,F44=$E$14,E44*I44*'EF-S1'!$C$38*1/'EF-S1'!$E$45*1/'EF-S1'!$E$47,F44=$E$15,E44*I44*'EF-S1'!$D$38*1/'EF-S1'!$E$45),D44=$C$13,_xlfn.IFS(F44=$E$12,E44*I44*'EF-S1'!$C$39*1/'EF-S1'!$E$45,F44=$E$13,E44*I44*1/'EF-S1'!$E$45,F44=$E$14,E44*I44*'EF-S1'!$C$39*1/'EF-S1'!$E$45*1/'EF-S1'!$E$47,F44=$E$15,E44*I44*'EF-S1'!$D$39*1/'EF-S1'!$E$45),D44=$C$14,_xlfn.IFS(F44=$E$12,E44*I44*'EF-S1'!$C$40*1/'EF-S1'!$E$45,F44=$E$13,E44*I44*1/'EF-S1'!$E$45,F44=$E$14,E44*I44*'EF-S1'!$C$40*1/'EF-S1'!$E$45*1/'EF-S1'!$E$47,F44=$E$15,E44*I44*'EF-S1'!$D$40*1/'EF-S1'!$E$45),D44=$C$15,_xlfn.IFS(F44=$E$12,E44*I44*'EF-S1'!$C$41*1/'EF-S1'!$E$45,F44=$E$13,E44*I44*1/'EF-S1'!$E$45,F44=$E$14,E44*I44*'EF-S1'!$C$41*1/'EF-S1'!$E$45*1/'EF-S1'!$E$47,F44=$E$15,E44*I44*'EF-S1'!$D$41*1/'EF-S1'!$E$45))</f>
        <v>#N/A</v>
      </c>
      <c r="M44" s="155" t="e">
        <f t="shared" si="13"/>
        <v>#N/A</v>
      </c>
      <c r="N44" s="155" t="e">
        <f t="shared" si="14"/>
        <v>#N/A</v>
      </c>
      <c r="O44" s="155" t="e">
        <f t="shared" si="15"/>
        <v>#N/A</v>
      </c>
      <c r="P44" s="156">
        <f t="shared" si="7"/>
        <v>0</v>
      </c>
      <c r="T44" s="152"/>
      <c r="U44" s="157"/>
      <c r="V44" s="158"/>
      <c r="W44" s="159"/>
      <c r="X44" s="155" t="e" cm="1">
        <f t="array" ref="X44">+_xlfn.IFS(W44="km",VLOOKUP(U44,'EF-S1'!$J$10:$M$16,2,),W44="l",VLOOKUP(U44,'EF-S1'!$J$26:$M$29,2,))</f>
        <v>#N/A</v>
      </c>
      <c r="Y44" s="155" t="e" cm="1">
        <f t="array" ref="Y44">+_xlfn.IFS(W44="km",VLOOKUP(U44,'EF-S1'!$J$10:$M$16,3,),W44="l",VLOOKUP(U44,'EF-S1'!$J$26:$M$29,3,))</f>
        <v>#N/A</v>
      </c>
      <c r="Z44" s="155" t="e" cm="1">
        <f t="array" ref="Z44">+_xlfn.IFS(W44="km",VLOOKUP(U44,'EF-S1'!$J$10:$M$16,4,),W44="l",VLOOKUP(U44,'EF-S1'!$J$26:$M$29,4,))</f>
        <v>#N/A</v>
      </c>
      <c r="AA44" s="155" t="e">
        <f t="shared" si="17"/>
        <v>#N/A</v>
      </c>
      <c r="AB44" s="155" t="e">
        <f t="shared" si="18"/>
        <v>#N/A</v>
      </c>
      <c r="AC44" s="155" t="e">
        <f t="shared" si="19"/>
        <v>#N/A</v>
      </c>
      <c r="AD44" s="155" t="e">
        <f t="shared" si="20"/>
        <v>#N/A</v>
      </c>
      <c r="AE44" s="155" t="e">
        <f t="shared" si="21"/>
        <v>#N/A</v>
      </c>
      <c r="AF44" s="155" t="e">
        <f t="shared" si="22"/>
        <v>#N/A</v>
      </c>
      <c r="AG44" s="156">
        <f t="shared" si="11"/>
        <v>0</v>
      </c>
      <c r="AK44" s="152"/>
      <c r="AL44" s="160"/>
      <c r="AM44" s="158"/>
      <c r="AN44" s="159" t="s">
        <v>49</v>
      </c>
      <c r="AO44" s="155" t="e">
        <f>+VLOOKUP(AL44,'EF-S1'!$U$10:$V$24,2,)</f>
        <v>#N/A</v>
      </c>
      <c r="AP44" s="155" t="e">
        <f t="shared" si="16"/>
        <v>#N/A</v>
      </c>
      <c r="AQ44" s="156">
        <f t="shared" si="12"/>
        <v>0</v>
      </c>
    </row>
    <row r="45" spans="1:43" x14ac:dyDescent="0.7">
      <c r="C45" s="152"/>
      <c r="D45" s="137"/>
      <c r="E45" s="158"/>
      <c r="F45" s="154"/>
      <c r="G45" s="155" t="e" cm="1">
        <f t="array" ref="G45">+_xlfn.IFS($C$7=$D$12,VLOOKUP(D45,'EF-S1'!$B$10:$E$13,2,),$C$7=$D$13,VLOOKUP(D45,'EF-S1'!$B$17:$E$20,2,),$C$7=$D$14,VLOOKUP(D45,'EF-S1'!$B$24:$E$27,2,),$C$7=$D$15,VLOOKUP(D45,'EF-S1'!$B$31:$E$34,2,))</f>
        <v>#N/A</v>
      </c>
      <c r="H45" s="155" t="e" cm="1">
        <f t="array" ref="H45">+_xlfn.IFS($C$7=$D$12,VLOOKUP(D45,'EF-S1'!$B$10:$E$13,3,),$C$7=$D$13,VLOOKUP(D45,'EF-S1'!$B$17:$E$20,3,),$C$7=$D$14,VLOOKUP(D45,'EF-S1'!$B$24:$E$27,3,),$C$7=$D$15,VLOOKUP(D45,'EF-S1'!$B$31:$E$34,3,))</f>
        <v>#N/A</v>
      </c>
      <c r="I45" s="155" t="e" cm="1">
        <f t="array" ref="I45">+_xlfn.IFS($C$7=$D$12,VLOOKUP(D45,'EF-S1'!$B$10:$E$13,4,),$C$7=$D$13,VLOOKUP(D45,'EF-S1'!$B$17:$E$20,4,),$C$7=$D$14,VLOOKUP(D45,'EF-S1'!$B$24:$E$27,4,),$C$7=$D$15,VLOOKUP(D45,'EF-S1'!$B$31:$E$34,4,))</f>
        <v>#N/A</v>
      </c>
      <c r="J45" s="155" t="e" cm="1">
        <f t="array" ref="J45">+_xlfn.IFS(D45=$C$12,_xlfn.IFS(F45=$E$12,E45*G45*'EF-S1'!$C$38*1/'EF-S1'!$E$45,F45=$E$13,E45*G45*1/'EF-S1'!$E$45,F45=$E$14,E45*G45*'EF-S1'!$C$38*1/'EF-S1'!$E$45*1/'EF-S1'!$E$47,F45=$E$15,E45*G45*'EF-S1'!$D$38*1/'EF-S1'!$E$45),D45=$C$13,_xlfn.IFS(F45=$E$12,E45*G45*'EF-S1'!$C$39*1/'EF-S1'!$E$45,F45=$E$13,E45*G45*1/'EF-S1'!$E$45,F45=$E$14,E45*G45*'EF-S1'!$C$39*1/'EF-S1'!$E$45*1/'EF-S1'!$E$47,F45=$E$15,E45*G45*'EF-S1'!$D$39*1/'EF-S1'!$E$45),D45=$C$14,_xlfn.IFS(F45=$E$12,E45*G45*'EF-S1'!$C$40*1/'EF-S1'!$E$45,F45=$E$13,E45*G45*1/'EF-S1'!$E$45,F45=$E$14,E45*G45*'EF-S1'!$C$40*1/'EF-S1'!$E$45*1/'EF-S1'!$E$47,F45=$E$15,E45*G45*'EF-S1'!$D$40*1/'EF-S1'!$E$45),D45=$C$15,_xlfn.IFS(F45=$E$12,E45*G45*'EF-S1'!$C$41*1/'EF-S1'!$E$45,F45=$E$13,E45*G45*1/'EF-S1'!$E$45,F45=$E$14,E45*G45*'EF-S1'!$C$41*1/'EF-S1'!$E$45*1/'EF-S1'!$E$47,F45=$E$15,E45*G45*'EF-S1'!$D$41*1/'EF-S1'!$E$45))</f>
        <v>#N/A</v>
      </c>
      <c r="K45" s="155" t="e" cm="1">
        <f t="array" ref="K45">+_xlfn.IFS(D45=$C$12,_xlfn.IFS(F45=$E$12,E45*H45*'EF-S1'!$C$38*1/'EF-S1'!$E$45,F45=$E$13,E45*H45*1/'EF-S1'!$E$45,F45=$E$14,E45*H45*'EF-S1'!$C$38*1/'EF-S1'!$E$45*1/'EF-S1'!$E$47,F45=$E$15,E45*H45*'EF-S1'!$D$38*1/'EF-S1'!$E$45),D45=$C$13,_xlfn.IFS(F45=$E$12,E45*H45*'EF-S1'!$C$39*1/'EF-S1'!$E$45,F45=$E$13,E45*H45*1/'EF-S1'!$E$45,F45=$E$14,E45*H45*'EF-S1'!$C$39*1/'EF-S1'!$E$45*1/'EF-S1'!$E$47,F45=$E$15,E45*H45*'EF-S1'!$D$39*1/'EF-S1'!$E$45),D45=$C$14,_xlfn.IFS(F45=$E$12,E45*H45*'EF-S1'!$C$40*1/'EF-S1'!$E$45,F45=$E$13,E45*H45*1/'EF-S1'!$E$45,F45=$E$14,E45*H45*'EF-S1'!$C$40*1/'EF-S1'!$E$45*1/'EF-S1'!$E$47,F45=$E$15,E45*H45*'EF-S1'!$D$40*1/'EF-S1'!$E$45),D45=$C$15,_xlfn.IFS(F45=$E$12,E45*H45*'EF-S1'!$C$41*1/'EF-S1'!$E$45,F45=$E$13,E45*H45*1/'EF-S1'!$E$45,F45=$E$14,E45*H45*'EF-S1'!$C$41*1/'EF-S1'!$E$45*1/'EF-S1'!$E$47,F45=$E$15,E45*H45*'EF-S1'!$D$41*1/'EF-S1'!$E$45))</f>
        <v>#N/A</v>
      </c>
      <c r="L45" s="155" t="e" cm="1">
        <f t="array" ref="L45">+_xlfn.IFS(D45=$C$12,_xlfn.IFS(F45=$E$12,E45*I45*'EF-S1'!$C$38*1/'EF-S1'!$E$45,F45=$E$13,E45*I45*1/'EF-S1'!$E$45,F45=$E$14,E45*I45*'EF-S1'!$C$38*1/'EF-S1'!$E$45*1/'EF-S1'!$E$47,F45=$E$15,E45*I45*'EF-S1'!$D$38*1/'EF-S1'!$E$45),D45=$C$13,_xlfn.IFS(F45=$E$12,E45*I45*'EF-S1'!$C$39*1/'EF-S1'!$E$45,F45=$E$13,E45*I45*1/'EF-S1'!$E$45,F45=$E$14,E45*I45*'EF-S1'!$C$39*1/'EF-S1'!$E$45*1/'EF-S1'!$E$47,F45=$E$15,E45*I45*'EF-S1'!$D$39*1/'EF-S1'!$E$45),D45=$C$14,_xlfn.IFS(F45=$E$12,E45*I45*'EF-S1'!$C$40*1/'EF-S1'!$E$45,F45=$E$13,E45*I45*1/'EF-S1'!$E$45,F45=$E$14,E45*I45*'EF-S1'!$C$40*1/'EF-S1'!$E$45*1/'EF-S1'!$E$47,F45=$E$15,E45*I45*'EF-S1'!$D$40*1/'EF-S1'!$E$45),D45=$C$15,_xlfn.IFS(F45=$E$12,E45*I45*'EF-S1'!$C$41*1/'EF-S1'!$E$45,F45=$E$13,E45*I45*1/'EF-S1'!$E$45,F45=$E$14,E45*I45*'EF-S1'!$C$41*1/'EF-S1'!$E$45*1/'EF-S1'!$E$47,F45=$E$15,E45*I45*'EF-S1'!$D$41*1/'EF-S1'!$E$45))</f>
        <v>#N/A</v>
      </c>
      <c r="M45" s="155" t="e">
        <f t="shared" si="13"/>
        <v>#N/A</v>
      </c>
      <c r="N45" s="155" t="e">
        <f t="shared" si="14"/>
        <v>#N/A</v>
      </c>
      <c r="O45" s="155" t="e">
        <f t="shared" si="15"/>
        <v>#N/A</v>
      </c>
      <c r="P45" s="156">
        <f t="shared" si="7"/>
        <v>0</v>
      </c>
      <c r="T45" s="152"/>
      <c r="U45" s="157"/>
      <c r="V45" s="158"/>
      <c r="W45" s="159"/>
      <c r="X45" s="155" t="e" cm="1">
        <f t="array" ref="X45">+_xlfn.IFS(W45="km",VLOOKUP(U45,'EF-S1'!$J$10:$M$16,2,),W45="l",VLOOKUP(U45,'EF-S1'!$J$26:$M$29,2,))</f>
        <v>#N/A</v>
      </c>
      <c r="Y45" s="155" t="e" cm="1">
        <f t="array" ref="Y45">+_xlfn.IFS(W45="km",VLOOKUP(U45,'EF-S1'!$J$10:$M$16,3,),W45="l",VLOOKUP(U45,'EF-S1'!$J$26:$M$29,3,))</f>
        <v>#N/A</v>
      </c>
      <c r="Z45" s="155" t="e" cm="1">
        <f t="array" ref="Z45">+_xlfn.IFS(W45="km",VLOOKUP(U45,'EF-S1'!$J$10:$M$16,4,),W45="l",VLOOKUP(U45,'EF-S1'!$J$26:$M$29,4,))</f>
        <v>#N/A</v>
      </c>
      <c r="AA45" s="155" t="e">
        <f t="shared" si="17"/>
        <v>#N/A</v>
      </c>
      <c r="AB45" s="155" t="e">
        <f t="shared" si="18"/>
        <v>#N/A</v>
      </c>
      <c r="AC45" s="155" t="e">
        <f t="shared" si="19"/>
        <v>#N/A</v>
      </c>
      <c r="AD45" s="155" t="e">
        <f t="shared" si="20"/>
        <v>#N/A</v>
      </c>
      <c r="AE45" s="155" t="e">
        <f t="shared" si="21"/>
        <v>#N/A</v>
      </c>
      <c r="AF45" s="155" t="e">
        <f t="shared" si="22"/>
        <v>#N/A</v>
      </c>
      <c r="AG45" s="156">
        <f t="shared" si="11"/>
        <v>0</v>
      </c>
      <c r="AK45" s="152"/>
      <c r="AL45" s="160"/>
      <c r="AM45" s="158"/>
      <c r="AN45" s="159" t="s">
        <v>49</v>
      </c>
      <c r="AO45" s="155" t="e">
        <f>+VLOOKUP(AL45,'EF-S1'!$U$10:$V$24,2,)</f>
        <v>#N/A</v>
      </c>
      <c r="AP45" s="155" t="e">
        <f t="shared" si="16"/>
        <v>#N/A</v>
      </c>
      <c r="AQ45" s="156">
        <f t="shared" si="12"/>
        <v>0</v>
      </c>
    </row>
    <row r="46" spans="1:43" x14ac:dyDescent="0.7">
      <c r="C46" s="152"/>
      <c r="D46" s="137"/>
      <c r="E46" s="158"/>
      <c r="F46" s="154"/>
      <c r="G46" s="155" t="e" cm="1">
        <f t="array" ref="G46">+_xlfn.IFS($C$7=$D$12,VLOOKUP(D46,'EF-S1'!$B$10:$E$13,2,),$C$7=$D$13,VLOOKUP(D46,'EF-S1'!$B$17:$E$20,2,),$C$7=$D$14,VLOOKUP(D46,'EF-S1'!$B$24:$E$27,2,),$C$7=$D$15,VLOOKUP(D46,'EF-S1'!$B$31:$E$34,2,))</f>
        <v>#N/A</v>
      </c>
      <c r="H46" s="155" t="e" cm="1">
        <f t="array" ref="H46">+_xlfn.IFS($C$7=$D$12,VLOOKUP(D46,'EF-S1'!$B$10:$E$13,3,),$C$7=$D$13,VLOOKUP(D46,'EF-S1'!$B$17:$E$20,3,),$C$7=$D$14,VLOOKUP(D46,'EF-S1'!$B$24:$E$27,3,),$C$7=$D$15,VLOOKUP(D46,'EF-S1'!$B$31:$E$34,3,))</f>
        <v>#N/A</v>
      </c>
      <c r="I46" s="155" t="e" cm="1">
        <f t="array" ref="I46">+_xlfn.IFS($C$7=$D$12,VLOOKUP(D46,'EF-S1'!$B$10:$E$13,4,),$C$7=$D$13,VLOOKUP(D46,'EF-S1'!$B$17:$E$20,4,),$C$7=$D$14,VLOOKUP(D46,'EF-S1'!$B$24:$E$27,4,),$C$7=$D$15,VLOOKUP(D46,'EF-S1'!$B$31:$E$34,4,))</f>
        <v>#N/A</v>
      </c>
      <c r="J46" s="155" t="e" cm="1">
        <f t="array" ref="J46">+_xlfn.IFS(D46=$C$12,_xlfn.IFS(F46=$E$12,E46*G46*'EF-S1'!$C$38*1/'EF-S1'!$E$45,F46=$E$13,E46*G46*1/'EF-S1'!$E$45,F46=$E$14,E46*G46*'EF-S1'!$C$38*1/'EF-S1'!$E$45*1/'EF-S1'!$E$47,F46=$E$15,E46*G46*'EF-S1'!$D$38*1/'EF-S1'!$E$45),D46=$C$13,_xlfn.IFS(F46=$E$12,E46*G46*'EF-S1'!$C$39*1/'EF-S1'!$E$45,F46=$E$13,E46*G46*1/'EF-S1'!$E$45,F46=$E$14,E46*G46*'EF-S1'!$C$39*1/'EF-S1'!$E$45*1/'EF-S1'!$E$47,F46=$E$15,E46*G46*'EF-S1'!$D$39*1/'EF-S1'!$E$45),D46=$C$14,_xlfn.IFS(F46=$E$12,E46*G46*'EF-S1'!$C$40*1/'EF-S1'!$E$45,F46=$E$13,E46*G46*1/'EF-S1'!$E$45,F46=$E$14,E46*G46*'EF-S1'!$C$40*1/'EF-S1'!$E$45*1/'EF-S1'!$E$47,F46=$E$15,E46*G46*'EF-S1'!$D$40*1/'EF-S1'!$E$45),D46=$C$15,_xlfn.IFS(F46=$E$12,E46*G46*'EF-S1'!$C$41*1/'EF-S1'!$E$45,F46=$E$13,E46*G46*1/'EF-S1'!$E$45,F46=$E$14,E46*G46*'EF-S1'!$C$41*1/'EF-S1'!$E$45*1/'EF-S1'!$E$47,F46=$E$15,E46*G46*'EF-S1'!$D$41*1/'EF-S1'!$E$45))</f>
        <v>#N/A</v>
      </c>
      <c r="K46" s="155" t="e" cm="1">
        <f t="array" ref="K46">+_xlfn.IFS(D46=$C$12,_xlfn.IFS(F46=$E$12,E46*H46*'EF-S1'!$C$38*1/'EF-S1'!$E$45,F46=$E$13,E46*H46*1/'EF-S1'!$E$45,F46=$E$14,E46*H46*'EF-S1'!$C$38*1/'EF-S1'!$E$45*1/'EF-S1'!$E$47,F46=$E$15,E46*H46*'EF-S1'!$D$38*1/'EF-S1'!$E$45),D46=$C$13,_xlfn.IFS(F46=$E$12,E46*H46*'EF-S1'!$C$39*1/'EF-S1'!$E$45,F46=$E$13,E46*H46*1/'EF-S1'!$E$45,F46=$E$14,E46*H46*'EF-S1'!$C$39*1/'EF-S1'!$E$45*1/'EF-S1'!$E$47,F46=$E$15,E46*H46*'EF-S1'!$D$39*1/'EF-S1'!$E$45),D46=$C$14,_xlfn.IFS(F46=$E$12,E46*H46*'EF-S1'!$C$40*1/'EF-S1'!$E$45,F46=$E$13,E46*H46*1/'EF-S1'!$E$45,F46=$E$14,E46*H46*'EF-S1'!$C$40*1/'EF-S1'!$E$45*1/'EF-S1'!$E$47,F46=$E$15,E46*H46*'EF-S1'!$D$40*1/'EF-S1'!$E$45),D46=$C$15,_xlfn.IFS(F46=$E$12,E46*H46*'EF-S1'!$C$41*1/'EF-S1'!$E$45,F46=$E$13,E46*H46*1/'EF-S1'!$E$45,F46=$E$14,E46*H46*'EF-S1'!$C$41*1/'EF-S1'!$E$45*1/'EF-S1'!$E$47,F46=$E$15,E46*H46*'EF-S1'!$D$41*1/'EF-S1'!$E$45))</f>
        <v>#N/A</v>
      </c>
      <c r="L46" s="155" t="e" cm="1">
        <f t="array" ref="L46">+_xlfn.IFS(D46=$C$12,_xlfn.IFS(F46=$E$12,E46*I46*'EF-S1'!$C$38*1/'EF-S1'!$E$45,F46=$E$13,E46*I46*1/'EF-S1'!$E$45,F46=$E$14,E46*I46*'EF-S1'!$C$38*1/'EF-S1'!$E$45*1/'EF-S1'!$E$47,F46=$E$15,E46*I46*'EF-S1'!$D$38*1/'EF-S1'!$E$45),D46=$C$13,_xlfn.IFS(F46=$E$12,E46*I46*'EF-S1'!$C$39*1/'EF-S1'!$E$45,F46=$E$13,E46*I46*1/'EF-S1'!$E$45,F46=$E$14,E46*I46*'EF-S1'!$C$39*1/'EF-S1'!$E$45*1/'EF-S1'!$E$47,F46=$E$15,E46*I46*'EF-S1'!$D$39*1/'EF-S1'!$E$45),D46=$C$14,_xlfn.IFS(F46=$E$12,E46*I46*'EF-S1'!$C$40*1/'EF-S1'!$E$45,F46=$E$13,E46*I46*1/'EF-S1'!$E$45,F46=$E$14,E46*I46*'EF-S1'!$C$40*1/'EF-S1'!$E$45*1/'EF-S1'!$E$47,F46=$E$15,E46*I46*'EF-S1'!$D$40*1/'EF-S1'!$E$45),D46=$C$15,_xlfn.IFS(F46=$E$12,E46*I46*'EF-S1'!$C$41*1/'EF-S1'!$E$45,F46=$E$13,E46*I46*1/'EF-S1'!$E$45,F46=$E$14,E46*I46*'EF-S1'!$C$41*1/'EF-S1'!$E$45*1/'EF-S1'!$E$47,F46=$E$15,E46*I46*'EF-S1'!$D$41*1/'EF-S1'!$E$45))</f>
        <v>#N/A</v>
      </c>
      <c r="M46" s="155" t="e">
        <f t="shared" si="13"/>
        <v>#N/A</v>
      </c>
      <c r="N46" s="155" t="e">
        <f t="shared" si="14"/>
        <v>#N/A</v>
      </c>
      <c r="O46" s="155" t="e">
        <f t="shared" si="15"/>
        <v>#N/A</v>
      </c>
      <c r="P46" s="156">
        <f t="shared" si="7"/>
        <v>0</v>
      </c>
      <c r="T46" s="152"/>
      <c r="U46" s="157"/>
      <c r="V46" s="158"/>
      <c r="W46" s="159"/>
      <c r="X46" s="155" t="e" cm="1">
        <f t="array" ref="X46">+_xlfn.IFS(W46="km",VLOOKUP(U46,'EF-S1'!$J$10:$M$16,2,),W46="l",VLOOKUP(U46,'EF-S1'!$J$26:$M$29,2,))</f>
        <v>#N/A</v>
      </c>
      <c r="Y46" s="155" t="e" cm="1">
        <f t="array" ref="Y46">+_xlfn.IFS(W46="km",VLOOKUP(U46,'EF-S1'!$J$10:$M$16,3,),W46="l",VLOOKUP(U46,'EF-S1'!$J$26:$M$29,3,))</f>
        <v>#N/A</v>
      </c>
      <c r="Z46" s="155" t="e" cm="1">
        <f t="array" ref="Z46">+_xlfn.IFS(W46="km",VLOOKUP(U46,'EF-S1'!$J$10:$M$16,4,),W46="l",VLOOKUP(U46,'EF-S1'!$J$26:$M$29,4,))</f>
        <v>#N/A</v>
      </c>
      <c r="AA46" s="155" t="e">
        <f t="shared" si="17"/>
        <v>#N/A</v>
      </c>
      <c r="AB46" s="155" t="e">
        <f t="shared" si="18"/>
        <v>#N/A</v>
      </c>
      <c r="AC46" s="155" t="e">
        <f t="shared" si="19"/>
        <v>#N/A</v>
      </c>
      <c r="AD46" s="155" t="e">
        <f t="shared" si="20"/>
        <v>#N/A</v>
      </c>
      <c r="AE46" s="155" t="e">
        <f t="shared" si="21"/>
        <v>#N/A</v>
      </c>
      <c r="AF46" s="155" t="e">
        <f t="shared" si="22"/>
        <v>#N/A</v>
      </c>
      <c r="AG46" s="156">
        <f t="shared" si="11"/>
        <v>0</v>
      </c>
      <c r="AK46" s="152"/>
      <c r="AL46" s="160"/>
      <c r="AM46" s="158"/>
      <c r="AN46" s="159" t="s">
        <v>49</v>
      </c>
      <c r="AO46" s="155" t="e">
        <f>+VLOOKUP(AL46,'EF-S1'!$U$10:$V$24,2,)</f>
        <v>#N/A</v>
      </c>
      <c r="AP46" s="155" t="e">
        <f t="shared" si="16"/>
        <v>#N/A</v>
      </c>
      <c r="AQ46" s="156">
        <f t="shared" si="12"/>
        <v>0</v>
      </c>
    </row>
    <row r="47" spans="1:43" x14ac:dyDescent="0.7">
      <c r="A47" s="161"/>
      <c r="B47" s="161"/>
      <c r="C47" s="152"/>
      <c r="D47" s="137"/>
      <c r="E47" s="158"/>
      <c r="F47" s="154"/>
      <c r="G47" s="155" t="e" cm="1">
        <f t="array" ref="G47">+_xlfn.IFS($C$7=$D$12,VLOOKUP(D47,'EF-S1'!$B$10:$E$13,2,),$C$7=$D$13,VLOOKUP(D47,'EF-S1'!$B$17:$E$20,2,),$C$7=$D$14,VLOOKUP(D47,'EF-S1'!$B$24:$E$27,2,),$C$7=$D$15,VLOOKUP(D47,'EF-S1'!$B$31:$E$34,2,))</f>
        <v>#N/A</v>
      </c>
      <c r="H47" s="155" t="e" cm="1">
        <f t="array" ref="H47">+_xlfn.IFS($C$7=$D$12,VLOOKUP(D47,'EF-S1'!$B$10:$E$13,3,),$C$7=$D$13,VLOOKUP(D47,'EF-S1'!$B$17:$E$20,3,),$C$7=$D$14,VLOOKUP(D47,'EF-S1'!$B$24:$E$27,3,),$C$7=$D$15,VLOOKUP(D47,'EF-S1'!$B$31:$E$34,3,))</f>
        <v>#N/A</v>
      </c>
      <c r="I47" s="155" t="e" cm="1">
        <f t="array" ref="I47">+_xlfn.IFS($C$7=$D$12,VLOOKUP(D47,'EF-S1'!$B$10:$E$13,4,),$C$7=$D$13,VLOOKUP(D47,'EF-S1'!$B$17:$E$20,4,),$C$7=$D$14,VLOOKUP(D47,'EF-S1'!$B$24:$E$27,4,),$C$7=$D$15,VLOOKUP(D47,'EF-S1'!$B$31:$E$34,4,))</f>
        <v>#N/A</v>
      </c>
      <c r="J47" s="155" t="e" cm="1">
        <f t="array" ref="J47">+_xlfn.IFS(D47=$C$12,_xlfn.IFS(F47=$E$12,E47*G47*'EF-S1'!$C$38*1/'EF-S1'!$E$45,F47=$E$13,E47*G47*1/'EF-S1'!$E$45,F47=$E$14,E47*G47*'EF-S1'!$C$38*1/'EF-S1'!$E$45*1/'EF-S1'!$E$47,F47=$E$15,E47*G47*'EF-S1'!$D$38*1/'EF-S1'!$E$45),D47=$C$13,_xlfn.IFS(F47=$E$12,E47*G47*'EF-S1'!$C$39*1/'EF-S1'!$E$45,F47=$E$13,E47*G47*1/'EF-S1'!$E$45,F47=$E$14,E47*G47*'EF-S1'!$C$39*1/'EF-S1'!$E$45*1/'EF-S1'!$E$47,F47=$E$15,E47*G47*'EF-S1'!$D$39*1/'EF-S1'!$E$45),D47=$C$14,_xlfn.IFS(F47=$E$12,E47*G47*'EF-S1'!$C$40*1/'EF-S1'!$E$45,F47=$E$13,E47*G47*1/'EF-S1'!$E$45,F47=$E$14,E47*G47*'EF-S1'!$C$40*1/'EF-S1'!$E$45*1/'EF-S1'!$E$47,F47=$E$15,E47*G47*'EF-S1'!$D$40*1/'EF-S1'!$E$45),D47=$C$15,_xlfn.IFS(F47=$E$12,E47*G47*'EF-S1'!$C$41*1/'EF-S1'!$E$45,F47=$E$13,E47*G47*1/'EF-S1'!$E$45,F47=$E$14,E47*G47*'EF-S1'!$C$41*1/'EF-S1'!$E$45*1/'EF-S1'!$E$47,F47=$E$15,E47*G47*'EF-S1'!$D$41*1/'EF-S1'!$E$45))</f>
        <v>#N/A</v>
      </c>
      <c r="K47" s="155" t="e" cm="1">
        <f t="array" ref="K47">+_xlfn.IFS(D47=$C$12,_xlfn.IFS(F47=$E$12,E47*H47*'EF-S1'!$C$38*1/'EF-S1'!$E$45,F47=$E$13,E47*H47*1/'EF-S1'!$E$45,F47=$E$14,E47*H47*'EF-S1'!$C$38*1/'EF-S1'!$E$45*1/'EF-S1'!$E$47,F47=$E$15,E47*H47*'EF-S1'!$D$38*1/'EF-S1'!$E$45),D47=$C$13,_xlfn.IFS(F47=$E$12,E47*H47*'EF-S1'!$C$39*1/'EF-S1'!$E$45,F47=$E$13,E47*H47*1/'EF-S1'!$E$45,F47=$E$14,E47*H47*'EF-S1'!$C$39*1/'EF-S1'!$E$45*1/'EF-S1'!$E$47,F47=$E$15,E47*H47*'EF-S1'!$D$39*1/'EF-S1'!$E$45),D47=$C$14,_xlfn.IFS(F47=$E$12,E47*H47*'EF-S1'!$C$40*1/'EF-S1'!$E$45,F47=$E$13,E47*H47*1/'EF-S1'!$E$45,F47=$E$14,E47*H47*'EF-S1'!$C$40*1/'EF-S1'!$E$45*1/'EF-S1'!$E$47,F47=$E$15,E47*H47*'EF-S1'!$D$40*1/'EF-S1'!$E$45),D47=$C$15,_xlfn.IFS(F47=$E$12,E47*H47*'EF-S1'!$C$41*1/'EF-S1'!$E$45,F47=$E$13,E47*H47*1/'EF-S1'!$E$45,F47=$E$14,E47*H47*'EF-S1'!$C$41*1/'EF-S1'!$E$45*1/'EF-S1'!$E$47,F47=$E$15,E47*H47*'EF-S1'!$D$41*1/'EF-S1'!$E$45))</f>
        <v>#N/A</v>
      </c>
      <c r="L47" s="155" t="e" cm="1">
        <f t="array" ref="L47">+_xlfn.IFS(D47=$C$12,_xlfn.IFS(F47=$E$12,E47*I47*'EF-S1'!$C$38*1/'EF-S1'!$E$45,F47=$E$13,E47*I47*1/'EF-S1'!$E$45,F47=$E$14,E47*I47*'EF-S1'!$C$38*1/'EF-S1'!$E$45*1/'EF-S1'!$E$47,F47=$E$15,E47*I47*'EF-S1'!$D$38*1/'EF-S1'!$E$45),D47=$C$13,_xlfn.IFS(F47=$E$12,E47*I47*'EF-S1'!$C$39*1/'EF-S1'!$E$45,F47=$E$13,E47*I47*1/'EF-S1'!$E$45,F47=$E$14,E47*I47*'EF-S1'!$C$39*1/'EF-S1'!$E$45*1/'EF-S1'!$E$47,F47=$E$15,E47*I47*'EF-S1'!$D$39*1/'EF-S1'!$E$45),D47=$C$14,_xlfn.IFS(F47=$E$12,E47*I47*'EF-S1'!$C$40*1/'EF-S1'!$E$45,F47=$E$13,E47*I47*1/'EF-S1'!$E$45,F47=$E$14,E47*I47*'EF-S1'!$C$40*1/'EF-S1'!$E$45*1/'EF-S1'!$E$47,F47=$E$15,E47*I47*'EF-S1'!$D$40*1/'EF-S1'!$E$45),D47=$C$15,_xlfn.IFS(F47=$E$12,E47*I47*'EF-S1'!$C$41*1/'EF-S1'!$E$45,F47=$E$13,E47*I47*1/'EF-S1'!$E$45,F47=$E$14,E47*I47*'EF-S1'!$C$41*1/'EF-S1'!$E$45*1/'EF-S1'!$E$47,F47=$E$15,E47*I47*'EF-S1'!$D$41*1/'EF-S1'!$E$45))</f>
        <v>#N/A</v>
      </c>
      <c r="M47" s="155" t="e">
        <f t="shared" si="13"/>
        <v>#N/A</v>
      </c>
      <c r="N47" s="155" t="e">
        <f t="shared" si="14"/>
        <v>#N/A</v>
      </c>
      <c r="O47" s="155" t="e">
        <f t="shared" si="15"/>
        <v>#N/A</v>
      </c>
      <c r="P47" s="156">
        <f t="shared" si="7"/>
        <v>0</v>
      </c>
      <c r="Q47" s="162"/>
      <c r="R47" s="162"/>
      <c r="S47" s="162"/>
      <c r="T47" s="152"/>
      <c r="U47" s="157"/>
      <c r="V47" s="158"/>
      <c r="W47" s="159"/>
      <c r="X47" s="155" t="e" cm="1">
        <f t="array" ref="X47">+_xlfn.IFS(W47="km",VLOOKUP(U47,'EF-S1'!$J$10:$M$16,2,),W47="l",VLOOKUP(U47,'EF-S1'!$J$26:$M$29,2,))</f>
        <v>#N/A</v>
      </c>
      <c r="Y47" s="155" t="e" cm="1">
        <f t="array" ref="Y47">+_xlfn.IFS(W47="km",VLOOKUP(U47,'EF-S1'!$J$10:$M$16,3,),W47="l",VLOOKUP(U47,'EF-S1'!$J$26:$M$29,3,))</f>
        <v>#N/A</v>
      </c>
      <c r="Z47" s="155" t="e" cm="1">
        <f t="array" ref="Z47">+_xlfn.IFS(W47="km",VLOOKUP(U47,'EF-S1'!$J$10:$M$16,4,),W47="l",VLOOKUP(U47,'EF-S1'!$J$26:$M$29,4,))</f>
        <v>#N/A</v>
      </c>
      <c r="AA47" s="155" t="e">
        <f t="shared" si="17"/>
        <v>#N/A</v>
      </c>
      <c r="AB47" s="155" t="e">
        <f t="shared" si="18"/>
        <v>#N/A</v>
      </c>
      <c r="AC47" s="155" t="e">
        <f t="shared" si="19"/>
        <v>#N/A</v>
      </c>
      <c r="AD47" s="155" t="e">
        <f t="shared" si="20"/>
        <v>#N/A</v>
      </c>
      <c r="AE47" s="155" t="e">
        <f t="shared" si="21"/>
        <v>#N/A</v>
      </c>
      <c r="AF47" s="155" t="e">
        <f t="shared" si="22"/>
        <v>#N/A</v>
      </c>
      <c r="AG47" s="156">
        <f t="shared" si="11"/>
        <v>0</v>
      </c>
      <c r="AK47" s="152"/>
      <c r="AL47" s="160"/>
      <c r="AM47" s="158"/>
      <c r="AN47" s="159" t="s">
        <v>49</v>
      </c>
      <c r="AO47" s="155" t="e">
        <f>+VLOOKUP(AL47,'EF-S1'!$U$10:$V$24,2,)</f>
        <v>#N/A</v>
      </c>
      <c r="AP47" s="155" t="e">
        <f t="shared" si="16"/>
        <v>#N/A</v>
      </c>
      <c r="AQ47" s="156">
        <f t="shared" si="12"/>
        <v>0</v>
      </c>
    </row>
    <row r="48" spans="1:43" x14ac:dyDescent="0.7">
      <c r="A48" s="161"/>
      <c r="B48" s="161"/>
      <c r="C48" s="152"/>
      <c r="D48" s="137"/>
      <c r="E48" s="158"/>
      <c r="F48" s="154"/>
      <c r="G48" s="155" t="e" cm="1">
        <f t="array" ref="G48">+_xlfn.IFS($C$7=$D$12,VLOOKUP(D48,'EF-S1'!$B$10:$E$13,2,),$C$7=$D$13,VLOOKUP(D48,'EF-S1'!$B$17:$E$20,2,),$C$7=$D$14,VLOOKUP(D48,'EF-S1'!$B$24:$E$27,2,),$C$7=$D$15,VLOOKUP(D48,'EF-S1'!$B$31:$E$34,2,))</f>
        <v>#N/A</v>
      </c>
      <c r="H48" s="155" t="e" cm="1">
        <f t="array" ref="H48">+_xlfn.IFS($C$7=$D$12,VLOOKUP(D48,'EF-S1'!$B$10:$E$13,3,),$C$7=$D$13,VLOOKUP(D48,'EF-S1'!$B$17:$E$20,3,),$C$7=$D$14,VLOOKUP(D48,'EF-S1'!$B$24:$E$27,3,),$C$7=$D$15,VLOOKUP(D48,'EF-S1'!$B$31:$E$34,3,))</f>
        <v>#N/A</v>
      </c>
      <c r="I48" s="155" t="e" cm="1">
        <f t="array" ref="I48">+_xlfn.IFS($C$7=$D$12,VLOOKUP(D48,'EF-S1'!$B$10:$E$13,4,),$C$7=$D$13,VLOOKUP(D48,'EF-S1'!$B$17:$E$20,4,),$C$7=$D$14,VLOOKUP(D48,'EF-S1'!$B$24:$E$27,4,),$C$7=$D$15,VLOOKUP(D48,'EF-S1'!$B$31:$E$34,4,))</f>
        <v>#N/A</v>
      </c>
      <c r="J48" s="155" t="e" cm="1">
        <f t="array" ref="J48">+_xlfn.IFS(D48=$C$12,_xlfn.IFS(F48=$E$12,E48*G48*'EF-S1'!$C$38*1/'EF-S1'!$E$45,F48=$E$13,E48*G48*1/'EF-S1'!$E$45,F48=$E$14,E48*G48*'EF-S1'!$C$38*1/'EF-S1'!$E$45*1/'EF-S1'!$E$47,F48=$E$15,E48*G48*'EF-S1'!$D$38*1/'EF-S1'!$E$45),D48=$C$13,_xlfn.IFS(F48=$E$12,E48*G48*'EF-S1'!$C$39*1/'EF-S1'!$E$45,F48=$E$13,E48*G48*1/'EF-S1'!$E$45,F48=$E$14,E48*G48*'EF-S1'!$C$39*1/'EF-S1'!$E$45*1/'EF-S1'!$E$47,F48=$E$15,E48*G48*'EF-S1'!$D$39*1/'EF-S1'!$E$45),D48=$C$14,_xlfn.IFS(F48=$E$12,E48*G48*'EF-S1'!$C$40*1/'EF-S1'!$E$45,F48=$E$13,E48*G48*1/'EF-S1'!$E$45,F48=$E$14,E48*G48*'EF-S1'!$C$40*1/'EF-S1'!$E$45*1/'EF-S1'!$E$47,F48=$E$15,E48*G48*'EF-S1'!$D$40*1/'EF-S1'!$E$45),D48=$C$15,_xlfn.IFS(F48=$E$12,E48*G48*'EF-S1'!$C$41*1/'EF-S1'!$E$45,F48=$E$13,E48*G48*1/'EF-S1'!$E$45,F48=$E$14,E48*G48*'EF-S1'!$C$41*1/'EF-S1'!$E$45*1/'EF-S1'!$E$47,F48=$E$15,E48*G48*'EF-S1'!$D$41*1/'EF-S1'!$E$45))</f>
        <v>#N/A</v>
      </c>
      <c r="K48" s="155" t="e" cm="1">
        <f t="array" ref="K48">+_xlfn.IFS(D48=$C$12,_xlfn.IFS(F48=$E$12,E48*H48*'EF-S1'!$C$38*1/'EF-S1'!$E$45,F48=$E$13,E48*H48*1/'EF-S1'!$E$45,F48=$E$14,E48*H48*'EF-S1'!$C$38*1/'EF-S1'!$E$45*1/'EF-S1'!$E$47,F48=$E$15,E48*H48*'EF-S1'!$D$38*1/'EF-S1'!$E$45),D48=$C$13,_xlfn.IFS(F48=$E$12,E48*H48*'EF-S1'!$C$39*1/'EF-S1'!$E$45,F48=$E$13,E48*H48*1/'EF-S1'!$E$45,F48=$E$14,E48*H48*'EF-S1'!$C$39*1/'EF-S1'!$E$45*1/'EF-S1'!$E$47,F48=$E$15,E48*H48*'EF-S1'!$D$39*1/'EF-S1'!$E$45),D48=$C$14,_xlfn.IFS(F48=$E$12,E48*H48*'EF-S1'!$C$40*1/'EF-S1'!$E$45,F48=$E$13,E48*H48*1/'EF-S1'!$E$45,F48=$E$14,E48*H48*'EF-S1'!$C$40*1/'EF-S1'!$E$45*1/'EF-S1'!$E$47,F48=$E$15,E48*H48*'EF-S1'!$D$40*1/'EF-S1'!$E$45),D48=$C$15,_xlfn.IFS(F48=$E$12,E48*H48*'EF-S1'!$C$41*1/'EF-S1'!$E$45,F48=$E$13,E48*H48*1/'EF-S1'!$E$45,F48=$E$14,E48*H48*'EF-S1'!$C$41*1/'EF-S1'!$E$45*1/'EF-S1'!$E$47,F48=$E$15,E48*H48*'EF-S1'!$D$41*1/'EF-S1'!$E$45))</f>
        <v>#N/A</v>
      </c>
      <c r="L48" s="155" t="e" cm="1">
        <f t="array" ref="L48">+_xlfn.IFS(D48=$C$12,_xlfn.IFS(F48=$E$12,E48*I48*'EF-S1'!$C$38*1/'EF-S1'!$E$45,F48=$E$13,E48*I48*1/'EF-S1'!$E$45,F48=$E$14,E48*I48*'EF-S1'!$C$38*1/'EF-S1'!$E$45*1/'EF-S1'!$E$47,F48=$E$15,E48*I48*'EF-S1'!$D$38*1/'EF-S1'!$E$45),D48=$C$13,_xlfn.IFS(F48=$E$12,E48*I48*'EF-S1'!$C$39*1/'EF-S1'!$E$45,F48=$E$13,E48*I48*1/'EF-S1'!$E$45,F48=$E$14,E48*I48*'EF-S1'!$C$39*1/'EF-S1'!$E$45*1/'EF-S1'!$E$47,F48=$E$15,E48*I48*'EF-S1'!$D$39*1/'EF-S1'!$E$45),D48=$C$14,_xlfn.IFS(F48=$E$12,E48*I48*'EF-S1'!$C$40*1/'EF-S1'!$E$45,F48=$E$13,E48*I48*1/'EF-S1'!$E$45,F48=$E$14,E48*I48*'EF-S1'!$C$40*1/'EF-S1'!$E$45*1/'EF-S1'!$E$47,F48=$E$15,E48*I48*'EF-S1'!$D$40*1/'EF-S1'!$E$45),D48=$C$15,_xlfn.IFS(F48=$E$12,E48*I48*'EF-S1'!$C$41*1/'EF-S1'!$E$45,F48=$E$13,E48*I48*1/'EF-S1'!$E$45,F48=$E$14,E48*I48*'EF-S1'!$C$41*1/'EF-S1'!$E$45*1/'EF-S1'!$E$47,F48=$E$15,E48*I48*'EF-S1'!$D$41*1/'EF-S1'!$E$45))</f>
        <v>#N/A</v>
      </c>
      <c r="M48" s="155" t="e">
        <f t="shared" si="13"/>
        <v>#N/A</v>
      </c>
      <c r="N48" s="155" t="e">
        <f t="shared" si="14"/>
        <v>#N/A</v>
      </c>
      <c r="O48" s="155" t="e">
        <f t="shared" si="15"/>
        <v>#N/A</v>
      </c>
      <c r="P48" s="156">
        <f t="shared" si="7"/>
        <v>0</v>
      </c>
      <c r="Q48" s="162"/>
      <c r="R48" s="162"/>
      <c r="S48" s="162"/>
      <c r="T48" s="152"/>
      <c r="U48" s="157"/>
      <c r="V48" s="158"/>
      <c r="W48" s="159"/>
      <c r="X48" s="155" t="e" cm="1">
        <f t="array" ref="X48">+_xlfn.IFS(W48="km",VLOOKUP(U48,'EF-S1'!$J$10:$M$16,2,),W48="l",VLOOKUP(U48,'EF-S1'!$J$26:$M$29,2,))</f>
        <v>#N/A</v>
      </c>
      <c r="Y48" s="155" t="e" cm="1">
        <f t="array" ref="Y48">+_xlfn.IFS(W48="km",VLOOKUP(U48,'EF-S1'!$J$10:$M$16,3,),W48="l",VLOOKUP(U48,'EF-S1'!$J$26:$M$29,3,))</f>
        <v>#N/A</v>
      </c>
      <c r="Z48" s="155" t="e" cm="1">
        <f t="array" ref="Z48">+_xlfn.IFS(W48="km",VLOOKUP(U48,'EF-S1'!$J$10:$M$16,4,),W48="l",VLOOKUP(U48,'EF-S1'!$J$26:$M$29,4,))</f>
        <v>#N/A</v>
      </c>
      <c r="AA48" s="155" t="e">
        <f t="shared" si="17"/>
        <v>#N/A</v>
      </c>
      <c r="AB48" s="155" t="e">
        <f t="shared" si="18"/>
        <v>#N/A</v>
      </c>
      <c r="AC48" s="155" t="e">
        <f t="shared" si="19"/>
        <v>#N/A</v>
      </c>
      <c r="AD48" s="155" t="e">
        <f t="shared" si="20"/>
        <v>#N/A</v>
      </c>
      <c r="AE48" s="155" t="e">
        <f t="shared" si="21"/>
        <v>#N/A</v>
      </c>
      <c r="AF48" s="155" t="e">
        <f t="shared" si="22"/>
        <v>#N/A</v>
      </c>
      <c r="AG48" s="156">
        <f t="shared" si="11"/>
        <v>0</v>
      </c>
      <c r="AK48" s="152"/>
      <c r="AL48" s="160"/>
      <c r="AM48" s="158"/>
      <c r="AN48" s="159" t="s">
        <v>49</v>
      </c>
      <c r="AO48" s="155" t="e">
        <f>+VLOOKUP(AL48,'EF-S1'!$U$10:$V$24,2,)</f>
        <v>#N/A</v>
      </c>
      <c r="AP48" s="155" t="e">
        <f t="shared" si="16"/>
        <v>#N/A</v>
      </c>
      <c r="AQ48" s="156">
        <f t="shared" si="12"/>
        <v>0</v>
      </c>
    </row>
    <row r="49" spans="1:43" x14ac:dyDescent="0.7">
      <c r="A49" s="135"/>
      <c r="B49" s="135"/>
      <c r="C49" s="152"/>
      <c r="D49" s="137"/>
      <c r="E49" s="158"/>
      <c r="F49" s="154"/>
      <c r="G49" s="155" t="e" cm="1">
        <f t="array" ref="G49">+_xlfn.IFS($C$7=$D$12,VLOOKUP(D49,'EF-S1'!$B$10:$E$13,2,),$C$7=$D$13,VLOOKUP(D49,'EF-S1'!$B$17:$E$20,2,),$C$7=$D$14,VLOOKUP(D49,'EF-S1'!$B$24:$E$27,2,),$C$7=$D$15,VLOOKUP(D49,'EF-S1'!$B$31:$E$34,2,))</f>
        <v>#N/A</v>
      </c>
      <c r="H49" s="155" t="e" cm="1">
        <f t="array" ref="H49">+_xlfn.IFS($C$7=$D$12,VLOOKUP(D49,'EF-S1'!$B$10:$E$13,3,),$C$7=$D$13,VLOOKUP(D49,'EF-S1'!$B$17:$E$20,3,),$C$7=$D$14,VLOOKUP(D49,'EF-S1'!$B$24:$E$27,3,),$C$7=$D$15,VLOOKUP(D49,'EF-S1'!$B$31:$E$34,3,))</f>
        <v>#N/A</v>
      </c>
      <c r="I49" s="155" t="e" cm="1">
        <f t="array" ref="I49">+_xlfn.IFS($C$7=$D$12,VLOOKUP(D49,'EF-S1'!$B$10:$E$13,4,),$C$7=$D$13,VLOOKUP(D49,'EF-S1'!$B$17:$E$20,4,),$C$7=$D$14,VLOOKUP(D49,'EF-S1'!$B$24:$E$27,4,),$C$7=$D$15,VLOOKUP(D49,'EF-S1'!$B$31:$E$34,4,))</f>
        <v>#N/A</v>
      </c>
      <c r="J49" s="155" t="e" cm="1">
        <f t="array" ref="J49">+_xlfn.IFS(D49=$C$12,_xlfn.IFS(F49=$E$12,E49*G49*'EF-S1'!$C$38*1/'EF-S1'!$E$45,F49=$E$13,E49*G49*1/'EF-S1'!$E$45,F49=$E$14,E49*G49*'EF-S1'!$C$38*1/'EF-S1'!$E$45*1/'EF-S1'!$E$47,F49=$E$15,E49*G49*'EF-S1'!$D$38*1/'EF-S1'!$E$45),D49=$C$13,_xlfn.IFS(F49=$E$12,E49*G49*'EF-S1'!$C$39*1/'EF-S1'!$E$45,F49=$E$13,E49*G49*1/'EF-S1'!$E$45,F49=$E$14,E49*G49*'EF-S1'!$C$39*1/'EF-S1'!$E$45*1/'EF-S1'!$E$47,F49=$E$15,E49*G49*'EF-S1'!$D$39*1/'EF-S1'!$E$45),D49=$C$14,_xlfn.IFS(F49=$E$12,E49*G49*'EF-S1'!$C$40*1/'EF-S1'!$E$45,F49=$E$13,E49*G49*1/'EF-S1'!$E$45,F49=$E$14,E49*G49*'EF-S1'!$C$40*1/'EF-S1'!$E$45*1/'EF-S1'!$E$47,F49=$E$15,E49*G49*'EF-S1'!$D$40*1/'EF-S1'!$E$45),D49=$C$15,_xlfn.IFS(F49=$E$12,E49*G49*'EF-S1'!$C$41*1/'EF-S1'!$E$45,F49=$E$13,E49*G49*1/'EF-S1'!$E$45,F49=$E$14,E49*G49*'EF-S1'!$C$41*1/'EF-S1'!$E$45*1/'EF-S1'!$E$47,F49=$E$15,E49*G49*'EF-S1'!$D$41*1/'EF-S1'!$E$45))</f>
        <v>#N/A</v>
      </c>
      <c r="K49" s="155" t="e" cm="1">
        <f t="array" ref="K49">+_xlfn.IFS(D49=$C$12,_xlfn.IFS(F49=$E$12,E49*H49*'EF-S1'!$C$38*1/'EF-S1'!$E$45,F49=$E$13,E49*H49*1/'EF-S1'!$E$45,F49=$E$14,E49*H49*'EF-S1'!$C$38*1/'EF-S1'!$E$45*1/'EF-S1'!$E$47,F49=$E$15,E49*H49*'EF-S1'!$D$38*1/'EF-S1'!$E$45),D49=$C$13,_xlfn.IFS(F49=$E$12,E49*H49*'EF-S1'!$C$39*1/'EF-S1'!$E$45,F49=$E$13,E49*H49*1/'EF-S1'!$E$45,F49=$E$14,E49*H49*'EF-S1'!$C$39*1/'EF-S1'!$E$45*1/'EF-S1'!$E$47,F49=$E$15,E49*H49*'EF-S1'!$D$39*1/'EF-S1'!$E$45),D49=$C$14,_xlfn.IFS(F49=$E$12,E49*H49*'EF-S1'!$C$40*1/'EF-S1'!$E$45,F49=$E$13,E49*H49*1/'EF-S1'!$E$45,F49=$E$14,E49*H49*'EF-S1'!$C$40*1/'EF-S1'!$E$45*1/'EF-S1'!$E$47,F49=$E$15,E49*H49*'EF-S1'!$D$40*1/'EF-S1'!$E$45),D49=$C$15,_xlfn.IFS(F49=$E$12,E49*H49*'EF-S1'!$C$41*1/'EF-S1'!$E$45,F49=$E$13,E49*H49*1/'EF-S1'!$E$45,F49=$E$14,E49*H49*'EF-S1'!$C$41*1/'EF-S1'!$E$45*1/'EF-S1'!$E$47,F49=$E$15,E49*H49*'EF-S1'!$D$41*1/'EF-S1'!$E$45))</f>
        <v>#N/A</v>
      </c>
      <c r="L49" s="155" t="e" cm="1">
        <f t="array" ref="L49">+_xlfn.IFS(D49=$C$12,_xlfn.IFS(F49=$E$12,E49*I49*'EF-S1'!$C$38*1/'EF-S1'!$E$45,F49=$E$13,E49*I49*1/'EF-S1'!$E$45,F49=$E$14,E49*I49*'EF-S1'!$C$38*1/'EF-S1'!$E$45*1/'EF-S1'!$E$47,F49=$E$15,E49*I49*'EF-S1'!$D$38*1/'EF-S1'!$E$45),D49=$C$13,_xlfn.IFS(F49=$E$12,E49*I49*'EF-S1'!$C$39*1/'EF-S1'!$E$45,F49=$E$13,E49*I49*1/'EF-S1'!$E$45,F49=$E$14,E49*I49*'EF-S1'!$C$39*1/'EF-S1'!$E$45*1/'EF-S1'!$E$47,F49=$E$15,E49*I49*'EF-S1'!$D$39*1/'EF-S1'!$E$45),D49=$C$14,_xlfn.IFS(F49=$E$12,E49*I49*'EF-S1'!$C$40*1/'EF-S1'!$E$45,F49=$E$13,E49*I49*1/'EF-S1'!$E$45,F49=$E$14,E49*I49*'EF-S1'!$C$40*1/'EF-S1'!$E$45*1/'EF-S1'!$E$47,F49=$E$15,E49*I49*'EF-S1'!$D$40*1/'EF-S1'!$E$45),D49=$C$15,_xlfn.IFS(F49=$E$12,E49*I49*'EF-S1'!$C$41*1/'EF-S1'!$E$45,F49=$E$13,E49*I49*1/'EF-S1'!$E$45,F49=$E$14,E49*I49*'EF-S1'!$C$41*1/'EF-S1'!$E$45*1/'EF-S1'!$E$47,F49=$E$15,E49*I49*'EF-S1'!$D$41*1/'EF-S1'!$E$45))</f>
        <v>#N/A</v>
      </c>
      <c r="M49" s="155" t="e">
        <f t="shared" si="13"/>
        <v>#N/A</v>
      </c>
      <c r="N49" s="155" t="e">
        <f t="shared" si="14"/>
        <v>#N/A</v>
      </c>
      <c r="O49" s="155" t="e">
        <f t="shared" si="15"/>
        <v>#N/A</v>
      </c>
      <c r="P49" s="156">
        <f t="shared" si="7"/>
        <v>0</v>
      </c>
      <c r="T49" s="152"/>
      <c r="U49" s="157"/>
      <c r="V49" s="158"/>
      <c r="W49" s="159"/>
      <c r="X49" s="155" t="e" cm="1">
        <f t="array" ref="X49">+_xlfn.IFS(W49="km",VLOOKUP(U49,'EF-S1'!$J$10:$M$16,2,),W49="l",VLOOKUP(U49,'EF-S1'!$J$26:$M$29,2,))</f>
        <v>#N/A</v>
      </c>
      <c r="Y49" s="155" t="e" cm="1">
        <f t="array" ref="Y49">+_xlfn.IFS(W49="km",VLOOKUP(U49,'EF-S1'!$J$10:$M$16,3,),W49="l",VLOOKUP(U49,'EF-S1'!$J$26:$M$29,3,))</f>
        <v>#N/A</v>
      </c>
      <c r="Z49" s="155" t="e" cm="1">
        <f t="array" ref="Z49">+_xlfn.IFS(W49="km",VLOOKUP(U49,'EF-S1'!$J$10:$M$16,4,),W49="l",VLOOKUP(U49,'EF-S1'!$J$26:$M$29,4,))</f>
        <v>#N/A</v>
      </c>
      <c r="AA49" s="155" t="e">
        <f t="shared" si="17"/>
        <v>#N/A</v>
      </c>
      <c r="AB49" s="155" t="e">
        <f t="shared" si="18"/>
        <v>#N/A</v>
      </c>
      <c r="AC49" s="155" t="e">
        <f t="shared" si="19"/>
        <v>#N/A</v>
      </c>
      <c r="AD49" s="155" t="e">
        <f t="shared" si="20"/>
        <v>#N/A</v>
      </c>
      <c r="AE49" s="155" t="e">
        <f t="shared" si="21"/>
        <v>#N/A</v>
      </c>
      <c r="AF49" s="155" t="e">
        <f t="shared" si="22"/>
        <v>#N/A</v>
      </c>
      <c r="AG49" s="156">
        <f t="shared" si="11"/>
        <v>0</v>
      </c>
      <c r="AK49" s="152"/>
      <c r="AL49" s="160"/>
      <c r="AM49" s="158"/>
      <c r="AN49" s="159" t="s">
        <v>49</v>
      </c>
      <c r="AO49" s="155" t="e">
        <f>+VLOOKUP(AL49,'EF-S1'!$U$10:$V$24,2,)</f>
        <v>#N/A</v>
      </c>
      <c r="AP49" s="155" t="e">
        <f t="shared" si="16"/>
        <v>#N/A</v>
      </c>
      <c r="AQ49" s="156">
        <f t="shared" si="12"/>
        <v>0</v>
      </c>
    </row>
    <row r="50" spans="1:43" x14ac:dyDescent="0.7">
      <c r="C50" s="152"/>
      <c r="D50" s="137"/>
      <c r="E50" s="158"/>
      <c r="F50" s="154"/>
      <c r="G50" s="155" t="e" cm="1">
        <f t="array" ref="G50">+_xlfn.IFS($C$7=$D$12,VLOOKUP(D50,'EF-S1'!$B$10:$E$13,2,),$C$7=$D$13,VLOOKUP(D50,'EF-S1'!$B$17:$E$20,2,),$C$7=$D$14,VLOOKUP(D50,'EF-S1'!$B$24:$E$27,2,),$C$7=$D$15,VLOOKUP(D50,'EF-S1'!$B$31:$E$34,2,))</f>
        <v>#N/A</v>
      </c>
      <c r="H50" s="155" t="e" cm="1">
        <f t="array" ref="H50">+_xlfn.IFS($C$7=$D$12,VLOOKUP(D50,'EF-S1'!$B$10:$E$13,3,),$C$7=$D$13,VLOOKUP(D50,'EF-S1'!$B$17:$E$20,3,),$C$7=$D$14,VLOOKUP(D50,'EF-S1'!$B$24:$E$27,3,),$C$7=$D$15,VLOOKUP(D50,'EF-S1'!$B$31:$E$34,3,))</f>
        <v>#N/A</v>
      </c>
      <c r="I50" s="155" t="e" cm="1">
        <f t="array" ref="I50">+_xlfn.IFS($C$7=$D$12,VLOOKUP(D50,'EF-S1'!$B$10:$E$13,4,),$C$7=$D$13,VLOOKUP(D50,'EF-S1'!$B$17:$E$20,4,),$C$7=$D$14,VLOOKUP(D50,'EF-S1'!$B$24:$E$27,4,),$C$7=$D$15,VLOOKUP(D50,'EF-S1'!$B$31:$E$34,4,))</f>
        <v>#N/A</v>
      </c>
      <c r="J50" s="155" t="e" cm="1">
        <f t="array" ref="J50">+_xlfn.IFS(D50=$C$12,_xlfn.IFS(F50=$E$12,E50*G50*'EF-S1'!$C$38*1/'EF-S1'!$E$45,F50=$E$13,E50*G50*1/'EF-S1'!$E$45,F50=$E$14,E50*G50*'EF-S1'!$C$38*1/'EF-S1'!$E$45*1/'EF-S1'!$E$47,F50=$E$15,E50*G50*'EF-S1'!$D$38*1/'EF-S1'!$E$45),D50=$C$13,_xlfn.IFS(F50=$E$12,E50*G50*'EF-S1'!$C$39*1/'EF-S1'!$E$45,F50=$E$13,E50*G50*1/'EF-S1'!$E$45,F50=$E$14,E50*G50*'EF-S1'!$C$39*1/'EF-S1'!$E$45*1/'EF-S1'!$E$47,F50=$E$15,E50*G50*'EF-S1'!$D$39*1/'EF-S1'!$E$45),D50=$C$14,_xlfn.IFS(F50=$E$12,E50*G50*'EF-S1'!$C$40*1/'EF-S1'!$E$45,F50=$E$13,E50*G50*1/'EF-S1'!$E$45,F50=$E$14,E50*G50*'EF-S1'!$C$40*1/'EF-S1'!$E$45*1/'EF-S1'!$E$47,F50=$E$15,E50*G50*'EF-S1'!$D$40*1/'EF-S1'!$E$45),D50=$C$15,_xlfn.IFS(F50=$E$12,E50*G50*'EF-S1'!$C$41*1/'EF-S1'!$E$45,F50=$E$13,E50*G50*1/'EF-S1'!$E$45,F50=$E$14,E50*G50*'EF-S1'!$C$41*1/'EF-S1'!$E$45*1/'EF-S1'!$E$47,F50=$E$15,E50*G50*'EF-S1'!$D$41*1/'EF-S1'!$E$45))</f>
        <v>#N/A</v>
      </c>
      <c r="K50" s="155" t="e" cm="1">
        <f t="array" ref="K50">+_xlfn.IFS(D50=$C$12,_xlfn.IFS(F50=$E$12,E50*H50*'EF-S1'!$C$38*1/'EF-S1'!$E$45,F50=$E$13,E50*H50*1/'EF-S1'!$E$45,F50=$E$14,E50*H50*'EF-S1'!$C$38*1/'EF-S1'!$E$45*1/'EF-S1'!$E$47,F50=$E$15,E50*H50*'EF-S1'!$D$38*1/'EF-S1'!$E$45),D50=$C$13,_xlfn.IFS(F50=$E$12,E50*H50*'EF-S1'!$C$39*1/'EF-S1'!$E$45,F50=$E$13,E50*H50*1/'EF-S1'!$E$45,F50=$E$14,E50*H50*'EF-S1'!$C$39*1/'EF-S1'!$E$45*1/'EF-S1'!$E$47,F50=$E$15,E50*H50*'EF-S1'!$D$39*1/'EF-S1'!$E$45),D50=$C$14,_xlfn.IFS(F50=$E$12,E50*H50*'EF-S1'!$C$40*1/'EF-S1'!$E$45,F50=$E$13,E50*H50*1/'EF-S1'!$E$45,F50=$E$14,E50*H50*'EF-S1'!$C$40*1/'EF-S1'!$E$45*1/'EF-S1'!$E$47,F50=$E$15,E50*H50*'EF-S1'!$D$40*1/'EF-S1'!$E$45),D50=$C$15,_xlfn.IFS(F50=$E$12,E50*H50*'EF-S1'!$C$41*1/'EF-S1'!$E$45,F50=$E$13,E50*H50*1/'EF-S1'!$E$45,F50=$E$14,E50*H50*'EF-S1'!$C$41*1/'EF-S1'!$E$45*1/'EF-S1'!$E$47,F50=$E$15,E50*H50*'EF-S1'!$D$41*1/'EF-S1'!$E$45))</f>
        <v>#N/A</v>
      </c>
      <c r="L50" s="155" t="e" cm="1">
        <f t="array" ref="L50">+_xlfn.IFS(D50=$C$12,_xlfn.IFS(F50=$E$12,E50*I50*'EF-S1'!$C$38*1/'EF-S1'!$E$45,F50=$E$13,E50*I50*1/'EF-S1'!$E$45,F50=$E$14,E50*I50*'EF-S1'!$C$38*1/'EF-S1'!$E$45*1/'EF-S1'!$E$47,F50=$E$15,E50*I50*'EF-S1'!$D$38*1/'EF-S1'!$E$45),D50=$C$13,_xlfn.IFS(F50=$E$12,E50*I50*'EF-S1'!$C$39*1/'EF-S1'!$E$45,F50=$E$13,E50*I50*1/'EF-S1'!$E$45,F50=$E$14,E50*I50*'EF-S1'!$C$39*1/'EF-S1'!$E$45*1/'EF-S1'!$E$47,F50=$E$15,E50*I50*'EF-S1'!$D$39*1/'EF-S1'!$E$45),D50=$C$14,_xlfn.IFS(F50=$E$12,E50*I50*'EF-S1'!$C$40*1/'EF-S1'!$E$45,F50=$E$13,E50*I50*1/'EF-S1'!$E$45,F50=$E$14,E50*I50*'EF-S1'!$C$40*1/'EF-S1'!$E$45*1/'EF-S1'!$E$47,F50=$E$15,E50*I50*'EF-S1'!$D$40*1/'EF-S1'!$E$45),D50=$C$15,_xlfn.IFS(F50=$E$12,E50*I50*'EF-S1'!$C$41*1/'EF-S1'!$E$45,F50=$E$13,E50*I50*1/'EF-S1'!$E$45,F50=$E$14,E50*I50*'EF-S1'!$C$41*1/'EF-S1'!$E$45*1/'EF-S1'!$E$47,F50=$E$15,E50*I50*'EF-S1'!$D$41*1/'EF-S1'!$E$45))</f>
        <v>#N/A</v>
      </c>
      <c r="M50" s="155" t="e">
        <f t="shared" si="13"/>
        <v>#N/A</v>
      </c>
      <c r="N50" s="155" t="e">
        <f t="shared" si="14"/>
        <v>#N/A</v>
      </c>
      <c r="O50" s="155" t="e">
        <f t="shared" si="15"/>
        <v>#N/A</v>
      </c>
      <c r="P50" s="156">
        <f t="shared" si="7"/>
        <v>0</v>
      </c>
      <c r="T50" s="152"/>
      <c r="U50" s="157"/>
      <c r="V50" s="158"/>
      <c r="W50" s="159"/>
      <c r="X50" s="155" t="e" cm="1">
        <f t="array" ref="X50">+_xlfn.IFS(W50="km",VLOOKUP(U50,'EF-S1'!$J$10:$M$16,2,),W50="l",VLOOKUP(U50,'EF-S1'!$J$26:$M$29,2,))</f>
        <v>#N/A</v>
      </c>
      <c r="Y50" s="155" t="e" cm="1">
        <f t="array" ref="Y50">+_xlfn.IFS(W50="km",VLOOKUP(U50,'EF-S1'!$J$10:$M$16,3,),W50="l",VLOOKUP(U50,'EF-S1'!$J$26:$M$29,3,))</f>
        <v>#N/A</v>
      </c>
      <c r="Z50" s="155" t="e" cm="1">
        <f t="array" ref="Z50">+_xlfn.IFS(W50="km",VLOOKUP(U50,'EF-S1'!$J$10:$M$16,4,),W50="l",VLOOKUP(U50,'EF-S1'!$J$26:$M$29,4,))</f>
        <v>#N/A</v>
      </c>
      <c r="AA50" s="155" t="e">
        <f t="shared" si="17"/>
        <v>#N/A</v>
      </c>
      <c r="AB50" s="155" t="e">
        <f t="shared" si="18"/>
        <v>#N/A</v>
      </c>
      <c r="AC50" s="155" t="e">
        <f t="shared" si="19"/>
        <v>#N/A</v>
      </c>
      <c r="AD50" s="155" t="e">
        <f t="shared" si="20"/>
        <v>#N/A</v>
      </c>
      <c r="AE50" s="155" t="e">
        <f t="shared" si="21"/>
        <v>#N/A</v>
      </c>
      <c r="AF50" s="155" t="e">
        <f t="shared" si="22"/>
        <v>#N/A</v>
      </c>
      <c r="AG50" s="156">
        <f t="shared" si="11"/>
        <v>0</v>
      </c>
      <c r="AK50" s="152"/>
      <c r="AL50" s="160"/>
      <c r="AM50" s="158"/>
      <c r="AN50" s="159" t="s">
        <v>49</v>
      </c>
      <c r="AO50" s="155" t="e">
        <f>+VLOOKUP(AL50,'EF-S1'!$U$10:$V$24,2,)</f>
        <v>#N/A</v>
      </c>
      <c r="AP50" s="155" t="e">
        <f t="shared" si="16"/>
        <v>#N/A</v>
      </c>
      <c r="AQ50" s="156">
        <f t="shared" si="12"/>
        <v>0</v>
      </c>
    </row>
    <row r="51" spans="1:43" x14ac:dyDescent="0.7">
      <c r="C51" s="152"/>
      <c r="D51" s="137"/>
      <c r="E51" s="158"/>
      <c r="F51" s="154"/>
      <c r="G51" s="155" t="e" cm="1">
        <f t="array" ref="G51">+_xlfn.IFS($C$7=$D$12,VLOOKUP(D51,'EF-S1'!$B$10:$E$13,2,),$C$7=$D$13,VLOOKUP(D51,'EF-S1'!$B$17:$E$20,2,),$C$7=$D$14,VLOOKUP(D51,'EF-S1'!$B$24:$E$27,2,),$C$7=$D$15,VLOOKUP(D51,'EF-S1'!$B$31:$E$34,2,))</f>
        <v>#N/A</v>
      </c>
      <c r="H51" s="155" t="e" cm="1">
        <f t="array" ref="H51">+_xlfn.IFS($C$7=$D$12,VLOOKUP(D51,'EF-S1'!$B$10:$E$13,3,),$C$7=$D$13,VLOOKUP(D51,'EF-S1'!$B$17:$E$20,3,),$C$7=$D$14,VLOOKUP(D51,'EF-S1'!$B$24:$E$27,3,),$C$7=$D$15,VLOOKUP(D51,'EF-S1'!$B$31:$E$34,3,))</f>
        <v>#N/A</v>
      </c>
      <c r="I51" s="155" t="e" cm="1">
        <f t="array" ref="I51">+_xlfn.IFS($C$7=$D$12,VLOOKUP(D51,'EF-S1'!$B$10:$E$13,4,),$C$7=$D$13,VLOOKUP(D51,'EF-S1'!$B$17:$E$20,4,),$C$7=$D$14,VLOOKUP(D51,'EF-S1'!$B$24:$E$27,4,),$C$7=$D$15,VLOOKUP(D51,'EF-S1'!$B$31:$E$34,4,))</f>
        <v>#N/A</v>
      </c>
      <c r="J51" s="155" t="e" cm="1">
        <f t="array" ref="J51">+_xlfn.IFS(D51=$C$12,_xlfn.IFS(F51=$E$12,E51*G51*'EF-S1'!$C$38*1/'EF-S1'!$E$45,F51=$E$13,E51*G51*1/'EF-S1'!$E$45,F51=$E$14,E51*G51*'EF-S1'!$C$38*1/'EF-S1'!$E$45*1/'EF-S1'!$E$47,F51=$E$15,E51*G51*'EF-S1'!$D$38*1/'EF-S1'!$E$45),D51=$C$13,_xlfn.IFS(F51=$E$12,E51*G51*'EF-S1'!$C$39*1/'EF-S1'!$E$45,F51=$E$13,E51*G51*1/'EF-S1'!$E$45,F51=$E$14,E51*G51*'EF-S1'!$C$39*1/'EF-S1'!$E$45*1/'EF-S1'!$E$47,F51=$E$15,E51*G51*'EF-S1'!$D$39*1/'EF-S1'!$E$45),D51=$C$14,_xlfn.IFS(F51=$E$12,E51*G51*'EF-S1'!$C$40*1/'EF-S1'!$E$45,F51=$E$13,E51*G51*1/'EF-S1'!$E$45,F51=$E$14,E51*G51*'EF-S1'!$C$40*1/'EF-S1'!$E$45*1/'EF-S1'!$E$47,F51=$E$15,E51*G51*'EF-S1'!$D$40*1/'EF-S1'!$E$45),D51=$C$15,_xlfn.IFS(F51=$E$12,E51*G51*'EF-S1'!$C$41*1/'EF-S1'!$E$45,F51=$E$13,E51*G51*1/'EF-S1'!$E$45,F51=$E$14,E51*G51*'EF-S1'!$C$41*1/'EF-S1'!$E$45*1/'EF-S1'!$E$47,F51=$E$15,E51*G51*'EF-S1'!$D$41*1/'EF-S1'!$E$45))</f>
        <v>#N/A</v>
      </c>
      <c r="K51" s="155" t="e" cm="1">
        <f t="array" ref="K51">+_xlfn.IFS(D51=$C$12,_xlfn.IFS(F51=$E$12,E51*H51*'EF-S1'!$C$38*1/'EF-S1'!$E$45,F51=$E$13,E51*H51*1/'EF-S1'!$E$45,F51=$E$14,E51*H51*'EF-S1'!$C$38*1/'EF-S1'!$E$45*1/'EF-S1'!$E$47,F51=$E$15,E51*H51*'EF-S1'!$D$38*1/'EF-S1'!$E$45),D51=$C$13,_xlfn.IFS(F51=$E$12,E51*H51*'EF-S1'!$C$39*1/'EF-S1'!$E$45,F51=$E$13,E51*H51*1/'EF-S1'!$E$45,F51=$E$14,E51*H51*'EF-S1'!$C$39*1/'EF-S1'!$E$45*1/'EF-S1'!$E$47,F51=$E$15,E51*H51*'EF-S1'!$D$39*1/'EF-S1'!$E$45),D51=$C$14,_xlfn.IFS(F51=$E$12,E51*H51*'EF-S1'!$C$40*1/'EF-S1'!$E$45,F51=$E$13,E51*H51*1/'EF-S1'!$E$45,F51=$E$14,E51*H51*'EF-S1'!$C$40*1/'EF-S1'!$E$45*1/'EF-S1'!$E$47,F51=$E$15,E51*H51*'EF-S1'!$D$40*1/'EF-S1'!$E$45),D51=$C$15,_xlfn.IFS(F51=$E$12,E51*H51*'EF-S1'!$C$41*1/'EF-S1'!$E$45,F51=$E$13,E51*H51*1/'EF-S1'!$E$45,F51=$E$14,E51*H51*'EF-S1'!$C$41*1/'EF-S1'!$E$45*1/'EF-S1'!$E$47,F51=$E$15,E51*H51*'EF-S1'!$D$41*1/'EF-S1'!$E$45))</f>
        <v>#N/A</v>
      </c>
      <c r="L51" s="155" t="e" cm="1">
        <f t="array" ref="L51">+_xlfn.IFS(D51=$C$12,_xlfn.IFS(F51=$E$12,E51*I51*'EF-S1'!$C$38*1/'EF-S1'!$E$45,F51=$E$13,E51*I51*1/'EF-S1'!$E$45,F51=$E$14,E51*I51*'EF-S1'!$C$38*1/'EF-S1'!$E$45*1/'EF-S1'!$E$47,F51=$E$15,E51*I51*'EF-S1'!$D$38*1/'EF-S1'!$E$45),D51=$C$13,_xlfn.IFS(F51=$E$12,E51*I51*'EF-S1'!$C$39*1/'EF-S1'!$E$45,F51=$E$13,E51*I51*1/'EF-S1'!$E$45,F51=$E$14,E51*I51*'EF-S1'!$C$39*1/'EF-S1'!$E$45*1/'EF-S1'!$E$47,F51=$E$15,E51*I51*'EF-S1'!$D$39*1/'EF-S1'!$E$45),D51=$C$14,_xlfn.IFS(F51=$E$12,E51*I51*'EF-S1'!$C$40*1/'EF-S1'!$E$45,F51=$E$13,E51*I51*1/'EF-S1'!$E$45,F51=$E$14,E51*I51*'EF-S1'!$C$40*1/'EF-S1'!$E$45*1/'EF-S1'!$E$47,F51=$E$15,E51*I51*'EF-S1'!$D$40*1/'EF-S1'!$E$45),D51=$C$15,_xlfn.IFS(F51=$E$12,E51*I51*'EF-S1'!$C$41*1/'EF-S1'!$E$45,F51=$E$13,E51*I51*1/'EF-S1'!$E$45,F51=$E$14,E51*I51*'EF-S1'!$C$41*1/'EF-S1'!$E$45*1/'EF-S1'!$E$47,F51=$E$15,E51*I51*'EF-S1'!$D$41*1/'EF-S1'!$E$45))</f>
        <v>#N/A</v>
      </c>
      <c r="M51" s="155" t="e">
        <f t="shared" si="13"/>
        <v>#N/A</v>
      </c>
      <c r="N51" s="155" t="e">
        <f t="shared" si="14"/>
        <v>#N/A</v>
      </c>
      <c r="O51" s="155" t="e">
        <f t="shared" si="15"/>
        <v>#N/A</v>
      </c>
      <c r="P51" s="156">
        <f t="shared" si="7"/>
        <v>0</v>
      </c>
      <c r="T51" s="152"/>
      <c r="U51" s="157"/>
      <c r="V51" s="158"/>
      <c r="W51" s="159"/>
      <c r="X51" s="155" t="e" cm="1">
        <f t="array" ref="X51">+_xlfn.IFS(W51="km",VLOOKUP(U51,'EF-S1'!$J$10:$M$16,2,),W51="l",VLOOKUP(U51,'EF-S1'!$J$26:$M$29,2,))</f>
        <v>#N/A</v>
      </c>
      <c r="Y51" s="155" t="e" cm="1">
        <f t="array" ref="Y51">+_xlfn.IFS(W51="km",VLOOKUP(U51,'EF-S1'!$J$10:$M$16,3,),W51="l",VLOOKUP(U51,'EF-S1'!$J$26:$M$29,3,))</f>
        <v>#N/A</v>
      </c>
      <c r="Z51" s="155" t="e" cm="1">
        <f t="array" ref="Z51">+_xlfn.IFS(W51="km",VLOOKUP(U51,'EF-S1'!$J$10:$M$16,4,),W51="l",VLOOKUP(U51,'EF-S1'!$J$26:$M$29,4,))</f>
        <v>#N/A</v>
      </c>
      <c r="AA51" s="155" t="e">
        <f t="shared" si="17"/>
        <v>#N/A</v>
      </c>
      <c r="AB51" s="155" t="e">
        <f t="shared" si="18"/>
        <v>#N/A</v>
      </c>
      <c r="AC51" s="155" t="e">
        <f t="shared" si="19"/>
        <v>#N/A</v>
      </c>
      <c r="AD51" s="155" t="e">
        <f t="shared" si="20"/>
        <v>#N/A</v>
      </c>
      <c r="AE51" s="155" t="e">
        <f t="shared" si="21"/>
        <v>#N/A</v>
      </c>
      <c r="AF51" s="155" t="e">
        <f t="shared" si="22"/>
        <v>#N/A</v>
      </c>
      <c r="AG51" s="156">
        <f t="shared" si="11"/>
        <v>0</v>
      </c>
      <c r="AK51" s="152"/>
      <c r="AL51" s="160"/>
      <c r="AM51" s="158"/>
      <c r="AN51" s="159" t="s">
        <v>49</v>
      </c>
      <c r="AO51" s="155" t="e">
        <f>+VLOOKUP(AL51,'EF-S1'!$U$10:$V$24,2,)</f>
        <v>#N/A</v>
      </c>
      <c r="AP51" s="155" t="e">
        <f t="shared" si="16"/>
        <v>#N/A</v>
      </c>
      <c r="AQ51" s="156">
        <f t="shared" si="12"/>
        <v>0</v>
      </c>
    </row>
    <row r="52" spans="1:43" x14ac:dyDescent="0.7">
      <c r="C52" s="152"/>
      <c r="D52" s="137"/>
      <c r="E52" s="158"/>
      <c r="F52" s="154"/>
      <c r="G52" s="155" t="e" cm="1">
        <f t="array" ref="G52">+_xlfn.IFS($C$7=$D$12,VLOOKUP(D52,'EF-S1'!$B$10:$E$13,2,),$C$7=$D$13,VLOOKUP(D52,'EF-S1'!$B$17:$E$20,2,),$C$7=$D$14,VLOOKUP(D52,'EF-S1'!$B$24:$E$27,2,),$C$7=$D$15,VLOOKUP(D52,'EF-S1'!$B$31:$E$34,2,))</f>
        <v>#N/A</v>
      </c>
      <c r="H52" s="155" t="e" cm="1">
        <f t="array" ref="H52">+_xlfn.IFS($C$7=$D$12,VLOOKUP(D52,'EF-S1'!$B$10:$E$13,3,),$C$7=$D$13,VLOOKUP(D52,'EF-S1'!$B$17:$E$20,3,),$C$7=$D$14,VLOOKUP(D52,'EF-S1'!$B$24:$E$27,3,),$C$7=$D$15,VLOOKUP(D52,'EF-S1'!$B$31:$E$34,3,))</f>
        <v>#N/A</v>
      </c>
      <c r="I52" s="155" t="e" cm="1">
        <f t="array" ref="I52">+_xlfn.IFS($C$7=$D$12,VLOOKUP(D52,'EF-S1'!$B$10:$E$13,4,),$C$7=$D$13,VLOOKUP(D52,'EF-S1'!$B$17:$E$20,4,),$C$7=$D$14,VLOOKUP(D52,'EF-S1'!$B$24:$E$27,4,),$C$7=$D$15,VLOOKUP(D52,'EF-S1'!$B$31:$E$34,4,))</f>
        <v>#N/A</v>
      </c>
      <c r="J52" s="155" t="e" cm="1">
        <f t="array" ref="J52">+_xlfn.IFS(D52=$C$12,_xlfn.IFS(F52=$E$12,E52*G52*'EF-S1'!$C$38*1/'EF-S1'!$E$45,F52=$E$13,E52*G52*1/'EF-S1'!$E$45,F52=$E$14,E52*G52*'EF-S1'!$C$38*1/'EF-S1'!$E$45*1/'EF-S1'!$E$47,F52=$E$15,E52*G52*'EF-S1'!$D$38*1/'EF-S1'!$E$45),D52=$C$13,_xlfn.IFS(F52=$E$12,E52*G52*'EF-S1'!$C$39*1/'EF-S1'!$E$45,F52=$E$13,E52*G52*1/'EF-S1'!$E$45,F52=$E$14,E52*G52*'EF-S1'!$C$39*1/'EF-S1'!$E$45*1/'EF-S1'!$E$47,F52=$E$15,E52*G52*'EF-S1'!$D$39*1/'EF-S1'!$E$45),D52=$C$14,_xlfn.IFS(F52=$E$12,E52*G52*'EF-S1'!$C$40*1/'EF-S1'!$E$45,F52=$E$13,E52*G52*1/'EF-S1'!$E$45,F52=$E$14,E52*G52*'EF-S1'!$C$40*1/'EF-S1'!$E$45*1/'EF-S1'!$E$47,F52=$E$15,E52*G52*'EF-S1'!$D$40*1/'EF-S1'!$E$45),D52=$C$15,_xlfn.IFS(F52=$E$12,E52*G52*'EF-S1'!$C$41*1/'EF-S1'!$E$45,F52=$E$13,E52*G52*1/'EF-S1'!$E$45,F52=$E$14,E52*G52*'EF-S1'!$C$41*1/'EF-S1'!$E$45*1/'EF-S1'!$E$47,F52=$E$15,E52*G52*'EF-S1'!$D$41*1/'EF-S1'!$E$45))</f>
        <v>#N/A</v>
      </c>
      <c r="K52" s="155" t="e" cm="1">
        <f t="array" ref="K52">+_xlfn.IFS(D52=$C$12,_xlfn.IFS(F52=$E$12,E52*H52*'EF-S1'!$C$38*1/'EF-S1'!$E$45,F52=$E$13,E52*H52*1/'EF-S1'!$E$45,F52=$E$14,E52*H52*'EF-S1'!$C$38*1/'EF-S1'!$E$45*1/'EF-S1'!$E$47,F52=$E$15,E52*H52*'EF-S1'!$D$38*1/'EF-S1'!$E$45),D52=$C$13,_xlfn.IFS(F52=$E$12,E52*H52*'EF-S1'!$C$39*1/'EF-S1'!$E$45,F52=$E$13,E52*H52*1/'EF-S1'!$E$45,F52=$E$14,E52*H52*'EF-S1'!$C$39*1/'EF-S1'!$E$45*1/'EF-S1'!$E$47,F52=$E$15,E52*H52*'EF-S1'!$D$39*1/'EF-S1'!$E$45),D52=$C$14,_xlfn.IFS(F52=$E$12,E52*H52*'EF-S1'!$C$40*1/'EF-S1'!$E$45,F52=$E$13,E52*H52*1/'EF-S1'!$E$45,F52=$E$14,E52*H52*'EF-S1'!$C$40*1/'EF-S1'!$E$45*1/'EF-S1'!$E$47,F52=$E$15,E52*H52*'EF-S1'!$D$40*1/'EF-S1'!$E$45),D52=$C$15,_xlfn.IFS(F52=$E$12,E52*H52*'EF-S1'!$C$41*1/'EF-S1'!$E$45,F52=$E$13,E52*H52*1/'EF-S1'!$E$45,F52=$E$14,E52*H52*'EF-S1'!$C$41*1/'EF-S1'!$E$45*1/'EF-S1'!$E$47,F52=$E$15,E52*H52*'EF-S1'!$D$41*1/'EF-S1'!$E$45))</f>
        <v>#N/A</v>
      </c>
      <c r="L52" s="155" t="e" cm="1">
        <f t="array" ref="L52">+_xlfn.IFS(D52=$C$12,_xlfn.IFS(F52=$E$12,E52*I52*'EF-S1'!$C$38*1/'EF-S1'!$E$45,F52=$E$13,E52*I52*1/'EF-S1'!$E$45,F52=$E$14,E52*I52*'EF-S1'!$C$38*1/'EF-S1'!$E$45*1/'EF-S1'!$E$47,F52=$E$15,E52*I52*'EF-S1'!$D$38*1/'EF-S1'!$E$45),D52=$C$13,_xlfn.IFS(F52=$E$12,E52*I52*'EF-S1'!$C$39*1/'EF-S1'!$E$45,F52=$E$13,E52*I52*1/'EF-S1'!$E$45,F52=$E$14,E52*I52*'EF-S1'!$C$39*1/'EF-S1'!$E$45*1/'EF-S1'!$E$47,F52=$E$15,E52*I52*'EF-S1'!$D$39*1/'EF-S1'!$E$45),D52=$C$14,_xlfn.IFS(F52=$E$12,E52*I52*'EF-S1'!$C$40*1/'EF-S1'!$E$45,F52=$E$13,E52*I52*1/'EF-S1'!$E$45,F52=$E$14,E52*I52*'EF-S1'!$C$40*1/'EF-S1'!$E$45*1/'EF-S1'!$E$47,F52=$E$15,E52*I52*'EF-S1'!$D$40*1/'EF-S1'!$E$45),D52=$C$15,_xlfn.IFS(F52=$E$12,E52*I52*'EF-S1'!$C$41*1/'EF-S1'!$E$45,F52=$E$13,E52*I52*1/'EF-S1'!$E$45,F52=$E$14,E52*I52*'EF-S1'!$C$41*1/'EF-S1'!$E$45*1/'EF-S1'!$E$47,F52=$E$15,E52*I52*'EF-S1'!$D$41*1/'EF-S1'!$E$45))</f>
        <v>#N/A</v>
      </c>
      <c r="M52" s="155" t="e">
        <f t="shared" si="13"/>
        <v>#N/A</v>
      </c>
      <c r="N52" s="155" t="e">
        <f t="shared" si="14"/>
        <v>#N/A</v>
      </c>
      <c r="O52" s="155" t="e">
        <f t="shared" si="15"/>
        <v>#N/A</v>
      </c>
      <c r="P52" s="156">
        <f t="shared" si="7"/>
        <v>0</v>
      </c>
      <c r="T52" s="152"/>
      <c r="U52" s="157"/>
      <c r="V52" s="158"/>
      <c r="W52" s="159"/>
      <c r="X52" s="155" t="e" cm="1">
        <f t="array" ref="X52">+_xlfn.IFS(W52="km",VLOOKUP(U52,'EF-S1'!$J$10:$M$16,2,),W52="l",VLOOKUP(U52,'EF-S1'!$J$26:$M$29,2,))</f>
        <v>#N/A</v>
      </c>
      <c r="Y52" s="155" t="e" cm="1">
        <f t="array" ref="Y52">+_xlfn.IFS(W52="km",VLOOKUP(U52,'EF-S1'!$J$10:$M$16,3,),W52="l",VLOOKUP(U52,'EF-S1'!$J$26:$M$29,3,))</f>
        <v>#N/A</v>
      </c>
      <c r="Z52" s="155" t="e" cm="1">
        <f t="array" ref="Z52">+_xlfn.IFS(W52="km",VLOOKUP(U52,'EF-S1'!$J$10:$M$16,4,),W52="l",VLOOKUP(U52,'EF-S1'!$J$26:$M$29,4,))</f>
        <v>#N/A</v>
      </c>
      <c r="AA52" s="155" t="e">
        <f t="shared" si="17"/>
        <v>#N/A</v>
      </c>
      <c r="AB52" s="155" t="e">
        <f t="shared" si="18"/>
        <v>#N/A</v>
      </c>
      <c r="AC52" s="155" t="e">
        <f t="shared" si="19"/>
        <v>#N/A</v>
      </c>
      <c r="AD52" s="155" t="e">
        <f t="shared" si="20"/>
        <v>#N/A</v>
      </c>
      <c r="AE52" s="155" t="e">
        <f t="shared" si="21"/>
        <v>#N/A</v>
      </c>
      <c r="AF52" s="155" t="e">
        <f t="shared" si="22"/>
        <v>#N/A</v>
      </c>
      <c r="AG52" s="156">
        <f t="shared" si="11"/>
        <v>0</v>
      </c>
      <c r="AK52" s="152"/>
      <c r="AL52" s="160"/>
      <c r="AM52" s="158"/>
      <c r="AN52" s="159" t="s">
        <v>49</v>
      </c>
      <c r="AO52" s="155" t="e">
        <f>+VLOOKUP(AL52,'EF-S1'!$U$10:$V$24,2,)</f>
        <v>#N/A</v>
      </c>
      <c r="AP52" s="155" t="e">
        <f t="shared" si="16"/>
        <v>#N/A</v>
      </c>
      <c r="AQ52" s="156">
        <f t="shared" si="12"/>
        <v>0</v>
      </c>
    </row>
    <row r="53" spans="1:43" x14ac:dyDescent="0.7">
      <c r="C53" s="152"/>
      <c r="D53" s="137"/>
      <c r="E53" s="158"/>
      <c r="F53" s="154"/>
      <c r="G53" s="155" t="e" cm="1">
        <f t="array" ref="G53">+_xlfn.IFS($C$7=$D$12,VLOOKUP(D53,'EF-S1'!$B$10:$E$13,2,),$C$7=$D$13,VLOOKUP(D53,'EF-S1'!$B$17:$E$20,2,),$C$7=$D$14,VLOOKUP(D53,'EF-S1'!$B$24:$E$27,2,),$C$7=$D$15,VLOOKUP(D53,'EF-S1'!$B$31:$E$34,2,))</f>
        <v>#N/A</v>
      </c>
      <c r="H53" s="155" t="e" cm="1">
        <f t="array" ref="H53">+_xlfn.IFS($C$7=$D$12,VLOOKUP(D53,'EF-S1'!$B$10:$E$13,3,),$C$7=$D$13,VLOOKUP(D53,'EF-S1'!$B$17:$E$20,3,),$C$7=$D$14,VLOOKUP(D53,'EF-S1'!$B$24:$E$27,3,),$C$7=$D$15,VLOOKUP(D53,'EF-S1'!$B$31:$E$34,3,))</f>
        <v>#N/A</v>
      </c>
      <c r="I53" s="155" t="e" cm="1">
        <f t="array" ref="I53">+_xlfn.IFS($C$7=$D$12,VLOOKUP(D53,'EF-S1'!$B$10:$E$13,4,),$C$7=$D$13,VLOOKUP(D53,'EF-S1'!$B$17:$E$20,4,),$C$7=$D$14,VLOOKUP(D53,'EF-S1'!$B$24:$E$27,4,),$C$7=$D$15,VLOOKUP(D53,'EF-S1'!$B$31:$E$34,4,))</f>
        <v>#N/A</v>
      </c>
      <c r="J53" s="155" t="e" cm="1">
        <f t="array" ref="J53">+_xlfn.IFS(D53=$C$12,_xlfn.IFS(F53=$E$12,E53*G53*'EF-S1'!$C$38*1/'EF-S1'!$E$45,F53=$E$13,E53*G53*1/'EF-S1'!$E$45,F53=$E$14,E53*G53*'EF-S1'!$C$38*1/'EF-S1'!$E$45*1/'EF-S1'!$E$47,F53=$E$15,E53*G53*'EF-S1'!$D$38*1/'EF-S1'!$E$45),D53=$C$13,_xlfn.IFS(F53=$E$12,E53*G53*'EF-S1'!$C$39*1/'EF-S1'!$E$45,F53=$E$13,E53*G53*1/'EF-S1'!$E$45,F53=$E$14,E53*G53*'EF-S1'!$C$39*1/'EF-S1'!$E$45*1/'EF-S1'!$E$47,F53=$E$15,E53*G53*'EF-S1'!$D$39*1/'EF-S1'!$E$45),D53=$C$14,_xlfn.IFS(F53=$E$12,E53*G53*'EF-S1'!$C$40*1/'EF-S1'!$E$45,F53=$E$13,E53*G53*1/'EF-S1'!$E$45,F53=$E$14,E53*G53*'EF-S1'!$C$40*1/'EF-S1'!$E$45*1/'EF-S1'!$E$47,F53=$E$15,E53*G53*'EF-S1'!$D$40*1/'EF-S1'!$E$45),D53=$C$15,_xlfn.IFS(F53=$E$12,E53*G53*'EF-S1'!$C$41*1/'EF-S1'!$E$45,F53=$E$13,E53*G53*1/'EF-S1'!$E$45,F53=$E$14,E53*G53*'EF-S1'!$C$41*1/'EF-S1'!$E$45*1/'EF-S1'!$E$47,F53=$E$15,E53*G53*'EF-S1'!$D$41*1/'EF-S1'!$E$45))</f>
        <v>#N/A</v>
      </c>
      <c r="K53" s="155" t="e" cm="1">
        <f t="array" ref="K53">+_xlfn.IFS(D53=$C$12,_xlfn.IFS(F53=$E$12,E53*H53*'EF-S1'!$C$38*1/'EF-S1'!$E$45,F53=$E$13,E53*H53*1/'EF-S1'!$E$45,F53=$E$14,E53*H53*'EF-S1'!$C$38*1/'EF-S1'!$E$45*1/'EF-S1'!$E$47,F53=$E$15,E53*H53*'EF-S1'!$D$38*1/'EF-S1'!$E$45),D53=$C$13,_xlfn.IFS(F53=$E$12,E53*H53*'EF-S1'!$C$39*1/'EF-S1'!$E$45,F53=$E$13,E53*H53*1/'EF-S1'!$E$45,F53=$E$14,E53*H53*'EF-S1'!$C$39*1/'EF-S1'!$E$45*1/'EF-S1'!$E$47,F53=$E$15,E53*H53*'EF-S1'!$D$39*1/'EF-S1'!$E$45),D53=$C$14,_xlfn.IFS(F53=$E$12,E53*H53*'EF-S1'!$C$40*1/'EF-S1'!$E$45,F53=$E$13,E53*H53*1/'EF-S1'!$E$45,F53=$E$14,E53*H53*'EF-S1'!$C$40*1/'EF-S1'!$E$45*1/'EF-S1'!$E$47,F53=$E$15,E53*H53*'EF-S1'!$D$40*1/'EF-S1'!$E$45),D53=$C$15,_xlfn.IFS(F53=$E$12,E53*H53*'EF-S1'!$C$41*1/'EF-S1'!$E$45,F53=$E$13,E53*H53*1/'EF-S1'!$E$45,F53=$E$14,E53*H53*'EF-S1'!$C$41*1/'EF-S1'!$E$45*1/'EF-S1'!$E$47,F53=$E$15,E53*H53*'EF-S1'!$D$41*1/'EF-S1'!$E$45))</f>
        <v>#N/A</v>
      </c>
      <c r="L53" s="155" t="e" cm="1">
        <f t="array" ref="L53">+_xlfn.IFS(D53=$C$12,_xlfn.IFS(F53=$E$12,E53*I53*'EF-S1'!$C$38*1/'EF-S1'!$E$45,F53=$E$13,E53*I53*1/'EF-S1'!$E$45,F53=$E$14,E53*I53*'EF-S1'!$C$38*1/'EF-S1'!$E$45*1/'EF-S1'!$E$47,F53=$E$15,E53*I53*'EF-S1'!$D$38*1/'EF-S1'!$E$45),D53=$C$13,_xlfn.IFS(F53=$E$12,E53*I53*'EF-S1'!$C$39*1/'EF-S1'!$E$45,F53=$E$13,E53*I53*1/'EF-S1'!$E$45,F53=$E$14,E53*I53*'EF-S1'!$C$39*1/'EF-S1'!$E$45*1/'EF-S1'!$E$47,F53=$E$15,E53*I53*'EF-S1'!$D$39*1/'EF-S1'!$E$45),D53=$C$14,_xlfn.IFS(F53=$E$12,E53*I53*'EF-S1'!$C$40*1/'EF-S1'!$E$45,F53=$E$13,E53*I53*1/'EF-S1'!$E$45,F53=$E$14,E53*I53*'EF-S1'!$C$40*1/'EF-S1'!$E$45*1/'EF-S1'!$E$47,F53=$E$15,E53*I53*'EF-S1'!$D$40*1/'EF-S1'!$E$45),D53=$C$15,_xlfn.IFS(F53=$E$12,E53*I53*'EF-S1'!$C$41*1/'EF-S1'!$E$45,F53=$E$13,E53*I53*1/'EF-S1'!$E$45,F53=$E$14,E53*I53*'EF-S1'!$C$41*1/'EF-S1'!$E$45*1/'EF-S1'!$E$47,F53=$E$15,E53*I53*'EF-S1'!$D$41*1/'EF-S1'!$E$45))</f>
        <v>#N/A</v>
      </c>
      <c r="M53" s="155" t="e">
        <f t="shared" si="13"/>
        <v>#N/A</v>
      </c>
      <c r="N53" s="155" t="e">
        <f t="shared" si="14"/>
        <v>#N/A</v>
      </c>
      <c r="O53" s="155" t="e">
        <f t="shared" si="15"/>
        <v>#N/A</v>
      </c>
      <c r="P53" s="156">
        <f t="shared" si="7"/>
        <v>0</v>
      </c>
      <c r="T53" s="152"/>
      <c r="U53" s="157"/>
      <c r="V53" s="158"/>
      <c r="W53" s="159"/>
      <c r="X53" s="155" t="e" cm="1">
        <f t="array" ref="X53">+_xlfn.IFS(W53="km",VLOOKUP(U53,'EF-S1'!$J$10:$M$16,2,),W53="l",VLOOKUP(U53,'EF-S1'!$J$26:$M$29,2,))</f>
        <v>#N/A</v>
      </c>
      <c r="Y53" s="155" t="e" cm="1">
        <f t="array" ref="Y53">+_xlfn.IFS(W53="km",VLOOKUP(U53,'EF-S1'!$J$10:$M$16,3,),W53="l",VLOOKUP(U53,'EF-S1'!$J$26:$M$29,3,))</f>
        <v>#N/A</v>
      </c>
      <c r="Z53" s="155" t="e" cm="1">
        <f t="array" ref="Z53">+_xlfn.IFS(W53="km",VLOOKUP(U53,'EF-S1'!$J$10:$M$16,4,),W53="l",VLOOKUP(U53,'EF-S1'!$J$26:$M$29,4,))</f>
        <v>#N/A</v>
      </c>
      <c r="AA53" s="155" t="e">
        <f t="shared" si="17"/>
        <v>#N/A</v>
      </c>
      <c r="AB53" s="155" t="e">
        <f t="shared" si="18"/>
        <v>#N/A</v>
      </c>
      <c r="AC53" s="155" t="e">
        <f t="shared" si="19"/>
        <v>#N/A</v>
      </c>
      <c r="AD53" s="155" t="e">
        <f t="shared" si="20"/>
        <v>#N/A</v>
      </c>
      <c r="AE53" s="155" t="e">
        <f t="shared" si="21"/>
        <v>#N/A</v>
      </c>
      <c r="AF53" s="155" t="e">
        <f t="shared" si="22"/>
        <v>#N/A</v>
      </c>
      <c r="AG53" s="156">
        <f t="shared" si="11"/>
        <v>0</v>
      </c>
      <c r="AK53" s="152"/>
      <c r="AL53" s="160"/>
      <c r="AM53" s="158"/>
      <c r="AN53" s="159" t="s">
        <v>49</v>
      </c>
      <c r="AO53" s="155" t="e">
        <f>+VLOOKUP(AL53,'EF-S1'!$U$10:$V$24,2,)</f>
        <v>#N/A</v>
      </c>
      <c r="AP53" s="155" t="e">
        <f t="shared" si="16"/>
        <v>#N/A</v>
      </c>
      <c r="AQ53" s="156">
        <f t="shared" si="12"/>
        <v>0</v>
      </c>
    </row>
    <row r="54" spans="1:43" x14ac:dyDescent="0.7">
      <c r="C54" s="152"/>
      <c r="D54" s="137"/>
      <c r="E54" s="158"/>
      <c r="F54" s="154"/>
      <c r="G54" s="155" t="e" cm="1">
        <f t="array" ref="G54">+_xlfn.IFS($C$7=$D$12,VLOOKUP(D54,'EF-S1'!$B$10:$E$13,2,),$C$7=$D$13,VLOOKUP(D54,'EF-S1'!$B$17:$E$20,2,),$C$7=$D$14,VLOOKUP(D54,'EF-S1'!$B$24:$E$27,2,),$C$7=$D$15,VLOOKUP(D54,'EF-S1'!$B$31:$E$34,2,))</f>
        <v>#N/A</v>
      </c>
      <c r="H54" s="155" t="e" cm="1">
        <f t="array" ref="H54">+_xlfn.IFS($C$7=$D$12,VLOOKUP(D54,'EF-S1'!$B$10:$E$13,3,),$C$7=$D$13,VLOOKUP(D54,'EF-S1'!$B$17:$E$20,3,),$C$7=$D$14,VLOOKUP(D54,'EF-S1'!$B$24:$E$27,3,),$C$7=$D$15,VLOOKUP(D54,'EF-S1'!$B$31:$E$34,3,))</f>
        <v>#N/A</v>
      </c>
      <c r="I54" s="155" t="e" cm="1">
        <f t="array" ref="I54">+_xlfn.IFS($C$7=$D$12,VLOOKUP(D54,'EF-S1'!$B$10:$E$13,4,),$C$7=$D$13,VLOOKUP(D54,'EF-S1'!$B$17:$E$20,4,),$C$7=$D$14,VLOOKUP(D54,'EF-S1'!$B$24:$E$27,4,),$C$7=$D$15,VLOOKUP(D54,'EF-S1'!$B$31:$E$34,4,))</f>
        <v>#N/A</v>
      </c>
      <c r="J54" s="155" t="e" cm="1">
        <f t="array" ref="J54">+_xlfn.IFS(D54=$C$12,_xlfn.IFS(F54=$E$12,E54*G54*'EF-S1'!$C$38*1/'EF-S1'!$E$45,F54=$E$13,E54*G54*1/'EF-S1'!$E$45,F54=$E$14,E54*G54*'EF-S1'!$C$38*1/'EF-S1'!$E$45*1/'EF-S1'!$E$47,F54=$E$15,E54*G54*'EF-S1'!$D$38*1/'EF-S1'!$E$45),D54=$C$13,_xlfn.IFS(F54=$E$12,E54*G54*'EF-S1'!$C$39*1/'EF-S1'!$E$45,F54=$E$13,E54*G54*1/'EF-S1'!$E$45,F54=$E$14,E54*G54*'EF-S1'!$C$39*1/'EF-S1'!$E$45*1/'EF-S1'!$E$47,F54=$E$15,E54*G54*'EF-S1'!$D$39*1/'EF-S1'!$E$45),D54=$C$14,_xlfn.IFS(F54=$E$12,E54*G54*'EF-S1'!$C$40*1/'EF-S1'!$E$45,F54=$E$13,E54*G54*1/'EF-S1'!$E$45,F54=$E$14,E54*G54*'EF-S1'!$C$40*1/'EF-S1'!$E$45*1/'EF-S1'!$E$47,F54=$E$15,E54*G54*'EF-S1'!$D$40*1/'EF-S1'!$E$45),D54=$C$15,_xlfn.IFS(F54=$E$12,E54*G54*'EF-S1'!$C$41*1/'EF-S1'!$E$45,F54=$E$13,E54*G54*1/'EF-S1'!$E$45,F54=$E$14,E54*G54*'EF-S1'!$C$41*1/'EF-S1'!$E$45*1/'EF-S1'!$E$47,F54=$E$15,E54*G54*'EF-S1'!$D$41*1/'EF-S1'!$E$45))</f>
        <v>#N/A</v>
      </c>
      <c r="K54" s="155" t="e" cm="1">
        <f t="array" ref="K54">+_xlfn.IFS(D54=$C$12,_xlfn.IFS(F54=$E$12,E54*H54*'EF-S1'!$C$38*1/'EF-S1'!$E$45,F54=$E$13,E54*H54*1/'EF-S1'!$E$45,F54=$E$14,E54*H54*'EF-S1'!$C$38*1/'EF-S1'!$E$45*1/'EF-S1'!$E$47,F54=$E$15,E54*H54*'EF-S1'!$D$38*1/'EF-S1'!$E$45),D54=$C$13,_xlfn.IFS(F54=$E$12,E54*H54*'EF-S1'!$C$39*1/'EF-S1'!$E$45,F54=$E$13,E54*H54*1/'EF-S1'!$E$45,F54=$E$14,E54*H54*'EF-S1'!$C$39*1/'EF-S1'!$E$45*1/'EF-S1'!$E$47,F54=$E$15,E54*H54*'EF-S1'!$D$39*1/'EF-S1'!$E$45),D54=$C$14,_xlfn.IFS(F54=$E$12,E54*H54*'EF-S1'!$C$40*1/'EF-S1'!$E$45,F54=$E$13,E54*H54*1/'EF-S1'!$E$45,F54=$E$14,E54*H54*'EF-S1'!$C$40*1/'EF-S1'!$E$45*1/'EF-S1'!$E$47,F54=$E$15,E54*H54*'EF-S1'!$D$40*1/'EF-S1'!$E$45),D54=$C$15,_xlfn.IFS(F54=$E$12,E54*H54*'EF-S1'!$C$41*1/'EF-S1'!$E$45,F54=$E$13,E54*H54*1/'EF-S1'!$E$45,F54=$E$14,E54*H54*'EF-S1'!$C$41*1/'EF-S1'!$E$45*1/'EF-S1'!$E$47,F54=$E$15,E54*H54*'EF-S1'!$D$41*1/'EF-S1'!$E$45))</f>
        <v>#N/A</v>
      </c>
      <c r="L54" s="155" t="e" cm="1">
        <f t="array" ref="L54">+_xlfn.IFS(D54=$C$12,_xlfn.IFS(F54=$E$12,E54*I54*'EF-S1'!$C$38*1/'EF-S1'!$E$45,F54=$E$13,E54*I54*1/'EF-S1'!$E$45,F54=$E$14,E54*I54*'EF-S1'!$C$38*1/'EF-S1'!$E$45*1/'EF-S1'!$E$47,F54=$E$15,E54*I54*'EF-S1'!$D$38*1/'EF-S1'!$E$45),D54=$C$13,_xlfn.IFS(F54=$E$12,E54*I54*'EF-S1'!$C$39*1/'EF-S1'!$E$45,F54=$E$13,E54*I54*1/'EF-S1'!$E$45,F54=$E$14,E54*I54*'EF-S1'!$C$39*1/'EF-S1'!$E$45*1/'EF-S1'!$E$47,F54=$E$15,E54*I54*'EF-S1'!$D$39*1/'EF-S1'!$E$45),D54=$C$14,_xlfn.IFS(F54=$E$12,E54*I54*'EF-S1'!$C$40*1/'EF-S1'!$E$45,F54=$E$13,E54*I54*1/'EF-S1'!$E$45,F54=$E$14,E54*I54*'EF-S1'!$C$40*1/'EF-S1'!$E$45*1/'EF-S1'!$E$47,F54=$E$15,E54*I54*'EF-S1'!$D$40*1/'EF-S1'!$E$45),D54=$C$15,_xlfn.IFS(F54=$E$12,E54*I54*'EF-S1'!$C$41*1/'EF-S1'!$E$45,F54=$E$13,E54*I54*1/'EF-S1'!$E$45,F54=$E$14,E54*I54*'EF-S1'!$C$41*1/'EF-S1'!$E$45*1/'EF-S1'!$E$47,F54=$E$15,E54*I54*'EF-S1'!$D$41*1/'EF-S1'!$E$45))</f>
        <v>#N/A</v>
      </c>
      <c r="M54" s="155" t="e">
        <f t="shared" si="13"/>
        <v>#N/A</v>
      </c>
      <c r="N54" s="155" t="e">
        <f t="shared" si="14"/>
        <v>#N/A</v>
      </c>
      <c r="O54" s="155" t="e">
        <f t="shared" si="15"/>
        <v>#N/A</v>
      </c>
      <c r="P54" s="156">
        <f t="shared" si="7"/>
        <v>0</v>
      </c>
      <c r="T54" s="152"/>
      <c r="U54" s="157"/>
      <c r="V54" s="158"/>
      <c r="W54" s="159"/>
      <c r="X54" s="155" t="e" cm="1">
        <f t="array" ref="X54">+_xlfn.IFS(W54="km",VLOOKUP(U54,'EF-S1'!$J$10:$M$16,2,),W54="l",VLOOKUP(U54,'EF-S1'!$J$26:$M$29,2,))</f>
        <v>#N/A</v>
      </c>
      <c r="Y54" s="155" t="e" cm="1">
        <f t="array" ref="Y54">+_xlfn.IFS(W54="km",VLOOKUP(U54,'EF-S1'!$J$10:$M$16,3,),W54="l",VLOOKUP(U54,'EF-S1'!$J$26:$M$29,3,))</f>
        <v>#N/A</v>
      </c>
      <c r="Z54" s="155" t="e" cm="1">
        <f t="array" ref="Z54">+_xlfn.IFS(W54="km",VLOOKUP(U54,'EF-S1'!$J$10:$M$16,4,),W54="l",VLOOKUP(U54,'EF-S1'!$J$26:$M$29,4,))</f>
        <v>#N/A</v>
      </c>
      <c r="AA54" s="155" t="e">
        <f t="shared" si="17"/>
        <v>#N/A</v>
      </c>
      <c r="AB54" s="155" t="e">
        <f t="shared" si="18"/>
        <v>#N/A</v>
      </c>
      <c r="AC54" s="155" t="e">
        <f t="shared" si="19"/>
        <v>#N/A</v>
      </c>
      <c r="AD54" s="155" t="e">
        <f t="shared" si="20"/>
        <v>#N/A</v>
      </c>
      <c r="AE54" s="155" t="e">
        <f t="shared" si="21"/>
        <v>#N/A</v>
      </c>
      <c r="AF54" s="155" t="e">
        <f t="shared" si="22"/>
        <v>#N/A</v>
      </c>
      <c r="AG54" s="156">
        <f t="shared" si="11"/>
        <v>0</v>
      </c>
      <c r="AK54" s="152"/>
      <c r="AL54" s="160"/>
      <c r="AM54" s="158"/>
      <c r="AN54" s="159" t="s">
        <v>49</v>
      </c>
      <c r="AO54" s="155" t="e">
        <f>+VLOOKUP(AL54,'EF-S1'!$U$10:$V$24,2,)</f>
        <v>#N/A</v>
      </c>
      <c r="AP54" s="155" t="e">
        <f t="shared" si="16"/>
        <v>#N/A</v>
      </c>
      <c r="AQ54" s="156">
        <f t="shared" si="12"/>
        <v>0</v>
      </c>
    </row>
    <row r="55" spans="1:43" x14ac:dyDescent="0.7">
      <c r="C55" s="152"/>
      <c r="D55" s="137"/>
      <c r="E55" s="158"/>
      <c r="F55" s="154"/>
      <c r="G55" s="155" t="e" cm="1">
        <f t="array" ref="G55">+_xlfn.IFS($C$7=$D$12,VLOOKUP(D55,'EF-S1'!$B$10:$E$13,2,),$C$7=$D$13,VLOOKUP(D55,'EF-S1'!$B$17:$E$20,2,),$C$7=$D$14,VLOOKUP(D55,'EF-S1'!$B$24:$E$27,2,),$C$7=$D$15,VLOOKUP(D55,'EF-S1'!$B$31:$E$34,2,))</f>
        <v>#N/A</v>
      </c>
      <c r="H55" s="155" t="e" cm="1">
        <f t="array" ref="H55">+_xlfn.IFS($C$7=$D$12,VLOOKUP(D55,'EF-S1'!$B$10:$E$13,3,),$C$7=$D$13,VLOOKUP(D55,'EF-S1'!$B$17:$E$20,3,),$C$7=$D$14,VLOOKUP(D55,'EF-S1'!$B$24:$E$27,3,),$C$7=$D$15,VLOOKUP(D55,'EF-S1'!$B$31:$E$34,3,))</f>
        <v>#N/A</v>
      </c>
      <c r="I55" s="155" t="e" cm="1">
        <f t="array" ref="I55">+_xlfn.IFS($C$7=$D$12,VLOOKUP(D55,'EF-S1'!$B$10:$E$13,4,),$C$7=$D$13,VLOOKUP(D55,'EF-S1'!$B$17:$E$20,4,),$C$7=$D$14,VLOOKUP(D55,'EF-S1'!$B$24:$E$27,4,),$C$7=$D$15,VLOOKUP(D55,'EF-S1'!$B$31:$E$34,4,))</f>
        <v>#N/A</v>
      </c>
      <c r="J55" s="155" t="e" cm="1">
        <f t="array" ref="J55">+_xlfn.IFS(D55=$C$12,_xlfn.IFS(F55=$E$12,E55*G55*'EF-S1'!$C$38*1/'EF-S1'!$E$45,F55=$E$13,E55*G55*1/'EF-S1'!$E$45,F55=$E$14,E55*G55*'EF-S1'!$C$38*1/'EF-S1'!$E$45*1/'EF-S1'!$E$47,F55=$E$15,E55*G55*'EF-S1'!$D$38*1/'EF-S1'!$E$45),D55=$C$13,_xlfn.IFS(F55=$E$12,E55*G55*'EF-S1'!$C$39*1/'EF-S1'!$E$45,F55=$E$13,E55*G55*1/'EF-S1'!$E$45,F55=$E$14,E55*G55*'EF-S1'!$C$39*1/'EF-S1'!$E$45*1/'EF-S1'!$E$47,F55=$E$15,E55*G55*'EF-S1'!$D$39*1/'EF-S1'!$E$45),D55=$C$14,_xlfn.IFS(F55=$E$12,E55*G55*'EF-S1'!$C$40*1/'EF-S1'!$E$45,F55=$E$13,E55*G55*1/'EF-S1'!$E$45,F55=$E$14,E55*G55*'EF-S1'!$C$40*1/'EF-S1'!$E$45*1/'EF-S1'!$E$47,F55=$E$15,E55*G55*'EF-S1'!$D$40*1/'EF-S1'!$E$45),D55=$C$15,_xlfn.IFS(F55=$E$12,E55*G55*'EF-S1'!$C$41*1/'EF-S1'!$E$45,F55=$E$13,E55*G55*1/'EF-S1'!$E$45,F55=$E$14,E55*G55*'EF-S1'!$C$41*1/'EF-S1'!$E$45*1/'EF-S1'!$E$47,F55=$E$15,E55*G55*'EF-S1'!$D$41*1/'EF-S1'!$E$45))</f>
        <v>#N/A</v>
      </c>
      <c r="K55" s="155" t="e" cm="1">
        <f t="array" ref="K55">+_xlfn.IFS(D55=$C$12,_xlfn.IFS(F55=$E$12,E55*H55*'EF-S1'!$C$38*1/'EF-S1'!$E$45,F55=$E$13,E55*H55*1/'EF-S1'!$E$45,F55=$E$14,E55*H55*'EF-S1'!$C$38*1/'EF-S1'!$E$45*1/'EF-S1'!$E$47,F55=$E$15,E55*H55*'EF-S1'!$D$38*1/'EF-S1'!$E$45),D55=$C$13,_xlfn.IFS(F55=$E$12,E55*H55*'EF-S1'!$C$39*1/'EF-S1'!$E$45,F55=$E$13,E55*H55*1/'EF-S1'!$E$45,F55=$E$14,E55*H55*'EF-S1'!$C$39*1/'EF-S1'!$E$45*1/'EF-S1'!$E$47,F55=$E$15,E55*H55*'EF-S1'!$D$39*1/'EF-S1'!$E$45),D55=$C$14,_xlfn.IFS(F55=$E$12,E55*H55*'EF-S1'!$C$40*1/'EF-S1'!$E$45,F55=$E$13,E55*H55*1/'EF-S1'!$E$45,F55=$E$14,E55*H55*'EF-S1'!$C$40*1/'EF-S1'!$E$45*1/'EF-S1'!$E$47,F55=$E$15,E55*H55*'EF-S1'!$D$40*1/'EF-S1'!$E$45),D55=$C$15,_xlfn.IFS(F55=$E$12,E55*H55*'EF-S1'!$C$41*1/'EF-S1'!$E$45,F55=$E$13,E55*H55*1/'EF-S1'!$E$45,F55=$E$14,E55*H55*'EF-S1'!$C$41*1/'EF-S1'!$E$45*1/'EF-S1'!$E$47,F55=$E$15,E55*H55*'EF-S1'!$D$41*1/'EF-S1'!$E$45))</f>
        <v>#N/A</v>
      </c>
      <c r="L55" s="155" t="e" cm="1">
        <f t="array" ref="L55">+_xlfn.IFS(D55=$C$12,_xlfn.IFS(F55=$E$12,E55*I55*'EF-S1'!$C$38*1/'EF-S1'!$E$45,F55=$E$13,E55*I55*1/'EF-S1'!$E$45,F55=$E$14,E55*I55*'EF-S1'!$C$38*1/'EF-S1'!$E$45*1/'EF-S1'!$E$47,F55=$E$15,E55*I55*'EF-S1'!$D$38*1/'EF-S1'!$E$45),D55=$C$13,_xlfn.IFS(F55=$E$12,E55*I55*'EF-S1'!$C$39*1/'EF-S1'!$E$45,F55=$E$13,E55*I55*1/'EF-S1'!$E$45,F55=$E$14,E55*I55*'EF-S1'!$C$39*1/'EF-S1'!$E$45*1/'EF-S1'!$E$47,F55=$E$15,E55*I55*'EF-S1'!$D$39*1/'EF-S1'!$E$45),D55=$C$14,_xlfn.IFS(F55=$E$12,E55*I55*'EF-S1'!$C$40*1/'EF-S1'!$E$45,F55=$E$13,E55*I55*1/'EF-S1'!$E$45,F55=$E$14,E55*I55*'EF-S1'!$C$40*1/'EF-S1'!$E$45*1/'EF-S1'!$E$47,F55=$E$15,E55*I55*'EF-S1'!$D$40*1/'EF-S1'!$E$45),D55=$C$15,_xlfn.IFS(F55=$E$12,E55*I55*'EF-S1'!$C$41*1/'EF-S1'!$E$45,F55=$E$13,E55*I55*1/'EF-S1'!$E$45,F55=$E$14,E55*I55*'EF-S1'!$C$41*1/'EF-S1'!$E$45*1/'EF-S1'!$E$47,F55=$E$15,E55*I55*'EF-S1'!$D$41*1/'EF-S1'!$E$45))</f>
        <v>#N/A</v>
      </c>
      <c r="M55" s="155" t="e">
        <f t="shared" si="13"/>
        <v>#N/A</v>
      </c>
      <c r="N55" s="155" t="e">
        <f t="shared" si="14"/>
        <v>#N/A</v>
      </c>
      <c r="O55" s="155" t="e">
        <f t="shared" si="15"/>
        <v>#N/A</v>
      </c>
      <c r="P55" s="156">
        <f t="shared" si="7"/>
        <v>0</v>
      </c>
      <c r="T55" s="152"/>
      <c r="U55" s="157"/>
      <c r="V55" s="158"/>
      <c r="W55" s="159"/>
      <c r="X55" s="155" t="e" cm="1">
        <f t="array" ref="X55">+_xlfn.IFS(W55="km",VLOOKUP(U55,'EF-S1'!$J$10:$M$16,2,),W55="l",VLOOKUP(U55,'EF-S1'!$J$26:$M$29,2,))</f>
        <v>#N/A</v>
      </c>
      <c r="Y55" s="155" t="e" cm="1">
        <f t="array" ref="Y55">+_xlfn.IFS(W55="km",VLOOKUP(U55,'EF-S1'!$J$10:$M$16,3,),W55="l",VLOOKUP(U55,'EF-S1'!$J$26:$M$29,3,))</f>
        <v>#N/A</v>
      </c>
      <c r="Z55" s="155" t="e" cm="1">
        <f t="array" ref="Z55">+_xlfn.IFS(W55="km",VLOOKUP(U55,'EF-S1'!$J$10:$M$16,4,),W55="l",VLOOKUP(U55,'EF-S1'!$J$26:$M$29,4,))</f>
        <v>#N/A</v>
      </c>
      <c r="AA55" s="155" t="e">
        <f t="shared" si="17"/>
        <v>#N/A</v>
      </c>
      <c r="AB55" s="155" t="e">
        <f t="shared" si="18"/>
        <v>#N/A</v>
      </c>
      <c r="AC55" s="155" t="e">
        <f t="shared" si="19"/>
        <v>#N/A</v>
      </c>
      <c r="AD55" s="155" t="e">
        <f t="shared" si="20"/>
        <v>#N/A</v>
      </c>
      <c r="AE55" s="155" t="e">
        <f t="shared" si="21"/>
        <v>#N/A</v>
      </c>
      <c r="AF55" s="155" t="e">
        <f t="shared" si="22"/>
        <v>#N/A</v>
      </c>
      <c r="AG55" s="156">
        <f t="shared" si="11"/>
        <v>0</v>
      </c>
      <c r="AK55" s="152"/>
      <c r="AL55" s="160"/>
      <c r="AM55" s="158"/>
      <c r="AN55" s="159" t="s">
        <v>49</v>
      </c>
      <c r="AO55" s="155" t="e">
        <f>+VLOOKUP(AL55,'EF-S1'!$U$10:$V$24,2,)</f>
        <v>#N/A</v>
      </c>
      <c r="AP55" s="155" t="e">
        <f t="shared" si="16"/>
        <v>#N/A</v>
      </c>
      <c r="AQ55" s="156">
        <f t="shared" si="12"/>
        <v>0</v>
      </c>
    </row>
    <row r="56" spans="1:43" x14ac:dyDescent="0.7">
      <c r="C56" s="152"/>
      <c r="D56" s="137"/>
      <c r="E56" s="158"/>
      <c r="F56" s="154"/>
      <c r="G56" s="155" t="e" cm="1">
        <f t="array" ref="G56">+_xlfn.IFS($C$7=$D$12,VLOOKUP(D56,'EF-S1'!$B$10:$E$13,2,),$C$7=$D$13,VLOOKUP(D56,'EF-S1'!$B$17:$E$20,2,),$C$7=$D$14,VLOOKUP(D56,'EF-S1'!$B$24:$E$27,2,),$C$7=$D$15,VLOOKUP(D56,'EF-S1'!$B$31:$E$34,2,))</f>
        <v>#N/A</v>
      </c>
      <c r="H56" s="155" t="e" cm="1">
        <f t="array" ref="H56">+_xlfn.IFS($C$7=$D$12,VLOOKUP(D56,'EF-S1'!$B$10:$E$13,3,),$C$7=$D$13,VLOOKUP(D56,'EF-S1'!$B$17:$E$20,3,),$C$7=$D$14,VLOOKUP(D56,'EF-S1'!$B$24:$E$27,3,),$C$7=$D$15,VLOOKUP(D56,'EF-S1'!$B$31:$E$34,3,))</f>
        <v>#N/A</v>
      </c>
      <c r="I56" s="155" t="e" cm="1">
        <f t="array" ref="I56">+_xlfn.IFS($C$7=$D$12,VLOOKUP(D56,'EF-S1'!$B$10:$E$13,4,),$C$7=$D$13,VLOOKUP(D56,'EF-S1'!$B$17:$E$20,4,),$C$7=$D$14,VLOOKUP(D56,'EF-S1'!$B$24:$E$27,4,),$C$7=$D$15,VLOOKUP(D56,'EF-S1'!$B$31:$E$34,4,))</f>
        <v>#N/A</v>
      </c>
      <c r="J56" s="155" t="e" cm="1">
        <f t="array" ref="J56">+_xlfn.IFS(D56=$C$12,_xlfn.IFS(F56=$E$12,E56*G56*'EF-S1'!$C$38*1/'EF-S1'!$E$45,F56=$E$13,E56*G56*1/'EF-S1'!$E$45,F56=$E$14,E56*G56*'EF-S1'!$C$38*1/'EF-S1'!$E$45*1/'EF-S1'!$E$47,F56=$E$15,E56*G56*'EF-S1'!$D$38*1/'EF-S1'!$E$45),D56=$C$13,_xlfn.IFS(F56=$E$12,E56*G56*'EF-S1'!$C$39*1/'EF-S1'!$E$45,F56=$E$13,E56*G56*1/'EF-S1'!$E$45,F56=$E$14,E56*G56*'EF-S1'!$C$39*1/'EF-S1'!$E$45*1/'EF-S1'!$E$47,F56=$E$15,E56*G56*'EF-S1'!$D$39*1/'EF-S1'!$E$45),D56=$C$14,_xlfn.IFS(F56=$E$12,E56*G56*'EF-S1'!$C$40*1/'EF-S1'!$E$45,F56=$E$13,E56*G56*1/'EF-S1'!$E$45,F56=$E$14,E56*G56*'EF-S1'!$C$40*1/'EF-S1'!$E$45*1/'EF-S1'!$E$47,F56=$E$15,E56*G56*'EF-S1'!$D$40*1/'EF-S1'!$E$45),D56=$C$15,_xlfn.IFS(F56=$E$12,E56*G56*'EF-S1'!$C$41*1/'EF-S1'!$E$45,F56=$E$13,E56*G56*1/'EF-S1'!$E$45,F56=$E$14,E56*G56*'EF-S1'!$C$41*1/'EF-S1'!$E$45*1/'EF-S1'!$E$47,F56=$E$15,E56*G56*'EF-S1'!$D$41*1/'EF-S1'!$E$45))</f>
        <v>#N/A</v>
      </c>
      <c r="K56" s="155" t="e" cm="1">
        <f t="array" ref="K56">+_xlfn.IFS(D56=$C$12,_xlfn.IFS(F56=$E$12,E56*H56*'EF-S1'!$C$38*1/'EF-S1'!$E$45,F56=$E$13,E56*H56*1/'EF-S1'!$E$45,F56=$E$14,E56*H56*'EF-S1'!$C$38*1/'EF-S1'!$E$45*1/'EF-S1'!$E$47,F56=$E$15,E56*H56*'EF-S1'!$D$38*1/'EF-S1'!$E$45),D56=$C$13,_xlfn.IFS(F56=$E$12,E56*H56*'EF-S1'!$C$39*1/'EF-S1'!$E$45,F56=$E$13,E56*H56*1/'EF-S1'!$E$45,F56=$E$14,E56*H56*'EF-S1'!$C$39*1/'EF-S1'!$E$45*1/'EF-S1'!$E$47,F56=$E$15,E56*H56*'EF-S1'!$D$39*1/'EF-S1'!$E$45),D56=$C$14,_xlfn.IFS(F56=$E$12,E56*H56*'EF-S1'!$C$40*1/'EF-S1'!$E$45,F56=$E$13,E56*H56*1/'EF-S1'!$E$45,F56=$E$14,E56*H56*'EF-S1'!$C$40*1/'EF-S1'!$E$45*1/'EF-S1'!$E$47,F56=$E$15,E56*H56*'EF-S1'!$D$40*1/'EF-S1'!$E$45),D56=$C$15,_xlfn.IFS(F56=$E$12,E56*H56*'EF-S1'!$C$41*1/'EF-S1'!$E$45,F56=$E$13,E56*H56*1/'EF-S1'!$E$45,F56=$E$14,E56*H56*'EF-S1'!$C$41*1/'EF-S1'!$E$45*1/'EF-S1'!$E$47,F56=$E$15,E56*H56*'EF-S1'!$D$41*1/'EF-S1'!$E$45))</f>
        <v>#N/A</v>
      </c>
      <c r="L56" s="155" t="e" cm="1">
        <f t="array" ref="L56">+_xlfn.IFS(D56=$C$12,_xlfn.IFS(F56=$E$12,E56*I56*'EF-S1'!$C$38*1/'EF-S1'!$E$45,F56=$E$13,E56*I56*1/'EF-S1'!$E$45,F56=$E$14,E56*I56*'EF-S1'!$C$38*1/'EF-S1'!$E$45*1/'EF-S1'!$E$47,F56=$E$15,E56*I56*'EF-S1'!$D$38*1/'EF-S1'!$E$45),D56=$C$13,_xlfn.IFS(F56=$E$12,E56*I56*'EF-S1'!$C$39*1/'EF-S1'!$E$45,F56=$E$13,E56*I56*1/'EF-S1'!$E$45,F56=$E$14,E56*I56*'EF-S1'!$C$39*1/'EF-S1'!$E$45*1/'EF-S1'!$E$47,F56=$E$15,E56*I56*'EF-S1'!$D$39*1/'EF-S1'!$E$45),D56=$C$14,_xlfn.IFS(F56=$E$12,E56*I56*'EF-S1'!$C$40*1/'EF-S1'!$E$45,F56=$E$13,E56*I56*1/'EF-S1'!$E$45,F56=$E$14,E56*I56*'EF-S1'!$C$40*1/'EF-S1'!$E$45*1/'EF-S1'!$E$47,F56=$E$15,E56*I56*'EF-S1'!$D$40*1/'EF-S1'!$E$45),D56=$C$15,_xlfn.IFS(F56=$E$12,E56*I56*'EF-S1'!$C$41*1/'EF-S1'!$E$45,F56=$E$13,E56*I56*1/'EF-S1'!$E$45,F56=$E$14,E56*I56*'EF-S1'!$C$41*1/'EF-S1'!$E$45*1/'EF-S1'!$E$47,F56=$E$15,E56*I56*'EF-S1'!$D$41*1/'EF-S1'!$E$45))</f>
        <v>#N/A</v>
      </c>
      <c r="M56" s="155" t="e">
        <f t="shared" si="13"/>
        <v>#N/A</v>
      </c>
      <c r="N56" s="155" t="e">
        <f t="shared" si="14"/>
        <v>#N/A</v>
      </c>
      <c r="O56" s="155" t="e">
        <f t="shared" si="15"/>
        <v>#N/A</v>
      </c>
      <c r="P56" s="156">
        <f t="shared" si="7"/>
        <v>0</v>
      </c>
      <c r="T56" s="152"/>
      <c r="U56" s="157"/>
      <c r="V56" s="158"/>
      <c r="W56" s="159"/>
      <c r="X56" s="155" t="e" cm="1">
        <f t="array" ref="X56">+_xlfn.IFS(W56="km",VLOOKUP(U56,'EF-S1'!$J$10:$M$16,2,),W56="l",VLOOKUP(U56,'EF-S1'!$J$26:$M$29,2,))</f>
        <v>#N/A</v>
      </c>
      <c r="Y56" s="155" t="e" cm="1">
        <f t="array" ref="Y56">+_xlfn.IFS(W56="km",VLOOKUP(U56,'EF-S1'!$J$10:$M$16,3,),W56="l",VLOOKUP(U56,'EF-S1'!$J$26:$M$29,3,))</f>
        <v>#N/A</v>
      </c>
      <c r="Z56" s="155" t="e" cm="1">
        <f t="array" ref="Z56">+_xlfn.IFS(W56="km",VLOOKUP(U56,'EF-S1'!$J$10:$M$16,4,),W56="l",VLOOKUP(U56,'EF-S1'!$J$26:$M$29,4,))</f>
        <v>#N/A</v>
      </c>
      <c r="AA56" s="155" t="e">
        <f t="shared" si="17"/>
        <v>#N/A</v>
      </c>
      <c r="AB56" s="155" t="e">
        <f t="shared" si="18"/>
        <v>#N/A</v>
      </c>
      <c r="AC56" s="155" t="e">
        <f t="shared" si="19"/>
        <v>#N/A</v>
      </c>
      <c r="AD56" s="155" t="e">
        <f t="shared" si="20"/>
        <v>#N/A</v>
      </c>
      <c r="AE56" s="155" t="e">
        <f t="shared" si="21"/>
        <v>#N/A</v>
      </c>
      <c r="AF56" s="155" t="e">
        <f t="shared" si="22"/>
        <v>#N/A</v>
      </c>
      <c r="AG56" s="156">
        <f t="shared" si="11"/>
        <v>0</v>
      </c>
      <c r="AK56" s="152"/>
      <c r="AL56" s="160"/>
      <c r="AM56" s="158"/>
      <c r="AN56" s="159" t="s">
        <v>49</v>
      </c>
      <c r="AO56" s="155" t="e">
        <f>+VLOOKUP(AL56,'EF-S1'!$U$10:$V$24,2,)</f>
        <v>#N/A</v>
      </c>
      <c r="AP56" s="155" t="e">
        <f t="shared" si="16"/>
        <v>#N/A</v>
      </c>
      <c r="AQ56" s="156">
        <f t="shared" si="12"/>
        <v>0</v>
      </c>
    </row>
    <row r="57" spans="1:43" x14ac:dyDescent="0.7">
      <c r="C57" s="152"/>
      <c r="D57" s="137"/>
      <c r="E57" s="158"/>
      <c r="F57" s="154"/>
      <c r="G57" s="155" t="e" cm="1">
        <f t="array" ref="G57">+_xlfn.IFS($C$7=$D$12,VLOOKUP(D57,'EF-S1'!$B$10:$E$13,2,),$C$7=$D$13,VLOOKUP(D57,'EF-S1'!$B$17:$E$20,2,),$C$7=$D$14,VLOOKUP(D57,'EF-S1'!$B$24:$E$27,2,),$C$7=$D$15,VLOOKUP(D57,'EF-S1'!$B$31:$E$34,2,))</f>
        <v>#N/A</v>
      </c>
      <c r="H57" s="155" t="e" cm="1">
        <f t="array" ref="H57">+_xlfn.IFS($C$7=$D$12,VLOOKUP(D57,'EF-S1'!$B$10:$E$13,3,),$C$7=$D$13,VLOOKUP(D57,'EF-S1'!$B$17:$E$20,3,),$C$7=$D$14,VLOOKUP(D57,'EF-S1'!$B$24:$E$27,3,),$C$7=$D$15,VLOOKUP(D57,'EF-S1'!$B$31:$E$34,3,))</f>
        <v>#N/A</v>
      </c>
      <c r="I57" s="155" t="e" cm="1">
        <f t="array" ref="I57">+_xlfn.IFS($C$7=$D$12,VLOOKUP(D57,'EF-S1'!$B$10:$E$13,4,),$C$7=$D$13,VLOOKUP(D57,'EF-S1'!$B$17:$E$20,4,),$C$7=$D$14,VLOOKUP(D57,'EF-S1'!$B$24:$E$27,4,),$C$7=$D$15,VLOOKUP(D57,'EF-S1'!$B$31:$E$34,4,))</f>
        <v>#N/A</v>
      </c>
      <c r="J57" s="155" t="e" cm="1">
        <f t="array" ref="J57">+_xlfn.IFS(D57=$C$12,_xlfn.IFS(F57=$E$12,E57*G57*'EF-S1'!$C$38*1/'EF-S1'!$E$45,F57=$E$13,E57*G57*1/'EF-S1'!$E$45,F57=$E$14,E57*G57*'EF-S1'!$C$38*1/'EF-S1'!$E$45*1/'EF-S1'!$E$47,F57=$E$15,E57*G57*'EF-S1'!$D$38*1/'EF-S1'!$E$45),D57=$C$13,_xlfn.IFS(F57=$E$12,E57*G57*'EF-S1'!$C$39*1/'EF-S1'!$E$45,F57=$E$13,E57*G57*1/'EF-S1'!$E$45,F57=$E$14,E57*G57*'EF-S1'!$C$39*1/'EF-S1'!$E$45*1/'EF-S1'!$E$47,F57=$E$15,E57*G57*'EF-S1'!$D$39*1/'EF-S1'!$E$45),D57=$C$14,_xlfn.IFS(F57=$E$12,E57*G57*'EF-S1'!$C$40*1/'EF-S1'!$E$45,F57=$E$13,E57*G57*1/'EF-S1'!$E$45,F57=$E$14,E57*G57*'EF-S1'!$C$40*1/'EF-S1'!$E$45*1/'EF-S1'!$E$47,F57=$E$15,E57*G57*'EF-S1'!$D$40*1/'EF-S1'!$E$45),D57=$C$15,_xlfn.IFS(F57=$E$12,E57*G57*'EF-S1'!$C$41*1/'EF-S1'!$E$45,F57=$E$13,E57*G57*1/'EF-S1'!$E$45,F57=$E$14,E57*G57*'EF-S1'!$C$41*1/'EF-S1'!$E$45*1/'EF-S1'!$E$47,F57=$E$15,E57*G57*'EF-S1'!$D$41*1/'EF-S1'!$E$45))</f>
        <v>#N/A</v>
      </c>
      <c r="K57" s="155" t="e" cm="1">
        <f t="array" ref="K57">+_xlfn.IFS(D57=$C$12,_xlfn.IFS(F57=$E$12,E57*H57*'EF-S1'!$C$38*1/'EF-S1'!$E$45,F57=$E$13,E57*H57*1/'EF-S1'!$E$45,F57=$E$14,E57*H57*'EF-S1'!$C$38*1/'EF-S1'!$E$45*1/'EF-S1'!$E$47,F57=$E$15,E57*H57*'EF-S1'!$D$38*1/'EF-S1'!$E$45),D57=$C$13,_xlfn.IFS(F57=$E$12,E57*H57*'EF-S1'!$C$39*1/'EF-S1'!$E$45,F57=$E$13,E57*H57*1/'EF-S1'!$E$45,F57=$E$14,E57*H57*'EF-S1'!$C$39*1/'EF-S1'!$E$45*1/'EF-S1'!$E$47,F57=$E$15,E57*H57*'EF-S1'!$D$39*1/'EF-S1'!$E$45),D57=$C$14,_xlfn.IFS(F57=$E$12,E57*H57*'EF-S1'!$C$40*1/'EF-S1'!$E$45,F57=$E$13,E57*H57*1/'EF-S1'!$E$45,F57=$E$14,E57*H57*'EF-S1'!$C$40*1/'EF-S1'!$E$45*1/'EF-S1'!$E$47,F57=$E$15,E57*H57*'EF-S1'!$D$40*1/'EF-S1'!$E$45),D57=$C$15,_xlfn.IFS(F57=$E$12,E57*H57*'EF-S1'!$C$41*1/'EF-S1'!$E$45,F57=$E$13,E57*H57*1/'EF-S1'!$E$45,F57=$E$14,E57*H57*'EF-S1'!$C$41*1/'EF-S1'!$E$45*1/'EF-S1'!$E$47,F57=$E$15,E57*H57*'EF-S1'!$D$41*1/'EF-S1'!$E$45))</f>
        <v>#N/A</v>
      </c>
      <c r="L57" s="155" t="e" cm="1">
        <f t="array" ref="L57">+_xlfn.IFS(D57=$C$12,_xlfn.IFS(F57=$E$12,E57*I57*'EF-S1'!$C$38*1/'EF-S1'!$E$45,F57=$E$13,E57*I57*1/'EF-S1'!$E$45,F57=$E$14,E57*I57*'EF-S1'!$C$38*1/'EF-S1'!$E$45*1/'EF-S1'!$E$47,F57=$E$15,E57*I57*'EF-S1'!$D$38*1/'EF-S1'!$E$45),D57=$C$13,_xlfn.IFS(F57=$E$12,E57*I57*'EF-S1'!$C$39*1/'EF-S1'!$E$45,F57=$E$13,E57*I57*1/'EF-S1'!$E$45,F57=$E$14,E57*I57*'EF-S1'!$C$39*1/'EF-S1'!$E$45*1/'EF-S1'!$E$47,F57=$E$15,E57*I57*'EF-S1'!$D$39*1/'EF-S1'!$E$45),D57=$C$14,_xlfn.IFS(F57=$E$12,E57*I57*'EF-S1'!$C$40*1/'EF-S1'!$E$45,F57=$E$13,E57*I57*1/'EF-S1'!$E$45,F57=$E$14,E57*I57*'EF-S1'!$C$40*1/'EF-S1'!$E$45*1/'EF-S1'!$E$47,F57=$E$15,E57*I57*'EF-S1'!$D$40*1/'EF-S1'!$E$45),D57=$C$15,_xlfn.IFS(F57=$E$12,E57*I57*'EF-S1'!$C$41*1/'EF-S1'!$E$45,F57=$E$13,E57*I57*1/'EF-S1'!$E$45,F57=$E$14,E57*I57*'EF-S1'!$C$41*1/'EF-S1'!$E$45*1/'EF-S1'!$E$47,F57=$E$15,E57*I57*'EF-S1'!$D$41*1/'EF-S1'!$E$45))</f>
        <v>#N/A</v>
      </c>
      <c r="M57" s="155" t="e">
        <f t="shared" si="13"/>
        <v>#N/A</v>
      </c>
      <c r="N57" s="155" t="e">
        <f t="shared" si="14"/>
        <v>#N/A</v>
      </c>
      <c r="O57" s="155" t="e">
        <f t="shared" si="15"/>
        <v>#N/A</v>
      </c>
      <c r="P57" s="156">
        <f t="shared" si="7"/>
        <v>0</v>
      </c>
      <c r="T57" s="152"/>
      <c r="U57" s="157"/>
      <c r="V57" s="158"/>
      <c r="W57" s="159"/>
      <c r="X57" s="155" t="e" cm="1">
        <f t="array" ref="X57">+_xlfn.IFS(W57="km",VLOOKUP(U57,'EF-S1'!$J$10:$M$16,2,),W57="l",VLOOKUP(U57,'EF-S1'!$J$26:$M$29,2,))</f>
        <v>#N/A</v>
      </c>
      <c r="Y57" s="155" t="e" cm="1">
        <f t="array" ref="Y57">+_xlfn.IFS(W57="km",VLOOKUP(U57,'EF-S1'!$J$10:$M$16,3,),W57="l",VLOOKUP(U57,'EF-S1'!$J$26:$M$29,3,))</f>
        <v>#N/A</v>
      </c>
      <c r="Z57" s="155" t="e" cm="1">
        <f t="array" ref="Z57">+_xlfn.IFS(W57="km",VLOOKUP(U57,'EF-S1'!$J$10:$M$16,4,),W57="l",VLOOKUP(U57,'EF-S1'!$J$26:$M$29,4,))</f>
        <v>#N/A</v>
      </c>
      <c r="AA57" s="155" t="e">
        <f t="shared" si="17"/>
        <v>#N/A</v>
      </c>
      <c r="AB57" s="155" t="e">
        <f t="shared" si="18"/>
        <v>#N/A</v>
      </c>
      <c r="AC57" s="155" t="e">
        <f t="shared" si="19"/>
        <v>#N/A</v>
      </c>
      <c r="AD57" s="155" t="e">
        <f t="shared" si="20"/>
        <v>#N/A</v>
      </c>
      <c r="AE57" s="155" t="e">
        <f t="shared" si="21"/>
        <v>#N/A</v>
      </c>
      <c r="AF57" s="155" t="e">
        <f t="shared" si="22"/>
        <v>#N/A</v>
      </c>
      <c r="AG57" s="156">
        <f t="shared" si="11"/>
        <v>0</v>
      </c>
      <c r="AK57" s="152"/>
      <c r="AL57" s="160"/>
      <c r="AM57" s="158"/>
      <c r="AN57" s="159" t="s">
        <v>49</v>
      </c>
      <c r="AO57" s="155" t="e">
        <f>+VLOOKUP(AL57,'EF-S1'!$U$10:$V$24,2,)</f>
        <v>#N/A</v>
      </c>
      <c r="AP57" s="155" t="e">
        <f t="shared" si="16"/>
        <v>#N/A</v>
      </c>
      <c r="AQ57" s="156">
        <f t="shared" si="12"/>
        <v>0</v>
      </c>
    </row>
    <row r="58" spans="1:43" x14ac:dyDescent="0.7">
      <c r="C58" s="152"/>
      <c r="D58" s="137"/>
      <c r="E58" s="158"/>
      <c r="F58" s="154"/>
      <c r="G58" s="155" t="e" cm="1">
        <f t="array" ref="G58">+_xlfn.IFS($C$7=$D$12,VLOOKUP(D58,'EF-S1'!$B$10:$E$13,2,),$C$7=$D$13,VLOOKUP(D58,'EF-S1'!$B$17:$E$20,2,),$C$7=$D$14,VLOOKUP(D58,'EF-S1'!$B$24:$E$27,2,),$C$7=$D$15,VLOOKUP(D58,'EF-S1'!$B$31:$E$34,2,))</f>
        <v>#N/A</v>
      </c>
      <c r="H58" s="155" t="e" cm="1">
        <f t="array" ref="H58">+_xlfn.IFS($C$7=$D$12,VLOOKUP(D58,'EF-S1'!$B$10:$E$13,3,),$C$7=$D$13,VLOOKUP(D58,'EF-S1'!$B$17:$E$20,3,),$C$7=$D$14,VLOOKUP(D58,'EF-S1'!$B$24:$E$27,3,),$C$7=$D$15,VLOOKUP(D58,'EF-S1'!$B$31:$E$34,3,))</f>
        <v>#N/A</v>
      </c>
      <c r="I58" s="155" t="e" cm="1">
        <f t="array" ref="I58">+_xlfn.IFS($C$7=$D$12,VLOOKUP(D58,'EF-S1'!$B$10:$E$13,4,),$C$7=$D$13,VLOOKUP(D58,'EF-S1'!$B$17:$E$20,4,),$C$7=$D$14,VLOOKUP(D58,'EF-S1'!$B$24:$E$27,4,),$C$7=$D$15,VLOOKUP(D58,'EF-S1'!$B$31:$E$34,4,))</f>
        <v>#N/A</v>
      </c>
      <c r="J58" s="155" t="e" cm="1">
        <f t="array" ref="J58">+_xlfn.IFS(D58=$C$12,_xlfn.IFS(F58=$E$12,E58*G58*'EF-S1'!$C$38*1/'EF-S1'!$E$45,F58=$E$13,E58*G58*1/'EF-S1'!$E$45,F58=$E$14,E58*G58*'EF-S1'!$C$38*1/'EF-S1'!$E$45*1/'EF-S1'!$E$47,F58=$E$15,E58*G58*'EF-S1'!$D$38*1/'EF-S1'!$E$45),D58=$C$13,_xlfn.IFS(F58=$E$12,E58*G58*'EF-S1'!$C$39*1/'EF-S1'!$E$45,F58=$E$13,E58*G58*1/'EF-S1'!$E$45,F58=$E$14,E58*G58*'EF-S1'!$C$39*1/'EF-S1'!$E$45*1/'EF-S1'!$E$47,F58=$E$15,E58*G58*'EF-S1'!$D$39*1/'EF-S1'!$E$45),D58=$C$14,_xlfn.IFS(F58=$E$12,E58*G58*'EF-S1'!$C$40*1/'EF-S1'!$E$45,F58=$E$13,E58*G58*1/'EF-S1'!$E$45,F58=$E$14,E58*G58*'EF-S1'!$C$40*1/'EF-S1'!$E$45*1/'EF-S1'!$E$47,F58=$E$15,E58*G58*'EF-S1'!$D$40*1/'EF-S1'!$E$45),D58=$C$15,_xlfn.IFS(F58=$E$12,E58*G58*'EF-S1'!$C$41*1/'EF-S1'!$E$45,F58=$E$13,E58*G58*1/'EF-S1'!$E$45,F58=$E$14,E58*G58*'EF-S1'!$C$41*1/'EF-S1'!$E$45*1/'EF-S1'!$E$47,F58=$E$15,E58*G58*'EF-S1'!$D$41*1/'EF-S1'!$E$45))</f>
        <v>#N/A</v>
      </c>
      <c r="K58" s="155" t="e" cm="1">
        <f t="array" ref="K58">+_xlfn.IFS(D58=$C$12,_xlfn.IFS(F58=$E$12,E58*H58*'EF-S1'!$C$38*1/'EF-S1'!$E$45,F58=$E$13,E58*H58*1/'EF-S1'!$E$45,F58=$E$14,E58*H58*'EF-S1'!$C$38*1/'EF-S1'!$E$45*1/'EF-S1'!$E$47,F58=$E$15,E58*H58*'EF-S1'!$D$38*1/'EF-S1'!$E$45),D58=$C$13,_xlfn.IFS(F58=$E$12,E58*H58*'EF-S1'!$C$39*1/'EF-S1'!$E$45,F58=$E$13,E58*H58*1/'EF-S1'!$E$45,F58=$E$14,E58*H58*'EF-S1'!$C$39*1/'EF-S1'!$E$45*1/'EF-S1'!$E$47,F58=$E$15,E58*H58*'EF-S1'!$D$39*1/'EF-S1'!$E$45),D58=$C$14,_xlfn.IFS(F58=$E$12,E58*H58*'EF-S1'!$C$40*1/'EF-S1'!$E$45,F58=$E$13,E58*H58*1/'EF-S1'!$E$45,F58=$E$14,E58*H58*'EF-S1'!$C$40*1/'EF-S1'!$E$45*1/'EF-S1'!$E$47,F58=$E$15,E58*H58*'EF-S1'!$D$40*1/'EF-S1'!$E$45),D58=$C$15,_xlfn.IFS(F58=$E$12,E58*H58*'EF-S1'!$C$41*1/'EF-S1'!$E$45,F58=$E$13,E58*H58*1/'EF-S1'!$E$45,F58=$E$14,E58*H58*'EF-S1'!$C$41*1/'EF-S1'!$E$45*1/'EF-S1'!$E$47,F58=$E$15,E58*H58*'EF-S1'!$D$41*1/'EF-S1'!$E$45))</f>
        <v>#N/A</v>
      </c>
      <c r="L58" s="155" t="e" cm="1">
        <f t="array" ref="L58">+_xlfn.IFS(D58=$C$12,_xlfn.IFS(F58=$E$12,E58*I58*'EF-S1'!$C$38*1/'EF-S1'!$E$45,F58=$E$13,E58*I58*1/'EF-S1'!$E$45,F58=$E$14,E58*I58*'EF-S1'!$C$38*1/'EF-S1'!$E$45*1/'EF-S1'!$E$47,F58=$E$15,E58*I58*'EF-S1'!$D$38*1/'EF-S1'!$E$45),D58=$C$13,_xlfn.IFS(F58=$E$12,E58*I58*'EF-S1'!$C$39*1/'EF-S1'!$E$45,F58=$E$13,E58*I58*1/'EF-S1'!$E$45,F58=$E$14,E58*I58*'EF-S1'!$C$39*1/'EF-S1'!$E$45*1/'EF-S1'!$E$47,F58=$E$15,E58*I58*'EF-S1'!$D$39*1/'EF-S1'!$E$45),D58=$C$14,_xlfn.IFS(F58=$E$12,E58*I58*'EF-S1'!$C$40*1/'EF-S1'!$E$45,F58=$E$13,E58*I58*1/'EF-S1'!$E$45,F58=$E$14,E58*I58*'EF-S1'!$C$40*1/'EF-S1'!$E$45*1/'EF-S1'!$E$47,F58=$E$15,E58*I58*'EF-S1'!$D$40*1/'EF-S1'!$E$45),D58=$C$15,_xlfn.IFS(F58=$E$12,E58*I58*'EF-S1'!$C$41*1/'EF-S1'!$E$45,F58=$E$13,E58*I58*1/'EF-S1'!$E$45,F58=$E$14,E58*I58*'EF-S1'!$C$41*1/'EF-S1'!$E$45*1/'EF-S1'!$E$47,F58=$E$15,E58*I58*'EF-S1'!$D$41*1/'EF-S1'!$E$45))</f>
        <v>#N/A</v>
      </c>
      <c r="M58" s="155" t="e">
        <f t="shared" si="13"/>
        <v>#N/A</v>
      </c>
      <c r="N58" s="155" t="e">
        <f t="shared" si="14"/>
        <v>#N/A</v>
      </c>
      <c r="O58" s="155" t="e">
        <f t="shared" si="15"/>
        <v>#N/A</v>
      </c>
      <c r="P58" s="156">
        <f t="shared" si="7"/>
        <v>0</v>
      </c>
      <c r="T58" s="152"/>
      <c r="U58" s="157"/>
      <c r="V58" s="158"/>
      <c r="W58" s="159"/>
      <c r="X58" s="155" t="e" cm="1">
        <f t="array" ref="X58">+_xlfn.IFS(W58="km",VLOOKUP(U58,'EF-S1'!$J$10:$M$16,2,),W58="l",VLOOKUP(U58,'EF-S1'!$J$26:$M$29,2,))</f>
        <v>#N/A</v>
      </c>
      <c r="Y58" s="155" t="e" cm="1">
        <f t="array" ref="Y58">+_xlfn.IFS(W58="km",VLOOKUP(U58,'EF-S1'!$J$10:$M$16,3,),W58="l",VLOOKUP(U58,'EF-S1'!$J$26:$M$29,3,))</f>
        <v>#N/A</v>
      </c>
      <c r="Z58" s="155" t="e" cm="1">
        <f t="array" ref="Z58">+_xlfn.IFS(W58="km",VLOOKUP(U58,'EF-S1'!$J$10:$M$16,4,),W58="l",VLOOKUP(U58,'EF-S1'!$J$26:$M$29,4,))</f>
        <v>#N/A</v>
      </c>
      <c r="AA58" s="155" t="e">
        <f t="shared" si="17"/>
        <v>#N/A</v>
      </c>
      <c r="AB58" s="155" t="e">
        <f t="shared" si="18"/>
        <v>#N/A</v>
      </c>
      <c r="AC58" s="155" t="e">
        <f t="shared" si="19"/>
        <v>#N/A</v>
      </c>
      <c r="AD58" s="155" t="e">
        <f t="shared" si="20"/>
        <v>#N/A</v>
      </c>
      <c r="AE58" s="155" t="e">
        <f t="shared" si="21"/>
        <v>#N/A</v>
      </c>
      <c r="AF58" s="155" t="e">
        <f t="shared" si="22"/>
        <v>#N/A</v>
      </c>
      <c r="AG58" s="156">
        <f t="shared" si="11"/>
        <v>0</v>
      </c>
      <c r="AK58" s="152"/>
      <c r="AL58" s="160"/>
      <c r="AM58" s="158"/>
      <c r="AN58" s="159" t="s">
        <v>49</v>
      </c>
      <c r="AO58" s="155" t="e">
        <f>+VLOOKUP(AL58,'EF-S1'!$U$10:$V$24,2,)</f>
        <v>#N/A</v>
      </c>
      <c r="AP58" s="155" t="e">
        <f t="shared" si="16"/>
        <v>#N/A</v>
      </c>
      <c r="AQ58" s="156">
        <f t="shared" si="12"/>
        <v>0</v>
      </c>
    </row>
    <row r="59" spans="1:43" x14ac:dyDescent="0.7">
      <c r="C59" s="152"/>
      <c r="D59" s="137"/>
      <c r="E59" s="158"/>
      <c r="F59" s="154"/>
      <c r="G59" s="155" t="e" cm="1">
        <f t="array" ref="G59">+_xlfn.IFS($C$7=$D$12,VLOOKUP(D59,'EF-S1'!$B$10:$E$13,2,),$C$7=$D$13,VLOOKUP(D59,'EF-S1'!$B$17:$E$20,2,),$C$7=$D$14,VLOOKUP(D59,'EF-S1'!$B$24:$E$27,2,),$C$7=$D$15,VLOOKUP(D59,'EF-S1'!$B$31:$E$34,2,))</f>
        <v>#N/A</v>
      </c>
      <c r="H59" s="155" t="e" cm="1">
        <f t="array" ref="H59">+_xlfn.IFS($C$7=$D$12,VLOOKUP(D59,'EF-S1'!$B$10:$E$13,3,),$C$7=$D$13,VLOOKUP(D59,'EF-S1'!$B$17:$E$20,3,),$C$7=$D$14,VLOOKUP(D59,'EF-S1'!$B$24:$E$27,3,),$C$7=$D$15,VLOOKUP(D59,'EF-S1'!$B$31:$E$34,3,))</f>
        <v>#N/A</v>
      </c>
      <c r="I59" s="155" t="e" cm="1">
        <f t="array" ref="I59">+_xlfn.IFS($C$7=$D$12,VLOOKUP(D59,'EF-S1'!$B$10:$E$13,4,),$C$7=$D$13,VLOOKUP(D59,'EF-S1'!$B$17:$E$20,4,),$C$7=$D$14,VLOOKUP(D59,'EF-S1'!$B$24:$E$27,4,),$C$7=$D$15,VLOOKUP(D59,'EF-S1'!$B$31:$E$34,4,))</f>
        <v>#N/A</v>
      </c>
      <c r="J59" s="155" t="e" cm="1">
        <f t="array" ref="J59">+_xlfn.IFS(D59=$C$12,_xlfn.IFS(F59=$E$12,E59*G59*'EF-S1'!$C$38*1/'EF-S1'!$E$45,F59=$E$13,E59*G59*1/'EF-S1'!$E$45,F59=$E$14,E59*G59*'EF-S1'!$C$38*1/'EF-S1'!$E$45*1/'EF-S1'!$E$47,F59=$E$15,E59*G59*'EF-S1'!$D$38*1/'EF-S1'!$E$45),D59=$C$13,_xlfn.IFS(F59=$E$12,E59*G59*'EF-S1'!$C$39*1/'EF-S1'!$E$45,F59=$E$13,E59*G59*1/'EF-S1'!$E$45,F59=$E$14,E59*G59*'EF-S1'!$C$39*1/'EF-S1'!$E$45*1/'EF-S1'!$E$47,F59=$E$15,E59*G59*'EF-S1'!$D$39*1/'EF-S1'!$E$45),D59=$C$14,_xlfn.IFS(F59=$E$12,E59*G59*'EF-S1'!$C$40*1/'EF-S1'!$E$45,F59=$E$13,E59*G59*1/'EF-S1'!$E$45,F59=$E$14,E59*G59*'EF-S1'!$C$40*1/'EF-S1'!$E$45*1/'EF-S1'!$E$47,F59=$E$15,E59*G59*'EF-S1'!$D$40*1/'EF-S1'!$E$45),D59=$C$15,_xlfn.IFS(F59=$E$12,E59*G59*'EF-S1'!$C$41*1/'EF-S1'!$E$45,F59=$E$13,E59*G59*1/'EF-S1'!$E$45,F59=$E$14,E59*G59*'EF-S1'!$C$41*1/'EF-S1'!$E$45*1/'EF-S1'!$E$47,F59=$E$15,E59*G59*'EF-S1'!$D$41*1/'EF-S1'!$E$45))</f>
        <v>#N/A</v>
      </c>
      <c r="K59" s="155" t="e" cm="1">
        <f t="array" ref="K59">+_xlfn.IFS(D59=$C$12,_xlfn.IFS(F59=$E$12,E59*H59*'EF-S1'!$C$38*1/'EF-S1'!$E$45,F59=$E$13,E59*H59*1/'EF-S1'!$E$45,F59=$E$14,E59*H59*'EF-S1'!$C$38*1/'EF-S1'!$E$45*1/'EF-S1'!$E$47,F59=$E$15,E59*H59*'EF-S1'!$D$38*1/'EF-S1'!$E$45),D59=$C$13,_xlfn.IFS(F59=$E$12,E59*H59*'EF-S1'!$C$39*1/'EF-S1'!$E$45,F59=$E$13,E59*H59*1/'EF-S1'!$E$45,F59=$E$14,E59*H59*'EF-S1'!$C$39*1/'EF-S1'!$E$45*1/'EF-S1'!$E$47,F59=$E$15,E59*H59*'EF-S1'!$D$39*1/'EF-S1'!$E$45),D59=$C$14,_xlfn.IFS(F59=$E$12,E59*H59*'EF-S1'!$C$40*1/'EF-S1'!$E$45,F59=$E$13,E59*H59*1/'EF-S1'!$E$45,F59=$E$14,E59*H59*'EF-S1'!$C$40*1/'EF-S1'!$E$45*1/'EF-S1'!$E$47,F59=$E$15,E59*H59*'EF-S1'!$D$40*1/'EF-S1'!$E$45),D59=$C$15,_xlfn.IFS(F59=$E$12,E59*H59*'EF-S1'!$C$41*1/'EF-S1'!$E$45,F59=$E$13,E59*H59*1/'EF-S1'!$E$45,F59=$E$14,E59*H59*'EF-S1'!$C$41*1/'EF-S1'!$E$45*1/'EF-S1'!$E$47,F59=$E$15,E59*H59*'EF-S1'!$D$41*1/'EF-S1'!$E$45))</f>
        <v>#N/A</v>
      </c>
      <c r="L59" s="155" t="e" cm="1">
        <f t="array" ref="L59">+_xlfn.IFS(D59=$C$12,_xlfn.IFS(F59=$E$12,E59*I59*'EF-S1'!$C$38*1/'EF-S1'!$E$45,F59=$E$13,E59*I59*1/'EF-S1'!$E$45,F59=$E$14,E59*I59*'EF-S1'!$C$38*1/'EF-S1'!$E$45*1/'EF-S1'!$E$47,F59=$E$15,E59*I59*'EF-S1'!$D$38*1/'EF-S1'!$E$45),D59=$C$13,_xlfn.IFS(F59=$E$12,E59*I59*'EF-S1'!$C$39*1/'EF-S1'!$E$45,F59=$E$13,E59*I59*1/'EF-S1'!$E$45,F59=$E$14,E59*I59*'EF-S1'!$C$39*1/'EF-S1'!$E$45*1/'EF-S1'!$E$47,F59=$E$15,E59*I59*'EF-S1'!$D$39*1/'EF-S1'!$E$45),D59=$C$14,_xlfn.IFS(F59=$E$12,E59*I59*'EF-S1'!$C$40*1/'EF-S1'!$E$45,F59=$E$13,E59*I59*1/'EF-S1'!$E$45,F59=$E$14,E59*I59*'EF-S1'!$C$40*1/'EF-S1'!$E$45*1/'EF-S1'!$E$47,F59=$E$15,E59*I59*'EF-S1'!$D$40*1/'EF-S1'!$E$45),D59=$C$15,_xlfn.IFS(F59=$E$12,E59*I59*'EF-S1'!$C$41*1/'EF-S1'!$E$45,F59=$E$13,E59*I59*1/'EF-S1'!$E$45,F59=$E$14,E59*I59*'EF-S1'!$C$41*1/'EF-S1'!$E$45*1/'EF-S1'!$E$47,F59=$E$15,E59*I59*'EF-S1'!$D$41*1/'EF-S1'!$E$45))</f>
        <v>#N/A</v>
      </c>
      <c r="M59" s="155" t="e">
        <f t="shared" si="13"/>
        <v>#N/A</v>
      </c>
      <c r="N59" s="155" t="e">
        <f t="shared" si="14"/>
        <v>#N/A</v>
      </c>
      <c r="O59" s="155" t="e">
        <f t="shared" si="15"/>
        <v>#N/A</v>
      </c>
      <c r="P59" s="156">
        <f t="shared" si="7"/>
        <v>0</v>
      </c>
      <c r="T59" s="152"/>
      <c r="U59" s="157"/>
      <c r="V59" s="158"/>
      <c r="W59" s="159"/>
      <c r="X59" s="155" t="e" cm="1">
        <f t="array" ref="X59">+_xlfn.IFS(W59="km",VLOOKUP(U59,'EF-S1'!$J$10:$M$16,2,),W59="l",VLOOKUP(U59,'EF-S1'!$J$26:$M$29,2,))</f>
        <v>#N/A</v>
      </c>
      <c r="Y59" s="155" t="e" cm="1">
        <f t="array" ref="Y59">+_xlfn.IFS(W59="km",VLOOKUP(U59,'EF-S1'!$J$10:$M$16,3,),W59="l",VLOOKUP(U59,'EF-S1'!$J$26:$M$29,3,))</f>
        <v>#N/A</v>
      </c>
      <c r="Z59" s="155" t="e" cm="1">
        <f t="array" ref="Z59">+_xlfn.IFS(W59="km",VLOOKUP(U59,'EF-S1'!$J$10:$M$16,4,),W59="l",VLOOKUP(U59,'EF-S1'!$J$26:$M$29,4,))</f>
        <v>#N/A</v>
      </c>
      <c r="AA59" s="155" t="e">
        <f t="shared" si="17"/>
        <v>#N/A</v>
      </c>
      <c r="AB59" s="155" t="e">
        <f t="shared" si="18"/>
        <v>#N/A</v>
      </c>
      <c r="AC59" s="155" t="e">
        <f t="shared" si="19"/>
        <v>#N/A</v>
      </c>
      <c r="AD59" s="155" t="e">
        <f t="shared" si="20"/>
        <v>#N/A</v>
      </c>
      <c r="AE59" s="155" t="e">
        <f t="shared" si="21"/>
        <v>#N/A</v>
      </c>
      <c r="AF59" s="155" t="e">
        <f t="shared" si="22"/>
        <v>#N/A</v>
      </c>
      <c r="AG59" s="156">
        <f t="shared" si="11"/>
        <v>0</v>
      </c>
      <c r="AK59" s="152"/>
      <c r="AL59" s="160"/>
      <c r="AM59" s="158"/>
      <c r="AN59" s="159" t="s">
        <v>49</v>
      </c>
      <c r="AO59" s="155" t="e">
        <f>+VLOOKUP(AL59,'EF-S1'!$U$10:$V$24,2,)</f>
        <v>#N/A</v>
      </c>
      <c r="AP59" s="155" t="e">
        <f t="shared" si="16"/>
        <v>#N/A</v>
      </c>
      <c r="AQ59" s="156">
        <f t="shared" si="12"/>
        <v>0</v>
      </c>
    </row>
    <row r="60" spans="1:43" x14ac:dyDescent="0.7">
      <c r="C60" s="152"/>
      <c r="D60" s="137"/>
      <c r="E60" s="158"/>
      <c r="F60" s="154"/>
      <c r="G60" s="155" t="e" cm="1">
        <f t="array" ref="G60">+_xlfn.IFS($C$7=$D$12,VLOOKUP(D60,'EF-S1'!$B$10:$E$13,2,),$C$7=$D$13,VLOOKUP(D60,'EF-S1'!$B$17:$E$20,2,),$C$7=$D$14,VLOOKUP(D60,'EF-S1'!$B$24:$E$27,2,),$C$7=$D$15,VLOOKUP(D60,'EF-S1'!$B$31:$E$34,2,))</f>
        <v>#N/A</v>
      </c>
      <c r="H60" s="155" t="e" cm="1">
        <f t="array" ref="H60">+_xlfn.IFS($C$7=$D$12,VLOOKUP(D60,'EF-S1'!$B$10:$E$13,3,),$C$7=$D$13,VLOOKUP(D60,'EF-S1'!$B$17:$E$20,3,),$C$7=$D$14,VLOOKUP(D60,'EF-S1'!$B$24:$E$27,3,),$C$7=$D$15,VLOOKUP(D60,'EF-S1'!$B$31:$E$34,3,))</f>
        <v>#N/A</v>
      </c>
      <c r="I60" s="155" t="e" cm="1">
        <f t="array" ref="I60">+_xlfn.IFS($C$7=$D$12,VLOOKUP(D60,'EF-S1'!$B$10:$E$13,4,),$C$7=$D$13,VLOOKUP(D60,'EF-S1'!$B$17:$E$20,4,),$C$7=$D$14,VLOOKUP(D60,'EF-S1'!$B$24:$E$27,4,),$C$7=$D$15,VLOOKUP(D60,'EF-S1'!$B$31:$E$34,4,))</f>
        <v>#N/A</v>
      </c>
      <c r="J60" s="155" t="e" cm="1">
        <f t="array" ref="J60">+_xlfn.IFS(D60=$C$12,_xlfn.IFS(F60=$E$12,E60*G60*'EF-S1'!$C$38*1/'EF-S1'!$E$45,F60=$E$13,E60*G60*1/'EF-S1'!$E$45,F60=$E$14,E60*G60*'EF-S1'!$C$38*1/'EF-S1'!$E$45*1/'EF-S1'!$E$47,F60=$E$15,E60*G60*'EF-S1'!$D$38*1/'EF-S1'!$E$45),D60=$C$13,_xlfn.IFS(F60=$E$12,E60*G60*'EF-S1'!$C$39*1/'EF-S1'!$E$45,F60=$E$13,E60*G60*1/'EF-S1'!$E$45,F60=$E$14,E60*G60*'EF-S1'!$C$39*1/'EF-S1'!$E$45*1/'EF-S1'!$E$47,F60=$E$15,E60*G60*'EF-S1'!$D$39*1/'EF-S1'!$E$45),D60=$C$14,_xlfn.IFS(F60=$E$12,E60*G60*'EF-S1'!$C$40*1/'EF-S1'!$E$45,F60=$E$13,E60*G60*1/'EF-S1'!$E$45,F60=$E$14,E60*G60*'EF-S1'!$C$40*1/'EF-S1'!$E$45*1/'EF-S1'!$E$47,F60=$E$15,E60*G60*'EF-S1'!$D$40*1/'EF-S1'!$E$45),D60=$C$15,_xlfn.IFS(F60=$E$12,E60*G60*'EF-S1'!$C$41*1/'EF-S1'!$E$45,F60=$E$13,E60*G60*1/'EF-S1'!$E$45,F60=$E$14,E60*G60*'EF-S1'!$C$41*1/'EF-S1'!$E$45*1/'EF-S1'!$E$47,F60=$E$15,E60*G60*'EF-S1'!$D$41*1/'EF-S1'!$E$45))</f>
        <v>#N/A</v>
      </c>
      <c r="K60" s="155" t="e" cm="1">
        <f t="array" ref="K60">+_xlfn.IFS(D60=$C$12,_xlfn.IFS(F60=$E$12,E60*H60*'EF-S1'!$C$38*1/'EF-S1'!$E$45,F60=$E$13,E60*H60*1/'EF-S1'!$E$45,F60=$E$14,E60*H60*'EF-S1'!$C$38*1/'EF-S1'!$E$45*1/'EF-S1'!$E$47,F60=$E$15,E60*H60*'EF-S1'!$D$38*1/'EF-S1'!$E$45),D60=$C$13,_xlfn.IFS(F60=$E$12,E60*H60*'EF-S1'!$C$39*1/'EF-S1'!$E$45,F60=$E$13,E60*H60*1/'EF-S1'!$E$45,F60=$E$14,E60*H60*'EF-S1'!$C$39*1/'EF-S1'!$E$45*1/'EF-S1'!$E$47,F60=$E$15,E60*H60*'EF-S1'!$D$39*1/'EF-S1'!$E$45),D60=$C$14,_xlfn.IFS(F60=$E$12,E60*H60*'EF-S1'!$C$40*1/'EF-S1'!$E$45,F60=$E$13,E60*H60*1/'EF-S1'!$E$45,F60=$E$14,E60*H60*'EF-S1'!$C$40*1/'EF-S1'!$E$45*1/'EF-S1'!$E$47,F60=$E$15,E60*H60*'EF-S1'!$D$40*1/'EF-S1'!$E$45),D60=$C$15,_xlfn.IFS(F60=$E$12,E60*H60*'EF-S1'!$C$41*1/'EF-S1'!$E$45,F60=$E$13,E60*H60*1/'EF-S1'!$E$45,F60=$E$14,E60*H60*'EF-S1'!$C$41*1/'EF-S1'!$E$45*1/'EF-S1'!$E$47,F60=$E$15,E60*H60*'EF-S1'!$D$41*1/'EF-S1'!$E$45))</f>
        <v>#N/A</v>
      </c>
      <c r="L60" s="155" t="e" cm="1">
        <f t="array" ref="L60">+_xlfn.IFS(D60=$C$12,_xlfn.IFS(F60=$E$12,E60*I60*'EF-S1'!$C$38*1/'EF-S1'!$E$45,F60=$E$13,E60*I60*1/'EF-S1'!$E$45,F60=$E$14,E60*I60*'EF-S1'!$C$38*1/'EF-S1'!$E$45*1/'EF-S1'!$E$47,F60=$E$15,E60*I60*'EF-S1'!$D$38*1/'EF-S1'!$E$45),D60=$C$13,_xlfn.IFS(F60=$E$12,E60*I60*'EF-S1'!$C$39*1/'EF-S1'!$E$45,F60=$E$13,E60*I60*1/'EF-S1'!$E$45,F60=$E$14,E60*I60*'EF-S1'!$C$39*1/'EF-S1'!$E$45*1/'EF-S1'!$E$47,F60=$E$15,E60*I60*'EF-S1'!$D$39*1/'EF-S1'!$E$45),D60=$C$14,_xlfn.IFS(F60=$E$12,E60*I60*'EF-S1'!$C$40*1/'EF-S1'!$E$45,F60=$E$13,E60*I60*1/'EF-S1'!$E$45,F60=$E$14,E60*I60*'EF-S1'!$C$40*1/'EF-S1'!$E$45*1/'EF-S1'!$E$47,F60=$E$15,E60*I60*'EF-S1'!$D$40*1/'EF-S1'!$E$45),D60=$C$15,_xlfn.IFS(F60=$E$12,E60*I60*'EF-S1'!$C$41*1/'EF-S1'!$E$45,F60=$E$13,E60*I60*1/'EF-S1'!$E$45,F60=$E$14,E60*I60*'EF-S1'!$C$41*1/'EF-S1'!$E$45*1/'EF-S1'!$E$47,F60=$E$15,E60*I60*'EF-S1'!$D$41*1/'EF-S1'!$E$45))</f>
        <v>#N/A</v>
      </c>
      <c r="M60" s="155" t="e">
        <f t="shared" si="13"/>
        <v>#N/A</v>
      </c>
      <c r="N60" s="155" t="e">
        <f t="shared" si="14"/>
        <v>#N/A</v>
      </c>
      <c r="O60" s="155" t="e">
        <f t="shared" si="15"/>
        <v>#N/A</v>
      </c>
      <c r="P60" s="156">
        <f t="shared" si="7"/>
        <v>0</v>
      </c>
      <c r="T60" s="152"/>
      <c r="U60" s="157"/>
      <c r="V60" s="158"/>
      <c r="W60" s="159"/>
      <c r="X60" s="155" t="e" cm="1">
        <f t="array" ref="X60">+_xlfn.IFS(W60="km",VLOOKUP(U60,'EF-S1'!$J$10:$M$16,2,),W60="l",VLOOKUP(U60,'EF-S1'!$J$26:$M$29,2,))</f>
        <v>#N/A</v>
      </c>
      <c r="Y60" s="155" t="e" cm="1">
        <f t="array" ref="Y60">+_xlfn.IFS(W60="km",VLOOKUP(U60,'EF-S1'!$J$10:$M$16,3,),W60="l",VLOOKUP(U60,'EF-S1'!$J$26:$M$29,3,))</f>
        <v>#N/A</v>
      </c>
      <c r="Z60" s="155" t="e" cm="1">
        <f t="array" ref="Z60">+_xlfn.IFS(W60="km",VLOOKUP(U60,'EF-S1'!$J$10:$M$16,4,),W60="l",VLOOKUP(U60,'EF-S1'!$J$26:$M$29,4,))</f>
        <v>#N/A</v>
      </c>
      <c r="AA60" s="155" t="e">
        <f t="shared" si="17"/>
        <v>#N/A</v>
      </c>
      <c r="AB60" s="155" t="e">
        <f t="shared" si="18"/>
        <v>#N/A</v>
      </c>
      <c r="AC60" s="155" t="e">
        <f t="shared" si="19"/>
        <v>#N/A</v>
      </c>
      <c r="AD60" s="155" t="e">
        <f t="shared" si="20"/>
        <v>#N/A</v>
      </c>
      <c r="AE60" s="155" t="e">
        <f t="shared" si="21"/>
        <v>#N/A</v>
      </c>
      <c r="AF60" s="155" t="e">
        <f t="shared" si="22"/>
        <v>#N/A</v>
      </c>
      <c r="AG60" s="156">
        <f t="shared" si="11"/>
        <v>0</v>
      </c>
      <c r="AK60" s="152"/>
      <c r="AL60" s="160"/>
      <c r="AM60" s="158"/>
      <c r="AN60" s="159" t="s">
        <v>49</v>
      </c>
      <c r="AO60" s="155" t="e">
        <f>+VLOOKUP(AL60,'EF-S1'!$U$10:$V$24,2,)</f>
        <v>#N/A</v>
      </c>
      <c r="AP60" s="155" t="e">
        <f t="shared" si="16"/>
        <v>#N/A</v>
      </c>
      <c r="AQ60" s="156">
        <f t="shared" si="12"/>
        <v>0</v>
      </c>
    </row>
    <row r="61" spans="1:43" x14ac:dyDescent="0.7">
      <c r="C61" s="152"/>
      <c r="D61" s="137"/>
      <c r="E61" s="158"/>
      <c r="F61" s="154"/>
      <c r="G61" s="155" t="e" cm="1">
        <f t="array" ref="G61">+_xlfn.IFS($C$7=$D$12,VLOOKUP(D61,'EF-S1'!$B$10:$E$13,2,),$C$7=$D$13,VLOOKUP(D61,'EF-S1'!$B$17:$E$20,2,),$C$7=$D$14,VLOOKUP(D61,'EF-S1'!$B$24:$E$27,2,),$C$7=$D$15,VLOOKUP(D61,'EF-S1'!$B$31:$E$34,2,))</f>
        <v>#N/A</v>
      </c>
      <c r="H61" s="155" t="e" cm="1">
        <f t="array" ref="H61">+_xlfn.IFS($C$7=$D$12,VLOOKUP(D61,'EF-S1'!$B$10:$E$13,3,),$C$7=$D$13,VLOOKUP(D61,'EF-S1'!$B$17:$E$20,3,),$C$7=$D$14,VLOOKUP(D61,'EF-S1'!$B$24:$E$27,3,),$C$7=$D$15,VLOOKUP(D61,'EF-S1'!$B$31:$E$34,3,))</f>
        <v>#N/A</v>
      </c>
      <c r="I61" s="155" t="e" cm="1">
        <f t="array" ref="I61">+_xlfn.IFS($C$7=$D$12,VLOOKUP(D61,'EF-S1'!$B$10:$E$13,4,),$C$7=$D$13,VLOOKUP(D61,'EF-S1'!$B$17:$E$20,4,),$C$7=$D$14,VLOOKUP(D61,'EF-S1'!$B$24:$E$27,4,),$C$7=$D$15,VLOOKUP(D61,'EF-S1'!$B$31:$E$34,4,))</f>
        <v>#N/A</v>
      </c>
      <c r="J61" s="155" t="e" cm="1">
        <f t="array" ref="J61">+_xlfn.IFS(D61=$C$12,_xlfn.IFS(F61=$E$12,E61*G61*'EF-S1'!$C$38*1/'EF-S1'!$E$45,F61=$E$13,E61*G61*1/'EF-S1'!$E$45,F61=$E$14,E61*G61*'EF-S1'!$C$38*1/'EF-S1'!$E$45*1/'EF-S1'!$E$47,F61=$E$15,E61*G61*'EF-S1'!$D$38*1/'EF-S1'!$E$45),D61=$C$13,_xlfn.IFS(F61=$E$12,E61*G61*'EF-S1'!$C$39*1/'EF-S1'!$E$45,F61=$E$13,E61*G61*1/'EF-S1'!$E$45,F61=$E$14,E61*G61*'EF-S1'!$C$39*1/'EF-S1'!$E$45*1/'EF-S1'!$E$47,F61=$E$15,E61*G61*'EF-S1'!$D$39*1/'EF-S1'!$E$45),D61=$C$14,_xlfn.IFS(F61=$E$12,E61*G61*'EF-S1'!$C$40*1/'EF-S1'!$E$45,F61=$E$13,E61*G61*1/'EF-S1'!$E$45,F61=$E$14,E61*G61*'EF-S1'!$C$40*1/'EF-S1'!$E$45*1/'EF-S1'!$E$47,F61=$E$15,E61*G61*'EF-S1'!$D$40*1/'EF-S1'!$E$45),D61=$C$15,_xlfn.IFS(F61=$E$12,E61*G61*'EF-S1'!$C$41*1/'EF-S1'!$E$45,F61=$E$13,E61*G61*1/'EF-S1'!$E$45,F61=$E$14,E61*G61*'EF-S1'!$C$41*1/'EF-S1'!$E$45*1/'EF-S1'!$E$47,F61=$E$15,E61*G61*'EF-S1'!$D$41*1/'EF-S1'!$E$45))</f>
        <v>#N/A</v>
      </c>
      <c r="K61" s="155" t="e" cm="1">
        <f t="array" ref="K61">+_xlfn.IFS(D61=$C$12,_xlfn.IFS(F61=$E$12,E61*H61*'EF-S1'!$C$38*1/'EF-S1'!$E$45,F61=$E$13,E61*H61*1/'EF-S1'!$E$45,F61=$E$14,E61*H61*'EF-S1'!$C$38*1/'EF-S1'!$E$45*1/'EF-S1'!$E$47,F61=$E$15,E61*H61*'EF-S1'!$D$38*1/'EF-S1'!$E$45),D61=$C$13,_xlfn.IFS(F61=$E$12,E61*H61*'EF-S1'!$C$39*1/'EF-S1'!$E$45,F61=$E$13,E61*H61*1/'EF-S1'!$E$45,F61=$E$14,E61*H61*'EF-S1'!$C$39*1/'EF-S1'!$E$45*1/'EF-S1'!$E$47,F61=$E$15,E61*H61*'EF-S1'!$D$39*1/'EF-S1'!$E$45),D61=$C$14,_xlfn.IFS(F61=$E$12,E61*H61*'EF-S1'!$C$40*1/'EF-S1'!$E$45,F61=$E$13,E61*H61*1/'EF-S1'!$E$45,F61=$E$14,E61*H61*'EF-S1'!$C$40*1/'EF-S1'!$E$45*1/'EF-S1'!$E$47,F61=$E$15,E61*H61*'EF-S1'!$D$40*1/'EF-S1'!$E$45),D61=$C$15,_xlfn.IFS(F61=$E$12,E61*H61*'EF-S1'!$C$41*1/'EF-S1'!$E$45,F61=$E$13,E61*H61*1/'EF-S1'!$E$45,F61=$E$14,E61*H61*'EF-S1'!$C$41*1/'EF-S1'!$E$45*1/'EF-S1'!$E$47,F61=$E$15,E61*H61*'EF-S1'!$D$41*1/'EF-S1'!$E$45))</f>
        <v>#N/A</v>
      </c>
      <c r="L61" s="155" t="e" cm="1">
        <f t="array" ref="L61">+_xlfn.IFS(D61=$C$12,_xlfn.IFS(F61=$E$12,E61*I61*'EF-S1'!$C$38*1/'EF-S1'!$E$45,F61=$E$13,E61*I61*1/'EF-S1'!$E$45,F61=$E$14,E61*I61*'EF-S1'!$C$38*1/'EF-S1'!$E$45*1/'EF-S1'!$E$47,F61=$E$15,E61*I61*'EF-S1'!$D$38*1/'EF-S1'!$E$45),D61=$C$13,_xlfn.IFS(F61=$E$12,E61*I61*'EF-S1'!$C$39*1/'EF-S1'!$E$45,F61=$E$13,E61*I61*1/'EF-S1'!$E$45,F61=$E$14,E61*I61*'EF-S1'!$C$39*1/'EF-S1'!$E$45*1/'EF-S1'!$E$47,F61=$E$15,E61*I61*'EF-S1'!$D$39*1/'EF-S1'!$E$45),D61=$C$14,_xlfn.IFS(F61=$E$12,E61*I61*'EF-S1'!$C$40*1/'EF-S1'!$E$45,F61=$E$13,E61*I61*1/'EF-S1'!$E$45,F61=$E$14,E61*I61*'EF-S1'!$C$40*1/'EF-S1'!$E$45*1/'EF-S1'!$E$47,F61=$E$15,E61*I61*'EF-S1'!$D$40*1/'EF-S1'!$E$45),D61=$C$15,_xlfn.IFS(F61=$E$12,E61*I61*'EF-S1'!$C$41*1/'EF-S1'!$E$45,F61=$E$13,E61*I61*1/'EF-S1'!$E$45,F61=$E$14,E61*I61*'EF-S1'!$C$41*1/'EF-S1'!$E$45*1/'EF-S1'!$E$47,F61=$E$15,E61*I61*'EF-S1'!$D$41*1/'EF-S1'!$E$45))</f>
        <v>#N/A</v>
      </c>
      <c r="M61" s="155" t="e">
        <f t="shared" si="13"/>
        <v>#N/A</v>
      </c>
      <c r="N61" s="155" t="e">
        <f t="shared" si="14"/>
        <v>#N/A</v>
      </c>
      <c r="O61" s="155" t="e">
        <f t="shared" si="15"/>
        <v>#N/A</v>
      </c>
      <c r="P61" s="156">
        <f t="shared" si="7"/>
        <v>0</v>
      </c>
      <c r="T61" s="152"/>
      <c r="U61" s="157"/>
      <c r="V61" s="158"/>
      <c r="W61" s="159"/>
      <c r="X61" s="155" t="e" cm="1">
        <f t="array" ref="X61">+_xlfn.IFS(W61="km",VLOOKUP(U61,'EF-S1'!$J$10:$M$16,2,),W61="l",VLOOKUP(U61,'EF-S1'!$J$26:$M$29,2,))</f>
        <v>#N/A</v>
      </c>
      <c r="Y61" s="155" t="e" cm="1">
        <f t="array" ref="Y61">+_xlfn.IFS(W61="km",VLOOKUP(U61,'EF-S1'!$J$10:$M$16,3,),W61="l",VLOOKUP(U61,'EF-S1'!$J$26:$M$29,3,))</f>
        <v>#N/A</v>
      </c>
      <c r="Z61" s="155" t="e" cm="1">
        <f t="array" ref="Z61">+_xlfn.IFS(W61="km",VLOOKUP(U61,'EF-S1'!$J$10:$M$16,4,),W61="l",VLOOKUP(U61,'EF-S1'!$J$26:$M$29,4,))</f>
        <v>#N/A</v>
      </c>
      <c r="AA61" s="155" t="e">
        <f t="shared" si="17"/>
        <v>#N/A</v>
      </c>
      <c r="AB61" s="155" t="e">
        <f t="shared" si="18"/>
        <v>#N/A</v>
      </c>
      <c r="AC61" s="155" t="e">
        <f t="shared" si="19"/>
        <v>#N/A</v>
      </c>
      <c r="AD61" s="155" t="e">
        <f t="shared" si="20"/>
        <v>#N/A</v>
      </c>
      <c r="AE61" s="155" t="e">
        <f t="shared" si="21"/>
        <v>#N/A</v>
      </c>
      <c r="AF61" s="155" t="e">
        <f t="shared" si="22"/>
        <v>#N/A</v>
      </c>
      <c r="AG61" s="156">
        <f t="shared" si="11"/>
        <v>0</v>
      </c>
      <c r="AK61" s="152"/>
      <c r="AL61" s="160"/>
      <c r="AM61" s="158"/>
      <c r="AN61" s="159" t="s">
        <v>49</v>
      </c>
      <c r="AO61" s="155" t="e">
        <f>+VLOOKUP(AL61,'EF-S1'!$U$10:$V$24,2,)</f>
        <v>#N/A</v>
      </c>
      <c r="AP61" s="155" t="e">
        <f t="shared" si="16"/>
        <v>#N/A</v>
      </c>
      <c r="AQ61" s="156">
        <f t="shared" si="12"/>
        <v>0</v>
      </c>
    </row>
    <row r="62" spans="1:43" x14ac:dyDescent="0.7">
      <c r="C62" s="152"/>
      <c r="D62" s="137"/>
      <c r="E62" s="158"/>
      <c r="F62" s="154"/>
      <c r="G62" s="155" t="e" cm="1">
        <f t="array" ref="G62">+_xlfn.IFS($C$7=$D$12,VLOOKUP(D62,'EF-S1'!$B$10:$E$13,2,),$C$7=$D$13,VLOOKUP(D62,'EF-S1'!$B$17:$E$20,2,),$C$7=$D$14,VLOOKUP(D62,'EF-S1'!$B$24:$E$27,2,),$C$7=$D$15,VLOOKUP(D62,'EF-S1'!$B$31:$E$34,2,))</f>
        <v>#N/A</v>
      </c>
      <c r="H62" s="155" t="e" cm="1">
        <f t="array" ref="H62">+_xlfn.IFS($C$7=$D$12,VLOOKUP(D62,'EF-S1'!$B$10:$E$13,3,),$C$7=$D$13,VLOOKUP(D62,'EF-S1'!$B$17:$E$20,3,),$C$7=$D$14,VLOOKUP(D62,'EF-S1'!$B$24:$E$27,3,),$C$7=$D$15,VLOOKUP(D62,'EF-S1'!$B$31:$E$34,3,))</f>
        <v>#N/A</v>
      </c>
      <c r="I62" s="155" t="e" cm="1">
        <f t="array" ref="I62">+_xlfn.IFS($C$7=$D$12,VLOOKUP(D62,'EF-S1'!$B$10:$E$13,4,),$C$7=$D$13,VLOOKUP(D62,'EF-S1'!$B$17:$E$20,4,),$C$7=$D$14,VLOOKUP(D62,'EF-S1'!$B$24:$E$27,4,),$C$7=$D$15,VLOOKUP(D62,'EF-S1'!$B$31:$E$34,4,))</f>
        <v>#N/A</v>
      </c>
      <c r="J62" s="155" t="e" cm="1">
        <f t="array" ref="J62">+_xlfn.IFS(D62=$C$12,_xlfn.IFS(F62=$E$12,E62*G62*'EF-S1'!$C$38*1/'EF-S1'!$E$45,F62=$E$13,E62*G62*1/'EF-S1'!$E$45,F62=$E$14,E62*G62*'EF-S1'!$C$38*1/'EF-S1'!$E$45*1/'EF-S1'!$E$47,F62=$E$15,E62*G62*'EF-S1'!$D$38*1/'EF-S1'!$E$45),D62=$C$13,_xlfn.IFS(F62=$E$12,E62*G62*'EF-S1'!$C$39*1/'EF-S1'!$E$45,F62=$E$13,E62*G62*1/'EF-S1'!$E$45,F62=$E$14,E62*G62*'EF-S1'!$C$39*1/'EF-S1'!$E$45*1/'EF-S1'!$E$47,F62=$E$15,E62*G62*'EF-S1'!$D$39*1/'EF-S1'!$E$45),D62=$C$14,_xlfn.IFS(F62=$E$12,E62*G62*'EF-S1'!$C$40*1/'EF-S1'!$E$45,F62=$E$13,E62*G62*1/'EF-S1'!$E$45,F62=$E$14,E62*G62*'EF-S1'!$C$40*1/'EF-S1'!$E$45*1/'EF-S1'!$E$47,F62=$E$15,E62*G62*'EF-S1'!$D$40*1/'EF-S1'!$E$45),D62=$C$15,_xlfn.IFS(F62=$E$12,E62*G62*'EF-S1'!$C$41*1/'EF-S1'!$E$45,F62=$E$13,E62*G62*1/'EF-S1'!$E$45,F62=$E$14,E62*G62*'EF-S1'!$C$41*1/'EF-S1'!$E$45*1/'EF-S1'!$E$47,F62=$E$15,E62*G62*'EF-S1'!$D$41*1/'EF-S1'!$E$45))</f>
        <v>#N/A</v>
      </c>
      <c r="K62" s="155" t="e" cm="1">
        <f t="array" ref="K62">+_xlfn.IFS(D62=$C$12,_xlfn.IFS(F62=$E$12,E62*H62*'EF-S1'!$C$38*1/'EF-S1'!$E$45,F62=$E$13,E62*H62*1/'EF-S1'!$E$45,F62=$E$14,E62*H62*'EF-S1'!$C$38*1/'EF-S1'!$E$45*1/'EF-S1'!$E$47,F62=$E$15,E62*H62*'EF-S1'!$D$38*1/'EF-S1'!$E$45),D62=$C$13,_xlfn.IFS(F62=$E$12,E62*H62*'EF-S1'!$C$39*1/'EF-S1'!$E$45,F62=$E$13,E62*H62*1/'EF-S1'!$E$45,F62=$E$14,E62*H62*'EF-S1'!$C$39*1/'EF-S1'!$E$45*1/'EF-S1'!$E$47,F62=$E$15,E62*H62*'EF-S1'!$D$39*1/'EF-S1'!$E$45),D62=$C$14,_xlfn.IFS(F62=$E$12,E62*H62*'EF-S1'!$C$40*1/'EF-S1'!$E$45,F62=$E$13,E62*H62*1/'EF-S1'!$E$45,F62=$E$14,E62*H62*'EF-S1'!$C$40*1/'EF-S1'!$E$45*1/'EF-S1'!$E$47,F62=$E$15,E62*H62*'EF-S1'!$D$40*1/'EF-S1'!$E$45),D62=$C$15,_xlfn.IFS(F62=$E$12,E62*H62*'EF-S1'!$C$41*1/'EF-S1'!$E$45,F62=$E$13,E62*H62*1/'EF-S1'!$E$45,F62=$E$14,E62*H62*'EF-S1'!$C$41*1/'EF-S1'!$E$45*1/'EF-S1'!$E$47,F62=$E$15,E62*H62*'EF-S1'!$D$41*1/'EF-S1'!$E$45))</f>
        <v>#N/A</v>
      </c>
      <c r="L62" s="155" t="e" cm="1">
        <f t="array" ref="L62">+_xlfn.IFS(D62=$C$12,_xlfn.IFS(F62=$E$12,E62*I62*'EF-S1'!$C$38*1/'EF-S1'!$E$45,F62=$E$13,E62*I62*1/'EF-S1'!$E$45,F62=$E$14,E62*I62*'EF-S1'!$C$38*1/'EF-S1'!$E$45*1/'EF-S1'!$E$47,F62=$E$15,E62*I62*'EF-S1'!$D$38*1/'EF-S1'!$E$45),D62=$C$13,_xlfn.IFS(F62=$E$12,E62*I62*'EF-S1'!$C$39*1/'EF-S1'!$E$45,F62=$E$13,E62*I62*1/'EF-S1'!$E$45,F62=$E$14,E62*I62*'EF-S1'!$C$39*1/'EF-S1'!$E$45*1/'EF-S1'!$E$47,F62=$E$15,E62*I62*'EF-S1'!$D$39*1/'EF-S1'!$E$45),D62=$C$14,_xlfn.IFS(F62=$E$12,E62*I62*'EF-S1'!$C$40*1/'EF-S1'!$E$45,F62=$E$13,E62*I62*1/'EF-S1'!$E$45,F62=$E$14,E62*I62*'EF-S1'!$C$40*1/'EF-S1'!$E$45*1/'EF-S1'!$E$47,F62=$E$15,E62*I62*'EF-S1'!$D$40*1/'EF-S1'!$E$45),D62=$C$15,_xlfn.IFS(F62=$E$12,E62*I62*'EF-S1'!$C$41*1/'EF-S1'!$E$45,F62=$E$13,E62*I62*1/'EF-S1'!$E$45,F62=$E$14,E62*I62*'EF-S1'!$C$41*1/'EF-S1'!$E$45*1/'EF-S1'!$E$47,F62=$E$15,E62*I62*'EF-S1'!$D$41*1/'EF-S1'!$E$45))</f>
        <v>#N/A</v>
      </c>
      <c r="M62" s="155" t="e">
        <f t="shared" si="13"/>
        <v>#N/A</v>
      </c>
      <c r="N62" s="155" t="e">
        <f t="shared" si="14"/>
        <v>#N/A</v>
      </c>
      <c r="O62" s="155" t="e">
        <f t="shared" si="15"/>
        <v>#N/A</v>
      </c>
      <c r="P62" s="156">
        <f t="shared" si="7"/>
        <v>0</v>
      </c>
      <c r="T62" s="152"/>
      <c r="U62" s="157"/>
      <c r="V62" s="158"/>
      <c r="W62" s="159"/>
      <c r="X62" s="155" t="e" cm="1">
        <f t="array" ref="X62">+_xlfn.IFS(W62="km",VLOOKUP(U62,'EF-S1'!$J$10:$M$16,2,),W62="l",VLOOKUP(U62,'EF-S1'!$J$26:$M$29,2,))</f>
        <v>#N/A</v>
      </c>
      <c r="Y62" s="155" t="e" cm="1">
        <f t="array" ref="Y62">+_xlfn.IFS(W62="km",VLOOKUP(U62,'EF-S1'!$J$10:$M$16,3,),W62="l",VLOOKUP(U62,'EF-S1'!$J$26:$M$29,3,))</f>
        <v>#N/A</v>
      </c>
      <c r="Z62" s="155" t="e" cm="1">
        <f t="array" ref="Z62">+_xlfn.IFS(W62="km",VLOOKUP(U62,'EF-S1'!$J$10:$M$16,4,),W62="l",VLOOKUP(U62,'EF-S1'!$J$26:$M$29,4,))</f>
        <v>#N/A</v>
      </c>
      <c r="AA62" s="155" t="e">
        <f t="shared" si="17"/>
        <v>#N/A</v>
      </c>
      <c r="AB62" s="155" t="e">
        <f t="shared" si="18"/>
        <v>#N/A</v>
      </c>
      <c r="AC62" s="155" t="e">
        <f t="shared" si="19"/>
        <v>#N/A</v>
      </c>
      <c r="AD62" s="155" t="e">
        <f t="shared" si="20"/>
        <v>#N/A</v>
      </c>
      <c r="AE62" s="155" t="e">
        <f t="shared" si="21"/>
        <v>#N/A</v>
      </c>
      <c r="AF62" s="155" t="e">
        <f t="shared" si="22"/>
        <v>#N/A</v>
      </c>
      <c r="AG62" s="156">
        <f t="shared" si="11"/>
        <v>0</v>
      </c>
      <c r="AK62" s="152"/>
      <c r="AL62" s="160"/>
      <c r="AM62" s="158"/>
      <c r="AN62" s="159" t="s">
        <v>49</v>
      </c>
      <c r="AO62" s="155" t="e">
        <f>+VLOOKUP(AL62,'EF-S1'!$U$10:$V$24,2,)</f>
        <v>#N/A</v>
      </c>
      <c r="AP62" s="155" t="e">
        <f t="shared" si="16"/>
        <v>#N/A</v>
      </c>
      <c r="AQ62" s="156">
        <f t="shared" si="12"/>
        <v>0</v>
      </c>
    </row>
    <row r="63" spans="1:43" x14ac:dyDescent="0.7">
      <c r="C63" s="152"/>
      <c r="D63" s="137"/>
      <c r="E63" s="158"/>
      <c r="F63" s="154"/>
      <c r="G63" s="155" t="e" cm="1">
        <f t="array" ref="G63">+_xlfn.IFS($C$7=$D$12,VLOOKUP(D63,'EF-S1'!$B$10:$E$13,2,),$C$7=$D$13,VLOOKUP(D63,'EF-S1'!$B$17:$E$20,2,),$C$7=$D$14,VLOOKUP(D63,'EF-S1'!$B$24:$E$27,2,),$C$7=$D$15,VLOOKUP(D63,'EF-S1'!$B$31:$E$34,2,))</f>
        <v>#N/A</v>
      </c>
      <c r="H63" s="155" t="e" cm="1">
        <f t="array" ref="H63">+_xlfn.IFS($C$7=$D$12,VLOOKUP(D63,'EF-S1'!$B$10:$E$13,3,),$C$7=$D$13,VLOOKUP(D63,'EF-S1'!$B$17:$E$20,3,),$C$7=$D$14,VLOOKUP(D63,'EF-S1'!$B$24:$E$27,3,),$C$7=$D$15,VLOOKUP(D63,'EF-S1'!$B$31:$E$34,3,))</f>
        <v>#N/A</v>
      </c>
      <c r="I63" s="155" t="e" cm="1">
        <f t="array" ref="I63">+_xlfn.IFS($C$7=$D$12,VLOOKUP(D63,'EF-S1'!$B$10:$E$13,4,),$C$7=$D$13,VLOOKUP(D63,'EF-S1'!$B$17:$E$20,4,),$C$7=$D$14,VLOOKUP(D63,'EF-S1'!$B$24:$E$27,4,),$C$7=$D$15,VLOOKUP(D63,'EF-S1'!$B$31:$E$34,4,))</f>
        <v>#N/A</v>
      </c>
      <c r="J63" s="155" t="e" cm="1">
        <f t="array" ref="J63">+_xlfn.IFS(D63=$C$12,_xlfn.IFS(F63=$E$12,E63*G63*'EF-S1'!$C$38*1/'EF-S1'!$E$45,F63=$E$13,E63*G63*1/'EF-S1'!$E$45,F63=$E$14,E63*G63*'EF-S1'!$C$38*1/'EF-S1'!$E$45*1/'EF-S1'!$E$47,F63=$E$15,E63*G63*'EF-S1'!$D$38*1/'EF-S1'!$E$45),D63=$C$13,_xlfn.IFS(F63=$E$12,E63*G63*'EF-S1'!$C$39*1/'EF-S1'!$E$45,F63=$E$13,E63*G63*1/'EF-S1'!$E$45,F63=$E$14,E63*G63*'EF-S1'!$C$39*1/'EF-S1'!$E$45*1/'EF-S1'!$E$47,F63=$E$15,E63*G63*'EF-S1'!$D$39*1/'EF-S1'!$E$45),D63=$C$14,_xlfn.IFS(F63=$E$12,E63*G63*'EF-S1'!$C$40*1/'EF-S1'!$E$45,F63=$E$13,E63*G63*1/'EF-S1'!$E$45,F63=$E$14,E63*G63*'EF-S1'!$C$40*1/'EF-S1'!$E$45*1/'EF-S1'!$E$47,F63=$E$15,E63*G63*'EF-S1'!$D$40*1/'EF-S1'!$E$45),D63=$C$15,_xlfn.IFS(F63=$E$12,E63*G63*'EF-S1'!$C$41*1/'EF-S1'!$E$45,F63=$E$13,E63*G63*1/'EF-S1'!$E$45,F63=$E$14,E63*G63*'EF-S1'!$C$41*1/'EF-S1'!$E$45*1/'EF-S1'!$E$47,F63=$E$15,E63*G63*'EF-S1'!$D$41*1/'EF-S1'!$E$45))</f>
        <v>#N/A</v>
      </c>
      <c r="K63" s="155" t="e" cm="1">
        <f t="array" ref="K63">+_xlfn.IFS(D63=$C$12,_xlfn.IFS(F63=$E$12,E63*H63*'EF-S1'!$C$38*1/'EF-S1'!$E$45,F63=$E$13,E63*H63*1/'EF-S1'!$E$45,F63=$E$14,E63*H63*'EF-S1'!$C$38*1/'EF-S1'!$E$45*1/'EF-S1'!$E$47,F63=$E$15,E63*H63*'EF-S1'!$D$38*1/'EF-S1'!$E$45),D63=$C$13,_xlfn.IFS(F63=$E$12,E63*H63*'EF-S1'!$C$39*1/'EF-S1'!$E$45,F63=$E$13,E63*H63*1/'EF-S1'!$E$45,F63=$E$14,E63*H63*'EF-S1'!$C$39*1/'EF-S1'!$E$45*1/'EF-S1'!$E$47,F63=$E$15,E63*H63*'EF-S1'!$D$39*1/'EF-S1'!$E$45),D63=$C$14,_xlfn.IFS(F63=$E$12,E63*H63*'EF-S1'!$C$40*1/'EF-S1'!$E$45,F63=$E$13,E63*H63*1/'EF-S1'!$E$45,F63=$E$14,E63*H63*'EF-S1'!$C$40*1/'EF-S1'!$E$45*1/'EF-S1'!$E$47,F63=$E$15,E63*H63*'EF-S1'!$D$40*1/'EF-S1'!$E$45),D63=$C$15,_xlfn.IFS(F63=$E$12,E63*H63*'EF-S1'!$C$41*1/'EF-S1'!$E$45,F63=$E$13,E63*H63*1/'EF-S1'!$E$45,F63=$E$14,E63*H63*'EF-S1'!$C$41*1/'EF-S1'!$E$45*1/'EF-S1'!$E$47,F63=$E$15,E63*H63*'EF-S1'!$D$41*1/'EF-S1'!$E$45))</f>
        <v>#N/A</v>
      </c>
      <c r="L63" s="155" t="e" cm="1">
        <f t="array" ref="L63">+_xlfn.IFS(D63=$C$12,_xlfn.IFS(F63=$E$12,E63*I63*'EF-S1'!$C$38*1/'EF-S1'!$E$45,F63=$E$13,E63*I63*1/'EF-S1'!$E$45,F63=$E$14,E63*I63*'EF-S1'!$C$38*1/'EF-S1'!$E$45*1/'EF-S1'!$E$47,F63=$E$15,E63*I63*'EF-S1'!$D$38*1/'EF-S1'!$E$45),D63=$C$13,_xlfn.IFS(F63=$E$12,E63*I63*'EF-S1'!$C$39*1/'EF-S1'!$E$45,F63=$E$13,E63*I63*1/'EF-S1'!$E$45,F63=$E$14,E63*I63*'EF-S1'!$C$39*1/'EF-S1'!$E$45*1/'EF-S1'!$E$47,F63=$E$15,E63*I63*'EF-S1'!$D$39*1/'EF-S1'!$E$45),D63=$C$14,_xlfn.IFS(F63=$E$12,E63*I63*'EF-S1'!$C$40*1/'EF-S1'!$E$45,F63=$E$13,E63*I63*1/'EF-S1'!$E$45,F63=$E$14,E63*I63*'EF-S1'!$C$40*1/'EF-S1'!$E$45*1/'EF-S1'!$E$47,F63=$E$15,E63*I63*'EF-S1'!$D$40*1/'EF-S1'!$E$45),D63=$C$15,_xlfn.IFS(F63=$E$12,E63*I63*'EF-S1'!$C$41*1/'EF-S1'!$E$45,F63=$E$13,E63*I63*1/'EF-S1'!$E$45,F63=$E$14,E63*I63*'EF-S1'!$C$41*1/'EF-S1'!$E$45*1/'EF-S1'!$E$47,F63=$E$15,E63*I63*'EF-S1'!$D$41*1/'EF-S1'!$E$45))</f>
        <v>#N/A</v>
      </c>
      <c r="M63" s="155" t="e">
        <f t="shared" si="13"/>
        <v>#N/A</v>
      </c>
      <c r="N63" s="155" t="e">
        <f t="shared" si="14"/>
        <v>#N/A</v>
      </c>
      <c r="O63" s="155" t="e">
        <f t="shared" si="15"/>
        <v>#N/A</v>
      </c>
      <c r="P63" s="156">
        <f t="shared" si="7"/>
        <v>0</v>
      </c>
      <c r="T63" s="152"/>
      <c r="U63" s="157"/>
      <c r="V63" s="158"/>
      <c r="W63" s="159"/>
      <c r="X63" s="155" t="e" cm="1">
        <f t="array" ref="X63">+_xlfn.IFS(W63="km",VLOOKUP(U63,'EF-S1'!$J$10:$M$16,2,),W63="l",VLOOKUP(U63,'EF-S1'!$J$26:$M$29,2,))</f>
        <v>#N/A</v>
      </c>
      <c r="Y63" s="155" t="e" cm="1">
        <f t="array" ref="Y63">+_xlfn.IFS(W63="km",VLOOKUP(U63,'EF-S1'!$J$10:$M$16,3,),W63="l",VLOOKUP(U63,'EF-S1'!$J$26:$M$29,3,))</f>
        <v>#N/A</v>
      </c>
      <c r="Z63" s="155" t="e" cm="1">
        <f t="array" ref="Z63">+_xlfn.IFS(W63="km",VLOOKUP(U63,'EF-S1'!$J$10:$M$16,4,),W63="l",VLOOKUP(U63,'EF-S1'!$J$26:$M$29,4,))</f>
        <v>#N/A</v>
      </c>
      <c r="AA63" s="155" t="e">
        <f t="shared" si="17"/>
        <v>#N/A</v>
      </c>
      <c r="AB63" s="155" t="e">
        <f t="shared" si="18"/>
        <v>#N/A</v>
      </c>
      <c r="AC63" s="155" t="e">
        <f t="shared" si="19"/>
        <v>#N/A</v>
      </c>
      <c r="AD63" s="155" t="e">
        <f t="shared" si="20"/>
        <v>#N/A</v>
      </c>
      <c r="AE63" s="155" t="e">
        <f t="shared" si="21"/>
        <v>#N/A</v>
      </c>
      <c r="AF63" s="155" t="e">
        <f t="shared" si="22"/>
        <v>#N/A</v>
      </c>
      <c r="AG63" s="156">
        <f t="shared" si="11"/>
        <v>0</v>
      </c>
      <c r="AK63" s="152"/>
      <c r="AL63" s="160"/>
      <c r="AM63" s="158"/>
      <c r="AN63" s="159" t="s">
        <v>49</v>
      </c>
      <c r="AO63" s="155" t="e">
        <f>+VLOOKUP(AL63,'EF-S1'!$U$10:$V$24,2,)</f>
        <v>#N/A</v>
      </c>
      <c r="AP63" s="155" t="e">
        <f t="shared" si="16"/>
        <v>#N/A</v>
      </c>
      <c r="AQ63" s="156">
        <f t="shared" si="12"/>
        <v>0</v>
      </c>
    </row>
    <row r="64" spans="1:43" x14ac:dyDescent="0.7">
      <c r="C64" s="152"/>
      <c r="D64" s="137"/>
      <c r="E64" s="158"/>
      <c r="F64" s="154"/>
      <c r="G64" s="155" t="e" cm="1">
        <f t="array" ref="G64">+_xlfn.IFS($C$7=$D$12,VLOOKUP(D64,'EF-S1'!$B$10:$E$13,2,),$C$7=$D$13,VLOOKUP(D64,'EF-S1'!$B$17:$E$20,2,),$C$7=$D$14,VLOOKUP(D64,'EF-S1'!$B$24:$E$27,2,),$C$7=$D$15,VLOOKUP(D64,'EF-S1'!$B$31:$E$34,2,))</f>
        <v>#N/A</v>
      </c>
      <c r="H64" s="155" t="e" cm="1">
        <f t="array" ref="H64">+_xlfn.IFS($C$7=$D$12,VLOOKUP(D64,'EF-S1'!$B$10:$E$13,3,),$C$7=$D$13,VLOOKUP(D64,'EF-S1'!$B$17:$E$20,3,),$C$7=$D$14,VLOOKUP(D64,'EF-S1'!$B$24:$E$27,3,),$C$7=$D$15,VLOOKUP(D64,'EF-S1'!$B$31:$E$34,3,))</f>
        <v>#N/A</v>
      </c>
      <c r="I64" s="155" t="e" cm="1">
        <f t="array" ref="I64">+_xlfn.IFS($C$7=$D$12,VLOOKUP(D64,'EF-S1'!$B$10:$E$13,4,),$C$7=$D$13,VLOOKUP(D64,'EF-S1'!$B$17:$E$20,4,),$C$7=$D$14,VLOOKUP(D64,'EF-S1'!$B$24:$E$27,4,),$C$7=$D$15,VLOOKUP(D64,'EF-S1'!$B$31:$E$34,4,))</f>
        <v>#N/A</v>
      </c>
      <c r="J64" s="155" t="e" cm="1">
        <f t="array" ref="J64">+_xlfn.IFS(D64=$C$12,_xlfn.IFS(F64=$E$12,E64*G64*'EF-S1'!$C$38*1/'EF-S1'!$E$45,F64=$E$13,E64*G64*1/'EF-S1'!$E$45,F64=$E$14,E64*G64*'EF-S1'!$C$38*1/'EF-S1'!$E$45*1/'EF-S1'!$E$47,F64=$E$15,E64*G64*'EF-S1'!$D$38*1/'EF-S1'!$E$45),D64=$C$13,_xlfn.IFS(F64=$E$12,E64*G64*'EF-S1'!$C$39*1/'EF-S1'!$E$45,F64=$E$13,E64*G64*1/'EF-S1'!$E$45,F64=$E$14,E64*G64*'EF-S1'!$C$39*1/'EF-S1'!$E$45*1/'EF-S1'!$E$47,F64=$E$15,E64*G64*'EF-S1'!$D$39*1/'EF-S1'!$E$45),D64=$C$14,_xlfn.IFS(F64=$E$12,E64*G64*'EF-S1'!$C$40*1/'EF-S1'!$E$45,F64=$E$13,E64*G64*1/'EF-S1'!$E$45,F64=$E$14,E64*G64*'EF-S1'!$C$40*1/'EF-S1'!$E$45*1/'EF-S1'!$E$47,F64=$E$15,E64*G64*'EF-S1'!$D$40*1/'EF-S1'!$E$45),D64=$C$15,_xlfn.IFS(F64=$E$12,E64*G64*'EF-S1'!$C$41*1/'EF-S1'!$E$45,F64=$E$13,E64*G64*1/'EF-S1'!$E$45,F64=$E$14,E64*G64*'EF-S1'!$C$41*1/'EF-S1'!$E$45*1/'EF-S1'!$E$47,F64=$E$15,E64*G64*'EF-S1'!$D$41*1/'EF-S1'!$E$45))</f>
        <v>#N/A</v>
      </c>
      <c r="K64" s="155" t="e" cm="1">
        <f t="array" ref="K64">+_xlfn.IFS(D64=$C$12,_xlfn.IFS(F64=$E$12,E64*H64*'EF-S1'!$C$38*1/'EF-S1'!$E$45,F64=$E$13,E64*H64*1/'EF-S1'!$E$45,F64=$E$14,E64*H64*'EF-S1'!$C$38*1/'EF-S1'!$E$45*1/'EF-S1'!$E$47,F64=$E$15,E64*H64*'EF-S1'!$D$38*1/'EF-S1'!$E$45),D64=$C$13,_xlfn.IFS(F64=$E$12,E64*H64*'EF-S1'!$C$39*1/'EF-S1'!$E$45,F64=$E$13,E64*H64*1/'EF-S1'!$E$45,F64=$E$14,E64*H64*'EF-S1'!$C$39*1/'EF-S1'!$E$45*1/'EF-S1'!$E$47,F64=$E$15,E64*H64*'EF-S1'!$D$39*1/'EF-S1'!$E$45),D64=$C$14,_xlfn.IFS(F64=$E$12,E64*H64*'EF-S1'!$C$40*1/'EF-S1'!$E$45,F64=$E$13,E64*H64*1/'EF-S1'!$E$45,F64=$E$14,E64*H64*'EF-S1'!$C$40*1/'EF-S1'!$E$45*1/'EF-S1'!$E$47,F64=$E$15,E64*H64*'EF-S1'!$D$40*1/'EF-S1'!$E$45),D64=$C$15,_xlfn.IFS(F64=$E$12,E64*H64*'EF-S1'!$C$41*1/'EF-S1'!$E$45,F64=$E$13,E64*H64*1/'EF-S1'!$E$45,F64=$E$14,E64*H64*'EF-S1'!$C$41*1/'EF-S1'!$E$45*1/'EF-S1'!$E$47,F64=$E$15,E64*H64*'EF-S1'!$D$41*1/'EF-S1'!$E$45))</f>
        <v>#N/A</v>
      </c>
      <c r="L64" s="155" t="e" cm="1">
        <f t="array" ref="L64">+_xlfn.IFS(D64=$C$12,_xlfn.IFS(F64=$E$12,E64*I64*'EF-S1'!$C$38*1/'EF-S1'!$E$45,F64=$E$13,E64*I64*1/'EF-S1'!$E$45,F64=$E$14,E64*I64*'EF-S1'!$C$38*1/'EF-S1'!$E$45*1/'EF-S1'!$E$47,F64=$E$15,E64*I64*'EF-S1'!$D$38*1/'EF-S1'!$E$45),D64=$C$13,_xlfn.IFS(F64=$E$12,E64*I64*'EF-S1'!$C$39*1/'EF-S1'!$E$45,F64=$E$13,E64*I64*1/'EF-S1'!$E$45,F64=$E$14,E64*I64*'EF-S1'!$C$39*1/'EF-S1'!$E$45*1/'EF-S1'!$E$47,F64=$E$15,E64*I64*'EF-S1'!$D$39*1/'EF-S1'!$E$45),D64=$C$14,_xlfn.IFS(F64=$E$12,E64*I64*'EF-S1'!$C$40*1/'EF-S1'!$E$45,F64=$E$13,E64*I64*1/'EF-S1'!$E$45,F64=$E$14,E64*I64*'EF-S1'!$C$40*1/'EF-S1'!$E$45*1/'EF-S1'!$E$47,F64=$E$15,E64*I64*'EF-S1'!$D$40*1/'EF-S1'!$E$45),D64=$C$15,_xlfn.IFS(F64=$E$12,E64*I64*'EF-S1'!$C$41*1/'EF-S1'!$E$45,F64=$E$13,E64*I64*1/'EF-S1'!$E$45,F64=$E$14,E64*I64*'EF-S1'!$C$41*1/'EF-S1'!$E$45*1/'EF-S1'!$E$47,F64=$E$15,E64*I64*'EF-S1'!$D$41*1/'EF-S1'!$E$45))</f>
        <v>#N/A</v>
      </c>
      <c r="M64" s="155" t="e">
        <f t="shared" si="13"/>
        <v>#N/A</v>
      </c>
      <c r="N64" s="155" t="e">
        <f t="shared" si="14"/>
        <v>#N/A</v>
      </c>
      <c r="O64" s="155" t="e">
        <f t="shared" si="15"/>
        <v>#N/A</v>
      </c>
      <c r="P64" s="156">
        <f t="shared" si="7"/>
        <v>0</v>
      </c>
      <c r="T64" s="152"/>
      <c r="U64" s="157"/>
      <c r="V64" s="158"/>
      <c r="W64" s="159"/>
      <c r="X64" s="155" t="e" cm="1">
        <f t="array" ref="X64">+_xlfn.IFS(W64="km",VLOOKUP(U64,'EF-S1'!$J$10:$M$16,2,),W64="l",VLOOKUP(U64,'EF-S1'!$J$26:$M$29,2,))</f>
        <v>#N/A</v>
      </c>
      <c r="Y64" s="155" t="e" cm="1">
        <f t="array" ref="Y64">+_xlfn.IFS(W64="km",VLOOKUP(U64,'EF-S1'!$J$10:$M$16,3,),W64="l",VLOOKUP(U64,'EF-S1'!$J$26:$M$29,3,))</f>
        <v>#N/A</v>
      </c>
      <c r="Z64" s="155" t="e" cm="1">
        <f t="array" ref="Z64">+_xlfn.IFS(W64="km",VLOOKUP(U64,'EF-S1'!$J$10:$M$16,4,),W64="l",VLOOKUP(U64,'EF-S1'!$J$26:$M$29,4,))</f>
        <v>#N/A</v>
      </c>
      <c r="AA64" s="155" t="e">
        <f t="shared" si="17"/>
        <v>#N/A</v>
      </c>
      <c r="AB64" s="155" t="e">
        <f t="shared" si="18"/>
        <v>#N/A</v>
      </c>
      <c r="AC64" s="155" t="e">
        <f t="shared" si="19"/>
        <v>#N/A</v>
      </c>
      <c r="AD64" s="155" t="e">
        <f t="shared" si="20"/>
        <v>#N/A</v>
      </c>
      <c r="AE64" s="155" t="e">
        <f t="shared" si="21"/>
        <v>#N/A</v>
      </c>
      <c r="AF64" s="155" t="e">
        <f t="shared" si="22"/>
        <v>#N/A</v>
      </c>
      <c r="AG64" s="156">
        <f t="shared" si="11"/>
        <v>0</v>
      </c>
      <c r="AK64" s="152"/>
      <c r="AL64" s="160"/>
      <c r="AM64" s="158"/>
      <c r="AN64" s="159" t="s">
        <v>49</v>
      </c>
      <c r="AO64" s="155" t="e">
        <f>+VLOOKUP(AL64,'EF-S1'!$U$10:$V$24,2,)</f>
        <v>#N/A</v>
      </c>
      <c r="AP64" s="155" t="e">
        <f t="shared" si="16"/>
        <v>#N/A</v>
      </c>
      <c r="AQ64" s="156">
        <f t="shared" si="12"/>
        <v>0</v>
      </c>
    </row>
    <row r="65" spans="3:43" x14ac:dyDescent="0.7">
      <c r="C65" s="152"/>
      <c r="D65" s="137"/>
      <c r="E65" s="158"/>
      <c r="F65" s="154"/>
      <c r="G65" s="155" t="e" cm="1">
        <f t="array" ref="G65">+_xlfn.IFS($C$7=$D$12,VLOOKUP(D65,'EF-S1'!$B$10:$E$13,2,),$C$7=$D$13,VLOOKUP(D65,'EF-S1'!$B$17:$E$20,2,),$C$7=$D$14,VLOOKUP(D65,'EF-S1'!$B$24:$E$27,2,),$C$7=$D$15,VLOOKUP(D65,'EF-S1'!$B$31:$E$34,2,))</f>
        <v>#N/A</v>
      </c>
      <c r="H65" s="155" t="e" cm="1">
        <f t="array" ref="H65">+_xlfn.IFS($C$7=$D$12,VLOOKUP(D65,'EF-S1'!$B$10:$E$13,3,),$C$7=$D$13,VLOOKUP(D65,'EF-S1'!$B$17:$E$20,3,),$C$7=$D$14,VLOOKUP(D65,'EF-S1'!$B$24:$E$27,3,),$C$7=$D$15,VLOOKUP(D65,'EF-S1'!$B$31:$E$34,3,))</f>
        <v>#N/A</v>
      </c>
      <c r="I65" s="155" t="e" cm="1">
        <f t="array" ref="I65">+_xlfn.IFS($C$7=$D$12,VLOOKUP(D65,'EF-S1'!$B$10:$E$13,4,),$C$7=$D$13,VLOOKUP(D65,'EF-S1'!$B$17:$E$20,4,),$C$7=$D$14,VLOOKUP(D65,'EF-S1'!$B$24:$E$27,4,),$C$7=$D$15,VLOOKUP(D65,'EF-S1'!$B$31:$E$34,4,))</f>
        <v>#N/A</v>
      </c>
      <c r="J65" s="155" t="e" cm="1">
        <f t="array" ref="J65">+_xlfn.IFS(D65=$C$12,_xlfn.IFS(F65=$E$12,E65*G65*'EF-S1'!$C$38*1/'EF-S1'!$E$45,F65=$E$13,E65*G65*1/'EF-S1'!$E$45,F65=$E$14,E65*G65*'EF-S1'!$C$38*1/'EF-S1'!$E$45*1/'EF-S1'!$E$47,F65=$E$15,E65*G65*'EF-S1'!$D$38*1/'EF-S1'!$E$45),D65=$C$13,_xlfn.IFS(F65=$E$12,E65*G65*'EF-S1'!$C$39*1/'EF-S1'!$E$45,F65=$E$13,E65*G65*1/'EF-S1'!$E$45,F65=$E$14,E65*G65*'EF-S1'!$C$39*1/'EF-S1'!$E$45*1/'EF-S1'!$E$47,F65=$E$15,E65*G65*'EF-S1'!$D$39*1/'EF-S1'!$E$45),D65=$C$14,_xlfn.IFS(F65=$E$12,E65*G65*'EF-S1'!$C$40*1/'EF-S1'!$E$45,F65=$E$13,E65*G65*1/'EF-S1'!$E$45,F65=$E$14,E65*G65*'EF-S1'!$C$40*1/'EF-S1'!$E$45*1/'EF-S1'!$E$47,F65=$E$15,E65*G65*'EF-S1'!$D$40*1/'EF-S1'!$E$45),D65=$C$15,_xlfn.IFS(F65=$E$12,E65*G65*'EF-S1'!$C$41*1/'EF-S1'!$E$45,F65=$E$13,E65*G65*1/'EF-S1'!$E$45,F65=$E$14,E65*G65*'EF-S1'!$C$41*1/'EF-S1'!$E$45*1/'EF-S1'!$E$47,F65=$E$15,E65*G65*'EF-S1'!$D$41*1/'EF-S1'!$E$45))</f>
        <v>#N/A</v>
      </c>
      <c r="K65" s="155" t="e" cm="1">
        <f t="array" ref="K65">+_xlfn.IFS(D65=$C$12,_xlfn.IFS(F65=$E$12,E65*H65*'EF-S1'!$C$38*1/'EF-S1'!$E$45,F65=$E$13,E65*H65*1/'EF-S1'!$E$45,F65=$E$14,E65*H65*'EF-S1'!$C$38*1/'EF-S1'!$E$45*1/'EF-S1'!$E$47,F65=$E$15,E65*H65*'EF-S1'!$D$38*1/'EF-S1'!$E$45),D65=$C$13,_xlfn.IFS(F65=$E$12,E65*H65*'EF-S1'!$C$39*1/'EF-S1'!$E$45,F65=$E$13,E65*H65*1/'EF-S1'!$E$45,F65=$E$14,E65*H65*'EF-S1'!$C$39*1/'EF-S1'!$E$45*1/'EF-S1'!$E$47,F65=$E$15,E65*H65*'EF-S1'!$D$39*1/'EF-S1'!$E$45),D65=$C$14,_xlfn.IFS(F65=$E$12,E65*H65*'EF-S1'!$C$40*1/'EF-S1'!$E$45,F65=$E$13,E65*H65*1/'EF-S1'!$E$45,F65=$E$14,E65*H65*'EF-S1'!$C$40*1/'EF-S1'!$E$45*1/'EF-S1'!$E$47,F65=$E$15,E65*H65*'EF-S1'!$D$40*1/'EF-S1'!$E$45),D65=$C$15,_xlfn.IFS(F65=$E$12,E65*H65*'EF-S1'!$C$41*1/'EF-S1'!$E$45,F65=$E$13,E65*H65*1/'EF-S1'!$E$45,F65=$E$14,E65*H65*'EF-S1'!$C$41*1/'EF-S1'!$E$45*1/'EF-S1'!$E$47,F65=$E$15,E65*H65*'EF-S1'!$D$41*1/'EF-S1'!$E$45))</f>
        <v>#N/A</v>
      </c>
      <c r="L65" s="155" t="e" cm="1">
        <f t="array" ref="L65">+_xlfn.IFS(D65=$C$12,_xlfn.IFS(F65=$E$12,E65*I65*'EF-S1'!$C$38*1/'EF-S1'!$E$45,F65=$E$13,E65*I65*1/'EF-S1'!$E$45,F65=$E$14,E65*I65*'EF-S1'!$C$38*1/'EF-S1'!$E$45*1/'EF-S1'!$E$47,F65=$E$15,E65*I65*'EF-S1'!$D$38*1/'EF-S1'!$E$45),D65=$C$13,_xlfn.IFS(F65=$E$12,E65*I65*'EF-S1'!$C$39*1/'EF-S1'!$E$45,F65=$E$13,E65*I65*1/'EF-S1'!$E$45,F65=$E$14,E65*I65*'EF-S1'!$C$39*1/'EF-S1'!$E$45*1/'EF-S1'!$E$47,F65=$E$15,E65*I65*'EF-S1'!$D$39*1/'EF-S1'!$E$45),D65=$C$14,_xlfn.IFS(F65=$E$12,E65*I65*'EF-S1'!$C$40*1/'EF-S1'!$E$45,F65=$E$13,E65*I65*1/'EF-S1'!$E$45,F65=$E$14,E65*I65*'EF-S1'!$C$40*1/'EF-S1'!$E$45*1/'EF-S1'!$E$47,F65=$E$15,E65*I65*'EF-S1'!$D$40*1/'EF-S1'!$E$45),D65=$C$15,_xlfn.IFS(F65=$E$12,E65*I65*'EF-S1'!$C$41*1/'EF-S1'!$E$45,F65=$E$13,E65*I65*1/'EF-S1'!$E$45,F65=$E$14,E65*I65*'EF-S1'!$C$41*1/'EF-S1'!$E$45*1/'EF-S1'!$E$47,F65=$E$15,E65*I65*'EF-S1'!$D$41*1/'EF-S1'!$E$45))</f>
        <v>#N/A</v>
      </c>
      <c r="M65" s="155" t="e">
        <f t="shared" si="13"/>
        <v>#N/A</v>
      </c>
      <c r="N65" s="155" t="e">
        <f t="shared" si="14"/>
        <v>#N/A</v>
      </c>
      <c r="O65" s="155" t="e">
        <f t="shared" si="15"/>
        <v>#N/A</v>
      </c>
      <c r="P65" s="156">
        <f t="shared" si="7"/>
        <v>0</v>
      </c>
      <c r="T65" s="152"/>
      <c r="U65" s="157"/>
      <c r="V65" s="158"/>
      <c r="W65" s="159"/>
      <c r="X65" s="155" t="e" cm="1">
        <f t="array" ref="X65">+_xlfn.IFS(W65="km",VLOOKUP(U65,'EF-S1'!$J$10:$M$16,2,),W65="l",VLOOKUP(U65,'EF-S1'!$J$26:$M$29,2,))</f>
        <v>#N/A</v>
      </c>
      <c r="Y65" s="155" t="e" cm="1">
        <f t="array" ref="Y65">+_xlfn.IFS(W65="km",VLOOKUP(U65,'EF-S1'!$J$10:$M$16,3,),W65="l",VLOOKUP(U65,'EF-S1'!$J$26:$M$29,3,))</f>
        <v>#N/A</v>
      </c>
      <c r="Z65" s="155" t="e" cm="1">
        <f t="array" ref="Z65">+_xlfn.IFS(W65="km",VLOOKUP(U65,'EF-S1'!$J$10:$M$16,4,),W65="l",VLOOKUP(U65,'EF-S1'!$J$26:$M$29,4,))</f>
        <v>#N/A</v>
      </c>
      <c r="AA65" s="155" t="e">
        <f t="shared" si="17"/>
        <v>#N/A</v>
      </c>
      <c r="AB65" s="155" t="e">
        <f t="shared" si="18"/>
        <v>#N/A</v>
      </c>
      <c r="AC65" s="155" t="e">
        <f t="shared" si="19"/>
        <v>#N/A</v>
      </c>
      <c r="AD65" s="155" t="e">
        <f t="shared" si="20"/>
        <v>#N/A</v>
      </c>
      <c r="AE65" s="155" t="e">
        <f t="shared" si="21"/>
        <v>#N/A</v>
      </c>
      <c r="AF65" s="155" t="e">
        <f t="shared" si="22"/>
        <v>#N/A</v>
      </c>
      <c r="AG65" s="156">
        <f t="shared" si="11"/>
        <v>0</v>
      </c>
      <c r="AK65" s="152"/>
      <c r="AL65" s="160"/>
      <c r="AM65" s="158"/>
      <c r="AN65" s="159" t="s">
        <v>49</v>
      </c>
      <c r="AO65" s="155" t="e">
        <f>+VLOOKUP(AL65,'EF-S1'!$U$10:$V$24,2,)</f>
        <v>#N/A</v>
      </c>
      <c r="AP65" s="155" t="e">
        <f t="shared" si="16"/>
        <v>#N/A</v>
      </c>
      <c r="AQ65" s="156">
        <f t="shared" si="12"/>
        <v>0</v>
      </c>
    </row>
    <row r="66" spans="3:43" x14ac:dyDescent="0.7">
      <c r="C66" s="152"/>
      <c r="D66" s="137"/>
      <c r="E66" s="158"/>
      <c r="F66" s="154"/>
      <c r="G66" s="155" t="e" cm="1">
        <f t="array" ref="G66">+_xlfn.IFS($C$7=$D$12,VLOOKUP(D66,'EF-S1'!$B$10:$E$13,2,),$C$7=$D$13,VLOOKUP(D66,'EF-S1'!$B$17:$E$20,2,),$C$7=$D$14,VLOOKUP(D66,'EF-S1'!$B$24:$E$27,2,),$C$7=$D$15,VLOOKUP(D66,'EF-S1'!$B$31:$E$34,2,))</f>
        <v>#N/A</v>
      </c>
      <c r="H66" s="155" t="e" cm="1">
        <f t="array" ref="H66">+_xlfn.IFS($C$7=$D$12,VLOOKUP(D66,'EF-S1'!$B$10:$E$13,3,),$C$7=$D$13,VLOOKUP(D66,'EF-S1'!$B$17:$E$20,3,),$C$7=$D$14,VLOOKUP(D66,'EF-S1'!$B$24:$E$27,3,),$C$7=$D$15,VLOOKUP(D66,'EF-S1'!$B$31:$E$34,3,))</f>
        <v>#N/A</v>
      </c>
      <c r="I66" s="155" t="e" cm="1">
        <f t="array" ref="I66">+_xlfn.IFS($C$7=$D$12,VLOOKUP(D66,'EF-S1'!$B$10:$E$13,4,),$C$7=$D$13,VLOOKUP(D66,'EF-S1'!$B$17:$E$20,4,),$C$7=$D$14,VLOOKUP(D66,'EF-S1'!$B$24:$E$27,4,),$C$7=$D$15,VLOOKUP(D66,'EF-S1'!$B$31:$E$34,4,))</f>
        <v>#N/A</v>
      </c>
      <c r="J66" s="155" t="e" cm="1">
        <f t="array" ref="J66">+_xlfn.IFS(D66=$C$12,_xlfn.IFS(F66=$E$12,E66*G66*'EF-S1'!$C$38*1/'EF-S1'!$E$45,F66=$E$13,E66*G66*1/'EF-S1'!$E$45,F66=$E$14,E66*G66*'EF-S1'!$C$38*1/'EF-S1'!$E$45*1/'EF-S1'!$E$47,F66=$E$15,E66*G66*'EF-S1'!$D$38*1/'EF-S1'!$E$45),D66=$C$13,_xlfn.IFS(F66=$E$12,E66*G66*'EF-S1'!$C$39*1/'EF-S1'!$E$45,F66=$E$13,E66*G66*1/'EF-S1'!$E$45,F66=$E$14,E66*G66*'EF-S1'!$C$39*1/'EF-S1'!$E$45*1/'EF-S1'!$E$47,F66=$E$15,E66*G66*'EF-S1'!$D$39*1/'EF-S1'!$E$45),D66=$C$14,_xlfn.IFS(F66=$E$12,E66*G66*'EF-S1'!$C$40*1/'EF-S1'!$E$45,F66=$E$13,E66*G66*1/'EF-S1'!$E$45,F66=$E$14,E66*G66*'EF-S1'!$C$40*1/'EF-S1'!$E$45*1/'EF-S1'!$E$47,F66=$E$15,E66*G66*'EF-S1'!$D$40*1/'EF-S1'!$E$45),D66=$C$15,_xlfn.IFS(F66=$E$12,E66*G66*'EF-S1'!$C$41*1/'EF-S1'!$E$45,F66=$E$13,E66*G66*1/'EF-S1'!$E$45,F66=$E$14,E66*G66*'EF-S1'!$C$41*1/'EF-S1'!$E$45*1/'EF-S1'!$E$47,F66=$E$15,E66*G66*'EF-S1'!$D$41*1/'EF-S1'!$E$45))</f>
        <v>#N/A</v>
      </c>
      <c r="K66" s="155" t="e" cm="1">
        <f t="array" ref="K66">+_xlfn.IFS(D66=$C$12,_xlfn.IFS(F66=$E$12,E66*H66*'EF-S1'!$C$38*1/'EF-S1'!$E$45,F66=$E$13,E66*H66*1/'EF-S1'!$E$45,F66=$E$14,E66*H66*'EF-S1'!$C$38*1/'EF-S1'!$E$45*1/'EF-S1'!$E$47,F66=$E$15,E66*H66*'EF-S1'!$D$38*1/'EF-S1'!$E$45),D66=$C$13,_xlfn.IFS(F66=$E$12,E66*H66*'EF-S1'!$C$39*1/'EF-S1'!$E$45,F66=$E$13,E66*H66*1/'EF-S1'!$E$45,F66=$E$14,E66*H66*'EF-S1'!$C$39*1/'EF-S1'!$E$45*1/'EF-S1'!$E$47,F66=$E$15,E66*H66*'EF-S1'!$D$39*1/'EF-S1'!$E$45),D66=$C$14,_xlfn.IFS(F66=$E$12,E66*H66*'EF-S1'!$C$40*1/'EF-S1'!$E$45,F66=$E$13,E66*H66*1/'EF-S1'!$E$45,F66=$E$14,E66*H66*'EF-S1'!$C$40*1/'EF-S1'!$E$45*1/'EF-S1'!$E$47,F66=$E$15,E66*H66*'EF-S1'!$D$40*1/'EF-S1'!$E$45),D66=$C$15,_xlfn.IFS(F66=$E$12,E66*H66*'EF-S1'!$C$41*1/'EF-S1'!$E$45,F66=$E$13,E66*H66*1/'EF-S1'!$E$45,F66=$E$14,E66*H66*'EF-S1'!$C$41*1/'EF-S1'!$E$45*1/'EF-S1'!$E$47,F66=$E$15,E66*H66*'EF-S1'!$D$41*1/'EF-S1'!$E$45))</f>
        <v>#N/A</v>
      </c>
      <c r="L66" s="155" t="e" cm="1">
        <f t="array" ref="L66">+_xlfn.IFS(D66=$C$12,_xlfn.IFS(F66=$E$12,E66*I66*'EF-S1'!$C$38*1/'EF-S1'!$E$45,F66=$E$13,E66*I66*1/'EF-S1'!$E$45,F66=$E$14,E66*I66*'EF-S1'!$C$38*1/'EF-S1'!$E$45*1/'EF-S1'!$E$47,F66=$E$15,E66*I66*'EF-S1'!$D$38*1/'EF-S1'!$E$45),D66=$C$13,_xlfn.IFS(F66=$E$12,E66*I66*'EF-S1'!$C$39*1/'EF-S1'!$E$45,F66=$E$13,E66*I66*1/'EF-S1'!$E$45,F66=$E$14,E66*I66*'EF-S1'!$C$39*1/'EF-S1'!$E$45*1/'EF-S1'!$E$47,F66=$E$15,E66*I66*'EF-S1'!$D$39*1/'EF-S1'!$E$45),D66=$C$14,_xlfn.IFS(F66=$E$12,E66*I66*'EF-S1'!$C$40*1/'EF-S1'!$E$45,F66=$E$13,E66*I66*1/'EF-S1'!$E$45,F66=$E$14,E66*I66*'EF-S1'!$C$40*1/'EF-S1'!$E$45*1/'EF-S1'!$E$47,F66=$E$15,E66*I66*'EF-S1'!$D$40*1/'EF-S1'!$E$45),D66=$C$15,_xlfn.IFS(F66=$E$12,E66*I66*'EF-S1'!$C$41*1/'EF-S1'!$E$45,F66=$E$13,E66*I66*1/'EF-S1'!$E$45,F66=$E$14,E66*I66*'EF-S1'!$C$41*1/'EF-S1'!$E$45*1/'EF-S1'!$E$47,F66=$E$15,E66*I66*'EF-S1'!$D$41*1/'EF-S1'!$E$45))</f>
        <v>#N/A</v>
      </c>
      <c r="M66" s="155" t="e">
        <f t="shared" si="13"/>
        <v>#N/A</v>
      </c>
      <c r="N66" s="155" t="e">
        <f t="shared" si="14"/>
        <v>#N/A</v>
      </c>
      <c r="O66" s="155" t="e">
        <f t="shared" si="15"/>
        <v>#N/A</v>
      </c>
      <c r="P66" s="156">
        <f t="shared" si="7"/>
        <v>0</v>
      </c>
      <c r="T66" s="152"/>
      <c r="U66" s="157"/>
      <c r="V66" s="158"/>
      <c r="W66" s="159"/>
      <c r="X66" s="155" t="e" cm="1">
        <f t="array" ref="X66">+_xlfn.IFS(W66="km",VLOOKUP(U66,'EF-S1'!$J$10:$M$16,2,),W66="l",VLOOKUP(U66,'EF-S1'!$J$26:$M$29,2,))</f>
        <v>#N/A</v>
      </c>
      <c r="Y66" s="155" t="e" cm="1">
        <f t="array" ref="Y66">+_xlfn.IFS(W66="km",VLOOKUP(U66,'EF-S1'!$J$10:$M$16,3,),W66="l",VLOOKUP(U66,'EF-S1'!$J$26:$M$29,3,))</f>
        <v>#N/A</v>
      </c>
      <c r="Z66" s="155" t="e" cm="1">
        <f t="array" ref="Z66">+_xlfn.IFS(W66="km",VLOOKUP(U66,'EF-S1'!$J$10:$M$16,4,),W66="l",VLOOKUP(U66,'EF-S1'!$J$26:$M$29,4,))</f>
        <v>#N/A</v>
      </c>
      <c r="AA66" s="155" t="e">
        <f t="shared" si="17"/>
        <v>#N/A</v>
      </c>
      <c r="AB66" s="155" t="e">
        <f t="shared" si="18"/>
        <v>#N/A</v>
      </c>
      <c r="AC66" s="155" t="e">
        <f t="shared" si="19"/>
        <v>#N/A</v>
      </c>
      <c r="AD66" s="155" t="e">
        <f t="shared" si="20"/>
        <v>#N/A</v>
      </c>
      <c r="AE66" s="155" t="e">
        <f t="shared" si="21"/>
        <v>#N/A</v>
      </c>
      <c r="AF66" s="155" t="e">
        <f t="shared" si="22"/>
        <v>#N/A</v>
      </c>
      <c r="AG66" s="156">
        <f t="shared" si="11"/>
        <v>0</v>
      </c>
      <c r="AK66" s="152"/>
      <c r="AL66" s="160"/>
      <c r="AM66" s="158"/>
      <c r="AN66" s="159" t="s">
        <v>49</v>
      </c>
      <c r="AO66" s="155" t="e">
        <f>+VLOOKUP(AL66,'EF-S1'!$U$10:$V$24,2,)</f>
        <v>#N/A</v>
      </c>
      <c r="AP66" s="155" t="e">
        <f t="shared" si="16"/>
        <v>#N/A</v>
      </c>
      <c r="AQ66" s="156">
        <f t="shared" si="12"/>
        <v>0</v>
      </c>
    </row>
    <row r="67" spans="3:43" x14ac:dyDescent="0.7">
      <c r="C67" s="152"/>
      <c r="D67" s="137"/>
      <c r="E67" s="158"/>
      <c r="F67" s="154"/>
      <c r="G67" s="155" t="e" cm="1">
        <f t="array" ref="G67">+_xlfn.IFS($C$7=$D$12,VLOOKUP(D67,'EF-S1'!$B$10:$E$13,2,),$C$7=$D$13,VLOOKUP(D67,'EF-S1'!$B$17:$E$20,2,),$C$7=$D$14,VLOOKUP(D67,'EF-S1'!$B$24:$E$27,2,),$C$7=$D$15,VLOOKUP(D67,'EF-S1'!$B$31:$E$34,2,))</f>
        <v>#N/A</v>
      </c>
      <c r="H67" s="155" t="e" cm="1">
        <f t="array" ref="H67">+_xlfn.IFS($C$7=$D$12,VLOOKUP(D67,'EF-S1'!$B$10:$E$13,3,),$C$7=$D$13,VLOOKUP(D67,'EF-S1'!$B$17:$E$20,3,),$C$7=$D$14,VLOOKUP(D67,'EF-S1'!$B$24:$E$27,3,),$C$7=$D$15,VLOOKUP(D67,'EF-S1'!$B$31:$E$34,3,))</f>
        <v>#N/A</v>
      </c>
      <c r="I67" s="155" t="e" cm="1">
        <f t="array" ref="I67">+_xlfn.IFS($C$7=$D$12,VLOOKUP(D67,'EF-S1'!$B$10:$E$13,4,),$C$7=$D$13,VLOOKUP(D67,'EF-S1'!$B$17:$E$20,4,),$C$7=$D$14,VLOOKUP(D67,'EF-S1'!$B$24:$E$27,4,),$C$7=$D$15,VLOOKUP(D67,'EF-S1'!$B$31:$E$34,4,))</f>
        <v>#N/A</v>
      </c>
      <c r="J67" s="155" t="e" cm="1">
        <f t="array" ref="J67">+_xlfn.IFS(D67=$C$12,_xlfn.IFS(F67=$E$12,E67*G67*'EF-S1'!$C$38*1/'EF-S1'!$E$45,F67=$E$13,E67*G67*1/'EF-S1'!$E$45,F67=$E$14,E67*G67*'EF-S1'!$C$38*1/'EF-S1'!$E$45*1/'EF-S1'!$E$47,F67=$E$15,E67*G67*'EF-S1'!$D$38*1/'EF-S1'!$E$45),D67=$C$13,_xlfn.IFS(F67=$E$12,E67*G67*'EF-S1'!$C$39*1/'EF-S1'!$E$45,F67=$E$13,E67*G67*1/'EF-S1'!$E$45,F67=$E$14,E67*G67*'EF-S1'!$C$39*1/'EF-S1'!$E$45*1/'EF-S1'!$E$47,F67=$E$15,E67*G67*'EF-S1'!$D$39*1/'EF-S1'!$E$45),D67=$C$14,_xlfn.IFS(F67=$E$12,E67*G67*'EF-S1'!$C$40*1/'EF-S1'!$E$45,F67=$E$13,E67*G67*1/'EF-S1'!$E$45,F67=$E$14,E67*G67*'EF-S1'!$C$40*1/'EF-S1'!$E$45*1/'EF-S1'!$E$47,F67=$E$15,E67*G67*'EF-S1'!$D$40*1/'EF-S1'!$E$45),D67=$C$15,_xlfn.IFS(F67=$E$12,E67*G67*'EF-S1'!$C$41*1/'EF-S1'!$E$45,F67=$E$13,E67*G67*1/'EF-S1'!$E$45,F67=$E$14,E67*G67*'EF-S1'!$C$41*1/'EF-S1'!$E$45*1/'EF-S1'!$E$47,F67=$E$15,E67*G67*'EF-S1'!$D$41*1/'EF-S1'!$E$45))</f>
        <v>#N/A</v>
      </c>
      <c r="K67" s="155" t="e" cm="1">
        <f t="array" ref="K67">+_xlfn.IFS(D67=$C$12,_xlfn.IFS(F67=$E$12,E67*H67*'EF-S1'!$C$38*1/'EF-S1'!$E$45,F67=$E$13,E67*H67*1/'EF-S1'!$E$45,F67=$E$14,E67*H67*'EF-S1'!$C$38*1/'EF-S1'!$E$45*1/'EF-S1'!$E$47,F67=$E$15,E67*H67*'EF-S1'!$D$38*1/'EF-S1'!$E$45),D67=$C$13,_xlfn.IFS(F67=$E$12,E67*H67*'EF-S1'!$C$39*1/'EF-S1'!$E$45,F67=$E$13,E67*H67*1/'EF-S1'!$E$45,F67=$E$14,E67*H67*'EF-S1'!$C$39*1/'EF-S1'!$E$45*1/'EF-S1'!$E$47,F67=$E$15,E67*H67*'EF-S1'!$D$39*1/'EF-S1'!$E$45),D67=$C$14,_xlfn.IFS(F67=$E$12,E67*H67*'EF-S1'!$C$40*1/'EF-S1'!$E$45,F67=$E$13,E67*H67*1/'EF-S1'!$E$45,F67=$E$14,E67*H67*'EF-S1'!$C$40*1/'EF-S1'!$E$45*1/'EF-S1'!$E$47,F67=$E$15,E67*H67*'EF-S1'!$D$40*1/'EF-S1'!$E$45),D67=$C$15,_xlfn.IFS(F67=$E$12,E67*H67*'EF-S1'!$C$41*1/'EF-S1'!$E$45,F67=$E$13,E67*H67*1/'EF-S1'!$E$45,F67=$E$14,E67*H67*'EF-S1'!$C$41*1/'EF-S1'!$E$45*1/'EF-S1'!$E$47,F67=$E$15,E67*H67*'EF-S1'!$D$41*1/'EF-S1'!$E$45))</f>
        <v>#N/A</v>
      </c>
      <c r="L67" s="155" t="e" cm="1">
        <f t="array" ref="L67">+_xlfn.IFS(D67=$C$12,_xlfn.IFS(F67=$E$12,E67*I67*'EF-S1'!$C$38*1/'EF-S1'!$E$45,F67=$E$13,E67*I67*1/'EF-S1'!$E$45,F67=$E$14,E67*I67*'EF-S1'!$C$38*1/'EF-S1'!$E$45*1/'EF-S1'!$E$47,F67=$E$15,E67*I67*'EF-S1'!$D$38*1/'EF-S1'!$E$45),D67=$C$13,_xlfn.IFS(F67=$E$12,E67*I67*'EF-S1'!$C$39*1/'EF-S1'!$E$45,F67=$E$13,E67*I67*1/'EF-S1'!$E$45,F67=$E$14,E67*I67*'EF-S1'!$C$39*1/'EF-S1'!$E$45*1/'EF-S1'!$E$47,F67=$E$15,E67*I67*'EF-S1'!$D$39*1/'EF-S1'!$E$45),D67=$C$14,_xlfn.IFS(F67=$E$12,E67*I67*'EF-S1'!$C$40*1/'EF-S1'!$E$45,F67=$E$13,E67*I67*1/'EF-S1'!$E$45,F67=$E$14,E67*I67*'EF-S1'!$C$40*1/'EF-S1'!$E$45*1/'EF-S1'!$E$47,F67=$E$15,E67*I67*'EF-S1'!$D$40*1/'EF-S1'!$E$45),D67=$C$15,_xlfn.IFS(F67=$E$12,E67*I67*'EF-S1'!$C$41*1/'EF-S1'!$E$45,F67=$E$13,E67*I67*1/'EF-S1'!$E$45,F67=$E$14,E67*I67*'EF-S1'!$C$41*1/'EF-S1'!$E$45*1/'EF-S1'!$E$47,F67=$E$15,E67*I67*'EF-S1'!$D$41*1/'EF-S1'!$E$45))</f>
        <v>#N/A</v>
      </c>
      <c r="M67" s="155" t="e">
        <f t="shared" si="13"/>
        <v>#N/A</v>
      </c>
      <c r="N67" s="155" t="e">
        <f t="shared" si="14"/>
        <v>#N/A</v>
      </c>
      <c r="O67" s="155" t="e">
        <f t="shared" si="15"/>
        <v>#N/A</v>
      </c>
      <c r="P67" s="156">
        <f t="shared" si="7"/>
        <v>0</v>
      </c>
      <c r="T67" s="152"/>
      <c r="U67" s="157"/>
      <c r="V67" s="158"/>
      <c r="W67" s="159"/>
      <c r="X67" s="155" t="e" cm="1">
        <f t="array" ref="X67">+_xlfn.IFS(W67="km",VLOOKUP(U67,'EF-S1'!$J$10:$M$16,2,),W67="l",VLOOKUP(U67,'EF-S1'!$J$26:$M$29,2,))</f>
        <v>#N/A</v>
      </c>
      <c r="Y67" s="155" t="e" cm="1">
        <f t="array" ref="Y67">+_xlfn.IFS(W67="km",VLOOKUP(U67,'EF-S1'!$J$10:$M$16,3,),W67="l",VLOOKUP(U67,'EF-S1'!$J$26:$M$29,3,))</f>
        <v>#N/A</v>
      </c>
      <c r="Z67" s="155" t="e" cm="1">
        <f t="array" ref="Z67">+_xlfn.IFS(W67="km",VLOOKUP(U67,'EF-S1'!$J$10:$M$16,4,),W67="l",VLOOKUP(U67,'EF-S1'!$J$26:$M$29,4,))</f>
        <v>#N/A</v>
      </c>
      <c r="AA67" s="155" t="e">
        <f t="shared" si="17"/>
        <v>#N/A</v>
      </c>
      <c r="AB67" s="155" t="e">
        <f t="shared" si="18"/>
        <v>#N/A</v>
      </c>
      <c r="AC67" s="155" t="e">
        <f t="shared" si="19"/>
        <v>#N/A</v>
      </c>
      <c r="AD67" s="155" t="e">
        <f t="shared" si="20"/>
        <v>#N/A</v>
      </c>
      <c r="AE67" s="155" t="e">
        <f t="shared" si="21"/>
        <v>#N/A</v>
      </c>
      <c r="AF67" s="155" t="e">
        <f t="shared" si="22"/>
        <v>#N/A</v>
      </c>
      <c r="AG67" s="156">
        <f t="shared" si="11"/>
        <v>0</v>
      </c>
      <c r="AK67" s="152"/>
      <c r="AL67" s="160"/>
      <c r="AM67" s="158"/>
      <c r="AN67" s="159" t="s">
        <v>49</v>
      </c>
      <c r="AO67" s="155" t="e">
        <f>+VLOOKUP(AL67,'EF-S1'!$U$10:$V$24,2,)</f>
        <v>#N/A</v>
      </c>
      <c r="AP67" s="155" t="e">
        <f t="shared" si="16"/>
        <v>#N/A</v>
      </c>
      <c r="AQ67" s="156">
        <f t="shared" si="12"/>
        <v>0</v>
      </c>
    </row>
    <row r="68" spans="3:43" x14ac:dyDescent="0.7">
      <c r="C68" s="152"/>
      <c r="D68" s="137"/>
      <c r="E68" s="158"/>
      <c r="F68" s="154"/>
      <c r="G68" s="155" t="e" cm="1">
        <f t="array" ref="G68">+_xlfn.IFS($C$7=$D$12,VLOOKUP(D68,'EF-S1'!$B$10:$E$13,2,),$C$7=$D$13,VLOOKUP(D68,'EF-S1'!$B$17:$E$20,2,),$C$7=$D$14,VLOOKUP(D68,'EF-S1'!$B$24:$E$27,2,),$C$7=$D$15,VLOOKUP(D68,'EF-S1'!$B$31:$E$34,2,))</f>
        <v>#N/A</v>
      </c>
      <c r="H68" s="155" t="e" cm="1">
        <f t="array" ref="H68">+_xlfn.IFS($C$7=$D$12,VLOOKUP(D68,'EF-S1'!$B$10:$E$13,3,),$C$7=$D$13,VLOOKUP(D68,'EF-S1'!$B$17:$E$20,3,),$C$7=$D$14,VLOOKUP(D68,'EF-S1'!$B$24:$E$27,3,),$C$7=$D$15,VLOOKUP(D68,'EF-S1'!$B$31:$E$34,3,))</f>
        <v>#N/A</v>
      </c>
      <c r="I68" s="155" t="e" cm="1">
        <f t="array" ref="I68">+_xlfn.IFS($C$7=$D$12,VLOOKUP(D68,'EF-S1'!$B$10:$E$13,4,),$C$7=$D$13,VLOOKUP(D68,'EF-S1'!$B$17:$E$20,4,),$C$7=$D$14,VLOOKUP(D68,'EF-S1'!$B$24:$E$27,4,),$C$7=$D$15,VLOOKUP(D68,'EF-S1'!$B$31:$E$34,4,))</f>
        <v>#N/A</v>
      </c>
      <c r="J68" s="155" t="e" cm="1">
        <f t="array" ref="J68">+_xlfn.IFS(D68=$C$12,_xlfn.IFS(F68=$E$12,E68*G68*'EF-S1'!$C$38*1/'EF-S1'!$E$45,F68=$E$13,E68*G68*1/'EF-S1'!$E$45,F68=$E$14,E68*G68*'EF-S1'!$C$38*1/'EF-S1'!$E$45*1/'EF-S1'!$E$47,F68=$E$15,E68*G68*'EF-S1'!$D$38*1/'EF-S1'!$E$45),D68=$C$13,_xlfn.IFS(F68=$E$12,E68*G68*'EF-S1'!$C$39*1/'EF-S1'!$E$45,F68=$E$13,E68*G68*1/'EF-S1'!$E$45,F68=$E$14,E68*G68*'EF-S1'!$C$39*1/'EF-S1'!$E$45*1/'EF-S1'!$E$47,F68=$E$15,E68*G68*'EF-S1'!$D$39*1/'EF-S1'!$E$45),D68=$C$14,_xlfn.IFS(F68=$E$12,E68*G68*'EF-S1'!$C$40*1/'EF-S1'!$E$45,F68=$E$13,E68*G68*1/'EF-S1'!$E$45,F68=$E$14,E68*G68*'EF-S1'!$C$40*1/'EF-S1'!$E$45*1/'EF-S1'!$E$47,F68=$E$15,E68*G68*'EF-S1'!$D$40*1/'EF-S1'!$E$45),D68=$C$15,_xlfn.IFS(F68=$E$12,E68*G68*'EF-S1'!$C$41*1/'EF-S1'!$E$45,F68=$E$13,E68*G68*1/'EF-S1'!$E$45,F68=$E$14,E68*G68*'EF-S1'!$C$41*1/'EF-S1'!$E$45*1/'EF-S1'!$E$47,F68=$E$15,E68*G68*'EF-S1'!$D$41*1/'EF-S1'!$E$45))</f>
        <v>#N/A</v>
      </c>
      <c r="K68" s="155" t="e" cm="1">
        <f t="array" ref="K68">+_xlfn.IFS(D68=$C$12,_xlfn.IFS(F68=$E$12,E68*H68*'EF-S1'!$C$38*1/'EF-S1'!$E$45,F68=$E$13,E68*H68*1/'EF-S1'!$E$45,F68=$E$14,E68*H68*'EF-S1'!$C$38*1/'EF-S1'!$E$45*1/'EF-S1'!$E$47,F68=$E$15,E68*H68*'EF-S1'!$D$38*1/'EF-S1'!$E$45),D68=$C$13,_xlfn.IFS(F68=$E$12,E68*H68*'EF-S1'!$C$39*1/'EF-S1'!$E$45,F68=$E$13,E68*H68*1/'EF-S1'!$E$45,F68=$E$14,E68*H68*'EF-S1'!$C$39*1/'EF-S1'!$E$45*1/'EF-S1'!$E$47,F68=$E$15,E68*H68*'EF-S1'!$D$39*1/'EF-S1'!$E$45),D68=$C$14,_xlfn.IFS(F68=$E$12,E68*H68*'EF-S1'!$C$40*1/'EF-S1'!$E$45,F68=$E$13,E68*H68*1/'EF-S1'!$E$45,F68=$E$14,E68*H68*'EF-S1'!$C$40*1/'EF-S1'!$E$45*1/'EF-S1'!$E$47,F68=$E$15,E68*H68*'EF-S1'!$D$40*1/'EF-S1'!$E$45),D68=$C$15,_xlfn.IFS(F68=$E$12,E68*H68*'EF-S1'!$C$41*1/'EF-S1'!$E$45,F68=$E$13,E68*H68*1/'EF-S1'!$E$45,F68=$E$14,E68*H68*'EF-S1'!$C$41*1/'EF-S1'!$E$45*1/'EF-S1'!$E$47,F68=$E$15,E68*H68*'EF-S1'!$D$41*1/'EF-S1'!$E$45))</f>
        <v>#N/A</v>
      </c>
      <c r="L68" s="155" t="e" cm="1">
        <f t="array" ref="L68">+_xlfn.IFS(D68=$C$12,_xlfn.IFS(F68=$E$12,E68*I68*'EF-S1'!$C$38*1/'EF-S1'!$E$45,F68=$E$13,E68*I68*1/'EF-S1'!$E$45,F68=$E$14,E68*I68*'EF-S1'!$C$38*1/'EF-S1'!$E$45*1/'EF-S1'!$E$47,F68=$E$15,E68*I68*'EF-S1'!$D$38*1/'EF-S1'!$E$45),D68=$C$13,_xlfn.IFS(F68=$E$12,E68*I68*'EF-S1'!$C$39*1/'EF-S1'!$E$45,F68=$E$13,E68*I68*1/'EF-S1'!$E$45,F68=$E$14,E68*I68*'EF-S1'!$C$39*1/'EF-S1'!$E$45*1/'EF-S1'!$E$47,F68=$E$15,E68*I68*'EF-S1'!$D$39*1/'EF-S1'!$E$45),D68=$C$14,_xlfn.IFS(F68=$E$12,E68*I68*'EF-S1'!$C$40*1/'EF-S1'!$E$45,F68=$E$13,E68*I68*1/'EF-S1'!$E$45,F68=$E$14,E68*I68*'EF-S1'!$C$40*1/'EF-S1'!$E$45*1/'EF-S1'!$E$47,F68=$E$15,E68*I68*'EF-S1'!$D$40*1/'EF-S1'!$E$45),D68=$C$15,_xlfn.IFS(F68=$E$12,E68*I68*'EF-S1'!$C$41*1/'EF-S1'!$E$45,F68=$E$13,E68*I68*1/'EF-S1'!$E$45,F68=$E$14,E68*I68*'EF-S1'!$C$41*1/'EF-S1'!$E$45*1/'EF-S1'!$E$47,F68=$E$15,E68*I68*'EF-S1'!$D$41*1/'EF-S1'!$E$45))</f>
        <v>#N/A</v>
      </c>
      <c r="M68" s="155" t="e">
        <f t="shared" si="13"/>
        <v>#N/A</v>
      </c>
      <c r="N68" s="155" t="e">
        <f t="shared" si="14"/>
        <v>#N/A</v>
      </c>
      <c r="O68" s="155" t="e">
        <f t="shared" si="15"/>
        <v>#N/A</v>
      </c>
      <c r="P68" s="156">
        <f t="shared" si="7"/>
        <v>0</v>
      </c>
      <c r="T68" s="152"/>
      <c r="U68" s="157"/>
      <c r="V68" s="158"/>
      <c r="W68" s="159"/>
      <c r="X68" s="155" t="e" cm="1">
        <f t="array" ref="X68">+_xlfn.IFS(W68="km",VLOOKUP(U68,'EF-S1'!$J$10:$M$16,2,),W68="l",VLOOKUP(U68,'EF-S1'!$J$26:$M$29,2,))</f>
        <v>#N/A</v>
      </c>
      <c r="Y68" s="155" t="e" cm="1">
        <f t="array" ref="Y68">+_xlfn.IFS(W68="km",VLOOKUP(U68,'EF-S1'!$J$10:$M$16,3,),W68="l",VLOOKUP(U68,'EF-S1'!$J$26:$M$29,3,))</f>
        <v>#N/A</v>
      </c>
      <c r="Z68" s="155" t="e" cm="1">
        <f t="array" ref="Z68">+_xlfn.IFS(W68="km",VLOOKUP(U68,'EF-S1'!$J$10:$M$16,4,),W68="l",VLOOKUP(U68,'EF-S1'!$J$26:$M$29,4,))</f>
        <v>#N/A</v>
      </c>
      <c r="AA68" s="155" t="e">
        <f t="shared" si="17"/>
        <v>#N/A</v>
      </c>
      <c r="AB68" s="155" t="e">
        <f t="shared" si="18"/>
        <v>#N/A</v>
      </c>
      <c r="AC68" s="155" t="e">
        <f t="shared" si="19"/>
        <v>#N/A</v>
      </c>
      <c r="AD68" s="155" t="e">
        <f t="shared" si="20"/>
        <v>#N/A</v>
      </c>
      <c r="AE68" s="155" t="e">
        <f t="shared" si="21"/>
        <v>#N/A</v>
      </c>
      <c r="AF68" s="155" t="e">
        <f t="shared" si="22"/>
        <v>#N/A</v>
      </c>
      <c r="AG68" s="156">
        <f t="shared" si="11"/>
        <v>0</v>
      </c>
      <c r="AK68" s="152"/>
      <c r="AL68" s="160"/>
      <c r="AM68" s="158"/>
      <c r="AN68" s="159" t="s">
        <v>49</v>
      </c>
      <c r="AO68" s="155" t="e">
        <f>+VLOOKUP(AL68,'EF-S1'!$U$10:$V$24,2,)</f>
        <v>#N/A</v>
      </c>
      <c r="AP68" s="155" t="e">
        <f t="shared" si="16"/>
        <v>#N/A</v>
      </c>
      <c r="AQ68" s="156">
        <f t="shared" si="12"/>
        <v>0</v>
      </c>
    </row>
    <row r="69" spans="3:43" x14ac:dyDescent="0.7">
      <c r="C69" s="152"/>
      <c r="D69" s="137"/>
      <c r="E69" s="158"/>
      <c r="F69" s="154"/>
      <c r="G69" s="155" t="e" cm="1">
        <f t="array" ref="G69">+_xlfn.IFS($C$7=$D$12,VLOOKUP(D69,'EF-S1'!$B$10:$E$13,2,),$C$7=$D$13,VLOOKUP(D69,'EF-S1'!$B$17:$E$20,2,),$C$7=$D$14,VLOOKUP(D69,'EF-S1'!$B$24:$E$27,2,),$C$7=$D$15,VLOOKUP(D69,'EF-S1'!$B$31:$E$34,2,))</f>
        <v>#N/A</v>
      </c>
      <c r="H69" s="155" t="e" cm="1">
        <f t="array" ref="H69">+_xlfn.IFS($C$7=$D$12,VLOOKUP(D69,'EF-S1'!$B$10:$E$13,3,),$C$7=$D$13,VLOOKUP(D69,'EF-S1'!$B$17:$E$20,3,),$C$7=$D$14,VLOOKUP(D69,'EF-S1'!$B$24:$E$27,3,),$C$7=$D$15,VLOOKUP(D69,'EF-S1'!$B$31:$E$34,3,))</f>
        <v>#N/A</v>
      </c>
      <c r="I69" s="155" t="e" cm="1">
        <f t="array" ref="I69">+_xlfn.IFS($C$7=$D$12,VLOOKUP(D69,'EF-S1'!$B$10:$E$13,4,),$C$7=$D$13,VLOOKUP(D69,'EF-S1'!$B$17:$E$20,4,),$C$7=$D$14,VLOOKUP(D69,'EF-S1'!$B$24:$E$27,4,),$C$7=$D$15,VLOOKUP(D69,'EF-S1'!$B$31:$E$34,4,))</f>
        <v>#N/A</v>
      </c>
      <c r="J69" s="155" t="e" cm="1">
        <f t="array" ref="J69">+_xlfn.IFS(D69=$C$12,_xlfn.IFS(F69=$E$12,E69*G69*'EF-S1'!$C$38*1/'EF-S1'!$E$45,F69=$E$13,E69*G69*1/'EF-S1'!$E$45,F69=$E$14,E69*G69*'EF-S1'!$C$38*1/'EF-S1'!$E$45*1/'EF-S1'!$E$47,F69=$E$15,E69*G69*'EF-S1'!$D$38*1/'EF-S1'!$E$45),D69=$C$13,_xlfn.IFS(F69=$E$12,E69*G69*'EF-S1'!$C$39*1/'EF-S1'!$E$45,F69=$E$13,E69*G69*1/'EF-S1'!$E$45,F69=$E$14,E69*G69*'EF-S1'!$C$39*1/'EF-S1'!$E$45*1/'EF-S1'!$E$47,F69=$E$15,E69*G69*'EF-S1'!$D$39*1/'EF-S1'!$E$45),D69=$C$14,_xlfn.IFS(F69=$E$12,E69*G69*'EF-S1'!$C$40*1/'EF-S1'!$E$45,F69=$E$13,E69*G69*1/'EF-S1'!$E$45,F69=$E$14,E69*G69*'EF-S1'!$C$40*1/'EF-S1'!$E$45*1/'EF-S1'!$E$47,F69=$E$15,E69*G69*'EF-S1'!$D$40*1/'EF-S1'!$E$45),D69=$C$15,_xlfn.IFS(F69=$E$12,E69*G69*'EF-S1'!$C$41*1/'EF-S1'!$E$45,F69=$E$13,E69*G69*1/'EF-S1'!$E$45,F69=$E$14,E69*G69*'EF-S1'!$C$41*1/'EF-S1'!$E$45*1/'EF-S1'!$E$47,F69=$E$15,E69*G69*'EF-S1'!$D$41*1/'EF-S1'!$E$45))</f>
        <v>#N/A</v>
      </c>
      <c r="K69" s="155" t="e" cm="1">
        <f t="array" ref="K69">+_xlfn.IFS(D69=$C$12,_xlfn.IFS(F69=$E$12,E69*H69*'EF-S1'!$C$38*1/'EF-S1'!$E$45,F69=$E$13,E69*H69*1/'EF-S1'!$E$45,F69=$E$14,E69*H69*'EF-S1'!$C$38*1/'EF-S1'!$E$45*1/'EF-S1'!$E$47,F69=$E$15,E69*H69*'EF-S1'!$D$38*1/'EF-S1'!$E$45),D69=$C$13,_xlfn.IFS(F69=$E$12,E69*H69*'EF-S1'!$C$39*1/'EF-S1'!$E$45,F69=$E$13,E69*H69*1/'EF-S1'!$E$45,F69=$E$14,E69*H69*'EF-S1'!$C$39*1/'EF-S1'!$E$45*1/'EF-S1'!$E$47,F69=$E$15,E69*H69*'EF-S1'!$D$39*1/'EF-S1'!$E$45),D69=$C$14,_xlfn.IFS(F69=$E$12,E69*H69*'EF-S1'!$C$40*1/'EF-S1'!$E$45,F69=$E$13,E69*H69*1/'EF-S1'!$E$45,F69=$E$14,E69*H69*'EF-S1'!$C$40*1/'EF-S1'!$E$45*1/'EF-S1'!$E$47,F69=$E$15,E69*H69*'EF-S1'!$D$40*1/'EF-S1'!$E$45),D69=$C$15,_xlfn.IFS(F69=$E$12,E69*H69*'EF-S1'!$C$41*1/'EF-S1'!$E$45,F69=$E$13,E69*H69*1/'EF-S1'!$E$45,F69=$E$14,E69*H69*'EF-S1'!$C$41*1/'EF-S1'!$E$45*1/'EF-S1'!$E$47,F69=$E$15,E69*H69*'EF-S1'!$D$41*1/'EF-S1'!$E$45))</f>
        <v>#N/A</v>
      </c>
      <c r="L69" s="155" t="e" cm="1">
        <f t="array" ref="L69">+_xlfn.IFS(D69=$C$12,_xlfn.IFS(F69=$E$12,E69*I69*'EF-S1'!$C$38*1/'EF-S1'!$E$45,F69=$E$13,E69*I69*1/'EF-S1'!$E$45,F69=$E$14,E69*I69*'EF-S1'!$C$38*1/'EF-S1'!$E$45*1/'EF-S1'!$E$47,F69=$E$15,E69*I69*'EF-S1'!$D$38*1/'EF-S1'!$E$45),D69=$C$13,_xlfn.IFS(F69=$E$12,E69*I69*'EF-S1'!$C$39*1/'EF-S1'!$E$45,F69=$E$13,E69*I69*1/'EF-S1'!$E$45,F69=$E$14,E69*I69*'EF-S1'!$C$39*1/'EF-S1'!$E$45*1/'EF-S1'!$E$47,F69=$E$15,E69*I69*'EF-S1'!$D$39*1/'EF-S1'!$E$45),D69=$C$14,_xlfn.IFS(F69=$E$12,E69*I69*'EF-S1'!$C$40*1/'EF-S1'!$E$45,F69=$E$13,E69*I69*1/'EF-S1'!$E$45,F69=$E$14,E69*I69*'EF-S1'!$C$40*1/'EF-S1'!$E$45*1/'EF-S1'!$E$47,F69=$E$15,E69*I69*'EF-S1'!$D$40*1/'EF-S1'!$E$45),D69=$C$15,_xlfn.IFS(F69=$E$12,E69*I69*'EF-S1'!$C$41*1/'EF-S1'!$E$45,F69=$E$13,E69*I69*1/'EF-S1'!$E$45,F69=$E$14,E69*I69*'EF-S1'!$C$41*1/'EF-S1'!$E$45*1/'EF-S1'!$E$47,F69=$E$15,E69*I69*'EF-S1'!$D$41*1/'EF-S1'!$E$45))</f>
        <v>#N/A</v>
      </c>
      <c r="M69" s="155" t="e">
        <f t="shared" si="13"/>
        <v>#N/A</v>
      </c>
      <c r="N69" s="155" t="e">
        <f t="shared" si="14"/>
        <v>#N/A</v>
      </c>
      <c r="O69" s="155" t="e">
        <f t="shared" si="15"/>
        <v>#N/A</v>
      </c>
      <c r="P69" s="156">
        <f t="shared" si="7"/>
        <v>0</v>
      </c>
      <c r="T69" s="152"/>
      <c r="U69" s="157"/>
      <c r="V69" s="158"/>
      <c r="W69" s="159"/>
      <c r="X69" s="155" t="e" cm="1">
        <f t="array" ref="X69">+_xlfn.IFS(W69="km",VLOOKUP(U69,'EF-S1'!$J$10:$M$16,2,),W69="l",VLOOKUP(U69,'EF-S1'!$J$26:$M$29,2,))</f>
        <v>#N/A</v>
      </c>
      <c r="Y69" s="155" t="e" cm="1">
        <f t="array" ref="Y69">+_xlfn.IFS(W69="km",VLOOKUP(U69,'EF-S1'!$J$10:$M$16,3,),W69="l",VLOOKUP(U69,'EF-S1'!$J$26:$M$29,3,))</f>
        <v>#N/A</v>
      </c>
      <c r="Z69" s="155" t="e" cm="1">
        <f t="array" ref="Z69">+_xlfn.IFS(W69="km",VLOOKUP(U69,'EF-S1'!$J$10:$M$16,4,),W69="l",VLOOKUP(U69,'EF-S1'!$J$26:$M$29,4,))</f>
        <v>#N/A</v>
      </c>
      <c r="AA69" s="155" t="e">
        <f t="shared" si="17"/>
        <v>#N/A</v>
      </c>
      <c r="AB69" s="155" t="e">
        <f t="shared" si="18"/>
        <v>#N/A</v>
      </c>
      <c r="AC69" s="155" t="e">
        <f t="shared" si="19"/>
        <v>#N/A</v>
      </c>
      <c r="AD69" s="155" t="e">
        <f t="shared" si="20"/>
        <v>#N/A</v>
      </c>
      <c r="AE69" s="155" t="e">
        <f t="shared" si="21"/>
        <v>#N/A</v>
      </c>
      <c r="AF69" s="155" t="e">
        <f t="shared" si="22"/>
        <v>#N/A</v>
      </c>
      <c r="AG69" s="156">
        <f t="shared" si="11"/>
        <v>0</v>
      </c>
      <c r="AK69" s="152"/>
      <c r="AL69" s="160"/>
      <c r="AM69" s="158"/>
      <c r="AN69" s="159" t="s">
        <v>49</v>
      </c>
      <c r="AO69" s="155" t="e">
        <f>+VLOOKUP(AL69,'EF-S1'!$U$10:$V$24,2,)</f>
        <v>#N/A</v>
      </c>
      <c r="AP69" s="155" t="e">
        <f t="shared" si="16"/>
        <v>#N/A</v>
      </c>
      <c r="AQ69" s="156">
        <f t="shared" si="12"/>
        <v>0</v>
      </c>
    </row>
    <row r="70" spans="3:43" x14ac:dyDescent="0.7">
      <c r="C70" s="152"/>
      <c r="D70" s="137"/>
      <c r="E70" s="158"/>
      <c r="F70" s="154"/>
      <c r="G70" s="155" t="e" cm="1">
        <f t="array" ref="G70">+_xlfn.IFS($C$7=$D$12,VLOOKUP(D70,'EF-S1'!$B$10:$E$13,2,),$C$7=$D$13,VLOOKUP(D70,'EF-S1'!$B$17:$E$20,2,),$C$7=$D$14,VLOOKUP(D70,'EF-S1'!$B$24:$E$27,2,),$C$7=$D$15,VLOOKUP(D70,'EF-S1'!$B$31:$E$34,2,))</f>
        <v>#N/A</v>
      </c>
      <c r="H70" s="155" t="e" cm="1">
        <f t="array" ref="H70">+_xlfn.IFS($C$7=$D$12,VLOOKUP(D70,'EF-S1'!$B$10:$E$13,3,),$C$7=$D$13,VLOOKUP(D70,'EF-S1'!$B$17:$E$20,3,),$C$7=$D$14,VLOOKUP(D70,'EF-S1'!$B$24:$E$27,3,),$C$7=$D$15,VLOOKUP(D70,'EF-S1'!$B$31:$E$34,3,))</f>
        <v>#N/A</v>
      </c>
      <c r="I70" s="155" t="e" cm="1">
        <f t="array" ref="I70">+_xlfn.IFS($C$7=$D$12,VLOOKUP(D70,'EF-S1'!$B$10:$E$13,4,),$C$7=$D$13,VLOOKUP(D70,'EF-S1'!$B$17:$E$20,4,),$C$7=$D$14,VLOOKUP(D70,'EF-S1'!$B$24:$E$27,4,),$C$7=$D$15,VLOOKUP(D70,'EF-S1'!$B$31:$E$34,4,))</f>
        <v>#N/A</v>
      </c>
      <c r="J70" s="155" t="e" cm="1">
        <f t="array" ref="J70">+_xlfn.IFS(D70=$C$12,_xlfn.IFS(F70=$E$12,E70*G70*'EF-S1'!$C$38*1/'EF-S1'!$E$45,F70=$E$13,E70*G70*1/'EF-S1'!$E$45,F70=$E$14,E70*G70*'EF-S1'!$C$38*1/'EF-S1'!$E$45*1/'EF-S1'!$E$47,F70=$E$15,E70*G70*'EF-S1'!$D$38*1/'EF-S1'!$E$45),D70=$C$13,_xlfn.IFS(F70=$E$12,E70*G70*'EF-S1'!$C$39*1/'EF-S1'!$E$45,F70=$E$13,E70*G70*1/'EF-S1'!$E$45,F70=$E$14,E70*G70*'EF-S1'!$C$39*1/'EF-S1'!$E$45*1/'EF-S1'!$E$47,F70=$E$15,E70*G70*'EF-S1'!$D$39*1/'EF-S1'!$E$45),D70=$C$14,_xlfn.IFS(F70=$E$12,E70*G70*'EF-S1'!$C$40*1/'EF-S1'!$E$45,F70=$E$13,E70*G70*1/'EF-S1'!$E$45,F70=$E$14,E70*G70*'EF-S1'!$C$40*1/'EF-S1'!$E$45*1/'EF-S1'!$E$47,F70=$E$15,E70*G70*'EF-S1'!$D$40*1/'EF-S1'!$E$45),D70=$C$15,_xlfn.IFS(F70=$E$12,E70*G70*'EF-S1'!$C$41*1/'EF-S1'!$E$45,F70=$E$13,E70*G70*1/'EF-S1'!$E$45,F70=$E$14,E70*G70*'EF-S1'!$C$41*1/'EF-S1'!$E$45*1/'EF-S1'!$E$47,F70=$E$15,E70*G70*'EF-S1'!$D$41*1/'EF-S1'!$E$45))</f>
        <v>#N/A</v>
      </c>
      <c r="K70" s="155" t="e" cm="1">
        <f t="array" ref="K70">+_xlfn.IFS(D70=$C$12,_xlfn.IFS(F70=$E$12,E70*H70*'EF-S1'!$C$38*1/'EF-S1'!$E$45,F70=$E$13,E70*H70*1/'EF-S1'!$E$45,F70=$E$14,E70*H70*'EF-S1'!$C$38*1/'EF-S1'!$E$45*1/'EF-S1'!$E$47,F70=$E$15,E70*H70*'EF-S1'!$D$38*1/'EF-S1'!$E$45),D70=$C$13,_xlfn.IFS(F70=$E$12,E70*H70*'EF-S1'!$C$39*1/'EF-S1'!$E$45,F70=$E$13,E70*H70*1/'EF-S1'!$E$45,F70=$E$14,E70*H70*'EF-S1'!$C$39*1/'EF-S1'!$E$45*1/'EF-S1'!$E$47,F70=$E$15,E70*H70*'EF-S1'!$D$39*1/'EF-S1'!$E$45),D70=$C$14,_xlfn.IFS(F70=$E$12,E70*H70*'EF-S1'!$C$40*1/'EF-S1'!$E$45,F70=$E$13,E70*H70*1/'EF-S1'!$E$45,F70=$E$14,E70*H70*'EF-S1'!$C$40*1/'EF-S1'!$E$45*1/'EF-S1'!$E$47,F70=$E$15,E70*H70*'EF-S1'!$D$40*1/'EF-S1'!$E$45),D70=$C$15,_xlfn.IFS(F70=$E$12,E70*H70*'EF-S1'!$C$41*1/'EF-S1'!$E$45,F70=$E$13,E70*H70*1/'EF-S1'!$E$45,F70=$E$14,E70*H70*'EF-S1'!$C$41*1/'EF-S1'!$E$45*1/'EF-S1'!$E$47,F70=$E$15,E70*H70*'EF-S1'!$D$41*1/'EF-S1'!$E$45))</f>
        <v>#N/A</v>
      </c>
      <c r="L70" s="155" t="e" cm="1">
        <f t="array" ref="L70">+_xlfn.IFS(D70=$C$12,_xlfn.IFS(F70=$E$12,E70*I70*'EF-S1'!$C$38*1/'EF-S1'!$E$45,F70=$E$13,E70*I70*1/'EF-S1'!$E$45,F70=$E$14,E70*I70*'EF-S1'!$C$38*1/'EF-S1'!$E$45*1/'EF-S1'!$E$47,F70=$E$15,E70*I70*'EF-S1'!$D$38*1/'EF-S1'!$E$45),D70=$C$13,_xlfn.IFS(F70=$E$12,E70*I70*'EF-S1'!$C$39*1/'EF-S1'!$E$45,F70=$E$13,E70*I70*1/'EF-S1'!$E$45,F70=$E$14,E70*I70*'EF-S1'!$C$39*1/'EF-S1'!$E$45*1/'EF-S1'!$E$47,F70=$E$15,E70*I70*'EF-S1'!$D$39*1/'EF-S1'!$E$45),D70=$C$14,_xlfn.IFS(F70=$E$12,E70*I70*'EF-S1'!$C$40*1/'EF-S1'!$E$45,F70=$E$13,E70*I70*1/'EF-S1'!$E$45,F70=$E$14,E70*I70*'EF-S1'!$C$40*1/'EF-S1'!$E$45*1/'EF-S1'!$E$47,F70=$E$15,E70*I70*'EF-S1'!$D$40*1/'EF-S1'!$E$45),D70=$C$15,_xlfn.IFS(F70=$E$12,E70*I70*'EF-S1'!$C$41*1/'EF-S1'!$E$45,F70=$E$13,E70*I70*1/'EF-S1'!$E$45,F70=$E$14,E70*I70*'EF-S1'!$C$41*1/'EF-S1'!$E$45*1/'EF-S1'!$E$47,F70=$E$15,E70*I70*'EF-S1'!$D$41*1/'EF-S1'!$E$45))</f>
        <v>#N/A</v>
      </c>
      <c r="M70" s="155" t="e">
        <f t="shared" si="13"/>
        <v>#N/A</v>
      </c>
      <c r="N70" s="155" t="e">
        <f t="shared" si="14"/>
        <v>#N/A</v>
      </c>
      <c r="O70" s="155" t="e">
        <f t="shared" si="15"/>
        <v>#N/A</v>
      </c>
      <c r="P70" s="156">
        <f t="shared" si="7"/>
        <v>0</v>
      </c>
      <c r="T70" s="152"/>
      <c r="U70" s="157"/>
      <c r="V70" s="158"/>
      <c r="W70" s="159"/>
      <c r="X70" s="155" t="e" cm="1">
        <f t="array" ref="X70">+_xlfn.IFS(W70="km",VLOOKUP(U70,'EF-S1'!$J$10:$M$16,2,),W70="l",VLOOKUP(U70,'EF-S1'!$J$26:$M$29,2,))</f>
        <v>#N/A</v>
      </c>
      <c r="Y70" s="155" t="e" cm="1">
        <f t="array" ref="Y70">+_xlfn.IFS(W70="km",VLOOKUP(U70,'EF-S1'!$J$10:$M$16,3,),W70="l",VLOOKUP(U70,'EF-S1'!$J$26:$M$29,3,))</f>
        <v>#N/A</v>
      </c>
      <c r="Z70" s="155" t="e" cm="1">
        <f t="array" ref="Z70">+_xlfn.IFS(W70="km",VLOOKUP(U70,'EF-S1'!$J$10:$M$16,4,),W70="l",VLOOKUP(U70,'EF-S1'!$J$26:$M$29,4,))</f>
        <v>#N/A</v>
      </c>
      <c r="AA70" s="155" t="e">
        <f t="shared" si="17"/>
        <v>#N/A</v>
      </c>
      <c r="AB70" s="155" t="e">
        <f t="shared" si="18"/>
        <v>#N/A</v>
      </c>
      <c r="AC70" s="155" t="e">
        <f t="shared" si="19"/>
        <v>#N/A</v>
      </c>
      <c r="AD70" s="155" t="e">
        <f t="shared" si="20"/>
        <v>#N/A</v>
      </c>
      <c r="AE70" s="155" t="e">
        <f t="shared" si="21"/>
        <v>#N/A</v>
      </c>
      <c r="AF70" s="155" t="e">
        <f t="shared" si="22"/>
        <v>#N/A</v>
      </c>
      <c r="AG70" s="156">
        <f t="shared" si="11"/>
        <v>0</v>
      </c>
      <c r="AK70" s="152"/>
      <c r="AL70" s="160"/>
      <c r="AM70" s="158"/>
      <c r="AN70" s="159" t="s">
        <v>49</v>
      </c>
      <c r="AO70" s="155" t="e">
        <f>+VLOOKUP(AL70,'EF-S1'!$U$10:$V$24,2,)</f>
        <v>#N/A</v>
      </c>
      <c r="AP70" s="155" t="e">
        <f t="shared" si="16"/>
        <v>#N/A</v>
      </c>
      <c r="AQ70" s="156">
        <f t="shared" si="12"/>
        <v>0</v>
      </c>
    </row>
    <row r="71" spans="3:43" x14ac:dyDescent="0.7">
      <c r="C71" s="152"/>
      <c r="D71" s="137"/>
      <c r="E71" s="158"/>
      <c r="F71" s="154"/>
      <c r="G71" s="155" t="e" cm="1">
        <f t="array" ref="G71">+_xlfn.IFS($C$7=$D$12,VLOOKUP(D71,'EF-S1'!$B$10:$E$13,2,),$C$7=$D$13,VLOOKUP(D71,'EF-S1'!$B$17:$E$20,2,),$C$7=$D$14,VLOOKUP(D71,'EF-S1'!$B$24:$E$27,2,),$C$7=$D$15,VLOOKUP(D71,'EF-S1'!$B$31:$E$34,2,))</f>
        <v>#N/A</v>
      </c>
      <c r="H71" s="155" t="e" cm="1">
        <f t="array" ref="H71">+_xlfn.IFS($C$7=$D$12,VLOOKUP(D71,'EF-S1'!$B$10:$E$13,3,),$C$7=$D$13,VLOOKUP(D71,'EF-S1'!$B$17:$E$20,3,),$C$7=$D$14,VLOOKUP(D71,'EF-S1'!$B$24:$E$27,3,),$C$7=$D$15,VLOOKUP(D71,'EF-S1'!$B$31:$E$34,3,))</f>
        <v>#N/A</v>
      </c>
      <c r="I71" s="155" t="e" cm="1">
        <f t="array" ref="I71">+_xlfn.IFS($C$7=$D$12,VLOOKUP(D71,'EF-S1'!$B$10:$E$13,4,),$C$7=$D$13,VLOOKUP(D71,'EF-S1'!$B$17:$E$20,4,),$C$7=$D$14,VLOOKUP(D71,'EF-S1'!$B$24:$E$27,4,),$C$7=$D$15,VLOOKUP(D71,'EF-S1'!$B$31:$E$34,4,))</f>
        <v>#N/A</v>
      </c>
      <c r="J71" s="155" t="e" cm="1">
        <f t="array" ref="J71">+_xlfn.IFS(D71=$C$12,_xlfn.IFS(F71=$E$12,E71*G71*'EF-S1'!$C$38*1/'EF-S1'!$E$45,F71=$E$13,E71*G71*1/'EF-S1'!$E$45,F71=$E$14,E71*G71*'EF-S1'!$C$38*1/'EF-S1'!$E$45*1/'EF-S1'!$E$47,F71=$E$15,E71*G71*'EF-S1'!$D$38*1/'EF-S1'!$E$45),D71=$C$13,_xlfn.IFS(F71=$E$12,E71*G71*'EF-S1'!$C$39*1/'EF-S1'!$E$45,F71=$E$13,E71*G71*1/'EF-S1'!$E$45,F71=$E$14,E71*G71*'EF-S1'!$C$39*1/'EF-S1'!$E$45*1/'EF-S1'!$E$47,F71=$E$15,E71*G71*'EF-S1'!$D$39*1/'EF-S1'!$E$45),D71=$C$14,_xlfn.IFS(F71=$E$12,E71*G71*'EF-S1'!$C$40*1/'EF-S1'!$E$45,F71=$E$13,E71*G71*1/'EF-S1'!$E$45,F71=$E$14,E71*G71*'EF-S1'!$C$40*1/'EF-S1'!$E$45*1/'EF-S1'!$E$47,F71=$E$15,E71*G71*'EF-S1'!$D$40*1/'EF-S1'!$E$45),D71=$C$15,_xlfn.IFS(F71=$E$12,E71*G71*'EF-S1'!$C$41*1/'EF-S1'!$E$45,F71=$E$13,E71*G71*1/'EF-S1'!$E$45,F71=$E$14,E71*G71*'EF-S1'!$C$41*1/'EF-S1'!$E$45*1/'EF-S1'!$E$47,F71=$E$15,E71*G71*'EF-S1'!$D$41*1/'EF-S1'!$E$45))</f>
        <v>#N/A</v>
      </c>
      <c r="K71" s="155" t="e" cm="1">
        <f t="array" ref="K71">+_xlfn.IFS(D71=$C$12,_xlfn.IFS(F71=$E$12,E71*H71*'EF-S1'!$C$38*1/'EF-S1'!$E$45,F71=$E$13,E71*H71*1/'EF-S1'!$E$45,F71=$E$14,E71*H71*'EF-S1'!$C$38*1/'EF-S1'!$E$45*1/'EF-S1'!$E$47,F71=$E$15,E71*H71*'EF-S1'!$D$38*1/'EF-S1'!$E$45),D71=$C$13,_xlfn.IFS(F71=$E$12,E71*H71*'EF-S1'!$C$39*1/'EF-S1'!$E$45,F71=$E$13,E71*H71*1/'EF-S1'!$E$45,F71=$E$14,E71*H71*'EF-S1'!$C$39*1/'EF-S1'!$E$45*1/'EF-S1'!$E$47,F71=$E$15,E71*H71*'EF-S1'!$D$39*1/'EF-S1'!$E$45),D71=$C$14,_xlfn.IFS(F71=$E$12,E71*H71*'EF-S1'!$C$40*1/'EF-S1'!$E$45,F71=$E$13,E71*H71*1/'EF-S1'!$E$45,F71=$E$14,E71*H71*'EF-S1'!$C$40*1/'EF-S1'!$E$45*1/'EF-S1'!$E$47,F71=$E$15,E71*H71*'EF-S1'!$D$40*1/'EF-S1'!$E$45),D71=$C$15,_xlfn.IFS(F71=$E$12,E71*H71*'EF-S1'!$C$41*1/'EF-S1'!$E$45,F71=$E$13,E71*H71*1/'EF-S1'!$E$45,F71=$E$14,E71*H71*'EF-S1'!$C$41*1/'EF-S1'!$E$45*1/'EF-S1'!$E$47,F71=$E$15,E71*H71*'EF-S1'!$D$41*1/'EF-S1'!$E$45))</f>
        <v>#N/A</v>
      </c>
      <c r="L71" s="155" t="e" cm="1">
        <f t="array" ref="L71">+_xlfn.IFS(D71=$C$12,_xlfn.IFS(F71=$E$12,E71*I71*'EF-S1'!$C$38*1/'EF-S1'!$E$45,F71=$E$13,E71*I71*1/'EF-S1'!$E$45,F71=$E$14,E71*I71*'EF-S1'!$C$38*1/'EF-S1'!$E$45*1/'EF-S1'!$E$47,F71=$E$15,E71*I71*'EF-S1'!$D$38*1/'EF-S1'!$E$45),D71=$C$13,_xlfn.IFS(F71=$E$12,E71*I71*'EF-S1'!$C$39*1/'EF-S1'!$E$45,F71=$E$13,E71*I71*1/'EF-S1'!$E$45,F71=$E$14,E71*I71*'EF-S1'!$C$39*1/'EF-S1'!$E$45*1/'EF-S1'!$E$47,F71=$E$15,E71*I71*'EF-S1'!$D$39*1/'EF-S1'!$E$45),D71=$C$14,_xlfn.IFS(F71=$E$12,E71*I71*'EF-S1'!$C$40*1/'EF-S1'!$E$45,F71=$E$13,E71*I71*1/'EF-S1'!$E$45,F71=$E$14,E71*I71*'EF-S1'!$C$40*1/'EF-S1'!$E$45*1/'EF-S1'!$E$47,F71=$E$15,E71*I71*'EF-S1'!$D$40*1/'EF-S1'!$E$45),D71=$C$15,_xlfn.IFS(F71=$E$12,E71*I71*'EF-S1'!$C$41*1/'EF-S1'!$E$45,F71=$E$13,E71*I71*1/'EF-S1'!$E$45,F71=$E$14,E71*I71*'EF-S1'!$C$41*1/'EF-S1'!$E$45*1/'EF-S1'!$E$47,F71=$E$15,E71*I71*'EF-S1'!$D$41*1/'EF-S1'!$E$45))</f>
        <v>#N/A</v>
      </c>
      <c r="M71" s="155" t="e">
        <f t="shared" si="13"/>
        <v>#N/A</v>
      </c>
      <c r="N71" s="155" t="e">
        <f t="shared" si="14"/>
        <v>#N/A</v>
      </c>
      <c r="O71" s="155" t="e">
        <f t="shared" si="15"/>
        <v>#N/A</v>
      </c>
      <c r="P71" s="156">
        <f t="shared" si="7"/>
        <v>0</v>
      </c>
      <c r="T71" s="152"/>
      <c r="U71" s="157"/>
      <c r="V71" s="158"/>
      <c r="W71" s="159"/>
      <c r="X71" s="155" t="e" cm="1">
        <f t="array" ref="X71">+_xlfn.IFS(W71="km",VLOOKUP(U71,'EF-S1'!$J$10:$M$16,2,),W71="l",VLOOKUP(U71,'EF-S1'!$J$26:$M$29,2,))</f>
        <v>#N/A</v>
      </c>
      <c r="Y71" s="155" t="e" cm="1">
        <f t="array" ref="Y71">+_xlfn.IFS(W71="km",VLOOKUP(U71,'EF-S1'!$J$10:$M$16,3,),W71="l",VLOOKUP(U71,'EF-S1'!$J$26:$M$29,3,))</f>
        <v>#N/A</v>
      </c>
      <c r="Z71" s="155" t="e" cm="1">
        <f t="array" ref="Z71">+_xlfn.IFS(W71="km",VLOOKUP(U71,'EF-S1'!$J$10:$M$16,4,),W71="l",VLOOKUP(U71,'EF-S1'!$J$26:$M$29,4,))</f>
        <v>#N/A</v>
      </c>
      <c r="AA71" s="155" t="e">
        <f t="shared" si="17"/>
        <v>#N/A</v>
      </c>
      <c r="AB71" s="155" t="e">
        <f t="shared" si="18"/>
        <v>#N/A</v>
      </c>
      <c r="AC71" s="155" t="e">
        <f t="shared" si="19"/>
        <v>#N/A</v>
      </c>
      <c r="AD71" s="155" t="e">
        <f t="shared" si="20"/>
        <v>#N/A</v>
      </c>
      <c r="AE71" s="155" t="e">
        <f t="shared" si="21"/>
        <v>#N/A</v>
      </c>
      <c r="AF71" s="155" t="e">
        <f t="shared" si="22"/>
        <v>#N/A</v>
      </c>
      <c r="AG71" s="156">
        <f t="shared" si="11"/>
        <v>0</v>
      </c>
      <c r="AK71" s="152"/>
      <c r="AL71" s="160"/>
      <c r="AM71" s="158"/>
      <c r="AN71" s="159" t="s">
        <v>49</v>
      </c>
      <c r="AO71" s="155" t="e">
        <f>+VLOOKUP(AL71,'EF-S1'!$U$10:$V$24,2,)</f>
        <v>#N/A</v>
      </c>
      <c r="AP71" s="155" t="e">
        <f t="shared" si="16"/>
        <v>#N/A</v>
      </c>
      <c r="AQ71" s="156">
        <f t="shared" si="12"/>
        <v>0</v>
      </c>
    </row>
    <row r="72" spans="3:43" x14ac:dyDescent="0.7">
      <c r="C72" s="152"/>
      <c r="D72" s="137"/>
      <c r="E72" s="158"/>
      <c r="F72" s="154"/>
      <c r="G72" s="155" t="e" cm="1">
        <f t="array" ref="G72">+_xlfn.IFS($C$7=$D$12,VLOOKUP(D72,'EF-S1'!$B$10:$E$13,2,),$C$7=$D$13,VLOOKUP(D72,'EF-S1'!$B$17:$E$20,2,),$C$7=$D$14,VLOOKUP(D72,'EF-S1'!$B$24:$E$27,2,),$C$7=$D$15,VLOOKUP(D72,'EF-S1'!$B$31:$E$34,2,))</f>
        <v>#N/A</v>
      </c>
      <c r="H72" s="155" t="e" cm="1">
        <f t="array" ref="H72">+_xlfn.IFS($C$7=$D$12,VLOOKUP(D72,'EF-S1'!$B$10:$E$13,3,),$C$7=$D$13,VLOOKUP(D72,'EF-S1'!$B$17:$E$20,3,),$C$7=$D$14,VLOOKUP(D72,'EF-S1'!$B$24:$E$27,3,),$C$7=$D$15,VLOOKUP(D72,'EF-S1'!$B$31:$E$34,3,))</f>
        <v>#N/A</v>
      </c>
      <c r="I72" s="155" t="e" cm="1">
        <f t="array" ref="I72">+_xlfn.IFS($C$7=$D$12,VLOOKUP(D72,'EF-S1'!$B$10:$E$13,4,),$C$7=$D$13,VLOOKUP(D72,'EF-S1'!$B$17:$E$20,4,),$C$7=$D$14,VLOOKUP(D72,'EF-S1'!$B$24:$E$27,4,),$C$7=$D$15,VLOOKUP(D72,'EF-S1'!$B$31:$E$34,4,))</f>
        <v>#N/A</v>
      </c>
      <c r="J72" s="155" t="e" cm="1">
        <f t="array" ref="J72">+_xlfn.IFS(D72=$C$12,_xlfn.IFS(F72=$E$12,E72*G72*'EF-S1'!$C$38*1/'EF-S1'!$E$45,F72=$E$13,E72*G72*1/'EF-S1'!$E$45,F72=$E$14,E72*G72*'EF-S1'!$C$38*1/'EF-S1'!$E$45*1/'EF-S1'!$E$47,F72=$E$15,E72*G72*'EF-S1'!$D$38*1/'EF-S1'!$E$45),D72=$C$13,_xlfn.IFS(F72=$E$12,E72*G72*'EF-S1'!$C$39*1/'EF-S1'!$E$45,F72=$E$13,E72*G72*1/'EF-S1'!$E$45,F72=$E$14,E72*G72*'EF-S1'!$C$39*1/'EF-S1'!$E$45*1/'EF-S1'!$E$47,F72=$E$15,E72*G72*'EF-S1'!$D$39*1/'EF-S1'!$E$45),D72=$C$14,_xlfn.IFS(F72=$E$12,E72*G72*'EF-S1'!$C$40*1/'EF-S1'!$E$45,F72=$E$13,E72*G72*1/'EF-S1'!$E$45,F72=$E$14,E72*G72*'EF-S1'!$C$40*1/'EF-S1'!$E$45*1/'EF-S1'!$E$47,F72=$E$15,E72*G72*'EF-S1'!$D$40*1/'EF-S1'!$E$45),D72=$C$15,_xlfn.IFS(F72=$E$12,E72*G72*'EF-S1'!$C$41*1/'EF-S1'!$E$45,F72=$E$13,E72*G72*1/'EF-S1'!$E$45,F72=$E$14,E72*G72*'EF-S1'!$C$41*1/'EF-S1'!$E$45*1/'EF-S1'!$E$47,F72=$E$15,E72*G72*'EF-S1'!$D$41*1/'EF-S1'!$E$45))</f>
        <v>#N/A</v>
      </c>
      <c r="K72" s="155" t="e" cm="1">
        <f t="array" ref="K72">+_xlfn.IFS(D72=$C$12,_xlfn.IFS(F72=$E$12,E72*H72*'EF-S1'!$C$38*1/'EF-S1'!$E$45,F72=$E$13,E72*H72*1/'EF-S1'!$E$45,F72=$E$14,E72*H72*'EF-S1'!$C$38*1/'EF-S1'!$E$45*1/'EF-S1'!$E$47,F72=$E$15,E72*H72*'EF-S1'!$D$38*1/'EF-S1'!$E$45),D72=$C$13,_xlfn.IFS(F72=$E$12,E72*H72*'EF-S1'!$C$39*1/'EF-S1'!$E$45,F72=$E$13,E72*H72*1/'EF-S1'!$E$45,F72=$E$14,E72*H72*'EF-S1'!$C$39*1/'EF-S1'!$E$45*1/'EF-S1'!$E$47,F72=$E$15,E72*H72*'EF-S1'!$D$39*1/'EF-S1'!$E$45),D72=$C$14,_xlfn.IFS(F72=$E$12,E72*H72*'EF-S1'!$C$40*1/'EF-S1'!$E$45,F72=$E$13,E72*H72*1/'EF-S1'!$E$45,F72=$E$14,E72*H72*'EF-S1'!$C$40*1/'EF-S1'!$E$45*1/'EF-S1'!$E$47,F72=$E$15,E72*H72*'EF-S1'!$D$40*1/'EF-S1'!$E$45),D72=$C$15,_xlfn.IFS(F72=$E$12,E72*H72*'EF-S1'!$C$41*1/'EF-S1'!$E$45,F72=$E$13,E72*H72*1/'EF-S1'!$E$45,F72=$E$14,E72*H72*'EF-S1'!$C$41*1/'EF-S1'!$E$45*1/'EF-S1'!$E$47,F72=$E$15,E72*H72*'EF-S1'!$D$41*1/'EF-S1'!$E$45))</f>
        <v>#N/A</v>
      </c>
      <c r="L72" s="155" t="e" cm="1">
        <f t="array" ref="L72">+_xlfn.IFS(D72=$C$12,_xlfn.IFS(F72=$E$12,E72*I72*'EF-S1'!$C$38*1/'EF-S1'!$E$45,F72=$E$13,E72*I72*1/'EF-S1'!$E$45,F72=$E$14,E72*I72*'EF-S1'!$C$38*1/'EF-S1'!$E$45*1/'EF-S1'!$E$47,F72=$E$15,E72*I72*'EF-S1'!$D$38*1/'EF-S1'!$E$45),D72=$C$13,_xlfn.IFS(F72=$E$12,E72*I72*'EF-S1'!$C$39*1/'EF-S1'!$E$45,F72=$E$13,E72*I72*1/'EF-S1'!$E$45,F72=$E$14,E72*I72*'EF-S1'!$C$39*1/'EF-S1'!$E$45*1/'EF-S1'!$E$47,F72=$E$15,E72*I72*'EF-S1'!$D$39*1/'EF-S1'!$E$45),D72=$C$14,_xlfn.IFS(F72=$E$12,E72*I72*'EF-S1'!$C$40*1/'EF-S1'!$E$45,F72=$E$13,E72*I72*1/'EF-S1'!$E$45,F72=$E$14,E72*I72*'EF-S1'!$C$40*1/'EF-S1'!$E$45*1/'EF-S1'!$E$47,F72=$E$15,E72*I72*'EF-S1'!$D$40*1/'EF-S1'!$E$45),D72=$C$15,_xlfn.IFS(F72=$E$12,E72*I72*'EF-S1'!$C$41*1/'EF-S1'!$E$45,F72=$E$13,E72*I72*1/'EF-S1'!$E$45,F72=$E$14,E72*I72*'EF-S1'!$C$41*1/'EF-S1'!$E$45*1/'EF-S1'!$E$47,F72=$E$15,E72*I72*'EF-S1'!$D$41*1/'EF-S1'!$E$45))</f>
        <v>#N/A</v>
      </c>
      <c r="M72" s="155" t="e">
        <f t="shared" si="13"/>
        <v>#N/A</v>
      </c>
      <c r="N72" s="155" t="e">
        <f t="shared" si="14"/>
        <v>#N/A</v>
      </c>
      <c r="O72" s="155" t="e">
        <f t="shared" si="15"/>
        <v>#N/A</v>
      </c>
      <c r="P72" s="156">
        <f t="shared" si="7"/>
        <v>0</v>
      </c>
      <c r="T72" s="152"/>
      <c r="U72" s="157"/>
      <c r="V72" s="158"/>
      <c r="W72" s="159"/>
      <c r="X72" s="155" t="e" cm="1">
        <f t="array" ref="X72">+_xlfn.IFS(W72="km",VLOOKUP(U72,'EF-S1'!$J$10:$M$16,2,),W72="l",VLOOKUP(U72,'EF-S1'!$J$26:$M$29,2,))</f>
        <v>#N/A</v>
      </c>
      <c r="Y72" s="155" t="e" cm="1">
        <f t="array" ref="Y72">+_xlfn.IFS(W72="km",VLOOKUP(U72,'EF-S1'!$J$10:$M$16,3,),W72="l",VLOOKUP(U72,'EF-S1'!$J$26:$M$29,3,))</f>
        <v>#N/A</v>
      </c>
      <c r="Z72" s="155" t="e" cm="1">
        <f t="array" ref="Z72">+_xlfn.IFS(W72="km",VLOOKUP(U72,'EF-S1'!$J$10:$M$16,4,),W72="l",VLOOKUP(U72,'EF-S1'!$J$26:$M$29,4,))</f>
        <v>#N/A</v>
      </c>
      <c r="AA72" s="155" t="e">
        <f t="shared" si="17"/>
        <v>#N/A</v>
      </c>
      <c r="AB72" s="155" t="e">
        <f t="shared" si="18"/>
        <v>#N/A</v>
      </c>
      <c r="AC72" s="155" t="e">
        <f t="shared" si="19"/>
        <v>#N/A</v>
      </c>
      <c r="AD72" s="155" t="e">
        <f t="shared" si="20"/>
        <v>#N/A</v>
      </c>
      <c r="AE72" s="155" t="e">
        <f t="shared" si="21"/>
        <v>#N/A</v>
      </c>
      <c r="AF72" s="155" t="e">
        <f t="shared" si="22"/>
        <v>#N/A</v>
      </c>
      <c r="AG72" s="156">
        <f t="shared" si="11"/>
        <v>0</v>
      </c>
      <c r="AK72" s="152"/>
      <c r="AL72" s="160"/>
      <c r="AM72" s="158"/>
      <c r="AN72" s="159" t="s">
        <v>49</v>
      </c>
      <c r="AO72" s="155" t="e">
        <f>+VLOOKUP(AL72,'EF-S1'!$U$10:$V$24,2,)</f>
        <v>#N/A</v>
      </c>
      <c r="AP72" s="155" t="e">
        <f t="shared" si="16"/>
        <v>#N/A</v>
      </c>
      <c r="AQ72" s="156">
        <f t="shared" si="12"/>
        <v>0</v>
      </c>
    </row>
    <row r="73" spans="3:43" x14ac:dyDescent="0.7">
      <c r="C73" s="152"/>
      <c r="D73" s="137"/>
      <c r="E73" s="158"/>
      <c r="F73" s="154"/>
      <c r="G73" s="155" t="e" cm="1">
        <f t="array" ref="G73">+_xlfn.IFS($C$7=$D$12,VLOOKUP(D73,'EF-S1'!$B$10:$E$13,2,),$C$7=$D$13,VLOOKUP(D73,'EF-S1'!$B$17:$E$20,2,),$C$7=$D$14,VLOOKUP(D73,'EF-S1'!$B$24:$E$27,2,),$C$7=$D$15,VLOOKUP(D73,'EF-S1'!$B$31:$E$34,2,))</f>
        <v>#N/A</v>
      </c>
      <c r="H73" s="155" t="e" cm="1">
        <f t="array" ref="H73">+_xlfn.IFS($C$7=$D$12,VLOOKUP(D73,'EF-S1'!$B$10:$E$13,3,),$C$7=$D$13,VLOOKUP(D73,'EF-S1'!$B$17:$E$20,3,),$C$7=$D$14,VLOOKUP(D73,'EF-S1'!$B$24:$E$27,3,),$C$7=$D$15,VLOOKUP(D73,'EF-S1'!$B$31:$E$34,3,))</f>
        <v>#N/A</v>
      </c>
      <c r="I73" s="155" t="e" cm="1">
        <f t="array" ref="I73">+_xlfn.IFS($C$7=$D$12,VLOOKUP(D73,'EF-S1'!$B$10:$E$13,4,),$C$7=$D$13,VLOOKUP(D73,'EF-S1'!$B$17:$E$20,4,),$C$7=$D$14,VLOOKUP(D73,'EF-S1'!$B$24:$E$27,4,),$C$7=$D$15,VLOOKUP(D73,'EF-S1'!$B$31:$E$34,4,))</f>
        <v>#N/A</v>
      </c>
      <c r="J73" s="155" t="e" cm="1">
        <f t="array" ref="J73">+_xlfn.IFS(D73=$C$12,_xlfn.IFS(F73=$E$12,E73*G73*'EF-S1'!$C$38*1/'EF-S1'!$E$45,F73=$E$13,E73*G73*1/'EF-S1'!$E$45,F73=$E$14,E73*G73*'EF-S1'!$C$38*1/'EF-S1'!$E$45*1/'EF-S1'!$E$47,F73=$E$15,E73*G73*'EF-S1'!$D$38*1/'EF-S1'!$E$45),D73=$C$13,_xlfn.IFS(F73=$E$12,E73*G73*'EF-S1'!$C$39*1/'EF-S1'!$E$45,F73=$E$13,E73*G73*1/'EF-S1'!$E$45,F73=$E$14,E73*G73*'EF-S1'!$C$39*1/'EF-S1'!$E$45*1/'EF-S1'!$E$47,F73=$E$15,E73*G73*'EF-S1'!$D$39*1/'EF-S1'!$E$45),D73=$C$14,_xlfn.IFS(F73=$E$12,E73*G73*'EF-S1'!$C$40*1/'EF-S1'!$E$45,F73=$E$13,E73*G73*1/'EF-S1'!$E$45,F73=$E$14,E73*G73*'EF-S1'!$C$40*1/'EF-S1'!$E$45*1/'EF-S1'!$E$47,F73=$E$15,E73*G73*'EF-S1'!$D$40*1/'EF-S1'!$E$45),D73=$C$15,_xlfn.IFS(F73=$E$12,E73*G73*'EF-S1'!$C$41*1/'EF-S1'!$E$45,F73=$E$13,E73*G73*1/'EF-S1'!$E$45,F73=$E$14,E73*G73*'EF-S1'!$C$41*1/'EF-S1'!$E$45*1/'EF-S1'!$E$47,F73=$E$15,E73*G73*'EF-S1'!$D$41*1/'EF-S1'!$E$45))</f>
        <v>#N/A</v>
      </c>
      <c r="K73" s="155" t="e" cm="1">
        <f t="array" ref="K73">+_xlfn.IFS(D73=$C$12,_xlfn.IFS(F73=$E$12,E73*H73*'EF-S1'!$C$38*1/'EF-S1'!$E$45,F73=$E$13,E73*H73*1/'EF-S1'!$E$45,F73=$E$14,E73*H73*'EF-S1'!$C$38*1/'EF-S1'!$E$45*1/'EF-S1'!$E$47,F73=$E$15,E73*H73*'EF-S1'!$D$38*1/'EF-S1'!$E$45),D73=$C$13,_xlfn.IFS(F73=$E$12,E73*H73*'EF-S1'!$C$39*1/'EF-S1'!$E$45,F73=$E$13,E73*H73*1/'EF-S1'!$E$45,F73=$E$14,E73*H73*'EF-S1'!$C$39*1/'EF-S1'!$E$45*1/'EF-S1'!$E$47,F73=$E$15,E73*H73*'EF-S1'!$D$39*1/'EF-S1'!$E$45),D73=$C$14,_xlfn.IFS(F73=$E$12,E73*H73*'EF-S1'!$C$40*1/'EF-S1'!$E$45,F73=$E$13,E73*H73*1/'EF-S1'!$E$45,F73=$E$14,E73*H73*'EF-S1'!$C$40*1/'EF-S1'!$E$45*1/'EF-S1'!$E$47,F73=$E$15,E73*H73*'EF-S1'!$D$40*1/'EF-S1'!$E$45),D73=$C$15,_xlfn.IFS(F73=$E$12,E73*H73*'EF-S1'!$C$41*1/'EF-S1'!$E$45,F73=$E$13,E73*H73*1/'EF-S1'!$E$45,F73=$E$14,E73*H73*'EF-S1'!$C$41*1/'EF-S1'!$E$45*1/'EF-S1'!$E$47,F73=$E$15,E73*H73*'EF-S1'!$D$41*1/'EF-S1'!$E$45))</f>
        <v>#N/A</v>
      </c>
      <c r="L73" s="155" t="e" cm="1">
        <f t="array" ref="L73">+_xlfn.IFS(D73=$C$12,_xlfn.IFS(F73=$E$12,E73*I73*'EF-S1'!$C$38*1/'EF-S1'!$E$45,F73=$E$13,E73*I73*1/'EF-S1'!$E$45,F73=$E$14,E73*I73*'EF-S1'!$C$38*1/'EF-S1'!$E$45*1/'EF-S1'!$E$47,F73=$E$15,E73*I73*'EF-S1'!$D$38*1/'EF-S1'!$E$45),D73=$C$13,_xlfn.IFS(F73=$E$12,E73*I73*'EF-S1'!$C$39*1/'EF-S1'!$E$45,F73=$E$13,E73*I73*1/'EF-S1'!$E$45,F73=$E$14,E73*I73*'EF-S1'!$C$39*1/'EF-S1'!$E$45*1/'EF-S1'!$E$47,F73=$E$15,E73*I73*'EF-S1'!$D$39*1/'EF-S1'!$E$45),D73=$C$14,_xlfn.IFS(F73=$E$12,E73*I73*'EF-S1'!$C$40*1/'EF-S1'!$E$45,F73=$E$13,E73*I73*1/'EF-S1'!$E$45,F73=$E$14,E73*I73*'EF-S1'!$C$40*1/'EF-S1'!$E$45*1/'EF-S1'!$E$47,F73=$E$15,E73*I73*'EF-S1'!$D$40*1/'EF-S1'!$E$45),D73=$C$15,_xlfn.IFS(F73=$E$12,E73*I73*'EF-S1'!$C$41*1/'EF-S1'!$E$45,F73=$E$13,E73*I73*1/'EF-S1'!$E$45,F73=$E$14,E73*I73*'EF-S1'!$C$41*1/'EF-S1'!$E$45*1/'EF-S1'!$E$47,F73=$E$15,E73*I73*'EF-S1'!$D$41*1/'EF-S1'!$E$45))</f>
        <v>#N/A</v>
      </c>
      <c r="M73" s="155" t="e">
        <f t="shared" si="13"/>
        <v>#N/A</v>
      </c>
      <c r="N73" s="155" t="e">
        <f t="shared" si="14"/>
        <v>#N/A</v>
      </c>
      <c r="O73" s="155" t="e">
        <f t="shared" si="15"/>
        <v>#N/A</v>
      </c>
      <c r="P73" s="156">
        <f t="shared" si="7"/>
        <v>0</v>
      </c>
      <c r="T73" s="152"/>
      <c r="U73" s="157"/>
      <c r="V73" s="158"/>
      <c r="W73" s="159"/>
      <c r="X73" s="155" t="e" cm="1">
        <f t="array" ref="X73">+_xlfn.IFS(W73="km",VLOOKUP(U73,'EF-S1'!$J$10:$M$16,2,),W73="l",VLOOKUP(U73,'EF-S1'!$J$26:$M$29,2,))</f>
        <v>#N/A</v>
      </c>
      <c r="Y73" s="155" t="e" cm="1">
        <f t="array" ref="Y73">+_xlfn.IFS(W73="km",VLOOKUP(U73,'EF-S1'!$J$10:$M$16,3,),W73="l",VLOOKUP(U73,'EF-S1'!$J$26:$M$29,3,))</f>
        <v>#N/A</v>
      </c>
      <c r="Z73" s="155" t="e" cm="1">
        <f t="array" ref="Z73">+_xlfn.IFS(W73="km",VLOOKUP(U73,'EF-S1'!$J$10:$M$16,4,),W73="l",VLOOKUP(U73,'EF-S1'!$J$26:$M$29,4,))</f>
        <v>#N/A</v>
      </c>
      <c r="AA73" s="155" t="e">
        <f t="shared" si="17"/>
        <v>#N/A</v>
      </c>
      <c r="AB73" s="155" t="e">
        <f t="shared" si="18"/>
        <v>#N/A</v>
      </c>
      <c r="AC73" s="155" t="e">
        <f t="shared" si="19"/>
        <v>#N/A</v>
      </c>
      <c r="AD73" s="155" t="e">
        <f t="shared" si="20"/>
        <v>#N/A</v>
      </c>
      <c r="AE73" s="155" t="e">
        <f t="shared" si="21"/>
        <v>#N/A</v>
      </c>
      <c r="AF73" s="155" t="e">
        <f t="shared" si="22"/>
        <v>#N/A</v>
      </c>
      <c r="AG73" s="156">
        <f t="shared" si="11"/>
        <v>0</v>
      </c>
      <c r="AK73" s="152"/>
      <c r="AL73" s="160"/>
      <c r="AM73" s="158"/>
      <c r="AN73" s="159" t="s">
        <v>49</v>
      </c>
      <c r="AO73" s="155" t="e">
        <f>+VLOOKUP(AL73,'EF-S1'!$U$10:$V$24,2,)</f>
        <v>#N/A</v>
      </c>
      <c r="AP73" s="155" t="e">
        <f t="shared" si="16"/>
        <v>#N/A</v>
      </c>
      <c r="AQ73" s="156">
        <f t="shared" si="12"/>
        <v>0</v>
      </c>
    </row>
    <row r="74" spans="3:43" x14ac:dyDescent="0.7">
      <c r="C74" s="152"/>
      <c r="D74" s="137"/>
      <c r="E74" s="158"/>
      <c r="F74" s="154"/>
      <c r="G74" s="155" t="e" cm="1">
        <f t="array" ref="G74">+_xlfn.IFS($C$7=$D$12,VLOOKUP(D74,'EF-S1'!$B$10:$E$13,2,),$C$7=$D$13,VLOOKUP(D74,'EF-S1'!$B$17:$E$20,2,),$C$7=$D$14,VLOOKUP(D74,'EF-S1'!$B$24:$E$27,2,),$C$7=$D$15,VLOOKUP(D74,'EF-S1'!$B$31:$E$34,2,))</f>
        <v>#N/A</v>
      </c>
      <c r="H74" s="155" t="e" cm="1">
        <f t="array" ref="H74">+_xlfn.IFS($C$7=$D$12,VLOOKUP(D74,'EF-S1'!$B$10:$E$13,3,),$C$7=$D$13,VLOOKUP(D74,'EF-S1'!$B$17:$E$20,3,),$C$7=$D$14,VLOOKUP(D74,'EF-S1'!$B$24:$E$27,3,),$C$7=$D$15,VLOOKUP(D74,'EF-S1'!$B$31:$E$34,3,))</f>
        <v>#N/A</v>
      </c>
      <c r="I74" s="155" t="e" cm="1">
        <f t="array" ref="I74">+_xlfn.IFS($C$7=$D$12,VLOOKUP(D74,'EF-S1'!$B$10:$E$13,4,),$C$7=$D$13,VLOOKUP(D74,'EF-S1'!$B$17:$E$20,4,),$C$7=$D$14,VLOOKUP(D74,'EF-S1'!$B$24:$E$27,4,),$C$7=$D$15,VLOOKUP(D74,'EF-S1'!$B$31:$E$34,4,))</f>
        <v>#N/A</v>
      </c>
      <c r="J74" s="155" t="e" cm="1">
        <f t="array" ref="J74">+_xlfn.IFS(D74=$C$12,_xlfn.IFS(F74=$E$12,E74*G74*'EF-S1'!$C$38*1/'EF-S1'!$E$45,F74=$E$13,E74*G74*1/'EF-S1'!$E$45,F74=$E$14,E74*G74*'EF-S1'!$C$38*1/'EF-S1'!$E$45*1/'EF-S1'!$E$47,F74=$E$15,E74*G74*'EF-S1'!$D$38*1/'EF-S1'!$E$45),D74=$C$13,_xlfn.IFS(F74=$E$12,E74*G74*'EF-S1'!$C$39*1/'EF-S1'!$E$45,F74=$E$13,E74*G74*1/'EF-S1'!$E$45,F74=$E$14,E74*G74*'EF-S1'!$C$39*1/'EF-S1'!$E$45*1/'EF-S1'!$E$47,F74=$E$15,E74*G74*'EF-S1'!$D$39*1/'EF-S1'!$E$45),D74=$C$14,_xlfn.IFS(F74=$E$12,E74*G74*'EF-S1'!$C$40*1/'EF-S1'!$E$45,F74=$E$13,E74*G74*1/'EF-S1'!$E$45,F74=$E$14,E74*G74*'EF-S1'!$C$40*1/'EF-S1'!$E$45*1/'EF-S1'!$E$47,F74=$E$15,E74*G74*'EF-S1'!$D$40*1/'EF-S1'!$E$45),D74=$C$15,_xlfn.IFS(F74=$E$12,E74*G74*'EF-S1'!$C$41*1/'EF-S1'!$E$45,F74=$E$13,E74*G74*1/'EF-S1'!$E$45,F74=$E$14,E74*G74*'EF-S1'!$C$41*1/'EF-S1'!$E$45*1/'EF-S1'!$E$47,F74=$E$15,E74*G74*'EF-S1'!$D$41*1/'EF-S1'!$E$45))</f>
        <v>#N/A</v>
      </c>
      <c r="K74" s="155" t="e" cm="1">
        <f t="array" ref="K74">+_xlfn.IFS(D74=$C$12,_xlfn.IFS(F74=$E$12,E74*H74*'EF-S1'!$C$38*1/'EF-S1'!$E$45,F74=$E$13,E74*H74*1/'EF-S1'!$E$45,F74=$E$14,E74*H74*'EF-S1'!$C$38*1/'EF-S1'!$E$45*1/'EF-S1'!$E$47,F74=$E$15,E74*H74*'EF-S1'!$D$38*1/'EF-S1'!$E$45),D74=$C$13,_xlfn.IFS(F74=$E$12,E74*H74*'EF-S1'!$C$39*1/'EF-S1'!$E$45,F74=$E$13,E74*H74*1/'EF-S1'!$E$45,F74=$E$14,E74*H74*'EF-S1'!$C$39*1/'EF-S1'!$E$45*1/'EF-S1'!$E$47,F74=$E$15,E74*H74*'EF-S1'!$D$39*1/'EF-S1'!$E$45),D74=$C$14,_xlfn.IFS(F74=$E$12,E74*H74*'EF-S1'!$C$40*1/'EF-S1'!$E$45,F74=$E$13,E74*H74*1/'EF-S1'!$E$45,F74=$E$14,E74*H74*'EF-S1'!$C$40*1/'EF-S1'!$E$45*1/'EF-S1'!$E$47,F74=$E$15,E74*H74*'EF-S1'!$D$40*1/'EF-S1'!$E$45),D74=$C$15,_xlfn.IFS(F74=$E$12,E74*H74*'EF-S1'!$C$41*1/'EF-S1'!$E$45,F74=$E$13,E74*H74*1/'EF-S1'!$E$45,F74=$E$14,E74*H74*'EF-S1'!$C$41*1/'EF-S1'!$E$45*1/'EF-S1'!$E$47,F74=$E$15,E74*H74*'EF-S1'!$D$41*1/'EF-S1'!$E$45))</f>
        <v>#N/A</v>
      </c>
      <c r="L74" s="155" t="e" cm="1">
        <f t="array" ref="L74">+_xlfn.IFS(D74=$C$12,_xlfn.IFS(F74=$E$12,E74*I74*'EF-S1'!$C$38*1/'EF-S1'!$E$45,F74=$E$13,E74*I74*1/'EF-S1'!$E$45,F74=$E$14,E74*I74*'EF-S1'!$C$38*1/'EF-S1'!$E$45*1/'EF-S1'!$E$47,F74=$E$15,E74*I74*'EF-S1'!$D$38*1/'EF-S1'!$E$45),D74=$C$13,_xlfn.IFS(F74=$E$12,E74*I74*'EF-S1'!$C$39*1/'EF-S1'!$E$45,F74=$E$13,E74*I74*1/'EF-S1'!$E$45,F74=$E$14,E74*I74*'EF-S1'!$C$39*1/'EF-S1'!$E$45*1/'EF-S1'!$E$47,F74=$E$15,E74*I74*'EF-S1'!$D$39*1/'EF-S1'!$E$45),D74=$C$14,_xlfn.IFS(F74=$E$12,E74*I74*'EF-S1'!$C$40*1/'EF-S1'!$E$45,F74=$E$13,E74*I74*1/'EF-S1'!$E$45,F74=$E$14,E74*I74*'EF-S1'!$C$40*1/'EF-S1'!$E$45*1/'EF-S1'!$E$47,F74=$E$15,E74*I74*'EF-S1'!$D$40*1/'EF-S1'!$E$45),D74=$C$15,_xlfn.IFS(F74=$E$12,E74*I74*'EF-S1'!$C$41*1/'EF-S1'!$E$45,F74=$E$13,E74*I74*1/'EF-S1'!$E$45,F74=$E$14,E74*I74*'EF-S1'!$C$41*1/'EF-S1'!$E$45*1/'EF-S1'!$E$47,F74=$E$15,E74*I74*'EF-S1'!$D$41*1/'EF-S1'!$E$45))</f>
        <v>#N/A</v>
      </c>
      <c r="M74" s="155" t="e">
        <f t="shared" si="13"/>
        <v>#N/A</v>
      </c>
      <c r="N74" s="155" t="e">
        <f t="shared" si="14"/>
        <v>#N/A</v>
      </c>
      <c r="O74" s="155" t="e">
        <f t="shared" si="15"/>
        <v>#N/A</v>
      </c>
      <c r="P74" s="156">
        <f t="shared" si="7"/>
        <v>0</v>
      </c>
      <c r="T74" s="152"/>
      <c r="U74" s="157"/>
      <c r="V74" s="158"/>
      <c r="W74" s="159"/>
      <c r="X74" s="155" t="e" cm="1">
        <f t="array" ref="X74">+_xlfn.IFS(W74="km",VLOOKUP(U74,'EF-S1'!$J$10:$M$16,2,),W74="l",VLOOKUP(U74,'EF-S1'!$J$26:$M$29,2,))</f>
        <v>#N/A</v>
      </c>
      <c r="Y74" s="155" t="e" cm="1">
        <f t="array" ref="Y74">+_xlfn.IFS(W74="km",VLOOKUP(U74,'EF-S1'!$J$10:$M$16,3,),W74="l",VLOOKUP(U74,'EF-S1'!$J$26:$M$29,3,))</f>
        <v>#N/A</v>
      </c>
      <c r="Z74" s="155" t="e" cm="1">
        <f t="array" ref="Z74">+_xlfn.IFS(W74="km",VLOOKUP(U74,'EF-S1'!$J$10:$M$16,4,),W74="l",VLOOKUP(U74,'EF-S1'!$J$26:$M$29,4,))</f>
        <v>#N/A</v>
      </c>
      <c r="AA74" s="155" t="e">
        <f t="shared" si="17"/>
        <v>#N/A</v>
      </c>
      <c r="AB74" s="155" t="e">
        <f t="shared" si="18"/>
        <v>#N/A</v>
      </c>
      <c r="AC74" s="155" t="e">
        <f t="shared" si="19"/>
        <v>#N/A</v>
      </c>
      <c r="AD74" s="155" t="e">
        <f t="shared" si="20"/>
        <v>#N/A</v>
      </c>
      <c r="AE74" s="155" t="e">
        <f t="shared" si="21"/>
        <v>#N/A</v>
      </c>
      <c r="AF74" s="155" t="e">
        <f t="shared" si="22"/>
        <v>#N/A</v>
      </c>
      <c r="AG74" s="156">
        <f t="shared" si="11"/>
        <v>0</v>
      </c>
      <c r="AK74" s="152"/>
      <c r="AL74" s="160"/>
      <c r="AM74" s="158"/>
      <c r="AN74" s="159" t="s">
        <v>49</v>
      </c>
      <c r="AO74" s="155" t="e">
        <f>+VLOOKUP(AL74,'EF-S1'!$U$10:$V$24,2,)</f>
        <v>#N/A</v>
      </c>
      <c r="AP74" s="155" t="e">
        <f t="shared" si="16"/>
        <v>#N/A</v>
      </c>
      <c r="AQ74" s="156">
        <f t="shared" si="12"/>
        <v>0</v>
      </c>
    </row>
    <row r="75" spans="3:43" x14ac:dyDescent="0.7">
      <c r="C75" s="152"/>
      <c r="D75" s="137"/>
      <c r="E75" s="158"/>
      <c r="F75" s="154"/>
      <c r="G75" s="155" t="e" cm="1">
        <f t="array" ref="G75">+_xlfn.IFS($C$7=$D$12,VLOOKUP(D75,'EF-S1'!$B$10:$E$13,2,),$C$7=$D$13,VLOOKUP(D75,'EF-S1'!$B$17:$E$20,2,),$C$7=$D$14,VLOOKUP(D75,'EF-S1'!$B$24:$E$27,2,),$C$7=$D$15,VLOOKUP(D75,'EF-S1'!$B$31:$E$34,2,))</f>
        <v>#N/A</v>
      </c>
      <c r="H75" s="155" t="e" cm="1">
        <f t="array" ref="H75">+_xlfn.IFS($C$7=$D$12,VLOOKUP(D75,'EF-S1'!$B$10:$E$13,3,),$C$7=$D$13,VLOOKUP(D75,'EF-S1'!$B$17:$E$20,3,),$C$7=$D$14,VLOOKUP(D75,'EF-S1'!$B$24:$E$27,3,),$C$7=$D$15,VLOOKUP(D75,'EF-S1'!$B$31:$E$34,3,))</f>
        <v>#N/A</v>
      </c>
      <c r="I75" s="155" t="e" cm="1">
        <f t="array" ref="I75">+_xlfn.IFS($C$7=$D$12,VLOOKUP(D75,'EF-S1'!$B$10:$E$13,4,),$C$7=$D$13,VLOOKUP(D75,'EF-S1'!$B$17:$E$20,4,),$C$7=$D$14,VLOOKUP(D75,'EF-S1'!$B$24:$E$27,4,),$C$7=$D$15,VLOOKUP(D75,'EF-S1'!$B$31:$E$34,4,))</f>
        <v>#N/A</v>
      </c>
      <c r="J75" s="155" t="e" cm="1">
        <f t="array" ref="J75">+_xlfn.IFS(D75=$C$12,_xlfn.IFS(F75=$E$12,E75*G75*'EF-S1'!$C$38*1/'EF-S1'!$E$45,F75=$E$13,E75*G75*1/'EF-S1'!$E$45,F75=$E$14,E75*G75*'EF-S1'!$C$38*1/'EF-S1'!$E$45*1/'EF-S1'!$E$47,F75=$E$15,E75*G75*'EF-S1'!$D$38*1/'EF-S1'!$E$45),D75=$C$13,_xlfn.IFS(F75=$E$12,E75*G75*'EF-S1'!$C$39*1/'EF-S1'!$E$45,F75=$E$13,E75*G75*1/'EF-S1'!$E$45,F75=$E$14,E75*G75*'EF-S1'!$C$39*1/'EF-S1'!$E$45*1/'EF-S1'!$E$47,F75=$E$15,E75*G75*'EF-S1'!$D$39*1/'EF-S1'!$E$45),D75=$C$14,_xlfn.IFS(F75=$E$12,E75*G75*'EF-S1'!$C$40*1/'EF-S1'!$E$45,F75=$E$13,E75*G75*1/'EF-S1'!$E$45,F75=$E$14,E75*G75*'EF-S1'!$C$40*1/'EF-S1'!$E$45*1/'EF-S1'!$E$47,F75=$E$15,E75*G75*'EF-S1'!$D$40*1/'EF-S1'!$E$45),D75=$C$15,_xlfn.IFS(F75=$E$12,E75*G75*'EF-S1'!$C$41*1/'EF-S1'!$E$45,F75=$E$13,E75*G75*1/'EF-S1'!$E$45,F75=$E$14,E75*G75*'EF-S1'!$C$41*1/'EF-S1'!$E$45*1/'EF-S1'!$E$47,F75=$E$15,E75*G75*'EF-S1'!$D$41*1/'EF-S1'!$E$45))</f>
        <v>#N/A</v>
      </c>
      <c r="K75" s="155" t="e" cm="1">
        <f t="array" ref="K75">+_xlfn.IFS(D75=$C$12,_xlfn.IFS(F75=$E$12,E75*H75*'EF-S1'!$C$38*1/'EF-S1'!$E$45,F75=$E$13,E75*H75*1/'EF-S1'!$E$45,F75=$E$14,E75*H75*'EF-S1'!$C$38*1/'EF-S1'!$E$45*1/'EF-S1'!$E$47,F75=$E$15,E75*H75*'EF-S1'!$D$38*1/'EF-S1'!$E$45),D75=$C$13,_xlfn.IFS(F75=$E$12,E75*H75*'EF-S1'!$C$39*1/'EF-S1'!$E$45,F75=$E$13,E75*H75*1/'EF-S1'!$E$45,F75=$E$14,E75*H75*'EF-S1'!$C$39*1/'EF-S1'!$E$45*1/'EF-S1'!$E$47,F75=$E$15,E75*H75*'EF-S1'!$D$39*1/'EF-S1'!$E$45),D75=$C$14,_xlfn.IFS(F75=$E$12,E75*H75*'EF-S1'!$C$40*1/'EF-S1'!$E$45,F75=$E$13,E75*H75*1/'EF-S1'!$E$45,F75=$E$14,E75*H75*'EF-S1'!$C$40*1/'EF-S1'!$E$45*1/'EF-S1'!$E$47,F75=$E$15,E75*H75*'EF-S1'!$D$40*1/'EF-S1'!$E$45),D75=$C$15,_xlfn.IFS(F75=$E$12,E75*H75*'EF-S1'!$C$41*1/'EF-S1'!$E$45,F75=$E$13,E75*H75*1/'EF-S1'!$E$45,F75=$E$14,E75*H75*'EF-S1'!$C$41*1/'EF-S1'!$E$45*1/'EF-S1'!$E$47,F75=$E$15,E75*H75*'EF-S1'!$D$41*1/'EF-S1'!$E$45))</f>
        <v>#N/A</v>
      </c>
      <c r="L75" s="155" t="e" cm="1">
        <f t="array" ref="L75">+_xlfn.IFS(D75=$C$12,_xlfn.IFS(F75=$E$12,E75*I75*'EF-S1'!$C$38*1/'EF-S1'!$E$45,F75=$E$13,E75*I75*1/'EF-S1'!$E$45,F75=$E$14,E75*I75*'EF-S1'!$C$38*1/'EF-S1'!$E$45*1/'EF-S1'!$E$47,F75=$E$15,E75*I75*'EF-S1'!$D$38*1/'EF-S1'!$E$45),D75=$C$13,_xlfn.IFS(F75=$E$12,E75*I75*'EF-S1'!$C$39*1/'EF-S1'!$E$45,F75=$E$13,E75*I75*1/'EF-S1'!$E$45,F75=$E$14,E75*I75*'EF-S1'!$C$39*1/'EF-S1'!$E$45*1/'EF-S1'!$E$47,F75=$E$15,E75*I75*'EF-S1'!$D$39*1/'EF-S1'!$E$45),D75=$C$14,_xlfn.IFS(F75=$E$12,E75*I75*'EF-S1'!$C$40*1/'EF-S1'!$E$45,F75=$E$13,E75*I75*1/'EF-S1'!$E$45,F75=$E$14,E75*I75*'EF-S1'!$C$40*1/'EF-S1'!$E$45*1/'EF-S1'!$E$47,F75=$E$15,E75*I75*'EF-S1'!$D$40*1/'EF-S1'!$E$45),D75=$C$15,_xlfn.IFS(F75=$E$12,E75*I75*'EF-S1'!$C$41*1/'EF-S1'!$E$45,F75=$E$13,E75*I75*1/'EF-S1'!$E$45,F75=$E$14,E75*I75*'EF-S1'!$C$41*1/'EF-S1'!$E$45*1/'EF-S1'!$E$47,F75=$E$15,E75*I75*'EF-S1'!$D$41*1/'EF-S1'!$E$45))</f>
        <v>#N/A</v>
      </c>
      <c r="M75" s="155" t="e">
        <f t="shared" si="13"/>
        <v>#N/A</v>
      </c>
      <c r="N75" s="155" t="e">
        <f t="shared" si="14"/>
        <v>#N/A</v>
      </c>
      <c r="O75" s="155" t="e">
        <f t="shared" si="15"/>
        <v>#N/A</v>
      </c>
      <c r="P75" s="156">
        <f t="shared" si="7"/>
        <v>0</v>
      </c>
      <c r="T75" s="152"/>
      <c r="U75" s="157"/>
      <c r="V75" s="158"/>
      <c r="W75" s="159"/>
      <c r="X75" s="155" t="e" cm="1">
        <f t="array" ref="X75">+_xlfn.IFS(W75="km",VLOOKUP(U75,'EF-S1'!$J$10:$M$16,2,),W75="l",VLOOKUP(U75,'EF-S1'!$J$26:$M$29,2,))</f>
        <v>#N/A</v>
      </c>
      <c r="Y75" s="155" t="e" cm="1">
        <f t="array" ref="Y75">+_xlfn.IFS(W75="km",VLOOKUP(U75,'EF-S1'!$J$10:$M$16,3,),W75="l",VLOOKUP(U75,'EF-S1'!$J$26:$M$29,3,))</f>
        <v>#N/A</v>
      </c>
      <c r="Z75" s="155" t="e" cm="1">
        <f t="array" ref="Z75">+_xlfn.IFS(W75="km",VLOOKUP(U75,'EF-S1'!$J$10:$M$16,4,),W75="l",VLOOKUP(U75,'EF-S1'!$J$26:$M$29,4,))</f>
        <v>#N/A</v>
      </c>
      <c r="AA75" s="155" t="e">
        <f t="shared" si="17"/>
        <v>#N/A</v>
      </c>
      <c r="AB75" s="155" t="e">
        <f t="shared" si="18"/>
        <v>#N/A</v>
      </c>
      <c r="AC75" s="155" t="e">
        <f t="shared" si="19"/>
        <v>#N/A</v>
      </c>
      <c r="AD75" s="155" t="e">
        <f t="shared" si="20"/>
        <v>#N/A</v>
      </c>
      <c r="AE75" s="155" t="e">
        <f t="shared" si="21"/>
        <v>#N/A</v>
      </c>
      <c r="AF75" s="155" t="e">
        <f t="shared" si="22"/>
        <v>#N/A</v>
      </c>
      <c r="AG75" s="156">
        <f t="shared" si="11"/>
        <v>0</v>
      </c>
      <c r="AK75" s="152"/>
      <c r="AL75" s="160"/>
      <c r="AM75" s="158"/>
      <c r="AN75" s="159" t="s">
        <v>49</v>
      </c>
      <c r="AO75" s="155" t="e">
        <f>+VLOOKUP(AL75,'EF-S1'!$U$10:$V$24,2,)</f>
        <v>#N/A</v>
      </c>
      <c r="AP75" s="155" t="e">
        <f t="shared" si="16"/>
        <v>#N/A</v>
      </c>
      <c r="AQ75" s="156">
        <f t="shared" si="12"/>
        <v>0</v>
      </c>
    </row>
    <row r="76" spans="3:43" x14ac:dyDescent="0.7">
      <c r="C76" s="152"/>
      <c r="D76" s="137"/>
      <c r="E76" s="158"/>
      <c r="F76" s="154"/>
      <c r="G76" s="155" t="e" cm="1">
        <f t="array" ref="G76">+_xlfn.IFS($C$7=$D$12,VLOOKUP(D76,'EF-S1'!$B$10:$E$13,2,),$C$7=$D$13,VLOOKUP(D76,'EF-S1'!$B$17:$E$20,2,),$C$7=$D$14,VLOOKUP(D76,'EF-S1'!$B$24:$E$27,2,),$C$7=$D$15,VLOOKUP(D76,'EF-S1'!$B$31:$E$34,2,))</f>
        <v>#N/A</v>
      </c>
      <c r="H76" s="155" t="e" cm="1">
        <f t="array" ref="H76">+_xlfn.IFS($C$7=$D$12,VLOOKUP(D76,'EF-S1'!$B$10:$E$13,3,),$C$7=$D$13,VLOOKUP(D76,'EF-S1'!$B$17:$E$20,3,),$C$7=$D$14,VLOOKUP(D76,'EF-S1'!$B$24:$E$27,3,),$C$7=$D$15,VLOOKUP(D76,'EF-S1'!$B$31:$E$34,3,))</f>
        <v>#N/A</v>
      </c>
      <c r="I76" s="155" t="e" cm="1">
        <f t="array" ref="I76">+_xlfn.IFS($C$7=$D$12,VLOOKUP(D76,'EF-S1'!$B$10:$E$13,4,),$C$7=$D$13,VLOOKUP(D76,'EF-S1'!$B$17:$E$20,4,),$C$7=$D$14,VLOOKUP(D76,'EF-S1'!$B$24:$E$27,4,),$C$7=$D$15,VLOOKUP(D76,'EF-S1'!$B$31:$E$34,4,))</f>
        <v>#N/A</v>
      </c>
      <c r="J76" s="155" t="e" cm="1">
        <f t="array" ref="J76">+_xlfn.IFS(D76=$C$12,_xlfn.IFS(F76=$E$12,E76*G76*'EF-S1'!$C$38*1/'EF-S1'!$E$45,F76=$E$13,E76*G76*1/'EF-S1'!$E$45,F76=$E$14,E76*G76*'EF-S1'!$C$38*1/'EF-S1'!$E$45*1/'EF-S1'!$E$47,F76=$E$15,E76*G76*'EF-S1'!$D$38*1/'EF-S1'!$E$45),D76=$C$13,_xlfn.IFS(F76=$E$12,E76*G76*'EF-S1'!$C$39*1/'EF-S1'!$E$45,F76=$E$13,E76*G76*1/'EF-S1'!$E$45,F76=$E$14,E76*G76*'EF-S1'!$C$39*1/'EF-S1'!$E$45*1/'EF-S1'!$E$47,F76=$E$15,E76*G76*'EF-S1'!$D$39*1/'EF-S1'!$E$45),D76=$C$14,_xlfn.IFS(F76=$E$12,E76*G76*'EF-S1'!$C$40*1/'EF-S1'!$E$45,F76=$E$13,E76*G76*1/'EF-S1'!$E$45,F76=$E$14,E76*G76*'EF-S1'!$C$40*1/'EF-S1'!$E$45*1/'EF-S1'!$E$47,F76=$E$15,E76*G76*'EF-S1'!$D$40*1/'EF-S1'!$E$45),D76=$C$15,_xlfn.IFS(F76=$E$12,E76*G76*'EF-S1'!$C$41*1/'EF-S1'!$E$45,F76=$E$13,E76*G76*1/'EF-S1'!$E$45,F76=$E$14,E76*G76*'EF-S1'!$C$41*1/'EF-S1'!$E$45*1/'EF-S1'!$E$47,F76=$E$15,E76*G76*'EF-S1'!$D$41*1/'EF-S1'!$E$45))</f>
        <v>#N/A</v>
      </c>
      <c r="K76" s="155" t="e" cm="1">
        <f t="array" ref="K76">+_xlfn.IFS(D76=$C$12,_xlfn.IFS(F76=$E$12,E76*H76*'EF-S1'!$C$38*1/'EF-S1'!$E$45,F76=$E$13,E76*H76*1/'EF-S1'!$E$45,F76=$E$14,E76*H76*'EF-S1'!$C$38*1/'EF-S1'!$E$45*1/'EF-S1'!$E$47,F76=$E$15,E76*H76*'EF-S1'!$D$38*1/'EF-S1'!$E$45),D76=$C$13,_xlfn.IFS(F76=$E$12,E76*H76*'EF-S1'!$C$39*1/'EF-S1'!$E$45,F76=$E$13,E76*H76*1/'EF-S1'!$E$45,F76=$E$14,E76*H76*'EF-S1'!$C$39*1/'EF-S1'!$E$45*1/'EF-S1'!$E$47,F76=$E$15,E76*H76*'EF-S1'!$D$39*1/'EF-S1'!$E$45),D76=$C$14,_xlfn.IFS(F76=$E$12,E76*H76*'EF-S1'!$C$40*1/'EF-S1'!$E$45,F76=$E$13,E76*H76*1/'EF-S1'!$E$45,F76=$E$14,E76*H76*'EF-S1'!$C$40*1/'EF-S1'!$E$45*1/'EF-S1'!$E$47,F76=$E$15,E76*H76*'EF-S1'!$D$40*1/'EF-S1'!$E$45),D76=$C$15,_xlfn.IFS(F76=$E$12,E76*H76*'EF-S1'!$C$41*1/'EF-S1'!$E$45,F76=$E$13,E76*H76*1/'EF-S1'!$E$45,F76=$E$14,E76*H76*'EF-S1'!$C$41*1/'EF-S1'!$E$45*1/'EF-S1'!$E$47,F76=$E$15,E76*H76*'EF-S1'!$D$41*1/'EF-S1'!$E$45))</f>
        <v>#N/A</v>
      </c>
      <c r="L76" s="155" t="e" cm="1">
        <f t="array" ref="L76">+_xlfn.IFS(D76=$C$12,_xlfn.IFS(F76=$E$12,E76*I76*'EF-S1'!$C$38*1/'EF-S1'!$E$45,F76=$E$13,E76*I76*1/'EF-S1'!$E$45,F76=$E$14,E76*I76*'EF-S1'!$C$38*1/'EF-S1'!$E$45*1/'EF-S1'!$E$47,F76=$E$15,E76*I76*'EF-S1'!$D$38*1/'EF-S1'!$E$45),D76=$C$13,_xlfn.IFS(F76=$E$12,E76*I76*'EF-S1'!$C$39*1/'EF-S1'!$E$45,F76=$E$13,E76*I76*1/'EF-S1'!$E$45,F76=$E$14,E76*I76*'EF-S1'!$C$39*1/'EF-S1'!$E$45*1/'EF-S1'!$E$47,F76=$E$15,E76*I76*'EF-S1'!$D$39*1/'EF-S1'!$E$45),D76=$C$14,_xlfn.IFS(F76=$E$12,E76*I76*'EF-S1'!$C$40*1/'EF-S1'!$E$45,F76=$E$13,E76*I76*1/'EF-S1'!$E$45,F76=$E$14,E76*I76*'EF-S1'!$C$40*1/'EF-S1'!$E$45*1/'EF-S1'!$E$47,F76=$E$15,E76*I76*'EF-S1'!$D$40*1/'EF-S1'!$E$45),D76=$C$15,_xlfn.IFS(F76=$E$12,E76*I76*'EF-S1'!$C$41*1/'EF-S1'!$E$45,F76=$E$13,E76*I76*1/'EF-S1'!$E$45,F76=$E$14,E76*I76*'EF-S1'!$C$41*1/'EF-S1'!$E$45*1/'EF-S1'!$E$47,F76=$E$15,E76*I76*'EF-S1'!$D$41*1/'EF-S1'!$E$45))</f>
        <v>#N/A</v>
      </c>
      <c r="M76" s="155" t="e">
        <f t="shared" si="13"/>
        <v>#N/A</v>
      </c>
      <c r="N76" s="155" t="e">
        <f t="shared" si="14"/>
        <v>#N/A</v>
      </c>
      <c r="O76" s="155" t="e">
        <f t="shared" si="15"/>
        <v>#N/A</v>
      </c>
      <c r="P76" s="156">
        <f t="shared" si="7"/>
        <v>0</v>
      </c>
      <c r="T76" s="152"/>
      <c r="U76" s="157"/>
      <c r="V76" s="158"/>
      <c r="W76" s="159"/>
      <c r="X76" s="155" t="e" cm="1">
        <f t="array" ref="X76">+_xlfn.IFS(W76="km",VLOOKUP(U76,'EF-S1'!$J$10:$M$16,2,),W76="l",VLOOKUP(U76,'EF-S1'!$J$26:$M$29,2,))</f>
        <v>#N/A</v>
      </c>
      <c r="Y76" s="155" t="e" cm="1">
        <f t="array" ref="Y76">+_xlfn.IFS(W76="km",VLOOKUP(U76,'EF-S1'!$J$10:$M$16,3,),W76="l",VLOOKUP(U76,'EF-S1'!$J$26:$M$29,3,))</f>
        <v>#N/A</v>
      </c>
      <c r="Z76" s="155" t="e" cm="1">
        <f t="array" ref="Z76">+_xlfn.IFS(W76="km",VLOOKUP(U76,'EF-S1'!$J$10:$M$16,4,),W76="l",VLOOKUP(U76,'EF-S1'!$J$26:$M$29,4,))</f>
        <v>#N/A</v>
      </c>
      <c r="AA76" s="155" t="e">
        <f t="shared" si="17"/>
        <v>#N/A</v>
      </c>
      <c r="AB76" s="155" t="e">
        <f t="shared" si="18"/>
        <v>#N/A</v>
      </c>
      <c r="AC76" s="155" t="e">
        <f t="shared" si="19"/>
        <v>#N/A</v>
      </c>
      <c r="AD76" s="155" t="e">
        <f t="shared" si="20"/>
        <v>#N/A</v>
      </c>
      <c r="AE76" s="155" t="e">
        <f t="shared" si="21"/>
        <v>#N/A</v>
      </c>
      <c r="AF76" s="155" t="e">
        <f t="shared" si="22"/>
        <v>#N/A</v>
      </c>
      <c r="AG76" s="156">
        <f t="shared" si="11"/>
        <v>0</v>
      </c>
      <c r="AK76" s="152"/>
      <c r="AL76" s="160"/>
      <c r="AM76" s="158"/>
      <c r="AN76" s="159" t="s">
        <v>49</v>
      </c>
      <c r="AO76" s="155" t="e">
        <f>+VLOOKUP(AL76,'EF-S1'!$U$10:$V$24,2,)</f>
        <v>#N/A</v>
      </c>
      <c r="AP76" s="155" t="e">
        <f t="shared" si="16"/>
        <v>#N/A</v>
      </c>
      <c r="AQ76" s="156">
        <f t="shared" si="12"/>
        <v>0</v>
      </c>
    </row>
    <row r="77" spans="3:43" x14ac:dyDescent="0.7">
      <c r="C77" s="152"/>
      <c r="D77" s="137"/>
      <c r="E77" s="158"/>
      <c r="F77" s="154"/>
      <c r="G77" s="155" t="e" cm="1">
        <f t="array" ref="G77">+_xlfn.IFS($C$7=$D$12,VLOOKUP(D77,'EF-S1'!$B$10:$E$13,2,),$C$7=$D$13,VLOOKUP(D77,'EF-S1'!$B$17:$E$20,2,),$C$7=$D$14,VLOOKUP(D77,'EF-S1'!$B$24:$E$27,2,),$C$7=$D$15,VLOOKUP(D77,'EF-S1'!$B$31:$E$34,2,))</f>
        <v>#N/A</v>
      </c>
      <c r="H77" s="155" t="e" cm="1">
        <f t="array" ref="H77">+_xlfn.IFS($C$7=$D$12,VLOOKUP(D77,'EF-S1'!$B$10:$E$13,3,),$C$7=$D$13,VLOOKUP(D77,'EF-S1'!$B$17:$E$20,3,),$C$7=$D$14,VLOOKUP(D77,'EF-S1'!$B$24:$E$27,3,),$C$7=$D$15,VLOOKUP(D77,'EF-S1'!$B$31:$E$34,3,))</f>
        <v>#N/A</v>
      </c>
      <c r="I77" s="155" t="e" cm="1">
        <f t="array" ref="I77">+_xlfn.IFS($C$7=$D$12,VLOOKUP(D77,'EF-S1'!$B$10:$E$13,4,),$C$7=$D$13,VLOOKUP(D77,'EF-S1'!$B$17:$E$20,4,),$C$7=$D$14,VLOOKUP(D77,'EF-S1'!$B$24:$E$27,4,),$C$7=$D$15,VLOOKUP(D77,'EF-S1'!$B$31:$E$34,4,))</f>
        <v>#N/A</v>
      </c>
      <c r="J77" s="155" t="e" cm="1">
        <f t="array" ref="J77">+_xlfn.IFS(D77=$C$12,_xlfn.IFS(F77=$E$12,E77*G77*'EF-S1'!$C$38*1/'EF-S1'!$E$45,F77=$E$13,E77*G77*1/'EF-S1'!$E$45,F77=$E$14,E77*G77*'EF-S1'!$C$38*1/'EF-S1'!$E$45*1/'EF-S1'!$E$47,F77=$E$15,E77*G77*'EF-S1'!$D$38*1/'EF-S1'!$E$45),D77=$C$13,_xlfn.IFS(F77=$E$12,E77*G77*'EF-S1'!$C$39*1/'EF-S1'!$E$45,F77=$E$13,E77*G77*1/'EF-S1'!$E$45,F77=$E$14,E77*G77*'EF-S1'!$C$39*1/'EF-S1'!$E$45*1/'EF-S1'!$E$47,F77=$E$15,E77*G77*'EF-S1'!$D$39*1/'EF-S1'!$E$45),D77=$C$14,_xlfn.IFS(F77=$E$12,E77*G77*'EF-S1'!$C$40*1/'EF-S1'!$E$45,F77=$E$13,E77*G77*1/'EF-S1'!$E$45,F77=$E$14,E77*G77*'EF-S1'!$C$40*1/'EF-S1'!$E$45*1/'EF-S1'!$E$47,F77=$E$15,E77*G77*'EF-S1'!$D$40*1/'EF-S1'!$E$45),D77=$C$15,_xlfn.IFS(F77=$E$12,E77*G77*'EF-S1'!$C$41*1/'EF-S1'!$E$45,F77=$E$13,E77*G77*1/'EF-S1'!$E$45,F77=$E$14,E77*G77*'EF-S1'!$C$41*1/'EF-S1'!$E$45*1/'EF-S1'!$E$47,F77=$E$15,E77*G77*'EF-S1'!$D$41*1/'EF-S1'!$E$45))</f>
        <v>#N/A</v>
      </c>
      <c r="K77" s="155" t="e" cm="1">
        <f t="array" ref="K77">+_xlfn.IFS(D77=$C$12,_xlfn.IFS(F77=$E$12,E77*H77*'EF-S1'!$C$38*1/'EF-S1'!$E$45,F77=$E$13,E77*H77*1/'EF-S1'!$E$45,F77=$E$14,E77*H77*'EF-S1'!$C$38*1/'EF-S1'!$E$45*1/'EF-S1'!$E$47,F77=$E$15,E77*H77*'EF-S1'!$D$38*1/'EF-S1'!$E$45),D77=$C$13,_xlfn.IFS(F77=$E$12,E77*H77*'EF-S1'!$C$39*1/'EF-S1'!$E$45,F77=$E$13,E77*H77*1/'EF-S1'!$E$45,F77=$E$14,E77*H77*'EF-S1'!$C$39*1/'EF-S1'!$E$45*1/'EF-S1'!$E$47,F77=$E$15,E77*H77*'EF-S1'!$D$39*1/'EF-S1'!$E$45),D77=$C$14,_xlfn.IFS(F77=$E$12,E77*H77*'EF-S1'!$C$40*1/'EF-S1'!$E$45,F77=$E$13,E77*H77*1/'EF-S1'!$E$45,F77=$E$14,E77*H77*'EF-S1'!$C$40*1/'EF-S1'!$E$45*1/'EF-S1'!$E$47,F77=$E$15,E77*H77*'EF-S1'!$D$40*1/'EF-S1'!$E$45),D77=$C$15,_xlfn.IFS(F77=$E$12,E77*H77*'EF-S1'!$C$41*1/'EF-S1'!$E$45,F77=$E$13,E77*H77*1/'EF-S1'!$E$45,F77=$E$14,E77*H77*'EF-S1'!$C$41*1/'EF-S1'!$E$45*1/'EF-S1'!$E$47,F77=$E$15,E77*H77*'EF-S1'!$D$41*1/'EF-S1'!$E$45))</f>
        <v>#N/A</v>
      </c>
      <c r="L77" s="155" t="e" cm="1">
        <f t="array" ref="L77">+_xlfn.IFS(D77=$C$12,_xlfn.IFS(F77=$E$12,E77*I77*'EF-S1'!$C$38*1/'EF-S1'!$E$45,F77=$E$13,E77*I77*1/'EF-S1'!$E$45,F77=$E$14,E77*I77*'EF-S1'!$C$38*1/'EF-S1'!$E$45*1/'EF-S1'!$E$47,F77=$E$15,E77*I77*'EF-S1'!$D$38*1/'EF-S1'!$E$45),D77=$C$13,_xlfn.IFS(F77=$E$12,E77*I77*'EF-S1'!$C$39*1/'EF-S1'!$E$45,F77=$E$13,E77*I77*1/'EF-S1'!$E$45,F77=$E$14,E77*I77*'EF-S1'!$C$39*1/'EF-S1'!$E$45*1/'EF-S1'!$E$47,F77=$E$15,E77*I77*'EF-S1'!$D$39*1/'EF-S1'!$E$45),D77=$C$14,_xlfn.IFS(F77=$E$12,E77*I77*'EF-S1'!$C$40*1/'EF-S1'!$E$45,F77=$E$13,E77*I77*1/'EF-S1'!$E$45,F77=$E$14,E77*I77*'EF-S1'!$C$40*1/'EF-S1'!$E$45*1/'EF-S1'!$E$47,F77=$E$15,E77*I77*'EF-S1'!$D$40*1/'EF-S1'!$E$45),D77=$C$15,_xlfn.IFS(F77=$E$12,E77*I77*'EF-S1'!$C$41*1/'EF-S1'!$E$45,F77=$E$13,E77*I77*1/'EF-S1'!$E$45,F77=$E$14,E77*I77*'EF-S1'!$C$41*1/'EF-S1'!$E$45*1/'EF-S1'!$E$47,F77=$E$15,E77*I77*'EF-S1'!$D$41*1/'EF-S1'!$E$45))</f>
        <v>#N/A</v>
      </c>
      <c r="M77" s="155" t="e">
        <f t="shared" si="13"/>
        <v>#N/A</v>
      </c>
      <c r="N77" s="155" t="e">
        <f t="shared" si="14"/>
        <v>#N/A</v>
      </c>
      <c r="O77" s="155" t="e">
        <f t="shared" si="15"/>
        <v>#N/A</v>
      </c>
      <c r="P77" s="156">
        <f t="shared" si="7"/>
        <v>0</v>
      </c>
      <c r="T77" s="152"/>
      <c r="U77" s="157"/>
      <c r="V77" s="158"/>
      <c r="W77" s="159"/>
      <c r="X77" s="155" t="e" cm="1">
        <f t="array" ref="X77">+_xlfn.IFS(W77="km",VLOOKUP(U77,'EF-S1'!$J$10:$M$16,2,),W77="l",VLOOKUP(U77,'EF-S1'!$J$26:$M$29,2,))</f>
        <v>#N/A</v>
      </c>
      <c r="Y77" s="155" t="e" cm="1">
        <f t="array" ref="Y77">+_xlfn.IFS(W77="km",VLOOKUP(U77,'EF-S1'!$J$10:$M$16,3,),W77="l",VLOOKUP(U77,'EF-S1'!$J$26:$M$29,3,))</f>
        <v>#N/A</v>
      </c>
      <c r="Z77" s="155" t="e" cm="1">
        <f t="array" ref="Z77">+_xlfn.IFS(W77="km",VLOOKUP(U77,'EF-S1'!$J$10:$M$16,4,),W77="l",VLOOKUP(U77,'EF-S1'!$J$26:$M$29,4,))</f>
        <v>#N/A</v>
      </c>
      <c r="AA77" s="155" t="e">
        <f t="shared" si="17"/>
        <v>#N/A</v>
      </c>
      <c r="AB77" s="155" t="e">
        <f t="shared" si="18"/>
        <v>#N/A</v>
      </c>
      <c r="AC77" s="155" t="e">
        <f t="shared" si="19"/>
        <v>#N/A</v>
      </c>
      <c r="AD77" s="155" t="e">
        <f t="shared" si="20"/>
        <v>#N/A</v>
      </c>
      <c r="AE77" s="155" t="e">
        <f t="shared" si="21"/>
        <v>#N/A</v>
      </c>
      <c r="AF77" s="155" t="e">
        <f t="shared" si="22"/>
        <v>#N/A</v>
      </c>
      <c r="AG77" s="156">
        <f t="shared" si="11"/>
        <v>0</v>
      </c>
      <c r="AK77" s="152"/>
      <c r="AL77" s="160"/>
      <c r="AM77" s="158"/>
      <c r="AN77" s="159" t="s">
        <v>49</v>
      </c>
      <c r="AO77" s="155" t="e">
        <f>+VLOOKUP(AL77,'EF-S1'!$U$10:$V$24,2,)</f>
        <v>#N/A</v>
      </c>
      <c r="AP77" s="155" t="e">
        <f t="shared" si="16"/>
        <v>#N/A</v>
      </c>
      <c r="AQ77" s="156">
        <f t="shared" si="12"/>
        <v>0</v>
      </c>
    </row>
    <row r="78" spans="3:43" x14ac:dyDescent="0.7">
      <c r="C78" s="152"/>
      <c r="D78" s="137"/>
      <c r="E78" s="158"/>
      <c r="F78" s="154"/>
      <c r="G78" s="155" t="e" cm="1">
        <f t="array" ref="G78">+_xlfn.IFS($C$7=$D$12,VLOOKUP(D78,'EF-S1'!$B$10:$E$13,2,),$C$7=$D$13,VLOOKUP(D78,'EF-S1'!$B$17:$E$20,2,),$C$7=$D$14,VLOOKUP(D78,'EF-S1'!$B$24:$E$27,2,),$C$7=$D$15,VLOOKUP(D78,'EF-S1'!$B$31:$E$34,2,))</f>
        <v>#N/A</v>
      </c>
      <c r="H78" s="155" t="e" cm="1">
        <f t="array" ref="H78">+_xlfn.IFS($C$7=$D$12,VLOOKUP(D78,'EF-S1'!$B$10:$E$13,3,),$C$7=$D$13,VLOOKUP(D78,'EF-S1'!$B$17:$E$20,3,),$C$7=$D$14,VLOOKUP(D78,'EF-S1'!$B$24:$E$27,3,),$C$7=$D$15,VLOOKUP(D78,'EF-S1'!$B$31:$E$34,3,))</f>
        <v>#N/A</v>
      </c>
      <c r="I78" s="155" t="e" cm="1">
        <f t="array" ref="I78">+_xlfn.IFS($C$7=$D$12,VLOOKUP(D78,'EF-S1'!$B$10:$E$13,4,),$C$7=$D$13,VLOOKUP(D78,'EF-S1'!$B$17:$E$20,4,),$C$7=$D$14,VLOOKUP(D78,'EF-S1'!$B$24:$E$27,4,),$C$7=$D$15,VLOOKUP(D78,'EF-S1'!$B$31:$E$34,4,))</f>
        <v>#N/A</v>
      </c>
      <c r="J78" s="155" t="e" cm="1">
        <f t="array" ref="J78">+_xlfn.IFS(D78=$C$12,_xlfn.IFS(F78=$E$12,E78*G78*'EF-S1'!$C$38*1/'EF-S1'!$E$45,F78=$E$13,E78*G78*1/'EF-S1'!$E$45,F78=$E$14,E78*G78*'EF-S1'!$C$38*1/'EF-S1'!$E$45*1/'EF-S1'!$E$47,F78=$E$15,E78*G78*'EF-S1'!$D$38*1/'EF-S1'!$E$45),D78=$C$13,_xlfn.IFS(F78=$E$12,E78*G78*'EF-S1'!$C$39*1/'EF-S1'!$E$45,F78=$E$13,E78*G78*1/'EF-S1'!$E$45,F78=$E$14,E78*G78*'EF-S1'!$C$39*1/'EF-S1'!$E$45*1/'EF-S1'!$E$47,F78=$E$15,E78*G78*'EF-S1'!$D$39*1/'EF-S1'!$E$45),D78=$C$14,_xlfn.IFS(F78=$E$12,E78*G78*'EF-S1'!$C$40*1/'EF-S1'!$E$45,F78=$E$13,E78*G78*1/'EF-S1'!$E$45,F78=$E$14,E78*G78*'EF-S1'!$C$40*1/'EF-S1'!$E$45*1/'EF-S1'!$E$47,F78=$E$15,E78*G78*'EF-S1'!$D$40*1/'EF-S1'!$E$45),D78=$C$15,_xlfn.IFS(F78=$E$12,E78*G78*'EF-S1'!$C$41*1/'EF-S1'!$E$45,F78=$E$13,E78*G78*1/'EF-S1'!$E$45,F78=$E$14,E78*G78*'EF-S1'!$C$41*1/'EF-S1'!$E$45*1/'EF-S1'!$E$47,F78=$E$15,E78*G78*'EF-S1'!$D$41*1/'EF-S1'!$E$45))</f>
        <v>#N/A</v>
      </c>
      <c r="K78" s="155" t="e" cm="1">
        <f t="array" ref="K78">+_xlfn.IFS(D78=$C$12,_xlfn.IFS(F78=$E$12,E78*H78*'EF-S1'!$C$38*1/'EF-S1'!$E$45,F78=$E$13,E78*H78*1/'EF-S1'!$E$45,F78=$E$14,E78*H78*'EF-S1'!$C$38*1/'EF-S1'!$E$45*1/'EF-S1'!$E$47,F78=$E$15,E78*H78*'EF-S1'!$D$38*1/'EF-S1'!$E$45),D78=$C$13,_xlfn.IFS(F78=$E$12,E78*H78*'EF-S1'!$C$39*1/'EF-S1'!$E$45,F78=$E$13,E78*H78*1/'EF-S1'!$E$45,F78=$E$14,E78*H78*'EF-S1'!$C$39*1/'EF-S1'!$E$45*1/'EF-S1'!$E$47,F78=$E$15,E78*H78*'EF-S1'!$D$39*1/'EF-S1'!$E$45),D78=$C$14,_xlfn.IFS(F78=$E$12,E78*H78*'EF-S1'!$C$40*1/'EF-S1'!$E$45,F78=$E$13,E78*H78*1/'EF-S1'!$E$45,F78=$E$14,E78*H78*'EF-S1'!$C$40*1/'EF-S1'!$E$45*1/'EF-S1'!$E$47,F78=$E$15,E78*H78*'EF-S1'!$D$40*1/'EF-S1'!$E$45),D78=$C$15,_xlfn.IFS(F78=$E$12,E78*H78*'EF-S1'!$C$41*1/'EF-S1'!$E$45,F78=$E$13,E78*H78*1/'EF-S1'!$E$45,F78=$E$14,E78*H78*'EF-S1'!$C$41*1/'EF-S1'!$E$45*1/'EF-S1'!$E$47,F78=$E$15,E78*H78*'EF-S1'!$D$41*1/'EF-S1'!$E$45))</f>
        <v>#N/A</v>
      </c>
      <c r="L78" s="155" t="e" cm="1">
        <f t="array" ref="L78">+_xlfn.IFS(D78=$C$12,_xlfn.IFS(F78=$E$12,E78*I78*'EF-S1'!$C$38*1/'EF-S1'!$E$45,F78=$E$13,E78*I78*1/'EF-S1'!$E$45,F78=$E$14,E78*I78*'EF-S1'!$C$38*1/'EF-S1'!$E$45*1/'EF-S1'!$E$47,F78=$E$15,E78*I78*'EF-S1'!$D$38*1/'EF-S1'!$E$45),D78=$C$13,_xlfn.IFS(F78=$E$12,E78*I78*'EF-S1'!$C$39*1/'EF-S1'!$E$45,F78=$E$13,E78*I78*1/'EF-S1'!$E$45,F78=$E$14,E78*I78*'EF-S1'!$C$39*1/'EF-S1'!$E$45*1/'EF-S1'!$E$47,F78=$E$15,E78*I78*'EF-S1'!$D$39*1/'EF-S1'!$E$45),D78=$C$14,_xlfn.IFS(F78=$E$12,E78*I78*'EF-S1'!$C$40*1/'EF-S1'!$E$45,F78=$E$13,E78*I78*1/'EF-S1'!$E$45,F78=$E$14,E78*I78*'EF-S1'!$C$40*1/'EF-S1'!$E$45*1/'EF-S1'!$E$47,F78=$E$15,E78*I78*'EF-S1'!$D$40*1/'EF-S1'!$E$45),D78=$C$15,_xlfn.IFS(F78=$E$12,E78*I78*'EF-S1'!$C$41*1/'EF-S1'!$E$45,F78=$E$13,E78*I78*1/'EF-S1'!$E$45,F78=$E$14,E78*I78*'EF-S1'!$C$41*1/'EF-S1'!$E$45*1/'EF-S1'!$E$47,F78=$E$15,E78*I78*'EF-S1'!$D$41*1/'EF-S1'!$E$45))</f>
        <v>#N/A</v>
      </c>
      <c r="M78" s="155" t="e">
        <f t="shared" si="13"/>
        <v>#N/A</v>
      </c>
      <c r="N78" s="155" t="e">
        <f t="shared" si="14"/>
        <v>#N/A</v>
      </c>
      <c r="O78" s="155" t="e">
        <f t="shared" si="15"/>
        <v>#N/A</v>
      </c>
      <c r="P78" s="156">
        <f t="shared" si="7"/>
        <v>0</v>
      </c>
      <c r="T78" s="152"/>
      <c r="U78" s="157"/>
      <c r="V78" s="158"/>
      <c r="W78" s="159"/>
      <c r="X78" s="155" t="e" cm="1">
        <f t="array" ref="X78">+_xlfn.IFS(W78="km",VLOOKUP(U78,'EF-S1'!$J$10:$M$16,2,),W78="l",VLOOKUP(U78,'EF-S1'!$J$26:$M$29,2,))</f>
        <v>#N/A</v>
      </c>
      <c r="Y78" s="155" t="e" cm="1">
        <f t="array" ref="Y78">+_xlfn.IFS(W78="km",VLOOKUP(U78,'EF-S1'!$J$10:$M$16,3,),W78="l",VLOOKUP(U78,'EF-S1'!$J$26:$M$29,3,))</f>
        <v>#N/A</v>
      </c>
      <c r="Z78" s="155" t="e" cm="1">
        <f t="array" ref="Z78">+_xlfn.IFS(W78="km",VLOOKUP(U78,'EF-S1'!$J$10:$M$16,4,),W78="l",VLOOKUP(U78,'EF-S1'!$J$26:$M$29,4,))</f>
        <v>#N/A</v>
      </c>
      <c r="AA78" s="155" t="e">
        <f t="shared" si="17"/>
        <v>#N/A</v>
      </c>
      <c r="AB78" s="155" t="e">
        <f t="shared" si="18"/>
        <v>#N/A</v>
      </c>
      <c r="AC78" s="155" t="e">
        <f t="shared" si="19"/>
        <v>#N/A</v>
      </c>
      <c r="AD78" s="155" t="e">
        <f t="shared" si="20"/>
        <v>#N/A</v>
      </c>
      <c r="AE78" s="155" t="e">
        <f t="shared" si="21"/>
        <v>#N/A</v>
      </c>
      <c r="AF78" s="155" t="e">
        <f t="shared" si="22"/>
        <v>#N/A</v>
      </c>
      <c r="AG78" s="156">
        <f t="shared" si="11"/>
        <v>0</v>
      </c>
      <c r="AK78" s="152"/>
      <c r="AL78" s="160"/>
      <c r="AM78" s="158"/>
      <c r="AN78" s="159" t="s">
        <v>49</v>
      </c>
      <c r="AO78" s="155" t="e">
        <f>+VLOOKUP(AL78,'EF-S1'!$U$10:$V$24,2,)</f>
        <v>#N/A</v>
      </c>
      <c r="AP78" s="155" t="e">
        <f t="shared" si="16"/>
        <v>#N/A</v>
      </c>
      <c r="AQ78" s="156">
        <f t="shared" si="12"/>
        <v>0</v>
      </c>
    </row>
    <row r="79" spans="3:43" x14ac:dyDescent="0.7">
      <c r="C79" s="152"/>
      <c r="D79" s="137"/>
      <c r="E79" s="158"/>
      <c r="F79" s="154"/>
      <c r="G79" s="155" t="e" cm="1">
        <f t="array" ref="G79">+_xlfn.IFS($C$7=$D$12,VLOOKUP(D79,'EF-S1'!$B$10:$E$13,2,),$C$7=$D$13,VLOOKUP(D79,'EF-S1'!$B$17:$E$20,2,),$C$7=$D$14,VLOOKUP(D79,'EF-S1'!$B$24:$E$27,2,),$C$7=$D$15,VLOOKUP(D79,'EF-S1'!$B$31:$E$34,2,))</f>
        <v>#N/A</v>
      </c>
      <c r="H79" s="155" t="e" cm="1">
        <f t="array" ref="H79">+_xlfn.IFS($C$7=$D$12,VLOOKUP(D79,'EF-S1'!$B$10:$E$13,3,),$C$7=$D$13,VLOOKUP(D79,'EF-S1'!$B$17:$E$20,3,),$C$7=$D$14,VLOOKUP(D79,'EF-S1'!$B$24:$E$27,3,),$C$7=$D$15,VLOOKUP(D79,'EF-S1'!$B$31:$E$34,3,))</f>
        <v>#N/A</v>
      </c>
      <c r="I79" s="155" t="e" cm="1">
        <f t="array" ref="I79">+_xlfn.IFS($C$7=$D$12,VLOOKUP(D79,'EF-S1'!$B$10:$E$13,4,),$C$7=$D$13,VLOOKUP(D79,'EF-S1'!$B$17:$E$20,4,),$C$7=$D$14,VLOOKUP(D79,'EF-S1'!$B$24:$E$27,4,),$C$7=$D$15,VLOOKUP(D79,'EF-S1'!$B$31:$E$34,4,))</f>
        <v>#N/A</v>
      </c>
      <c r="J79" s="155" t="e" cm="1">
        <f t="array" ref="J79">+_xlfn.IFS(D79=$C$12,_xlfn.IFS(F79=$E$12,E79*G79*'EF-S1'!$C$38*1/'EF-S1'!$E$45,F79=$E$13,E79*G79*1/'EF-S1'!$E$45,F79=$E$14,E79*G79*'EF-S1'!$C$38*1/'EF-S1'!$E$45*1/'EF-S1'!$E$47,F79=$E$15,E79*G79*'EF-S1'!$D$38*1/'EF-S1'!$E$45),D79=$C$13,_xlfn.IFS(F79=$E$12,E79*G79*'EF-S1'!$C$39*1/'EF-S1'!$E$45,F79=$E$13,E79*G79*1/'EF-S1'!$E$45,F79=$E$14,E79*G79*'EF-S1'!$C$39*1/'EF-S1'!$E$45*1/'EF-S1'!$E$47,F79=$E$15,E79*G79*'EF-S1'!$D$39*1/'EF-S1'!$E$45),D79=$C$14,_xlfn.IFS(F79=$E$12,E79*G79*'EF-S1'!$C$40*1/'EF-S1'!$E$45,F79=$E$13,E79*G79*1/'EF-S1'!$E$45,F79=$E$14,E79*G79*'EF-S1'!$C$40*1/'EF-S1'!$E$45*1/'EF-S1'!$E$47,F79=$E$15,E79*G79*'EF-S1'!$D$40*1/'EF-S1'!$E$45),D79=$C$15,_xlfn.IFS(F79=$E$12,E79*G79*'EF-S1'!$C$41*1/'EF-S1'!$E$45,F79=$E$13,E79*G79*1/'EF-S1'!$E$45,F79=$E$14,E79*G79*'EF-S1'!$C$41*1/'EF-S1'!$E$45*1/'EF-S1'!$E$47,F79=$E$15,E79*G79*'EF-S1'!$D$41*1/'EF-S1'!$E$45))</f>
        <v>#N/A</v>
      </c>
      <c r="K79" s="155" t="e" cm="1">
        <f t="array" ref="K79">+_xlfn.IFS(D79=$C$12,_xlfn.IFS(F79=$E$12,E79*H79*'EF-S1'!$C$38*1/'EF-S1'!$E$45,F79=$E$13,E79*H79*1/'EF-S1'!$E$45,F79=$E$14,E79*H79*'EF-S1'!$C$38*1/'EF-S1'!$E$45*1/'EF-S1'!$E$47,F79=$E$15,E79*H79*'EF-S1'!$D$38*1/'EF-S1'!$E$45),D79=$C$13,_xlfn.IFS(F79=$E$12,E79*H79*'EF-S1'!$C$39*1/'EF-S1'!$E$45,F79=$E$13,E79*H79*1/'EF-S1'!$E$45,F79=$E$14,E79*H79*'EF-S1'!$C$39*1/'EF-S1'!$E$45*1/'EF-S1'!$E$47,F79=$E$15,E79*H79*'EF-S1'!$D$39*1/'EF-S1'!$E$45),D79=$C$14,_xlfn.IFS(F79=$E$12,E79*H79*'EF-S1'!$C$40*1/'EF-S1'!$E$45,F79=$E$13,E79*H79*1/'EF-S1'!$E$45,F79=$E$14,E79*H79*'EF-S1'!$C$40*1/'EF-S1'!$E$45*1/'EF-S1'!$E$47,F79=$E$15,E79*H79*'EF-S1'!$D$40*1/'EF-S1'!$E$45),D79=$C$15,_xlfn.IFS(F79=$E$12,E79*H79*'EF-S1'!$C$41*1/'EF-S1'!$E$45,F79=$E$13,E79*H79*1/'EF-S1'!$E$45,F79=$E$14,E79*H79*'EF-S1'!$C$41*1/'EF-S1'!$E$45*1/'EF-S1'!$E$47,F79=$E$15,E79*H79*'EF-S1'!$D$41*1/'EF-S1'!$E$45))</f>
        <v>#N/A</v>
      </c>
      <c r="L79" s="155" t="e" cm="1">
        <f t="array" ref="L79">+_xlfn.IFS(D79=$C$12,_xlfn.IFS(F79=$E$12,E79*I79*'EF-S1'!$C$38*1/'EF-S1'!$E$45,F79=$E$13,E79*I79*1/'EF-S1'!$E$45,F79=$E$14,E79*I79*'EF-S1'!$C$38*1/'EF-S1'!$E$45*1/'EF-S1'!$E$47,F79=$E$15,E79*I79*'EF-S1'!$D$38*1/'EF-S1'!$E$45),D79=$C$13,_xlfn.IFS(F79=$E$12,E79*I79*'EF-S1'!$C$39*1/'EF-S1'!$E$45,F79=$E$13,E79*I79*1/'EF-S1'!$E$45,F79=$E$14,E79*I79*'EF-S1'!$C$39*1/'EF-S1'!$E$45*1/'EF-S1'!$E$47,F79=$E$15,E79*I79*'EF-S1'!$D$39*1/'EF-S1'!$E$45),D79=$C$14,_xlfn.IFS(F79=$E$12,E79*I79*'EF-S1'!$C$40*1/'EF-S1'!$E$45,F79=$E$13,E79*I79*1/'EF-S1'!$E$45,F79=$E$14,E79*I79*'EF-S1'!$C$40*1/'EF-S1'!$E$45*1/'EF-S1'!$E$47,F79=$E$15,E79*I79*'EF-S1'!$D$40*1/'EF-S1'!$E$45),D79=$C$15,_xlfn.IFS(F79=$E$12,E79*I79*'EF-S1'!$C$41*1/'EF-S1'!$E$45,F79=$E$13,E79*I79*1/'EF-S1'!$E$45,F79=$E$14,E79*I79*'EF-S1'!$C$41*1/'EF-S1'!$E$45*1/'EF-S1'!$E$47,F79=$E$15,E79*I79*'EF-S1'!$D$41*1/'EF-S1'!$E$45))</f>
        <v>#N/A</v>
      </c>
      <c r="M79" s="155" t="e">
        <f t="shared" si="13"/>
        <v>#N/A</v>
      </c>
      <c r="N79" s="155" t="e">
        <f t="shared" si="14"/>
        <v>#N/A</v>
      </c>
      <c r="O79" s="155" t="e">
        <f t="shared" si="15"/>
        <v>#N/A</v>
      </c>
      <c r="P79" s="156">
        <f t="shared" si="7"/>
        <v>0</v>
      </c>
      <c r="T79" s="152"/>
      <c r="U79" s="157"/>
      <c r="V79" s="158"/>
      <c r="W79" s="159"/>
      <c r="X79" s="155" t="e" cm="1">
        <f t="array" ref="X79">+_xlfn.IFS(W79="km",VLOOKUP(U79,'EF-S1'!$J$10:$M$16,2,),W79="l",VLOOKUP(U79,'EF-S1'!$J$26:$M$29,2,))</f>
        <v>#N/A</v>
      </c>
      <c r="Y79" s="155" t="e" cm="1">
        <f t="array" ref="Y79">+_xlfn.IFS(W79="km",VLOOKUP(U79,'EF-S1'!$J$10:$M$16,3,),W79="l",VLOOKUP(U79,'EF-S1'!$J$26:$M$29,3,))</f>
        <v>#N/A</v>
      </c>
      <c r="Z79" s="155" t="e" cm="1">
        <f t="array" ref="Z79">+_xlfn.IFS(W79="km",VLOOKUP(U79,'EF-S1'!$J$10:$M$16,4,),W79="l",VLOOKUP(U79,'EF-S1'!$J$26:$M$29,4,))</f>
        <v>#N/A</v>
      </c>
      <c r="AA79" s="155" t="e">
        <f t="shared" si="17"/>
        <v>#N/A</v>
      </c>
      <c r="AB79" s="155" t="e">
        <f t="shared" si="18"/>
        <v>#N/A</v>
      </c>
      <c r="AC79" s="155" t="e">
        <f t="shared" si="19"/>
        <v>#N/A</v>
      </c>
      <c r="AD79" s="155" t="e">
        <f t="shared" si="20"/>
        <v>#N/A</v>
      </c>
      <c r="AE79" s="155" t="e">
        <f t="shared" si="21"/>
        <v>#N/A</v>
      </c>
      <c r="AF79" s="155" t="e">
        <f t="shared" si="22"/>
        <v>#N/A</v>
      </c>
      <c r="AG79" s="156">
        <f t="shared" si="11"/>
        <v>0</v>
      </c>
      <c r="AK79" s="152"/>
      <c r="AL79" s="160"/>
      <c r="AM79" s="158"/>
      <c r="AN79" s="159" t="s">
        <v>49</v>
      </c>
      <c r="AO79" s="155" t="e">
        <f>+VLOOKUP(AL79,'EF-S1'!$U$10:$V$24,2,)</f>
        <v>#N/A</v>
      </c>
      <c r="AP79" s="155" t="e">
        <f t="shared" si="16"/>
        <v>#N/A</v>
      </c>
      <c r="AQ79" s="156">
        <f t="shared" si="12"/>
        <v>0</v>
      </c>
    </row>
    <row r="80" spans="3:43" x14ac:dyDescent="0.7">
      <c r="C80" s="152"/>
      <c r="D80" s="137"/>
      <c r="E80" s="158"/>
      <c r="F80" s="154"/>
      <c r="G80" s="155" t="e" cm="1">
        <f t="array" ref="G80">+_xlfn.IFS($C$7=$D$12,VLOOKUP(D80,'EF-S1'!$B$10:$E$13,2,),$C$7=$D$13,VLOOKUP(D80,'EF-S1'!$B$17:$E$20,2,),$C$7=$D$14,VLOOKUP(D80,'EF-S1'!$B$24:$E$27,2,),$C$7=$D$15,VLOOKUP(D80,'EF-S1'!$B$31:$E$34,2,))</f>
        <v>#N/A</v>
      </c>
      <c r="H80" s="155" t="e" cm="1">
        <f t="array" ref="H80">+_xlfn.IFS($C$7=$D$12,VLOOKUP(D80,'EF-S1'!$B$10:$E$13,3,),$C$7=$D$13,VLOOKUP(D80,'EF-S1'!$B$17:$E$20,3,),$C$7=$D$14,VLOOKUP(D80,'EF-S1'!$B$24:$E$27,3,),$C$7=$D$15,VLOOKUP(D80,'EF-S1'!$B$31:$E$34,3,))</f>
        <v>#N/A</v>
      </c>
      <c r="I80" s="155" t="e" cm="1">
        <f t="array" ref="I80">+_xlfn.IFS($C$7=$D$12,VLOOKUP(D80,'EF-S1'!$B$10:$E$13,4,),$C$7=$D$13,VLOOKUP(D80,'EF-S1'!$B$17:$E$20,4,),$C$7=$D$14,VLOOKUP(D80,'EF-S1'!$B$24:$E$27,4,),$C$7=$D$15,VLOOKUP(D80,'EF-S1'!$B$31:$E$34,4,))</f>
        <v>#N/A</v>
      </c>
      <c r="J80" s="155" t="e" cm="1">
        <f t="array" ref="J80">+_xlfn.IFS(D80=$C$12,_xlfn.IFS(F80=$E$12,E80*G80*'EF-S1'!$C$38*1/'EF-S1'!$E$45,F80=$E$13,E80*G80*1/'EF-S1'!$E$45,F80=$E$14,E80*G80*'EF-S1'!$C$38*1/'EF-S1'!$E$45*1/'EF-S1'!$E$47,F80=$E$15,E80*G80*'EF-S1'!$D$38*1/'EF-S1'!$E$45),D80=$C$13,_xlfn.IFS(F80=$E$12,E80*G80*'EF-S1'!$C$39*1/'EF-S1'!$E$45,F80=$E$13,E80*G80*1/'EF-S1'!$E$45,F80=$E$14,E80*G80*'EF-S1'!$C$39*1/'EF-S1'!$E$45*1/'EF-S1'!$E$47,F80=$E$15,E80*G80*'EF-S1'!$D$39*1/'EF-S1'!$E$45),D80=$C$14,_xlfn.IFS(F80=$E$12,E80*G80*'EF-S1'!$C$40*1/'EF-S1'!$E$45,F80=$E$13,E80*G80*1/'EF-S1'!$E$45,F80=$E$14,E80*G80*'EF-S1'!$C$40*1/'EF-S1'!$E$45*1/'EF-S1'!$E$47,F80=$E$15,E80*G80*'EF-S1'!$D$40*1/'EF-S1'!$E$45),D80=$C$15,_xlfn.IFS(F80=$E$12,E80*G80*'EF-S1'!$C$41*1/'EF-S1'!$E$45,F80=$E$13,E80*G80*1/'EF-S1'!$E$45,F80=$E$14,E80*G80*'EF-S1'!$C$41*1/'EF-S1'!$E$45*1/'EF-S1'!$E$47,F80=$E$15,E80*G80*'EF-S1'!$D$41*1/'EF-S1'!$E$45))</f>
        <v>#N/A</v>
      </c>
      <c r="K80" s="155" t="e" cm="1">
        <f t="array" ref="K80">+_xlfn.IFS(D80=$C$12,_xlfn.IFS(F80=$E$12,E80*H80*'EF-S1'!$C$38*1/'EF-S1'!$E$45,F80=$E$13,E80*H80*1/'EF-S1'!$E$45,F80=$E$14,E80*H80*'EF-S1'!$C$38*1/'EF-S1'!$E$45*1/'EF-S1'!$E$47,F80=$E$15,E80*H80*'EF-S1'!$D$38*1/'EF-S1'!$E$45),D80=$C$13,_xlfn.IFS(F80=$E$12,E80*H80*'EF-S1'!$C$39*1/'EF-S1'!$E$45,F80=$E$13,E80*H80*1/'EF-S1'!$E$45,F80=$E$14,E80*H80*'EF-S1'!$C$39*1/'EF-S1'!$E$45*1/'EF-S1'!$E$47,F80=$E$15,E80*H80*'EF-S1'!$D$39*1/'EF-S1'!$E$45),D80=$C$14,_xlfn.IFS(F80=$E$12,E80*H80*'EF-S1'!$C$40*1/'EF-S1'!$E$45,F80=$E$13,E80*H80*1/'EF-S1'!$E$45,F80=$E$14,E80*H80*'EF-S1'!$C$40*1/'EF-S1'!$E$45*1/'EF-S1'!$E$47,F80=$E$15,E80*H80*'EF-S1'!$D$40*1/'EF-S1'!$E$45),D80=$C$15,_xlfn.IFS(F80=$E$12,E80*H80*'EF-S1'!$C$41*1/'EF-S1'!$E$45,F80=$E$13,E80*H80*1/'EF-S1'!$E$45,F80=$E$14,E80*H80*'EF-S1'!$C$41*1/'EF-S1'!$E$45*1/'EF-S1'!$E$47,F80=$E$15,E80*H80*'EF-S1'!$D$41*1/'EF-S1'!$E$45))</f>
        <v>#N/A</v>
      </c>
      <c r="L80" s="155" t="e" cm="1">
        <f t="array" ref="L80">+_xlfn.IFS(D80=$C$12,_xlfn.IFS(F80=$E$12,E80*I80*'EF-S1'!$C$38*1/'EF-S1'!$E$45,F80=$E$13,E80*I80*1/'EF-S1'!$E$45,F80=$E$14,E80*I80*'EF-S1'!$C$38*1/'EF-S1'!$E$45*1/'EF-S1'!$E$47,F80=$E$15,E80*I80*'EF-S1'!$D$38*1/'EF-S1'!$E$45),D80=$C$13,_xlfn.IFS(F80=$E$12,E80*I80*'EF-S1'!$C$39*1/'EF-S1'!$E$45,F80=$E$13,E80*I80*1/'EF-S1'!$E$45,F80=$E$14,E80*I80*'EF-S1'!$C$39*1/'EF-S1'!$E$45*1/'EF-S1'!$E$47,F80=$E$15,E80*I80*'EF-S1'!$D$39*1/'EF-S1'!$E$45),D80=$C$14,_xlfn.IFS(F80=$E$12,E80*I80*'EF-S1'!$C$40*1/'EF-S1'!$E$45,F80=$E$13,E80*I80*1/'EF-S1'!$E$45,F80=$E$14,E80*I80*'EF-S1'!$C$40*1/'EF-S1'!$E$45*1/'EF-S1'!$E$47,F80=$E$15,E80*I80*'EF-S1'!$D$40*1/'EF-S1'!$E$45),D80=$C$15,_xlfn.IFS(F80=$E$12,E80*I80*'EF-S1'!$C$41*1/'EF-S1'!$E$45,F80=$E$13,E80*I80*1/'EF-S1'!$E$45,F80=$E$14,E80*I80*'EF-S1'!$C$41*1/'EF-S1'!$E$45*1/'EF-S1'!$E$47,F80=$E$15,E80*I80*'EF-S1'!$D$41*1/'EF-S1'!$E$45))</f>
        <v>#N/A</v>
      </c>
      <c r="M80" s="155" t="e">
        <f t="shared" si="13"/>
        <v>#N/A</v>
      </c>
      <c r="N80" s="155" t="e">
        <f t="shared" si="14"/>
        <v>#N/A</v>
      </c>
      <c r="O80" s="155" t="e">
        <f t="shared" si="15"/>
        <v>#N/A</v>
      </c>
      <c r="P80" s="156">
        <f t="shared" si="7"/>
        <v>0</v>
      </c>
      <c r="T80" s="152"/>
      <c r="U80" s="157"/>
      <c r="V80" s="158"/>
      <c r="W80" s="159"/>
      <c r="X80" s="155" t="e" cm="1">
        <f t="array" ref="X80">+_xlfn.IFS(W80="km",VLOOKUP(U80,'EF-S1'!$J$10:$M$16,2,),W80="l",VLOOKUP(U80,'EF-S1'!$J$26:$M$29,2,))</f>
        <v>#N/A</v>
      </c>
      <c r="Y80" s="155" t="e" cm="1">
        <f t="array" ref="Y80">+_xlfn.IFS(W80="km",VLOOKUP(U80,'EF-S1'!$J$10:$M$16,3,),W80="l",VLOOKUP(U80,'EF-S1'!$J$26:$M$29,3,))</f>
        <v>#N/A</v>
      </c>
      <c r="Z80" s="155" t="e" cm="1">
        <f t="array" ref="Z80">+_xlfn.IFS(W80="km",VLOOKUP(U80,'EF-S1'!$J$10:$M$16,4,),W80="l",VLOOKUP(U80,'EF-S1'!$J$26:$M$29,4,))</f>
        <v>#N/A</v>
      </c>
      <c r="AA80" s="155" t="e">
        <f t="shared" si="17"/>
        <v>#N/A</v>
      </c>
      <c r="AB80" s="155" t="e">
        <f t="shared" si="18"/>
        <v>#N/A</v>
      </c>
      <c r="AC80" s="155" t="e">
        <f t="shared" si="19"/>
        <v>#N/A</v>
      </c>
      <c r="AD80" s="155" t="e">
        <f t="shared" si="20"/>
        <v>#N/A</v>
      </c>
      <c r="AE80" s="155" t="e">
        <f t="shared" si="21"/>
        <v>#N/A</v>
      </c>
      <c r="AF80" s="155" t="e">
        <f t="shared" si="22"/>
        <v>#N/A</v>
      </c>
      <c r="AG80" s="156">
        <f t="shared" si="11"/>
        <v>0</v>
      </c>
      <c r="AK80" s="152"/>
      <c r="AL80" s="160"/>
      <c r="AM80" s="158"/>
      <c r="AN80" s="159" t="s">
        <v>49</v>
      </c>
      <c r="AO80" s="155" t="e">
        <f>+VLOOKUP(AL80,'EF-S1'!$U$10:$V$24,2,)</f>
        <v>#N/A</v>
      </c>
      <c r="AP80" s="155" t="e">
        <f t="shared" si="16"/>
        <v>#N/A</v>
      </c>
      <c r="AQ80" s="156">
        <f t="shared" si="12"/>
        <v>0</v>
      </c>
    </row>
    <row r="81" spans="3:43" x14ac:dyDescent="0.7">
      <c r="C81" s="152"/>
      <c r="D81" s="137"/>
      <c r="E81" s="158"/>
      <c r="F81" s="154"/>
      <c r="G81" s="155" t="e" cm="1">
        <f t="array" ref="G81">+_xlfn.IFS($C$7=$D$12,VLOOKUP(D81,'EF-S1'!$B$10:$E$13,2,),$C$7=$D$13,VLOOKUP(D81,'EF-S1'!$B$17:$E$20,2,),$C$7=$D$14,VLOOKUP(D81,'EF-S1'!$B$24:$E$27,2,),$C$7=$D$15,VLOOKUP(D81,'EF-S1'!$B$31:$E$34,2,))</f>
        <v>#N/A</v>
      </c>
      <c r="H81" s="155" t="e" cm="1">
        <f t="array" ref="H81">+_xlfn.IFS($C$7=$D$12,VLOOKUP(D81,'EF-S1'!$B$10:$E$13,3,),$C$7=$D$13,VLOOKUP(D81,'EF-S1'!$B$17:$E$20,3,),$C$7=$D$14,VLOOKUP(D81,'EF-S1'!$B$24:$E$27,3,),$C$7=$D$15,VLOOKUP(D81,'EF-S1'!$B$31:$E$34,3,))</f>
        <v>#N/A</v>
      </c>
      <c r="I81" s="155" t="e" cm="1">
        <f t="array" ref="I81">+_xlfn.IFS($C$7=$D$12,VLOOKUP(D81,'EF-S1'!$B$10:$E$13,4,),$C$7=$D$13,VLOOKUP(D81,'EF-S1'!$B$17:$E$20,4,),$C$7=$D$14,VLOOKUP(D81,'EF-S1'!$B$24:$E$27,4,),$C$7=$D$15,VLOOKUP(D81,'EF-S1'!$B$31:$E$34,4,))</f>
        <v>#N/A</v>
      </c>
      <c r="J81" s="155" t="e" cm="1">
        <f t="array" ref="J81">+_xlfn.IFS(D81=$C$12,_xlfn.IFS(F81=$E$12,E81*G81*'EF-S1'!$C$38*1/'EF-S1'!$E$45,F81=$E$13,E81*G81*1/'EF-S1'!$E$45,F81=$E$14,E81*G81*'EF-S1'!$C$38*1/'EF-S1'!$E$45*1/'EF-S1'!$E$47,F81=$E$15,E81*G81*'EF-S1'!$D$38*1/'EF-S1'!$E$45),D81=$C$13,_xlfn.IFS(F81=$E$12,E81*G81*'EF-S1'!$C$39*1/'EF-S1'!$E$45,F81=$E$13,E81*G81*1/'EF-S1'!$E$45,F81=$E$14,E81*G81*'EF-S1'!$C$39*1/'EF-S1'!$E$45*1/'EF-S1'!$E$47,F81=$E$15,E81*G81*'EF-S1'!$D$39*1/'EF-S1'!$E$45),D81=$C$14,_xlfn.IFS(F81=$E$12,E81*G81*'EF-S1'!$C$40*1/'EF-S1'!$E$45,F81=$E$13,E81*G81*1/'EF-S1'!$E$45,F81=$E$14,E81*G81*'EF-S1'!$C$40*1/'EF-S1'!$E$45*1/'EF-S1'!$E$47,F81=$E$15,E81*G81*'EF-S1'!$D$40*1/'EF-S1'!$E$45),D81=$C$15,_xlfn.IFS(F81=$E$12,E81*G81*'EF-S1'!$C$41*1/'EF-S1'!$E$45,F81=$E$13,E81*G81*1/'EF-S1'!$E$45,F81=$E$14,E81*G81*'EF-S1'!$C$41*1/'EF-S1'!$E$45*1/'EF-S1'!$E$47,F81=$E$15,E81*G81*'EF-S1'!$D$41*1/'EF-S1'!$E$45))</f>
        <v>#N/A</v>
      </c>
      <c r="K81" s="155" t="e" cm="1">
        <f t="array" ref="K81">+_xlfn.IFS(D81=$C$12,_xlfn.IFS(F81=$E$12,E81*H81*'EF-S1'!$C$38*1/'EF-S1'!$E$45,F81=$E$13,E81*H81*1/'EF-S1'!$E$45,F81=$E$14,E81*H81*'EF-S1'!$C$38*1/'EF-S1'!$E$45*1/'EF-S1'!$E$47,F81=$E$15,E81*H81*'EF-S1'!$D$38*1/'EF-S1'!$E$45),D81=$C$13,_xlfn.IFS(F81=$E$12,E81*H81*'EF-S1'!$C$39*1/'EF-S1'!$E$45,F81=$E$13,E81*H81*1/'EF-S1'!$E$45,F81=$E$14,E81*H81*'EF-S1'!$C$39*1/'EF-S1'!$E$45*1/'EF-S1'!$E$47,F81=$E$15,E81*H81*'EF-S1'!$D$39*1/'EF-S1'!$E$45),D81=$C$14,_xlfn.IFS(F81=$E$12,E81*H81*'EF-S1'!$C$40*1/'EF-S1'!$E$45,F81=$E$13,E81*H81*1/'EF-S1'!$E$45,F81=$E$14,E81*H81*'EF-S1'!$C$40*1/'EF-S1'!$E$45*1/'EF-S1'!$E$47,F81=$E$15,E81*H81*'EF-S1'!$D$40*1/'EF-S1'!$E$45),D81=$C$15,_xlfn.IFS(F81=$E$12,E81*H81*'EF-S1'!$C$41*1/'EF-S1'!$E$45,F81=$E$13,E81*H81*1/'EF-S1'!$E$45,F81=$E$14,E81*H81*'EF-S1'!$C$41*1/'EF-S1'!$E$45*1/'EF-S1'!$E$47,F81=$E$15,E81*H81*'EF-S1'!$D$41*1/'EF-S1'!$E$45))</f>
        <v>#N/A</v>
      </c>
      <c r="L81" s="155" t="e" cm="1">
        <f t="array" ref="L81">+_xlfn.IFS(D81=$C$12,_xlfn.IFS(F81=$E$12,E81*I81*'EF-S1'!$C$38*1/'EF-S1'!$E$45,F81=$E$13,E81*I81*1/'EF-S1'!$E$45,F81=$E$14,E81*I81*'EF-S1'!$C$38*1/'EF-S1'!$E$45*1/'EF-S1'!$E$47,F81=$E$15,E81*I81*'EF-S1'!$D$38*1/'EF-S1'!$E$45),D81=$C$13,_xlfn.IFS(F81=$E$12,E81*I81*'EF-S1'!$C$39*1/'EF-S1'!$E$45,F81=$E$13,E81*I81*1/'EF-S1'!$E$45,F81=$E$14,E81*I81*'EF-S1'!$C$39*1/'EF-S1'!$E$45*1/'EF-S1'!$E$47,F81=$E$15,E81*I81*'EF-S1'!$D$39*1/'EF-S1'!$E$45),D81=$C$14,_xlfn.IFS(F81=$E$12,E81*I81*'EF-S1'!$C$40*1/'EF-S1'!$E$45,F81=$E$13,E81*I81*1/'EF-S1'!$E$45,F81=$E$14,E81*I81*'EF-S1'!$C$40*1/'EF-S1'!$E$45*1/'EF-S1'!$E$47,F81=$E$15,E81*I81*'EF-S1'!$D$40*1/'EF-S1'!$E$45),D81=$C$15,_xlfn.IFS(F81=$E$12,E81*I81*'EF-S1'!$C$41*1/'EF-S1'!$E$45,F81=$E$13,E81*I81*1/'EF-S1'!$E$45,F81=$E$14,E81*I81*'EF-S1'!$C$41*1/'EF-S1'!$E$45*1/'EF-S1'!$E$47,F81=$E$15,E81*I81*'EF-S1'!$D$41*1/'EF-S1'!$E$45))</f>
        <v>#N/A</v>
      </c>
      <c r="M81" s="155" t="e">
        <f t="shared" si="13"/>
        <v>#N/A</v>
      </c>
      <c r="N81" s="155" t="e">
        <f t="shared" si="14"/>
        <v>#N/A</v>
      </c>
      <c r="O81" s="155" t="e">
        <f t="shared" si="15"/>
        <v>#N/A</v>
      </c>
      <c r="P81" s="156">
        <f t="shared" si="7"/>
        <v>0</v>
      </c>
      <c r="T81" s="152"/>
      <c r="U81" s="157"/>
      <c r="V81" s="158"/>
      <c r="W81" s="159"/>
      <c r="X81" s="155" t="e" cm="1">
        <f t="array" ref="X81">+_xlfn.IFS(W81="km",VLOOKUP(U81,'EF-S1'!$J$10:$M$16,2,),W81="l",VLOOKUP(U81,'EF-S1'!$J$26:$M$29,2,))</f>
        <v>#N/A</v>
      </c>
      <c r="Y81" s="155" t="e" cm="1">
        <f t="array" ref="Y81">+_xlfn.IFS(W81="km",VLOOKUP(U81,'EF-S1'!$J$10:$M$16,3,),W81="l",VLOOKUP(U81,'EF-S1'!$J$26:$M$29,3,))</f>
        <v>#N/A</v>
      </c>
      <c r="Z81" s="155" t="e" cm="1">
        <f t="array" ref="Z81">+_xlfn.IFS(W81="km",VLOOKUP(U81,'EF-S1'!$J$10:$M$16,4,),W81="l",VLOOKUP(U81,'EF-S1'!$J$26:$M$29,4,))</f>
        <v>#N/A</v>
      </c>
      <c r="AA81" s="155" t="e">
        <f t="shared" si="17"/>
        <v>#N/A</v>
      </c>
      <c r="AB81" s="155" t="e">
        <f t="shared" si="18"/>
        <v>#N/A</v>
      </c>
      <c r="AC81" s="155" t="e">
        <f t="shared" si="19"/>
        <v>#N/A</v>
      </c>
      <c r="AD81" s="155" t="e">
        <f t="shared" si="20"/>
        <v>#N/A</v>
      </c>
      <c r="AE81" s="155" t="e">
        <f t="shared" si="21"/>
        <v>#N/A</v>
      </c>
      <c r="AF81" s="155" t="e">
        <f t="shared" si="22"/>
        <v>#N/A</v>
      </c>
      <c r="AG81" s="156">
        <f t="shared" si="11"/>
        <v>0</v>
      </c>
      <c r="AK81" s="152"/>
      <c r="AL81" s="160"/>
      <c r="AM81" s="158"/>
      <c r="AN81" s="159" t="s">
        <v>49</v>
      </c>
      <c r="AO81" s="155" t="e">
        <f>+VLOOKUP(AL81,'EF-S1'!$U$10:$V$24,2,)</f>
        <v>#N/A</v>
      </c>
      <c r="AP81" s="155" t="e">
        <f t="shared" si="16"/>
        <v>#N/A</v>
      </c>
      <c r="AQ81" s="156">
        <f t="shared" si="12"/>
        <v>0</v>
      </c>
    </row>
    <row r="82" spans="3:43" x14ac:dyDescent="0.7">
      <c r="C82" s="152"/>
      <c r="D82" s="137"/>
      <c r="E82" s="158"/>
      <c r="F82" s="154"/>
      <c r="G82" s="155" t="e" cm="1">
        <f t="array" ref="G82">+_xlfn.IFS($C$7=$D$12,VLOOKUP(D82,'EF-S1'!$B$10:$E$13,2,),$C$7=$D$13,VLOOKUP(D82,'EF-S1'!$B$17:$E$20,2,),$C$7=$D$14,VLOOKUP(D82,'EF-S1'!$B$24:$E$27,2,),$C$7=$D$15,VLOOKUP(D82,'EF-S1'!$B$31:$E$34,2,))</f>
        <v>#N/A</v>
      </c>
      <c r="H82" s="155" t="e" cm="1">
        <f t="array" ref="H82">+_xlfn.IFS($C$7=$D$12,VLOOKUP(D82,'EF-S1'!$B$10:$E$13,3,),$C$7=$D$13,VLOOKUP(D82,'EF-S1'!$B$17:$E$20,3,),$C$7=$D$14,VLOOKUP(D82,'EF-S1'!$B$24:$E$27,3,),$C$7=$D$15,VLOOKUP(D82,'EF-S1'!$B$31:$E$34,3,))</f>
        <v>#N/A</v>
      </c>
      <c r="I82" s="155" t="e" cm="1">
        <f t="array" ref="I82">+_xlfn.IFS($C$7=$D$12,VLOOKUP(D82,'EF-S1'!$B$10:$E$13,4,),$C$7=$D$13,VLOOKUP(D82,'EF-S1'!$B$17:$E$20,4,),$C$7=$D$14,VLOOKUP(D82,'EF-S1'!$B$24:$E$27,4,),$C$7=$D$15,VLOOKUP(D82,'EF-S1'!$B$31:$E$34,4,))</f>
        <v>#N/A</v>
      </c>
      <c r="J82" s="155" t="e" cm="1">
        <f t="array" ref="J82">+_xlfn.IFS(D82=$C$12,_xlfn.IFS(F82=$E$12,E82*G82*'EF-S1'!$C$38*1/'EF-S1'!$E$45,F82=$E$13,E82*G82*1/'EF-S1'!$E$45,F82=$E$14,E82*G82*'EF-S1'!$C$38*1/'EF-S1'!$E$45*1/'EF-S1'!$E$47,F82=$E$15,E82*G82*'EF-S1'!$D$38*1/'EF-S1'!$E$45),D82=$C$13,_xlfn.IFS(F82=$E$12,E82*G82*'EF-S1'!$C$39*1/'EF-S1'!$E$45,F82=$E$13,E82*G82*1/'EF-S1'!$E$45,F82=$E$14,E82*G82*'EF-S1'!$C$39*1/'EF-S1'!$E$45*1/'EF-S1'!$E$47,F82=$E$15,E82*G82*'EF-S1'!$D$39*1/'EF-S1'!$E$45),D82=$C$14,_xlfn.IFS(F82=$E$12,E82*G82*'EF-S1'!$C$40*1/'EF-S1'!$E$45,F82=$E$13,E82*G82*1/'EF-S1'!$E$45,F82=$E$14,E82*G82*'EF-S1'!$C$40*1/'EF-S1'!$E$45*1/'EF-S1'!$E$47,F82=$E$15,E82*G82*'EF-S1'!$D$40*1/'EF-S1'!$E$45),D82=$C$15,_xlfn.IFS(F82=$E$12,E82*G82*'EF-S1'!$C$41*1/'EF-S1'!$E$45,F82=$E$13,E82*G82*1/'EF-S1'!$E$45,F82=$E$14,E82*G82*'EF-S1'!$C$41*1/'EF-S1'!$E$45*1/'EF-S1'!$E$47,F82=$E$15,E82*G82*'EF-S1'!$D$41*1/'EF-S1'!$E$45))</f>
        <v>#N/A</v>
      </c>
      <c r="K82" s="155" t="e" cm="1">
        <f t="array" ref="K82">+_xlfn.IFS(D82=$C$12,_xlfn.IFS(F82=$E$12,E82*H82*'EF-S1'!$C$38*1/'EF-S1'!$E$45,F82=$E$13,E82*H82*1/'EF-S1'!$E$45,F82=$E$14,E82*H82*'EF-S1'!$C$38*1/'EF-S1'!$E$45*1/'EF-S1'!$E$47,F82=$E$15,E82*H82*'EF-S1'!$D$38*1/'EF-S1'!$E$45),D82=$C$13,_xlfn.IFS(F82=$E$12,E82*H82*'EF-S1'!$C$39*1/'EF-S1'!$E$45,F82=$E$13,E82*H82*1/'EF-S1'!$E$45,F82=$E$14,E82*H82*'EF-S1'!$C$39*1/'EF-S1'!$E$45*1/'EF-S1'!$E$47,F82=$E$15,E82*H82*'EF-S1'!$D$39*1/'EF-S1'!$E$45),D82=$C$14,_xlfn.IFS(F82=$E$12,E82*H82*'EF-S1'!$C$40*1/'EF-S1'!$E$45,F82=$E$13,E82*H82*1/'EF-S1'!$E$45,F82=$E$14,E82*H82*'EF-S1'!$C$40*1/'EF-S1'!$E$45*1/'EF-S1'!$E$47,F82=$E$15,E82*H82*'EF-S1'!$D$40*1/'EF-S1'!$E$45),D82=$C$15,_xlfn.IFS(F82=$E$12,E82*H82*'EF-S1'!$C$41*1/'EF-S1'!$E$45,F82=$E$13,E82*H82*1/'EF-S1'!$E$45,F82=$E$14,E82*H82*'EF-S1'!$C$41*1/'EF-S1'!$E$45*1/'EF-S1'!$E$47,F82=$E$15,E82*H82*'EF-S1'!$D$41*1/'EF-S1'!$E$45))</f>
        <v>#N/A</v>
      </c>
      <c r="L82" s="155" t="e" cm="1">
        <f t="array" ref="L82">+_xlfn.IFS(D82=$C$12,_xlfn.IFS(F82=$E$12,E82*I82*'EF-S1'!$C$38*1/'EF-S1'!$E$45,F82=$E$13,E82*I82*1/'EF-S1'!$E$45,F82=$E$14,E82*I82*'EF-S1'!$C$38*1/'EF-S1'!$E$45*1/'EF-S1'!$E$47,F82=$E$15,E82*I82*'EF-S1'!$D$38*1/'EF-S1'!$E$45),D82=$C$13,_xlfn.IFS(F82=$E$12,E82*I82*'EF-S1'!$C$39*1/'EF-S1'!$E$45,F82=$E$13,E82*I82*1/'EF-S1'!$E$45,F82=$E$14,E82*I82*'EF-S1'!$C$39*1/'EF-S1'!$E$45*1/'EF-S1'!$E$47,F82=$E$15,E82*I82*'EF-S1'!$D$39*1/'EF-S1'!$E$45),D82=$C$14,_xlfn.IFS(F82=$E$12,E82*I82*'EF-S1'!$C$40*1/'EF-S1'!$E$45,F82=$E$13,E82*I82*1/'EF-S1'!$E$45,F82=$E$14,E82*I82*'EF-S1'!$C$40*1/'EF-S1'!$E$45*1/'EF-S1'!$E$47,F82=$E$15,E82*I82*'EF-S1'!$D$40*1/'EF-S1'!$E$45),D82=$C$15,_xlfn.IFS(F82=$E$12,E82*I82*'EF-S1'!$C$41*1/'EF-S1'!$E$45,F82=$E$13,E82*I82*1/'EF-S1'!$E$45,F82=$E$14,E82*I82*'EF-S1'!$C$41*1/'EF-S1'!$E$45*1/'EF-S1'!$E$47,F82=$E$15,E82*I82*'EF-S1'!$D$41*1/'EF-S1'!$E$45))</f>
        <v>#N/A</v>
      </c>
      <c r="M82" s="155" t="e">
        <f t="shared" si="13"/>
        <v>#N/A</v>
      </c>
      <c r="N82" s="155" t="e">
        <f t="shared" si="14"/>
        <v>#N/A</v>
      </c>
      <c r="O82" s="155" t="e">
        <f t="shared" si="15"/>
        <v>#N/A</v>
      </c>
      <c r="P82" s="156">
        <f t="shared" si="7"/>
        <v>0</v>
      </c>
      <c r="T82" s="152"/>
      <c r="U82" s="157"/>
      <c r="V82" s="158"/>
      <c r="W82" s="159"/>
      <c r="X82" s="155" t="e" cm="1">
        <f t="array" ref="X82">+_xlfn.IFS(W82="km",VLOOKUP(U82,'EF-S1'!$J$10:$M$16,2,),W82="l",VLOOKUP(U82,'EF-S1'!$J$26:$M$29,2,))</f>
        <v>#N/A</v>
      </c>
      <c r="Y82" s="155" t="e" cm="1">
        <f t="array" ref="Y82">+_xlfn.IFS(W82="km",VLOOKUP(U82,'EF-S1'!$J$10:$M$16,3,),W82="l",VLOOKUP(U82,'EF-S1'!$J$26:$M$29,3,))</f>
        <v>#N/A</v>
      </c>
      <c r="Z82" s="155" t="e" cm="1">
        <f t="array" ref="Z82">+_xlfn.IFS(W82="km",VLOOKUP(U82,'EF-S1'!$J$10:$M$16,4,),W82="l",VLOOKUP(U82,'EF-S1'!$J$26:$M$29,4,))</f>
        <v>#N/A</v>
      </c>
      <c r="AA82" s="155" t="e">
        <f t="shared" si="17"/>
        <v>#N/A</v>
      </c>
      <c r="AB82" s="155" t="e">
        <f t="shared" si="18"/>
        <v>#N/A</v>
      </c>
      <c r="AC82" s="155" t="e">
        <f t="shared" si="19"/>
        <v>#N/A</v>
      </c>
      <c r="AD82" s="155" t="e">
        <f t="shared" si="20"/>
        <v>#N/A</v>
      </c>
      <c r="AE82" s="155" t="e">
        <f t="shared" si="21"/>
        <v>#N/A</v>
      </c>
      <c r="AF82" s="155" t="e">
        <f t="shared" si="22"/>
        <v>#N/A</v>
      </c>
      <c r="AG82" s="156">
        <f t="shared" si="11"/>
        <v>0</v>
      </c>
      <c r="AK82" s="152"/>
      <c r="AL82" s="160"/>
      <c r="AM82" s="158"/>
      <c r="AN82" s="159" t="s">
        <v>49</v>
      </c>
      <c r="AO82" s="155" t="e">
        <f>+VLOOKUP(AL82,'EF-S1'!$U$10:$V$24,2,)</f>
        <v>#N/A</v>
      </c>
      <c r="AP82" s="155" t="e">
        <f t="shared" si="16"/>
        <v>#N/A</v>
      </c>
      <c r="AQ82" s="156">
        <f t="shared" si="12"/>
        <v>0</v>
      </c>
    </row>
    <row r="83" spans="3:43" x14ac:dyDescent="0.7">
      <c r="C83" s="152"/>
      <c r="D83" s="137"/>
      <c r="E83" s="158"/>
      <c r="F83" s="154"/>
      <c r="G83" s="155" t="e" cm="1">
        <f t="array" ref="G83">+_xlfn.IFS($C$7=$D$12,VLOOKUP(D83,'EF-S1'!$B$10:$E$13,2,),$C$7=$D$13,VLOOKUP(D83,'EF-S1'!$B$17:$E$20,2,),$C$7=$D$14,VLOOKUP(D83,'EF-S1'!$B$24:$E$27,2,),$C$7=$D$15,VLOOKUP(D83,'EF-S1'!$B$31:$E$34,2,))</f>
        <v>#N/A</v>
      </c>
      <c r="H83" s="155" t="e" cm="1">
        <f t="array" ref="H83">+_xlfn.IFS($C$7=$D$12,VLOOKUP(D83,'EF-S1'!$B$10:$E$13,3,),$C$7=$D$13,VLOOKUP(D83,'EF-S1'!$B$17:$E$20,3,),$C$7=$D$14,VLOOKUP(D83,'EF-S1'!$B$24:$E$27,3,),$C$7=$D$15,VLOOKUP(D83,'EF-S1'!$B$31:$E$34,3,))</f>
        <v>#N/A</v>
      </c>
      <c r="I83" s="155" t="e" cm="1">
        <f t="array" ref="I83">+_xlfn.IFS($C$7=$D$12,VLOOKUP(D83,'EF-S1'!$B$10:$E$13,4,),$C$7=$D$13,VLOOKUP(D83,'EF-S1'!$B$17:$E$20,4,),$C$7=$D$14,VLOOKUP(D83,'EF-S1'!$B$24:$E$27,4,),$C$7=$D$15,VLOOKUP(D83,'EF-S1'!$B$31:$E$34,4,))</f>
        <v>#N/A</v>
      </c>
      <c r="J83" s="155" t="e" cm="1">
        <f t="array" ref="J83">+_xlfn.IFS(D83=$C$12,_xlfn.IFS(F83=$E$12,E83*G83*'EF-S1'!$C$38*1/'EF-S1'!$E$45,F83=$E$13,E83*G83*1/'EF-S1'!$E$45,F83=$E$14,E83*G83*'EF-S1'!$C$38*1/'EF-S1'!$E$45*1/'EF-S1'!$E$47,F83=$E$15,E83*G83*'EF-S1'!$D$38*1/'EF-S1'!$E$45),D83=$C$13,_xlfn.IFS(F83=$E$12,E83*G83*'EF-S1'!$C$39*1/'EF-S1'!$E$45,F83=$E$13,E83*G83*1/'EF-S1'!$E$45,F83=$E$14,E83*G83*'EF-S1'!$C$39*1/'EF-S1'!$E$45*1/'EF-S1'!$E$47,F83=$E$15,E83*G83*'EF-S1'!$D$39*1/'EF-S1'!$E$45),D83=$C$14,_xlfn.IFS(F83=$E$12,E83*G83*'EF-S1'!$C$40*1/'EF-S1'!$E$45,F83=$E$13,E83*G83*1/'EF-S1'!$E$45,F83=$E$14,E83*G83*'EF-S1'!$C$40*1/'EF-S1'!$E$45*1/'EF-S1'!$E$47,F83=$E$15,E83*G83*'EF-S1'!$D$40*1/'EF-S1'!$E$45),D83=$C$15,_xlfn.IFS(F83=$E$12,E83*G83*'EF-S1'!$C$41*1/'EF-S1'!$E$45,F83=$E$13,E83*G83*1/'EF-S1'!$E$45,F83=$E$14,E83*G83*'EF-S1'!$C$41*1/'EF-S1'!$E$45*1/'EF-S1'!$E$47,F83=$E$15,E83*G83*'EF-S1'!$D$41*1/'EF-S1'!$E$45))</f>
        <v>#N/A</v>
      </c>
      <c r="K83" s="155" t="e" cm="1">
        <f t="array" ref="K83">+_xlfn.IFS(D83=$C$12,_xlfn.IFS(F83=$E$12,E83*H83*'EF-S1'!$C$38*1/'EF-S1'!$E$45,F83=$E$13,E83*H83*1/'EF-S1'!$E$45,F83=$E$14,E83*H83*'EF-S1'!$C$38*1/'EF-S1'!$E$45*1/'EF-S1'!$E$47,F83=$E$15,E83*H83*'EF-S1'!$D$38*1/'EF-S1'!$E$45),D83=$C$13,_xlfn.IFS(F83=$E$12,E83*H83*'EF-S1'!$C$39*1/'EF-S1'!$E$45,F83=$E$13,E83*H83*1/'EF-S1'!$E$45,F83=$E$14,E83*H83*'EF-S1'!$C$39*1/'EF-S1'!$E$45*1/'EF-S1'!$E$47,F83=$E$15,E83*H83*'EF-S1'!$D$39*1/'EF-S1'!$E$45),D83=$C$14,_xlfn.IFS(F83=$E$12,E83*H83*'EF-S1'!$C$40*1/'EF-S1'!$E$45,F83=$E$13,E83*H83*1/'EF-S1'!$E$45,F83=$E$14,E83*H83*'EF-S1'!$C$40*1/'EF-S1'!$E$45*1/'EF-S1'!$E$47,F83=$E$15,E83*H83*'EF-S1'!$D$40*1/'EF-S1'!$E$45),D83=$C$15,_xlfn.IFS(F83=$E$12,E83*H83*'EF-S1'!$C$41*1/'EF-S1'!$E$45,F83=$E$13,E83*H83*1/'EF-S1'!$E$45,F83=$E$14,E83*H83*'EF-S1'!$C$41*1/'EF-S1'!$E$45*1/'EF-S1'!$E$47,F83=$E$15,E83*H83*'EF-S1'!$D$41*1/'EF-S1'!$E$45))</f>
        <v>#N/A</v>
      </c>
      <c r="L83" s="155" t="e" cm="1">
        <f t="array" ref="L83">+_xlfn.IFS(D83=$C$12,_xlfn.IFS(F83=$E$12,E83*I83*'EF-S1'!$C$38*1/'EF-S1'!$E$45,F83=$E$13,E83*I83*1/'EF-S1'!$E$45,F83=$E$14,E83*I83*'EF-S1'!$C$38*1/'EF-S1'!$E$45*1/'EF-S1'!$E$47,F83=$E$15,E83*I83*'EF-S1'!$D$38*1/'EF-S1'!$E$45),D83=$C$13,_xlfn.IFS(F83=$E$12,E83*I83*'EF-S1'!$C$39*1/'EF-S1'!$E$45,F83=$E$13,E83*I83*1/'EF-S1'!$E$45,F83=$E$14,E83*I83*'EF-S1'!$C$39*1/'EF-S1'!$E$45*1/'EF-S1'!$E$47,F83=$E$15,E83*I83*'EF-S1'!$D$39*1/'EF-S1'!$E$45),D83=$C$14,_xlfn.IFS(F83=$E$12,E83*I83*'EF-S1'!$C$40*1/'EF-S1'!$E$45,F83=$E$13,E83*I83*1/'EF-S1'!$E$45,F83=$E$14,E83*I83*'EF-S1'!$C$40*1/'EF-S1'!$E$45*1/'EF-S1'!$E$47,F83=$E$15,E83*I83*'EF-S1'!$D$40*1/'EF-S1'!$E$45),D83=$C$15,_xlfn.IFS(F83=$E$12,E83*I83*'EF-S1'!$C$41*1/'EF-S1'!$E$45,F83=$E$13,E83*I83*1/'EF-S1'!$E$45,F83=$E$14,E83*I83*'EF-S1'!$C$41*1/'EF-S1'!$E$45*1/'EF-S1'!$E$47,F83=$E$15,E83*I83*'EF-S1'!$D$41*1/'EF-S1'!$E$45))</f>
        <v>#N/A</v>
      </c>
      <c r="M83" s="155" t="e">
        <f t="shared" si="13"/>
        <v>#N/A</v>
      </c>
      <c r="N83" s="155" t="e">
        <f t="shared" si="14"/>
        <v>#N/A</v>
      </c>
      <c r="O83" s="155" t="e">
        <f t="shared" si="15"/>
        <v>#N/A</v>
      </c>
      <c r="P83" s="156">
        <f t="shared" si="7"/>
        <v>0</v>
      </c>
      <c r="T83" s="152"/>
      <c r="U83" s="157"/>
      <c r="V83" s="158"/>
      <c r="W83" s="159"/>
      <c r="X83" s="155" t="e" cm="1">
        <f t="array" ref="X83">+_xlfn.IFS(W83="km",VLOOKUP(U83,'EF-S1'!$J$10:$M$16,2,),W83="l",VLOOKUP(U83,'EF-S1'!$J$26:$M$29,2,))</f>
        <v>#N/A</v>
      </c>
      <c r="Y83" s="155" t="e" cm="1">
        <f t="array" ref="Y83">+_xlfn.IFS(W83="km",VLOOKUP(U83,'EF-S1'!$J$10:$M$16,3,),W83="l",VLOOKUP(U83,'EF-S1'!$J$26:$M$29,3,))</f>
        <v>#N/A</v>
      </c>
      <c r="Z83" s="155" t="e" cm="1">
        <f t="array" ref="Z83">+_xlfn.IFS(W83="km",VLOOKUP(U83,'EF-S1'!$J$10:$M$16,4,),W83="l",VLOOKUP(U83,'EF-S1'!$J$26:$M$29,4,))</f>
        <v>#N/A</v>
      </c>
      <c r="AA83" s="155" t="e">
        <f t="shared" si="17"/>
        <v>#N/A</v>
      </c>
      <c r="AB83" s="155" t="e">
        <f t="shared" si="18"/>
        <v>#N/A</v>
      </c>
      <c r="AC83" s="155" t="e">
        <f t="shared" si="19"/>
        <v>#N/A</v>
      </c>
      <c r="AD83" s="155" t="e">
        <f t="shared" si="20"/>
        <v>#N/A</v>
      </c>
      <c r="AE83" s="155" t="e">
        <f t="shared" si="21"/>
        <v>#N/A</v>
      </c>
      <c r="AF83" s="155" t="e">
        <f t="shared" si="22"/>
        <v>#N/A</v>
      </c>
      <c r="AG83" s="156">
        <f t="shared" si="11"/>
        <v>0</v>
      </c>
      <c r="AK83" s="152"/>
      <c r="AL83" s="160"/>
      <c r="AM83" s="158"/>
      <c r="AN83" s="159" t="s">
        <v>49</v>
      </c>
      <c r="AO83" s="155" t="e">
        <f>+VLOOKUP(AL83,'EF-S1'!$U$10:$V$24,2,)</f>
        <v>#N/A</v>
      </c>
      <c r="AP83" s="155" t="e">
        <f t="shared" si="16"/>
        <v>#N/A</v>
      </c>
      <c r="AQ83" s="156">
        <f t="shared" si="12"/>
        <v>0</v>
      </c>
    </row>
    <row r="84" spans="3:43" x14ac:dyDescent="0.7">
      <c r="C84" s="152"/>
      <c r="D84" s="137"/>
      <c r="E84" s="158"/>
      <c r="F84" s="154"/>
      <c r="G84" s="155" t="e" cm="1">
        <f t="array" ref="G84">+_xlfn.IFS($C$7=$D$12,VLOOKUP(D84,'EF-S1'!$B$10:$E$13,2,),$C$7=$D$13,VLOOKUP(D84,'EF-S1'!$B$17:$E$20,2,),$C$7=$D$14,VLOOKUP(D84,'EF-S1'!$B$24:$E$27,2,),$C$7=$D$15,VLOOKUP(D84,'EF-S1'!$B$31:$E$34,2,))</f>
        <v>#N/A</v>
      </c>
      <c r="H84" s="155" t="e" cm="1">
        <f t="array" ref="H84">+_xlfn.IFS($C$7=$D$12,VLOOKUP(D84,'EF-S1'!$B$10:$E$13,3,),$C$7=$D$13,VLOOKUP(D84,'EF-S1'!$B$17:$E$20,3,),$C$7=$D$14,VLOOKUP(D84,'EF-S1'!$B$24:$E$27,3,),$C$7=$D$15,VLOOKUP(D84,'EF-S1'!$B$31:$E$34,3,))</f>
        <v>#N/A</v>
      </c>
      <c r="I84" s="155" t="e" cm="1">
        <f t="array" ref="I84">+_xlfn.IFS($C$7=$D$12,VLOOKUP(D84,'EF-S1'!$B$10:$E$13,4,),$C$7=$D$13,VLOOKUP(D84,'EF-S1'!$B$17:$E$20,4,),$C$7=$D$14,VLOOKUP(D84,'EF-S1'!$B$24:$E$27,4,),$C$7=$D$15,VLOOKUP(D84,'EF-S1'!$B$31:$E$34,4,))</f>
        <v>#N/A</v>
      </c>
      <c r="J84" s="155" t="e" cm="1">
        <f t="array" ref="J84">+_xlfn.IFS(D84=$C$12,_xlfn.IFS(F84=$E$12,E84*G84*'EF-S1'!$C$38*1/'EF-S1'!$E$45,F84=$E$13,E84*G84*1/'EF-S1'!$E$45,F84=$E$14,E84*G84*'EF-S1'!$C$38*1/'EF-S1'!$E$45*1/'EF-S1'!$E$47,F84=$E$15,E84*G84*'EF-S1'!$D$38*1/'EF-S1'!$E$45),D84=$C$13,_xlfn.IFS(F84=$E$12,E84*G84*'EF-S1'!$C$39*1/'EF-S1'!$E$45,F84=$E$13,E84*G84*1/'EF-S1'!$E$45,F84=$E$14,E84*G84*'EF-S1'!$C$39*1/'EF-S1'!$E$45*1/'EF-S1'!$E$47,F84=$E$15,E84*G84*'EF-S1'!$D$39*1/'EF-S1'!$E$45),D84=$C$14,_xlfn.IFS(F84=$E$12,E84*G84*'EF-S1'!$C$40*1/'EF-S1'!$E$45,F84=$E$13,E84*G84*1/'EF-S1'!$E$45,F84=$E$14,E84*G84*'EF-S1'!$C$40*1/'EF-S1'!$E$45*1/'EF-S1'!$E$47,F84=$E$15,E84*G84*'EF-S1'!$D$40*1/'EF-S1'!$E$45),D84=$C$15,_xlfn.IFS(F84=$E$12,E84*G84*'EF-S1'!$C$41*1/'EF-S1'!$E$45,F84=$E$13,E84*G84*1/'EF-S1'!$E$45,F84=$E$14,E84*G84*'EF-S1'!$C$41*1/'EF-S1'!$E$45*1/'EF-S1'!$E$47,F84=$E$15,E84*G84*'EF-S1'!$D$41*1/'EF-S1'!$E$45))</f>
        <v>#N/A</v>
      </c>
      <c r="K84" s="155" t="e" cm="1">
        <f t="array" ref="K84">+_xlfn.IFS(D84=$C$12,_xlfn.IFS(F84=$E$12,E84*H84*'EF-S1'!$C$38*1/'EF-S1'!$E$45,F84=$E$13,E84*H84*1/'EF-S1'!$E$45,F84=$E$14,E84*H84*'EF-S1'!$C$38*1/'EF-S1'!$E$45*1/'EF-S1'!$E$47,F84=$E$15,E84*H84*'EF-S1'!$D$38*1/'EF-S1'!$E$45),D84=$C$13,_xlfn.IFS(F84=$E$12,E84*H84*'EF-S1'!$C$39*1/'EF-S1'!$E$45,F84=$E$13,E84*H84*1/'EF-S1'!$E$45,F84=$E$14,E84*H84*'EF-S1'!$C$39*1/'EF-S1'!$E$45*1/'EF-S1'!$E$47,F84=$E$15,E84*H84*'EF-S1'!$D$39*1/'EF-S1'!$E$45),D84=$C$14,_xlfn.IFS(F84=$E$12,E84*H84*'EF-S1'!$C$40*1/'EF-S1'!$E$45,F84=$E$13,E84*H84*1/'EF-S1'!$E$45,F84=$E$14,E84*H84*'EF-S1'!$C$40*1/'EF-S1'!$E$45*1/'EF-S1'!$E$47,F84=$E$15,E84*H84*'EF-S1'!$D$40*1/'EF-S1'!$E$45),D84=$C$15,_xlfn.IFS(F84=$E$12,E84*H84*'EF-S1'!$C$41*1/'EF-S1'!$E$45,F84=$E$13,E84*H84*1/'EF-S1'!$E$45,F84=$E$14,E84*H84*'EF-S1'!$C$41*1/'EF-S1'!$E$45*1/'EF-S1'!$E$47,F84=$E$15,E84*H84*'EF-S1'!$D$41*1/'EF-S1'!$E$45))</f>
        <v>#N/A</v>
      </c>
      <c r="L84" s="155" t="e" cm="1">
        <f t="array" ref="L84">+_xlfn.IFS(D84=$C$12,_xlfn.IFS(F84=$E$12,E84*I84*'EF-S1'!$C$38*1/'EF-S1'!$E$45,F84=$E$13,E84*I84*1/'EF-S1'!$E$45,F84=$E$14,E84*I84*'EF-S1'!$C$38*1/'EF-S1'!$E$45*1/'EF-S1'!$E$47,F84=$E$15,E84*I84*'EF-S1'!$D$38*1/'EF-S1'!$E$45),D84=$C$13,_xlfn.IFS(F84=$E$12,E84*I84*'EF-S1'!$C$39*1/'EF-S1'!$E$45,F84=$E$13,E84*I84*1/'EF-S1'!$E$45,F84=$E$14,E84*I84*'EF-S1'!$C$39*1/'EF-S1'!$E$45*1/'EF-S1'!$E$47,F84=$E$15,E84*I84*'EF-S1'!$D$39*1/'EF-S1'!$E$45),D84=$C$14,_xlfn.IFS(F84=$E$12,E84*I84*'EF-S1'!$C$40*1/'EF-S1'!$E$45,F84=$E$13,E84*I84*1/'EF-S1'!$E$45,F84=$E$14,E84*I84*'EF-S1'!$C$40*1/'EF-S1'!$E$45*1/'EF-S1'!$E$47,F84=$E$15,E84*I84*'EF-S1'!$D$40*1/'EF-S1'!$E$45),D84=$C$15,_xlfn.IFS(F84=$E$12,E84*I84*'EF-S1'!$C$41*1/'EF-S1'!$E$45,F84=$E$13,E84*I84*1/'EF-S1'!$E$45,F84=$E$14,E84*I84*'EF-S1'!$C$41*1/'EF-S1'!$E$45*1/'EF-S1'!$E$47,F84=$E$15,E84*I84*'EF-S1'!$D$41*1/'EF-S1'!$E$45))</f>
        <v>#N/A</v>
      </c>
      <c r="M84" s="155" t="e">
        <f t="shared" si="13"/>
        <v>#N/A</v>
      </c>
      <c r="N84" s="155" t="e">
        <f t="shared" si="14"/>
        <v>#N/A</v>
      </c>
      <c r="O84" s="155" t="e">
        <f t="shared" si="15"/>
        <v>#N/A</v>
      </c>
      <c r="P84" s="156">
        <f t="shared" si="7"/>
        <v>0</v>
      </c>
      <c r="T84" s="152"/>
      <c r="U84" s="157"/>
      <c r="V84" s="158"/>
      <c r="W84" s="159"/>
      <c r="X84" s="155" t="e" cm="1">
        <f t="array" ref="X84">+_xlfn.IFS(W84="km",VLOOKUP(U84,'EF-S1'!$J$10:$M$16,2,),W84="l",VLOOKUP(U84,'EF-S1'!$J$26:$M$29,2,))</f>
        <v>#N/A</v>
      </c>
      <c r="Y84" s="155" t="e" cm="1">
        <f t="array" ref="Y84">+_xlfn.IFS(W84="km",VLOOKUP(U84,'EF-S1'!$J$10:$M$16,3,),W84="l",VLOOKUP(U84,'EF-S1'!$J$26:$M$29,3,))</f>
        <v>#N/A</v>
      </c>
      <c r="Z84" s="155" t="e" cm="1">
        <f t="array" ref="Z84">+_xlfn.IFS(W84="km",VLOOKUP(U84,'EF-S1'!$J$10:$M$16,4,),W84="l",VLOOKUP(U84,'EF-S1'!$J$26:$M$29,4,))</f>
        <v>#N/A</v>
      </c>
      <c r="AA84" s="155" t="e">
        <f t="shared" si="17"/>
        <v>#N/A</v>
      </c>
      <c r="AB84" s="155" t="e">
        <f t="shared" si="18"/>
        <v>#N/A</v>
      </c>
      <c r="AC84" s="155" t="e">
        <f t="shared" si="19"/>
        <v>#N/A</v>
      </c>
      <c r="AD84" s="155" t="e">
        <f t="shared" si="20"/>
        <v>#N/A</v>
      </c>
      <c r="AE84" s="155" t="e">
        <f t="shared" si="21"/>
        <v>#N/A</v>
      </c>
      <c r="AF84" s="155" t="e">
        <f t="shared" si="22"/>
        <v>#N/A</v>
      </c>
      <c r="AG84" s="156">
        <f t="shared" si="11"/>
        <v>0</v>
      </c>
      <c r="AK84" s="152"/>
      <c r="AL84" s="160"/>
      <c r="AM84" s="158"/>
      <c r="AN84" s="159" t="s">
        <v>49</v>
      </c>
      <c r="AO84" s="155" t="e">
        <f>+VLOOKUP(AL84,'EF-S1'!$U$10:$V$24,2,)</f>
        <v>#N/A</v>
      </c>
      <c r="AP84" s="155" t="e">
        <f t="shared" si="16"/>
        <v>#N/A</v>
      </c>
      <c r="AQ84" s="156">
        <f t="shared" si="12"/>
        <v>0</v>
      </c>
    </row>
    <row r="85" spans="3:43" x14ac:dyDescent="0.7">
      <c r="C85" s="152"/>
      <c r="D85" s="137"/>
      <c r="E85" s="158"/>
      <c r="F85" s="154"/>
      <c r="G85" s="155" t="e" cm="1">
        <f t="array" ref="G85">+_xlfn.IFS($C$7=$D$12,VLOOKUP(D85,'EF-S1'!$B$10:$E$13,2,),$C$7=$D$13,VLOOKUP(D85,'EF-S1'!$B$17:$E$20,2,),$C$7=$D$14,VLOOKUP(D85,'EF-S1'!$B$24:$E$27,2,),$C$7=$D$15,VLOOKUP(D85,'EF-S1'!$B$31:$E$34,2,))</f>
        <v>#N/A</v>
      </c>
      <c r="H85" s="155" t="e" cm="1">
        <f t="array" ref="H85">+_xlfn.IFS($C$7=$D$12,VLOOKUP(D85,'EF-S1'!$B$10:$E$13,3,),$C$7=$D$13,VLOOKUP(D85,'EF-S1'!$B$17:$E$20,3,),$C$7=$D$14,VLOOKUP(D85,'EF-S1'!$B$24:$E$27,3,),$C$7=$D$15,VLOOKUP(D85,'EF-S1'!$B$31:$E$34,3,))</f>
        <v>#N/A</v>
      </c>
      <c r="I85" s="155" t="e" cm="1">
        <f t="array" ref="I85">+_xlfn.IFS($C$7=$D$12,VLOOKUP(D85,'EF-S1'!$B$10:$E$13,4,),$C$7=$D$13,VLOOKUP(D85,'EF-S1'!$B$17:$E$20,4,),$C$7=$D$14,VLOOKUP(D85,'EF-S1'!$B$24:$E$27,4,),$C$7=$D$15,VLOOKUP(D85,'EF-S1'!$B$31:$E$34,4,))</f>
        <v>#N/A</v>
      </c>
      <c r="J85" s="155" t="e" cm="1">
        <f t="array" ref="J85">+_xlfn.IFS(D85=$C$12,_xlfn.IFS(F85=$E$12,E85*G85*'EF-S1'!$C$38*1/'EF-S1'!$E$45,F85=$E$13,E85*G85*1/'EF-S1'!$E$45,F85=$E$14,E85*G85*'EF-S1'!$C$38*1/'EF-S1'!$E$45*1/'EF-S1'!$E$47,F85=$E$15,E85*G85*'EF-S1'!$D$38*1/'EF-S1'!$E$45),D85=$C$13,_xlfn.IFS(F85=$E$12,E85*G85*'EF-S1'!$C$39*1/'EF-S1'!$E$45,F85=$E$13,E85*G85*1/'EF-S1'!$E$45,F85=$E$14,E85*G85*'EF-S1'!$C$39*1/'EF-S1'!$E$45*1/'EF-S1'!$E$47,F85=$E$15,E85*G85*'EF-S1'!$D$39*1/'EF-S1'!$E$45),D85=$C$14,_xlfn.IFS(F85=$E$12,E85*G85*'EF-S1'!$C$40*1/'EF-S1'!$E$45,F85=$E$13,E85*G85*1/'EF-S1'!$E$45,F85=$E$14,E85*G85*'EF-S1'!$C$40*1/'EF-S1'!$E$45*1/'EF-S1'!$E$47,F85=$E$15,E85*G85*'EF-S1'!$D$40*1/'EF-S1'!$E$45),D85=$C$15,_xlfn.IFS(F85=$E$12,E85*G85*'EF-S1'!$C$41*1/'EF-S1'!$E$45,F85=$E$13,E85*G85*1/'EF-S1'!$E$45,F85=$E$14,E85*G85*'EF-S1'!$C$41*1/'EF-S1'!$E$45*1/'EF-S1'!$E$47,F85=$E$15,E85*G85*'EF-S1'!$D$41*1/'EF-S1'!$E$45))</f>
        <v>#N/A</v>
      </c>
      <c r="K85" s="155" t="e" cm="1">
        <f t="array" ref="K85">+_xlfn.IFS(D85=$C$12,_xlfn.IFS(F85=$E$12,E85*H85*'EF-S1'!$C$38*1/'EF-S1'!$E$45,F85=$E$13,E85*H85*1/'EF-S1'!$E$45,F85=$E$14,E85*H85*'EF-S1'!$C$38*1/'EF-S1'!$E$45*1/'EF-S1'!$E$47,F85=$E$15,E85*H85*'EF-S1'!$D$38*1/'EF-S1'!$E$45),D85=$C$13,_xlfn.IFS(F85=$E$12,E85*H85*'EF-S1'!$C$39*1/'EF-S1'!$E$45,F85=$E$13,E85*H85*1/'EF-S1'!$E$45,F85=$E$14,E85*H85*'EF-S1'!$C$39*1/'EF-S1'!$E$45*1/'EF-S1'!$E$47,F85=$E$15,E85*H85*'EF-S1'!$D$39*1/'EF-S1'!$E$45),D85=$C$14,_xlfn.IFS(F85=$E$12,E85*H85*'EF-S1'!$C$40*1/'EF-S1'!$E$45,F85=$E$13,E85*H85*1/'EF-S1'!$E$45,F85=$E$14,E85*H85*'EF-S1'!$C$40*1/'EF-S1'!$E$45*1/'EF-S1'!$E$47,F85=$E$15,E85*H85*'EF-S1'!$D$40*1/'EF-S1'!$E$45),D85=$C$15,_xlfn.IFS(F85=$E$12,E85*H85*'EF-S1'!$C$41*1/'EF-S1'!$E$45,F85=$E$13,E85*H85*1/'EF-S1'!$E$45,F85=$E$14,E85*H85*'EF-S1'!$C$41*1/'EF-S1'!$E$45*1/'EF-S1'!$E$47,F85=$E$15,E85*H85*'EF-S1'!$D$41*1/'EF-S1'!$E$45))</f>
        <v>#N/A</v>
      </c>
      <c r="L85" s="155" t="e" cm="1">
        <f t="array" ref="L85">+_xlfn.IFS(D85=$C$12,_xlfn.IFS(F85=$E$12,E85*I85*'EF-S1'!$C$38*1/'EF-S1'!$E$45,F85=$E$13,E85*I85*1/'EF-S1'!$E$45,F85=$E$14,E85*I85*'EF-S1'!$C$38*1/'EF-S1'!$E$45*1/'EF-S1'!$E$47,F85=$E$15,E85*I85*'EF-S1'!$D$38*1/'EF-S1'!$E$45),D85=$C$13,_xlfn.IFS(F85=$E$12,E85*I85*'EF-S1'!$C$39*1/'EF-S1'!$E$45,F85=$E$13,E85*I85*1/'EF-S1'!$E$45,F85=$E$14,E85*I85*'EF-S1'!$C$39*1/'EF-S1'!$E$45*1/'EF-S1'!$E$47,F85=$E$15,E85*I85*'EF-S1'!$D$39*1/'EF-S1'!$E$45),D85=$C$14,_xlfn.IFS(F85=$E$12,E85*I85*'EF-S1'!$C$40*1/'EF-S1'!$E$45,F85=$E$13,E85*I85*1/'EF-S1'!$E$45,F85=$E$14,E85*I85*'EF-S1'!$C$40*1/'EF-S1'!$E$45*1/'EF-S1'!$E$47,F85=$E$15,E85*I85*'EF-S1'!$D$40*1/'EF-S1'!$E$45),D85=$C$15,_xlfn.IFS(F85=$E$12,E85*I85*'EF-S1'!$C$41*1/'EF-S1'!$E$45,F85=$E$13,E85*I85*1/'EF-S1'!$E$45,F85=$E$14,E85*I85*'EF-S1'!$C$41*1/'EF-S1'!$E$45*1/'EF-S1'!$E$47,F85=$E$15,E85*I85*'EF-S1'!$D$41*1/'EF-S1'!$E$45))</f>
        <v>#N/A</v>
      </c>
      <c r="M85" s="155" t="e">
        <f t="shared" si="13"/>
        <v>#N/A</v>
      </c>
      <c r="N85" s="155" t="e">
        <f t="shared" si="14"/>
        <v>#N/A</v>
      </c>
      <c r="O85" s="155" t="e">
        <f t="shared" si="15"/>
        <v>#N/A</v>
      </c>
      <c r="P85" s="156">
        <f t="shared" si="7"/>
        <v>0</v>
      </c>
      <c r="T85" s="152"/>
      <c r="U85" s="157"/>
      <c r="V85" s="158"/>
      <c r="W85" s="159"/>
      <c r="X85" s="155" t="e" cm="1">
        <f t="array" ref="X85">+_xlfn.IFS(W85="km",VLOOKUP(U85,'EF-S1'!$J$10:$M$16,2,),W85="l",VLOOKUP(U85,'EF-S1'!$J$26:$M$29,2,))</f>
        <v>#N/A</v>
      </c>
      <c r="Y85" s="155" t="e" cm="1">
        <f t="array" ref="Y85">+_xlfn.IFS(W85="km",VLOOKUP(U85,'EF-S1'!$J$10:$M$16,3,),W85="l",VLOOKUP(U85,'EF-S1'!$J$26:$M$29,3,))</f>
        <v>#N/A</v>
      </c>
      <c r="Z85" s="155" t="e" cm="1">
        <f t="array" ref="Z85">+_xlfn.IFS(W85="km",VLOOKUP(U85,'EF-S1'!$J$10:$M$16,4,),W85="l",VLOOKUP(U85,'EF-S1'!$J$26:$M$29,4,))</f>
        <v>#N/A</v>
      </c>
      <c r="AA85" s="155" t="e">
        <f t="shared" si="17"/>
        <v>#N/A</v>
      </c>
      <c r="AB85" s="155" t="e">
        <f t="shared" si="18"/>
        <v>#N/A</v>
      </c>
      <c r="AC85" s="155" t="e">
        <f t="shared" si="19"/>
        <v>#N/A</v>
      </c>
      <c r="AD85" s="155" t="e">
        <f t="shared" si="20"/>
        <v>#N/A</v>
      </c>
      <c r="AE85" s="155" t="e">
        <f t="shared" si="21"/>
        <v>#N/A</v>
      </c>
      <c r="AF85" s="155" t="e">
        <f t="shared" si="22"/>
        <v>#N/A</v>
      </c>
      <c r="AG85" s="156">
        <f t="shared" si="11"/>
        <v>0</v>
      </c>
      <c r="AK85" s="152"/>
      <c r="AL85" s="160"/>
      <c r="AM85" s="158"/>
      <c r="AN85" s="159" t="s">
        <v>49</v>
      </c>
      <c r="AO85" s="155" t="e">
        <f>+VLOOKUP(AL85,'EF-S1'!$U$10:$V$24,2,)</f>
        <v>#N/A</v>
      </c>
      <c r="AP85" s="155" t="e">
        <f t="shared" si="16"/>
        <v>#N/A</v>
      </c>
      <c r="AQ85" s="156">
        <f t="shared" si="12"/>
        <v>0</v>
      </c>
    </row>
    <row r="86" spans="3:43" x14ac:dyDescent="0.7">
      <c r="C86" s="152"/>
      <c r="D86" s="137"/>
      <c r="E86" s="158"/>
      <c r="F86" s="154"/>
      <c r="G86" s="155" t="e" cm="1">
        <f t="array" ref="G86">+_xlfn.IFS($C$7=$D$12,VLOOKUP(D86,'EF-S1'!$B$10:$E$13,2,),$C$7=$D$13,VLOOKUP(D86,'EF-S1'!$B$17:$E$20,2,),$C$7=$D$14,VLOOKUP(D86,'EF-S1'!$B$24:$E$27,2,),$C$7=$D$15,VLOOKUP(D86,'EF-S1'!$B$31:$E$34,2,))</f>
        <v>#N/A</v>
      </c>
      <c r="H86" s="155" t="e" cm="1">
        <f t="array" ref="H86">+_xlfn.IFS($C$7=$D$12,VLOOKUP(D86,'EF-S1'!$B$10:$E$13,3,),$C$7=$D$13,VLOOKUP(D86,'EF-S1'!$B$17:$E$20,3,),$C$7=$D$14,VLOOKUP(D86,'EF-S1'!$B$24:$E$27,3,),$C$7=$D$15,VLOOKUP(D86,'EF-S1'!$B$31:$E$34,3,))</f>
        <v>#N/A</v>
      </c>
      <c r="I86" s="155" t="e" cm="1">
        <f t="array" ref="I86">+_xlfn.IFS($C$7=$D$12,VLOOKUP(D86,'EF-S1'!$B$10:$E$13,4,),$C$7=$D$13,VLOOKUP(D86,'EF-S1'!$B$17:$E$20,4,),$C$7=$D$14,VLOOKUP(D86,'EF-S1'!$B$24:$E$27,4,),$C$7=$D$15,VLOOKUP(D86,'EF-S1'!$B$31:$E$34,4,))</f>
        <v>#N/A</v>
      </c>
      <c r="J86" s="155" t="e" cm="1">
        <f t="array" ref="J86">+_xlfn.IFS(D86=$C$12,_xlfn.IFS(F86=$E$12,E86*G86*'EF-S1'!$C$38*1/'EF-S1'!$E$45,F86=$E$13,E86*G86*1/'EF-S1'!$E$45,F86=$E$14,E86*G86*'EF-S1'!$C$38*1/'EF-S1'!$E$45*1/'EF-S1'!$E$47,F86=$E$15,E86*G86*'EF-S1'!$D$38*1/'EF-S1'!$E$45),D86=$C$13,_xlfn.IFS(F86=$E$12,E86*G86*'EF-S1'!$C$39*1/'EF-S1'!$E$45,F86=$E$13,E86*G86*1/'EF-S1'!$E$45,F86=$E$14,E86*G86*'EF-S1'!$C$39*1/'EF-S1'!$E$45*1/'EF-S1'!$E$47,F86=$E$15,E86*G86*'EF-S1'!$D$39*1/'EF-S1'!$E$45),D86=$C$14,_xlfn.IFS(F86=$E$12,E86*G86*'EF-S1'!$C$40*1/'EF-S1'!$E$45,F86=$E$13,E86*G86*1/'EF-S1'!$E$45,F86=$E$14,E86*G86*'EF-S1'!$C$40*1/'EF-S1'!$E$45*1/'EF-S1'!$E$47,F86=$E$15,E86*G86*'EF-S1'!$D$40*1/'EF-S1'!$E$45),D86=$C$15,_xlfn.IFS(F86=$E$12,E86*G86*'EF-S1'!$C$41*1/'EF-S1'!$E$45,F86=$E$13,E86*G86*1/'EF-S1'!$E$45,F86=$E$14,E86*G86*'EF-S1'!$C$41*1/'EF-S1'!$E$45*1/'EF-S1'!$E$47,F86=$E$15,E86*G86*'EF-S1'!$D$41*1/'EF-S1'!$E$45))</f>
        <v>#N/A</v>
      </c>
      <c r="K86" s="155" t="e" cm="1">
        <f t="array" ref="K86">+_xlfn.IFS(D86=$C$12,_xlfn.IFS(F86=$E$12,E86*H86*'EF-S1'!$C$38*1/'EF-S1'!$E$45,F86=$E$13,E86*H86*1/'EF-S1'!$E$45,F86=$E$14,E86*H86*'EF-S1'!$C$38*1/'EF-S1'!$E$45*1/'EF-S1'!$E$47,F86=$E$15,E86*H86*'EF-S1'!$D$38*1/'EF-S1'!$E$45),D86=$C$13,_xlfn.IFS(F86=$E$12,E86*H86*'EF-S1'!$C$39*1/'EF-S1'!$E$45,F86=$E$13,E86*H86*1/'EF-S1'!$E$45,F86=$E$14,E86*H86*'EF-S1'!$C$39*1/'EF-S1'!$E$45*1/'EF-S1'!$E$47,F86=$E$15,E86*H86*'EF-S1'!$D$39*1/'EF-S1'!$E$45),D86=$C$14,_xlfn.IFS(F86=$E$12,E86*H86*'EF-S1'!$C$40*1/'EF-S1'!$E$45,F86=$E$13,E86*H86*1/'EF-S1'!$E$45,F86=$E$14,E86*H86*'EF-S1'!$C$40*1/'EF-S1'!$E$45*1/'EF-S1'!$E$47,F86=$E$15,E86*H86*'EF-S1'!$D$40*1/'EF-S1'!$E$45),D86=$C$15,_xlfn.IFS(F86=$E$12,E86*H86*'EF-S1'!$C$41*1/'EF-S1'!$E$45,F86=$E$13,E86*H86*1/'EF-S1'!$E$45,F86=$E$14,E86*H86*'EF-S1'!$C$41*1/'EF-S1'!$E$45*1/'EF-S1'!$E$47,F86=$E$15,E86*H86*'EF-S1'!$D$41*1/'EF-S1'!$E$45))</f>
        <v>#N/A</v>
      </c>
      <c r="L86" s="155" t="e" cm="1">
        <f t="array" ref="L86">+_xlfn.IFS(D86=$C$12,_xlfn.IFS(F86=$E$12,E86*I86*'EF-S1'!$C$38*1/'EF-S1'!$E$45,F86=$E$13,E86*I86*1/'EF-S1'!$E$45,F86=$E$14,E86*I86*'EF-S1'!$C$38*1/'EF-S1'!$E$45*1/'EF-S1'!$E$47,F86=$E$15,E86*I86*'EF-S1'!$D$38*1/'EF-S1'!$E$45),D86=$C$13,_xlfn.IFS(F86=$E$12,E86*I86*'EF-S1'!$C$39*1/'EF-S1'!$E$45,F86=$E$13,E86*I86*1/'EF-S1'!$E$45,F86=$E$14,E86*I86*'EF-S1'!$C$39*1/'EF-S1'!$E$45*1/'EF-S1'!$E$47,F86=$E$15,E86*I86*'EF-S1'!$D$39*1/'EF-S1'!$E$45),D86=$C$14,_xlfn.IFS(F86=$E$12,E86*I86*'EF-S1'!$C$40*1/'EF-S1'!$E$45,F86=$E$13,E86*I86*1/'EF-S1'!$E$45,F86=$E$14,E86*I86*'EF-S1'!$C$40*1/'EF-S1'!$E$45*1/'EF-S1'!$E$47,F86=$E$15,E86*I86*'EF-S1'!$D$40*1/'EF-S1'!$E$45),D86=$C$15,_xlfn.IFS(F86=$E$12,E86*I86*'EF-S1'!$C$41*1/'EF-S1'!$E$45,F86=$E$13,E86*I86*1/'EF-S1'!$E$45,F86=$E$14,E86*I86*'EF-S1'!$C$41*1/'EF-S1'!$E$45*1/'EF-S1'!$E$47,F86=$E$15,E86*I86*'EF-S1'!$D$41*1/'EF-S1'!$E$45))</f>
        <v>#N/A</v>
      </c>
      <c r="M86" s="155" t="e">
        <f t="shared" si="13"/>
        <v>#N/A</v>
      </c>
      <c r="N86" s="155" t="e">
        <f t="shared" si="14"/>
        <v>#N/A</v>
      </c>
      <c r="O86" s="155" t="e">
        <f t="shared" si="15"/>
        <v>#N/A</v>
      </c>
      <c r="P86" s="156">
        <f t="shared" si="7"/>
        <v>0</v>
      </c>
      <c r="T86" s="152"/>
      <c r="U86" s="157"/>
      <c r="V86" s="158"/>
      <c r="W86" s="159"/>
      <c r="X86" s="155" t="e" cm="1">
        <f t="array" ref="X86">+_xlfn.IFS(W86="km",VLOOKUP(U86,'EF-S1'!$J$10:$M$16,2,),W86="l",VLOOKUP(U86,'EF-S1'!$J$26:$M$29,2,))</f>
        <v>#N/A</v>
      </c>
      <c r="Y86" s="155" t="e" cm="1">
        <f t="array" ref="Y86">+_xlfn.IFS(W86="km",VLOOKUP(U86,'EF-S1'!$J$10:$M$16,3,),W86="l",VLOOKUP(U86,'EF-S1'!$J$26:$M$29,3,))</f>
        <v>#N/A</v>
      </c>
      <c r="Z86" s="155" t="e" cm="1">
        <f t="array" ref="Z86">+_xlfn.IFS(W86="km",VLOOKUP(U86,'EF-S1'!$J$10:$M$16,4,),W86="l",VLOOKUP(U86,'EF-S1'!$J$26:$M$29,4,))</f>
        <v>#N/A</v>
      </c>
      <c r="AA86" s="155" t="e">
        <f t="shared" si="17"/>
        <v>#N/A</v>
      </c>
      <c r="AB86" s="155" t="e">
        <f t="shared" si="18"/>
        <v>#N/A</v>
      </c>
      <c r="AC86" s="155" t="e">
        <f t="shared" si="19"/>
        <v>#N/A</v>
      </c>
      <c r="AD86" s="155" t="e">
        <f t="shared" si="20"/>
        <v>#N/A</v>
      </c>
      <c r="AE86" s="155" t="e">
        <f t="shared" si="21"/>
        <v>#N/A</v>
      </c>
      <c r="AF86" s="155" t="e">
        <f t="shared" si="22"/>
        <v>#N/A</v>
      </c>
      <c r="AG86" s="156">
        <f t="shared" si="11"/>
        <v>0</v>
      </c>
      <c r="AK86" s="152"/>
      <c r="AL86" s="160"/>
      <c r="AM86" s="158"/>
      <c r="AN86" s="159" t="s">
        <v>49</v>
      </c>
      <c r="AO86" s="155" t="e">
        <f>+VLOOKUP(AL86,'EF-S1'!$U$10:$V$24,2,)</f>
        <v>#N/A</v>
      </c>
      <c r="AP86" s="155" t="e">
        <f t="shared" si="16"/>
        <v>#N/A</v>
      </c>
      <c r="AQ86" s="156">
        <f t="shared" si="12"/>
        <v>0</v>
      </c>
    </row>
    <row r="87" spans="3:43" x14ac:dyDescent="0.7">
      <c r="C87" s="152"/>
      <c r="D87" s="137"/>
      <c r="E87" s="158"/>
      <c r="F87" s="154"/>
      <c r="G87" s="155" t="e" cm="1">
        <f t="array" ref="G87">+_xlfn.IFS($C$7=$D$12,VLOOKUP(D87,'EF-S1'!$B$10:$E$13,2,),$C$7=$D$13,VLOOKUP(D87,'EF-S1'!$B$17:$E$20,2,),$C$7=$D$14,VLOOKUP(D87,'EF-S1'!$B$24:$E$27,2,),$C$7=$D$15,VLOOKUP(D87,'EF-S1'!$B$31:$E$34,2,))</f>
        <v>#N/A</v>
      </c>
      <c r="H87" s="155" t="e" cm="1">
        <f t="array" ref="H87">+_xlfn.IFS($C$7=$D$12,VLOOKUP(D87,'EF-S1'!$B$10:$E$13,3,),$C$7=$D$13,VLOOKUP(D87,'EF-S1'!$B$17:$E$20,3,),$C$7=$D$14,VLOOKUP(D87,'EF-S1'!$B$24:$E$27,3,),$C$7=$D$15,VLOOKUP(D87,'EF-S1'!$B$31:$E$34,3,))</f>
        <v>#N/A</v>
      </c>
      <c r="I87" s="155" t="e" cm="1">
        <f t="array" ref="I87">+_xlfn.IFS($C$7=$D$12,VLOOKUP(D87,'EF-S1'!$B$10:$E$13,4,),$C$7=$D$13,VLOOKUP(D87,'EF-S1'!$B$17:$E$20,4,),$C$7=$D$14,VLOOKUP(D87,'EF-S1'!$B$24:$E$27,4,),$C$7=$D$15,VLOOKUP(D87,'EF-S1'!$B$31:$E$34,4,))</f>
        <v>#N/A</v>
      </c>
      <c r="J87" s="155" t="e" cm="1">
        <f t="array" ref="J87">+_xlfn.IFS(D87=$C$12,_xlfn.IFS(F87=$E$12,E87*G87*'EF-S1'!$C$38*1/'EF-S1'!$E$45,F87=$E$13,E87*G87*1/'EF-S1'!$E$45,F87=$E$14,E87*G87*'EF-S1'!$C$38*1/'EF-S1'!$E$45*1/'EF-S1'!$E$47,F87=$E$15,E87*G87*'EF-S1'!$D$38*1/'EF-S1'!$E$45),D87=$C$13,_xlfn.IFS(F87=$E$12,E87*G87*'EF-S1'!$C$39*1/'EF-S1'!$E$45,F87=$E$13,E87*G87*1/'EF-S1'!$E$45,F87=$E$14,E87*G87*'EF-S1'!$C$39*1/'EF-S1'!$E$45*1/'EF-S1'!$E$47,F87=$E$15,E87*G87*'EF-S1'!$D$39*1/'EF-S1'!$E$45),D87=$C$14,_xlfn.IFS(F87=$E$12,E87*G87*'EF-S1'!$C$40*1/'EF-S1'!$E$45,F87=$E$13,E87*G87*1/'EF-S1'!$E$45,F87=$E$14,E87*G87*'EF-S1'!$C$40*1/'EF-S1'!$E$45*1/'EF-S1'!$E$47,F87=$E$15,E87*G87*'EF-S1'!$D$40*1/'EF-S1'!$E$45),D87=$C$15,_xlfn.IFS(F87=$E$12,E87*G87*'EF-S1'!$C$41*1/'EF-S1'!$E$45,F87=$E$13,E87*G87*1/'EF-S1'!$E$45,F87=$E$14,E87*G87*'EF-S1'!$C$41*1/'EF-S1'!$E$45*1/'EF-S1'!$E$47,F87=$E$15,E87*G87*'EF-S1'!$D$41*1/'EF-S1'!$E$45))</f>
        <v>#N/A</v>
      </c>
      <c r="K87" s="155" t="e" cm="1">
        <f t="array" ref="K87">+_xlfn.IFS(D87=$C$12,_xlfn.IFS(F87=$E$12,E87*H87*'EF-S1'!$C$38*1/'EF-S1'!$E$45,F87=$E$13,E87*H87*1/'EF-S1'!$E$45,F87=$E$14,E87*H87*'EF-S1'!$C$38*1/'EF-S1'!$E$45*1/'EF-S1'!$E$47,F87=$E$15,E87*H87*'EF-S1'!$D$38*1/'EF-S1'!$E$45),D87=$C$13,_xlfn.IFS(F87=$E$12,E87*H87*'EF-S1'!$C$39*1/'EF-S1'!$E$45,F87=$E$13,E87*H87*1/'EF-S1'!$E$45,F87=$E$14,E87*H87*'EF-S1'!$C$39*1/'EF-S1'!$E$45*1/'EF-S1'!$E$47,F87=$E$15,E87*H87*'EF-S1'!$D$39*1/'EF-S1'!$E$45),D87=$C$14,_xlfn.IFS(F87=$E$12,E87*H87*'EF-S1'!$C$40*1/'EF-S1'!$E$45,F87=$E$13,E87*H87*1/'EF-S1'!$E$45,F87=$E$14,E87*H87*'EF-S1'!$C$40*1/'EF-S1'!$E$45*1/'EF-S1'!$E$47,F87=$E$15,E87*H87*'EF-S1'!$D$40*1/'EF-S1'!$E$45),D87=$C$15,_xlfn.IFS(F87=$E$12,E87*H87*'EF-S1'!$C$41*1/'EF-S1'!$E$45,F87=$E$13,E87*H87*1/'EF-S1'!$E$45,F87=$E$14,E87*H87*'EF-S1'!$C$41*1/'EF-S1'!$E$45*1/'EF-S1'!$E$47,F87=$E$15,E87*H87*'EF-S1'!$D$41*1/'EF-S1'!$E$45))</f>
        <v>#N/A</v>
      </c>
      <c r="L87" s="155" t="e" cm="1">
        <f t="array" ref="L87">+_xlfn.IFS(D87=$C$12,_xlfn.IFS(F87=$E$12,E87*I87*'EF-S1'!$C$38*1/'EF-S1'!$E$45,F87=$E$13,E87*I87*1/'EF-S1'!$E$45,F87=$E$14,E87*I87*'EF-S1'!$C$38*1/'EF-S1'!$E$45*1/'EF-S1'!$E$47,F87=$E$15,E87*I87*'EF-S1'!$D$38*1/'EF-S1'!$E$45),D87=$C$13,_xlfn.IFS(F87=$E$12,E87*I87*'EF-S1'!$C$39*1/'EF-S1'!$E$45,F87=$E$13,E87*I87*1/'EF-S1'!$E$45,F87=$E$14,E87*I87*'EF-S1'!$C$39*1/'EF-S1'!$E$45*1/'EF-S1'!$E$47,F87=$E$15,E87*I87*'EF-S1'!$D$39*1/'EF-S1'!$E$45),D87=$C$14,_xlfn.IFS(F87=$E$12,E87*I87*'EF-S1'!$C$40*1/'EF-S1'!$E$45,F87=$E$13,E87*I87*1/'EF-S1'!$E$45,F87=$E$14,E87*I87*'EF-S1'!$C$40*1/'EF-S1'!$E$45*1/'EF-S1'!$E$47,F87=$E$15,E87*I87*'EF-S1'!$D$40*1/'EF-S1'!$E$45),D87=$C$15,_xlfn.IFS(F87=$E$12,E87*I87*'EF-S1'!$C$41*1/'EF-S1'!$E$45,F87=$E$13,E87*I87*1/'EF-S1'!$E$45,F87=$E$14,E87*I87*'EF-S1'!$C$41*1/'EF-S1'!$E$45*1/'EF-S1'!$E$47,F87=$E$15,E87*I87*'EF-S1'!$D$41*1/'EF-S1'!$E$45))</f>
        <v>#N/A</v>
      </c>
      <c r="M87" s="155" t="e">
        <f t="shared" si="13"/>
        <v>#N/A</v>
      </c>
      <c r="N87" s="155" t="e">
        <f t="shared" si="14"/>
        <v>#N/A</v>
      </c>
      <c r="O87" s="155" t="e">
        <f t="shared" si="15"/>
        <v>#N/A</v>
      </c>
      <c r="P87" s="156">
        <f t="shared" si="7"/>
        <v>0</v>
      </c>
      <c r="T87" s="152"/>
      <c r="U87" s="157"/>
      <c r="V87" s="158"/>
      <c r="W87" s="159"/>
      <c r="X87" s="155" t="e" cm="1">
        <f t="array" ref="X87">+_xlfn.IFS(W87="km",VLOOKUP(U87,'EF-S1'!$J$10:$M$16,2,),W87="l",VLOOKUP(U87,'EF-S1'!$J$26:$M$29,2,))</f>
        <v>#N/A</v>
      </c>
      <c r="Y87" s="155" t="e" cm="1">
        <f t="array" ref="Y87">+_xlfn.IFS(W87="km",VLOOKUP(U87,'EF-S1'!$J$10:$M$16,3,),W87="l",VLOOKUP(U87,'EF-S1'!$J$26:$M$29,3,))</f>
        <v>#N/A</v>
      </c>
      <c r="Z87" s="155" t="e" cm="1">
        <f t="array" ref="Z87">+_xlfn.IFS(W87="km",VLOOKUP(U87,'EF-S1'!$J$10:$M$16,4,),W87="l",VLOOKUP(U87,'EF-S1'!$J$26:$M$29,4,))</f>
        <v>#N/A</v>
      </c>
      <c r="AA87" s="155" t="e">
        <f t="shared" si="17"/>
        <v>#N/A</v>
      </c>
      <c r="AB87" s="155" t="e">
        <f t="shared" si="18"/>
        <v>#N/A</v>
      </c>
      <c r="AC87" s="155" t="e">
        <f t="shared" si="19"/>
        <v>#N/A</v>
      </c>
      <c r="AD87" s="155" t="e">
        <f t="shared" si="20"/>
        <v>#N/A</v>
      </c>
      <c r="AE87" s="155" t="e">
        <f t="shared" si="21"/>
        <v>#N/A</v>
      </c>
      <c r="AF87" s="155" t="e">
        <f t="shared" si="22"/>
        <v>#N/A</v>
      </c>
      <c r="AG87" s="156">
        <f t="shared" si="11"/>
        <v>0</v>
      </c>
      <c r="AK87" s="152"/>
      <c r="AL87" s="160"/>
      <c r="AM87" s="158"/>
      <c r="AN87" s="159" t="s">
        <v>49</v>
      </c>
      <c r="AO87" s="155" t="e">
        <f>+VLOOKUP(AL87,'EF-S1'!$U$10:$V$24,2,)</f>
        <v>#N/A</v>
      </c>
      <c r="AP87" s="155" t="e">
        <f t="shared" si="16"/>
        <v>#N/A</v>
      </c>
      <c r="AQ87" s="156">
        <f t="shared" si="12"/>
        <v>0</v>
      </c>
    </row>
    <row r="88" spans="3:43" x14ac:dyDescent="0.7">
      <c r="C88" s="152"/>
      <c r="D88" s="137"/>
      <c r="E88" s="158"/>
      <c r="F88" s="154"/>
      <c r="G88" s="155" t="e" cm="1">
        <f t="array" ref="G88">+_xlfn.IFS($C$7=$D$12,VLOOKUP(D88,'EF-S1'!$B$10:$E$13,2,),$C$7=$D$13,VLOOKUP(D88,'EF-S1'!$B$17:$E$20,2,),$C$7=$D$14,VLOOKUP(D88,'EF-S1'!$B$24:$E$27,2,),$C$7=$D$15,VLOOKUP(D88,'EF-S1'!$B$31:$E$34,2,))</f>
        <v>#N/A</v>
      </c>
      <c r="H88" s="155" t="e" cm="1">
        <f t="array" ref="H88">+_xlfn.IFS($C$7=$D$12,VLOOKUP(D88,'EF-S1'!$B$10:$E$13,3,),$C$7=$D$13,VLOOKUP(D88,'EF-S1'!$B$17:$E$20,3,),$C$7=$D$14,VLOOKUP(D88,'EF-S1'!$B$24:$E$27,3,),$C$7=$D$15,VLOOKUP(D88,'EF-S1'!$B$31:$E$34,3,))</f>
        <v>#N/A</v>
      </c>
      <c r="I88" s="155" t="e" cm="1">
        <f t="array" ref="I88">+_xlfn.IFS($C$7=$D$12,VLOOKUP(D88,'EF-S1'!$B$10:$E$13,4,),$C$7=$D$13,VLOOKUP(D88,'EF-S1'!$B$17:$E$20,4,),$C$7=$D$14,VLOOKUP(D88,'EF-S1'!$B$24:$E$27,4,),$C$7=$D$15,VLOOKUP(D88,'EF-S1'!$B$31:$E$34,4,))</f>
        <v>#N/A</v>
      </c>
      <c r="J88" s="155" t="e" cm="1">
        <f t="array" ref="J88">+_xlfn.IFS(D88=$C$12,_xlfn.IFS(F88=$E$12,E88*G88*'EF-S1'!$C$38*1/'EF-S1'!$E$45,F88=$E$13,E88*G88*1/'EF-S1'!$E$45,F88=$E$14,E88*G88*'EF-S1'!$C$38*1/'EF-S1'!$E$45*1/'EF-S1'!$E$47,F88=$E$15,E88*G88*'EF-S1'!$D$38*1/'EF-S1'!$E$45),D88=$C$13,_xlfn.IFS(F88=$E$12,E88*G88*'EF-S1'!$C$39*1/'EF-S1'!$E$45,F88=$E$13,E88*G88*1/'EF-S1'!$E$45,F88=$E$14,E88*G88*'EF-S1'!$C$39*1/'EF-S1'!$E$45*1/'EF-S1'!$E$47,F88=$E$15,E88*G88*'EF-S1'!$D$39*1/'EF-S1'!$E$45),D88=$C$14,_xlfn.IFS(F88=$E$12,E88*G88*'EF-S1'!$C$40*1/'EF-S1'!$E$45,F88=$E$13,E88*G88*1/'EF-S1'!$E$45,F88=$E$14,E88*G88*'EF-S1'!$C$40*1/'EF-S1'!$E$45*1/'EF-S1'!$E$47,F88=$E$15,E88*G88*'EF-S1'!$D$40*1/'EF-S1'!$E$45),D88=$C$15,_xlfn.IFS(F88=$E$12,E88*G88*'EF-S1'!$C$41*1/'EF-S1'!$E$45,F88=$E$13,E88*G88*1/'EF-S1'!$E$45,F88=$E$14,E88*G88*'EF-S1'!$C$41*1/'EF-S1'!$E$45*1/'EF-S1'!$E$47,F88=$E$15,E88*G88*'EF-S1'!$D$41*1/'EF-S1'!$E$45))</f>
        <v>#N/A</v>
      </c>
      <c r="K88" s="155" t="e" cm="1">
        <f t="array" ref="K88">+_xlfn.IFS(D88=$C$12,_xlfn.IFS(F88=$E$12,E88*H88*'EF-S1'!$C$38*1/'EF-S1'!$E$45,F88=$E$13,E88*H88*1/'EF-S1'!$E$45,F88=$E$14,E88*H88*'EF-S1'!$C$38*1/'EF-S1'!$E$45*1/'EF-S1'!$E$47,F88=$E$15,E88*H88*'EF-S1'!$D$38*1/'EF-S1'!$E$45),D88=$C$13,_xlfn.IFS(F88=$E$12,E88*H88*'EF-S1'!$C$39*1/'EF-S1'!$E$45,F88=$E$13,E88*H88*1/'EF-S1'!$E$45,F88=$E$14,E88*H88*'EF-S1'!$C$39*1/'EF-S1'!$E$45*1/'EF-S1'!$E$47,F88=$E$15,E88*H88*'EF-S1'!$D$39*1/'EF-S1'!$E$45),D88=$C$14,_xlfn.IFS(F88=$E$12,E88*H88*'EF-S1'!$C$40*1/'EF-S1'!$E$45,F88=$E$13,E88*H88*1/'EF-S1'!$E$45,F88=$E$14,E88*H88*'EF-S1'!$C$40*1/'EF-S1'!$E$45*1/'EF-S1'!$E$47,F88=$E$15,E88*H88*'EF-S1'!$D$40*1/'EF-S1'!$E$45),D88=$C$15,_xlfn.IFS(F88=$E$12,E88*H88*'EF-S1'!$C$41*1/'EF-S1'!$E$45,F88=$E$13,E88*H88*1/'EF-S1'!$E$45,F88=$E$14,E88*H88*'EF-S1'!$C$41*1/'EF-S1'!$E$45*1/'EF-S1'!$E$47,F88=$E$15,E88*H88*'EF-S1'!$D$41*1/'EF-S1'!$E$45))</f>
        <v>#N/A</v>
      </c>
      <c r="L88" s="155" t="e" cm="1">
        <f t="array" ref="L88">+_xlfn.IFS(D88=$C$12,_xlfn.IFS(F88=$E$12,E88*I88*'EF-S1'!$C$38*1/'EF-S1'!$E$45,F88=$E$13,E88*I88*1/'EF-S1'!$E$45,F88=$E$14,E88*I88*'EF-S1'!$C$38*1/'EF-S1'!$E$45*1/'EF-S1'!$E$47,F88=$E$15,E88*I88*'EF-S1'!$D$38*1/'EF-S1'!$E$45),D88=$C$13,_xlfn.IFS(F88=$E$12,E88*I88*'EF-S1'!$C$39*1/'EF-S1'!$E$45,F88=$E$13,E88*I88*1/'EF-S1'!$E$45,F88=$E$14,E88*I88*'EF-S1'!$C$39*1/'EF-S1'!$E$45*1/'EF-S1'!$E$47,F88=$E$15,E88*I88*'EF-S1'!$D$39*1/'EF-S1'!$E$45),D88=$C$14,_xlfn.IFS(F88=$E$12,E88*I88*'EF-S1'!$C$40*1/'EF-S1'!$E$45,F88=$E$13,E88*I88*1/'EF-S1'!$E$45,F88=$E$14,E88*I88*'EF-S1'!$C$40*1/'EF-S1'!$E$45*1/'EF-S1'!$E$47,F88=$E$15,E88*I88*'EF-S1'!$D$40*1/'EF-S1'!$E$45),D88=$C$15,_xlfn.IFS(F88=$E$12,E88*I88*'EF-S1'!$C$41*1/'EF-S1'!$E$45,F88=$E$13,E88*I88*1/'EF-S1'!$E$45,F88=$E$14,E88*I88*'EF-S1'!$C$41*1/'EF-S1'!$E$45*1/'EF-S1'!$E$47,F88=$E$15,E88*I88*'EF-S1'!$D$41*1/'EF-S1'!$E$45))</f>
        <v>#N/A</v>
      </c>
      <c r="M88" s="155" t="e">
        <f t="shared" si="13"/>
        <v>#N/A</v>
      </c>
      <c r="N88" s="155" t="e">
        <f t="shared" si="14"/>
        <v>#N/A</v>
      </c>
      <c r="O88" s="155" t="e">
        <f t="shared" si="15"/>
        <v>#N/A</v>
      </c>
      <c r="P88" s="156">
        <f t="shared" si="7"/>
        <v>0</v>
      </c>
      <c r="T88" s="152"/>
      <c r="U88" s="157"/>
      <c r="V88" s="158"/>
      <c r="W88" s="159"/>
      <c r="X88" s="155" t="e" cm="1">
        <f t="array" ref="X88">+_xlfn.IFS(W88="km",VLOOKUP(U88,'EF-S1'!$J$10:$M$16,2,),W88="l",VLOOKUP(U88,'EF-S1'!$J$26:$M$29,2,))</f>
        <v>#N/A</v>
      </c>
      <c r="Y88" s="155" t="e" cm="1">
        <f t="array" ref="Y88">+_xlfn.IFS(W88="km",VLOOKUP(U88,'EF-S1'!$J$10:$M$16,3,),W88="l",VLOOKUP(U88,'EF-S1'!$J$26:$M$29,3,))</f>
        <v>#N/A</v>
      </c>
      <c r="Z88" s="155" t="e" cm="1">
        <f t="array" ref="Z88">+_xlfn.IFS(W88="km",VLOOKUP(U88,'EF-S1'!$J$10:$M$16,4,),W88="l",VLOOKUP(U88,'EF-S1'!$J$26:$M$29,4,))</f>
        <v>#N/A</v>
      </c>
      <c r="AA88" s="155" t="e">
        <f t="shared" si="17"/>
        <v>#N/A</v>
      </c>
      <c r="AB88" s="155" t="e">
        <f t="shared" si="18"/>
        <v>#N/A</v>
      </c>
      <c r="AC88" s="155" t="e">
        <f t="shared" si="19"/>
        <v>#N/A</v>
      </c>
      <c r="AD88" s="155" t="e">
        <f t="shared" si="20"/>
        <v>#N/A</v>
      </c>
      <c r="AE88" s="155" t="e">
        <f t="shared" si="21"/>
        <v>#N/A</v>
      </c>
      <c r="AF88" s="155" t="e">
        <f t="shared" si="22"/>
        <v>#N/A</v>
      </c>
      <c r="AG88" s="156">
        <f t="shared" si="11"/>
        <v>0</v>
      </c>
      <c r="AK88" s="152"/>
      <c r="AL88" s="160"/>
      <c r="AM88" s="158"/>
      <c r="AN88" s="159" t="s">
        <v>49</v>
      </c>
      <c r="AO88" s="155" t="e">
        <f>+VLOOKUP(AL88,'EF-S1'!$U$10:$V$24,2,)</f>
        <v>#N/A</v>
      </c>
      <c r="AP88" s="155" t="e">
        <f t="shared" si="16"/>
        <v>#N/A</v>
      </c>
      <c r="AQ88" s="156">
        <f t="shared" si="12"/>
        <v>0</v>
      </c>
    </row>
    <row r="89" spans="3:43" x14ac:dyDescent="0.7">
      <c r="C89" s="152"/>
      <c r="D89" s="137"/>
      <c r="E89" s="158"/>
      <c r="F89" s="154"/>
      <c r="G89" s="155" t="e" cm="1">
        <f t="array" ref="G89">+_xlfn.IFS($C$7=$D$12,VLOOKUP(D89,'EF-S1'!$B$10:$E$13,2,),$C$7=$D$13,VLOOKUP(D89,'EF-S1'!$B$17:$E$20,2,),$C$7=$D$14,VLOOKUP(D89,'EF-S1'!$B$24:$E$27,2,),$C$7=$D$15,VLOOKUP(D89,'EF-S1'!$B$31:$E$34,2,))</f>
        <v>#N/A</v>
      </c>
      <c r="H89" s="155" t="e" cm="1">
        <f t="array" ref="H89">+_xlfn.IFS($C$7=$D$12,VLOOKUP(D89,'EF-S1'!$B$10:$E$13,3,),$C$7=$D$13,VLOOKUP(D89,'EF-S1'!$B$17:$E$20,3,),$C$7=$D$14,VLOOKUP(D89,'EF-S1'!$B$24:$E$27,3,),$C$7=$D$15,VLOOKUP(D89,'EF-S1'!$B$31:$E$34,3,))</f>
        <v>#N/A</v>
      </c>
      <c r="I89" s="155" t="e" cm="1">
        <f t="array" ref="I89">+_xlfn.IFS($C$7=$D$12,VLOOKUP(D89,'EF-S1'!$B$10:$E$13,4,),$C$7=$D$13,VLOOKUP(D89,'EF-S1'!$B$17:$E$20,4,),$C$7=$D$14,VLOOKUP(D89,'EF-S1'!$B$24:$E$27,4,),$C$7=$D$15,VLOOKUP(D89,'EF-S1'!$B$31:$E$34,4,))</f>
        <v>#N/A</v>
      </c>
      <c r="J89" s="155" t="e" cm="1">
        <f t="array" ref="J89">+_xlfn.IFS(D89=$C$12,_xlfn.IFS(F89=$E$12,E89*G89*'EF-S1'!$C$38*1/'EF-S1'!$E$45,F89=$E$13,E89*G89*1/'EF-S1'!$E$45,F89=$E$14,E89*G89*'EF-S1'!$C$38*1/'EF-S1'!$E$45*1/'EF-S1'!$E$47,F89=$E$15,E89*G89*'EF-S1'!$D$38*1/'EF-S1'!$E$45),D89=$C$13,_xlfn.IFS(F89=$E$12,E89*G89*'EF-S1'!$C$39*1/'EF-S1'!$E$45,F89=$E$13,E89*G89*1/'EF-S1'!$E$45,F89=$E$14,E89*G89*'EF-S1'!$C$39*1/'EF-S1'!$E$45*1/'EF-S1'!$E$47,F89=$E$15,E89*G89*'EF-S1'!$D$39*1/'EF-S1'!$E$45),D89=$C$14,_xlfn.IFS(F89=$E$12,E89*G89*'EF-S1'!$C$40*1/'EF-S1'!$E$45,F89=$E$13,E89*G89*1/'EF-S1'!$E$45,F89=$E$14,E89*G89*'EF-S1'!$C$40*1/'EF-S1'!$E$45*1/'EF-S1'!$E$47,F89=$E$15,E89*G89*'EF-S1'!$D$40*1/'EF-S1'!$E$45),D89=$C$15,_xlfn.IFS(F89=$E$12,E89*G89*'EF-S1'!$C$41*1/'EF-S1'!$E$45,F89=$E$13,E89*G89*1/'EF-S1'!$E$45,F89=$E$14,E89*G89*'EF-S1'!$C$41*1/'EF-S1'!$E$45*1/'EF-S1'!$E$47,F89=$E$15,E89*G89*'EF-S1'!$D$41*1/'EF-S1'!$E$45))</f>
        <v>#N/A</v>
      </c>
      <c r="K89" s="155" t="e" cm="1">
        <f t="array" ref="K89">+_xlfn.IFS(D89=$C$12,_xlfn.IFS(F89=$E$12,E89*H89*'EF-S1'!$C$38*1/'EF-S1'!$E$45,F89=$E$13,E89*H89*1/'EF-S1'!$E$45,F89=$E$14,E89*H89*'EF-S1'!$C$38*1/'EF-S1'!$E$45*1/'EF-S1'!$E$47,F89=$E$15,E89*H89*'EF-S1'!$D$38*1/'EF-S1'!$E$45),D89=$C$13,_xlfn.IFS(F89=$E$12,E89*H89*'EF-S1'!$C$39*1/'EF-S1'!$E$45,F89=$E$13,E89*H89*1/'EF-S1'!$E$45,F89=$E$14,E89*H89*'EF-S1'!$C$39*1/'EF-S1'!$E$45*1/'EF-S1'!$E$47,F89=$E$15,E89*H89*'EF-S1'!$D$39*1/'EF-S1'!$E$45),D89=$C$14,_xlfn.IFS(F89=$E$12,E89*H89*'EF-S1'!$C$40*1/'EF-S1'!$E$45,F89=$E$13,E89*H89*1/'EF-S1'!$E$45,F89=$E$14,E89*H89*'EF-S1'!$C$40*1/'EF-S1'!$E$45*1/'EF-S1'!$E$47,F89=$E$15,E89*H89*'EF-S1'!$D$40*1/'EF-S1'!$E$45),D89=$C$15,_xlfn.IFS(F89=$E$12,E89*H89*'EF-S1'!$C$41*1/'EF-S1'!$E$45,F89=$E$13,E89*H89*1/'EF-S1'!$E$45,F89=$E$14,E89*H89*'EF-S1'!$C$41*1/'EF-S1'!$E$45*1/'EF-S1'!$E$47,F89=$E$15,E89*H89*'EF-S1'!$D$41*1/'EF-S1'!$E$45))</f>
        <v>#N/A</v>
      </c>
      <c r="L89" s="155" t="e" cm="1">
        <f t="array" ref="L89">+_xlfn.IFS(D89=$C$12,_xlfn.IFS(F89=$E$12,E89*I89*'EF-S1'!$C$38*1/'EF-S1'!$E$45,F89=$E$13,E89*I89*1/'EF-S1'!$E$45,F89=$E$14,E89*I89*'EF-S1'!$C$38*1/'EF-S1'!$E$45*1/'EF-S1'!$E$47,F89=$E$15,E89*I89*'EF-S1'!$D$38*1/'EF-S1'!$E$45),D89=$C$13,_xlfn.IFS(F89=$E$12,E89*I89*'EF-S1'!$C$39*1/'EF-S1'!$E$45,F89=$E$13,E89*I89*1/'EF-S1'!$E$45,F89=$E$14,E89*I89*'EF-S1'!$C$39*1/'EF-S1'!$E$45*1/'EF-S1'!$E$47,F89=$E$15,E89*I89*'EF-S1'!$D$39*1/'EF-S1'!$E$45),D89=$C$14,_xlfn.IFS(F89=$E$12,E89*I89*'EF-S1'!$C$40*1/'EF-S1'!$E$45,F89=$E$13,E89*I89*1/'EF-S1'!$E$45,F89=$E$14,E89*I89*'EF-S1'!$C$40*1/'EF-S1'!$E$45*1/'EF-S1'!$E$47,F89=$E$15,E89*I89*'EF-S1'!$D$40*1/'EF-S1'!$E$45),D89=$C$15,_xlfn.IFS(F89=$E$12,E89*I89*'EF-S1'!$C$41*1/'EF-S1'!$E$45,F89=$E$13,E89*I89*1/'EF-S1'!$E$45,F89=$E$14,E89*I89*'EF-S1'!$C$41*1/'EF-S1'!$E$45*1/'EF-S1'!$E$47,F89=$E$15,E89*I89*'EF-S1'!$D$41*1/'EF-S1'!$E$45))</f>
        <v>#N/A</v>
      </c>
      <c r="M89" s="155" t="e">
        <f t="shared" si="13"/>
        <v>#N/A</v>
      </c>
      <c r="N89" s="155" t="e">
        <f t="shared" si="14"/>
        <v>#N/A</v>
      </c>
      <c r="O89" s="155" t="e">
        <f t="shared" si="15"/>
        <v>#N/A</v>
      </c>
      <c r="P89" s="156">
        <f t="shared" si="7"/>
        <v>0</v>
      </c>
      <c r="T89" s="152"/>
      <c r="U89" s="157"/>
      <c r="V89" s="158"/>
      <c r="W89" s="159"/>
      <c r="X89" s="155" t="e" cm="1">
        <f t="array" ref="X89">+_xlfn.IFS(W89="km",VLOOKUP(U89,'EF-S1'!$J$10:$M$16,2,),W89="l",VLOOKUP(U89,'EF-S1'!$J$26:$M$29,2,))</f>
        <v>#N/A</v>
      </c>
      <c r="Y89" s="155" t="e" cm="1">
        <f t="array" ref="Y89">+_xlfn.IFS(W89="km",VLOOKUP(U89,'EF-S1'!$J$10:$M$16,3,),W89="l",VLOOKUP(U89,'EF-S1'!$J$26:$M$29,3,))</f>
        <v>#N/A</v>
      </c>
      <c r="Z89" s="155" t="e" cm="1">
        <f t="array" ref="Z89">+_xlfn.IFS(W89="km",VLOOKUP(U89,'EF-S1'!$J$10:$M$16,4,),W89="l",VLOOKUP(U89,'EF-S1'!$J$26:$M$29,4,))</f>
        <v>#N/A</v>
      </c>
      <c r="AA89" s="155" t="e">
        <f t="shared" si="17"/>
        <v>#N/A</v>
      </c>
      <c r="AB89" s="155" t="e">
        <f t="shared" si="18"/>
        <v>#N/A</v>
      </c>
      <c r="AC89" s="155" t="e">
        <f t="shared" si="19"/>
        <v>#N/A</v>
      </c>
      <c r="AD89" s="155" t="e">
        <f t="shared" si="20"/>
        <v>#N/A</v>
      </c>
      <c r="AE89" s="155" t="e">
        <f t="shared" si="21"/>
        <v>#N/A</v>
      </c>
      <c r="AF89" s="155" t="e">
        <f t="shared" si="22"/>
        <v>#N/A</v>
      </c>
      <c r="AG89" s="156">
        <f t="shared" si="11"/>
        <v>0</v>
      </c>
      <c r="AK89" s="152"/>
      <c r="AL89" s="160"/>
      <c r="AM89" s="158"/>
      <c r="AN89" s="159" t="s">
        <v>49</v>
      </c>
      <c r="AO89" s="155" t="e">
        <f>+VLOOKUP(AL89,'EF-S1'!$U$10:$V$24,2,)</f>
        <v>#N/A</v>
      </c>
      <c r="AP89" s="155" t="e">
        <f t="shared" si="16"/>
        <v>#N/A</v>
      </c>
      <c r="AQ89" s="156">
        <f t="shared" si="12"/>
        <v>0</v>
      </c>
    </row>
    <row r="90" spans="3:43" x14ac:dyDescent="0.7">
      <c r="C90" s="152"/>
      <c r="D90" s="137"/>
      <c r="E90" s="158"/>
      <c r="F90" s="154"/>
      <c r="G90" s="155" t="e" cm="1">
        <f t="array" ref="G90">+_xlfn.IFS($C$7=$D$12,VLOOKUP(D90,'EF-S1'!$B$10:$E$13,2,),$C$7=$D$13,VLOOKUP(D90,'EF-S1'!$B$17:$E$20,2,),$C$7=$D$14,VLOOKUP(D90,'EF-S1'!$B$24:$E$27,2,),$C$7=$D$15,VLOOKUP(D90,'EF-S1'!$B$31:$E$34,2,))</f>
        <v>#N/A</v>
      </c>
      <c r="H90" s="155" t="e" cm="1">
        <f t="array" ref="H90">+_xlfn.IFS($C$7=$D$12,VLOOKUP(D90,'EF-S1'!$B$10:$E$13,3,),$C$7=$D$13,VLOOKUP(D90,'EF-S1'!$B$17:$E$20,3,),$C$7=$D$14,VLOOKUP(D90,'EF-S1'!$B$24:$E$27,3,),$C$7=$D$15,VLOOKUP(D90,'EF-S1'!$B$31:$E$34,3,))</f>
        <v>#N/A</v>
      </c>
      <c r="I90" s="155" t="e" cm="1">
        <f t="array" ref="I90">+_xlfn.IFS($C$7=$D$12,VLOOKUP(D90,'EF-S1'!$B$10:$E$13,4,),$C$7=$D$13,VLOOKUP(D90,'EF-S1'!$B$17:$E$20,4,),$C$7=$D$14,VLOOKUP(D90,'EF-S1'!$B$24:$E$27,4,),$C$7=$D$15,VLOOKUP(D90,'EF-S1'!$B$31:$E$34,4,))</f>
        <v>#N/A</v>
      </c>
      <c r="J90" s="155" t="e" cm="1">
        <f t="array" ref="J90">+_xlfn.IFS(D90=$C$12,_xlfn.IFS(F90=$E$12,E90*G90*'EF-S1'!$C$38*1/'EF-S1'!$E$45,F90=$E$13,E90*G90*1/'EF-S1'!$E$45,F90=$E$14,E90*G90*'EF-S1'!$C$38*1/'EF-S1'!$E$45*1/'EF-S1'!$E$47,F90=$E$15,E90*G90*'EF-S1'!$D$38*1/'EF-S1'!$E$45),D90=$C$13,_xlfn.IFS(F90=$E$12,E90*G90*'EF-S1'!$C$39*1/'EF-S1'!$E$45,F90=$E$13,E90*G90*1/'EF-S1'!$E$45,F90=$E$14,E90*G90*'EF-S1'!$C$39*1/'EF-S1'!$E$45*1/'EF-S1'!$E$47,F90=$E$15,E90*G90*'EF-S1'!$D$39*1/'EF-S1'!$E$45),D90=$C$14,_xlfn.IFS(F90=$E$12,E90*G90*'EF-S1'!$C$40*1/'EF-S1'!$E$45,F90=$E$13,E90*G90*1/'EF-S1'!$E$45,F90=$E$14,E90*G90*'EF-S1'!$C$40*1/'EF-S1'!$E$45*1/'EF-S1'!$E$47,F90=$E$15,E90*G90*'EF-S1'!$D$40*1/'EF-S1'!$E$45),D90=$C$15,_xlfn.IFS(F90=$E$12,E90*G90*'EF-S1'!$C$41*1/'EF-S1'!$E$45,F90=$E$13,E90*G90*1/'EF-S1'!$E$45,F90=$E$14,E90*G90*'EF-S1'!$C$41*1/'EF-S1'!$E$45*1/'EF-S1'!$E$47,F90=$E$15,E90*G90*'EF-S1'!$D$41*1/'EF-S1'!$E$45))</f>
        <v>#N/A</v>
      </c>
      <c r="K90" s="155" t="e" cm="1">
        <f t="array" ref="K90">+_xlfn.IFS(D90=$C$12,_xlfn.IFS(F90=$E$12,E90*H90*'EF-S1'!$C$38*1/'EF-S1'!$E$45,F90=$E$13,E90*H90*1/'EF-S1'!$E$45,F90=$E$14,E90*H90*'EF-S1'!$C$38*1/'EF-S1'!$E$45*1/'EF-S1'!$E$47,F90=$E$15,E90*H90*'EF-S1'!$D$38*1/'EF-S1'!$E$45),D90=$C$13,_xlfn.IFS(F90=$E$12,E90*H90*'EF-S1'!$C$39*1/'EF-S1'!$E$45,F90=$E$13,E90*H90*1/'EF-S1'!$E$45,F90=$E$14,E90*H90*'EF-S1'!$C$39*1/'EF-S1'!$E$45*1/'EF-S1'!$E$47,F90=$E$15,E90*H90*'EF-S1'!$D$39*1/'EF-S1'!$E$45),D90=$C$14,_xlfn.IFS(F90=$E$12,E90*H90*'EF-S1'!$C$40*1/'EF-S1'!$E$45,F90=$E$13,E90*H90*1/'EF-S1'!$E$45,F90=$E$14,E90*H90*'EF-S1'!$C$40*1/'EF-S1'!$E$45*1/'EF-S1'!$E$47,F90=$E$15,E90*H90*'EF-S1'!$D$40*1/'EF-S1'!$E$45),D90=$C$15,_xlfn.IFS(F90=$E$12,E90*H90*'EF-S1'!$C$41*1/'EF-S1'!$E$45,F90=$E$13,E90*H90*1/'EF-S1'!$E$45,F90=$E$14,E90*H90*'EF-S1'!$C$41*1/'EF-S1'!$E$45*1/'EF-S1'!$E$47,F90=$E$15,E90*H90*'EF-S1'!$D$41*1/'EF-S1'!$E$45))</f>
        <v>#N/A</v>
      </c>
      <c r="L90" s="155" t="e" cm="1">
        <f t="array" ref="L90">+_xlfn.IFS(D90=$C$12,_xlfn.IFS(F90=$E$12,E90*I90*'EF-S1'!$C$38*1/'EF-S1'!$E$45,F90=$E$13,E90*I90*1/'EF-S1'!$E$45,F90=$E$14,E90*I90*'EF-S1'!$C$38*1/'EF-S1'!$E$45*1/'EF-S1'!$E$47,F90=$E$15,E90*I90*'EF-S1'!$D$38*1/'EF-S1'!$E$45),D90=$C$13,_xlfn.IFS(F90=$E$12,E90*I90*'EF-S1'!$C$39*1/'EF-S1'!$E$45,F90=$E$13,E90*I90*1/'EF-S1'!$E$45,F90=$E$14,E90*I90*'EF-S1'!$C$39*1/'EF-S1'!$E$45*1/'EF-S1'!$E$47,F90=$E$15,E90*I90*'EF-S1'!$D$39*1/'EF-S1'!$E$45),D90=$C$14,_xlfn.IFS(F90=$E$12,E90*I90*'EF-S1'!$C$40*1/'EF-S1'!$E$45,F90=$E$13,E90*I90*1/'EF-S1'!$E$45,F90=$E$14,E90*I90*'EF-S1'!$C$40*1/'EF-S1'!$E$45*1/'EF-S1'!$E$47,F90=$E$15,E90*I90*'EF-S1'!$D$40*1/'EF-S1'!$E$45),D90=$C$15,_xlfn.IFS(F90=$E$12,E90*I90*'EF-S1'!$C$41*1/'EF-S1'!$E$45,F90=$E$13,E90*I90*1/'EF-S1'!$E$45,F90=$E$14,E90*I90*'EF-S1'!$C$41*1/'EF-S1'!$E$45*1/'EF-S1'!$E$47,F90=$E$15,E90*I90*'EF-S1'!$D$41*1/'EF-S1'!$E$45))</f>
        <v>#N/A</v>
      </c>
      <c r="M90" s="155" t="e">
        <f t="shared" si="13"/>
        <v>#N/A</v>
      </c>
      <c r="N90" s="155" t="e">
        <f t="shared" si="14"/>
        <v>#N/A</v>
      </c>
      <c r="O90" s="155" t="e">
        <f t="shared" si="15"/>
        <v>#N/A</v>
      </c>
      <c r="P90" s="156">
        <f t="shared" si="7"/>
        <v>0</v>
      </c>
      <c r="T90" s="152"/>
      <c r="U90" s="157"/>
      <c r="V90" s="158"/>
      <c r="W90" s="159"/>
      <c r="X90" s="155" t="e" cm="1">
        <f t="array" ref="X90">+_xlfn.IFS(W90="km",VLOOKUP(U90,'EF-S1'!$J$10:$M$16,2,),W90="l",VLOOKUP(U90,'EF-S1'!$J$26:$M$29,2,))</f>
        <v>#N/A</v>
      </c>
      <c r="Y90" s="155" t="e" cm="1">
        <f t="array" ref="Y90">+_xlfn.IFS(W90="km",VLOOKUP(U90,'EF-S1'!$J$10:$M$16,3,),W90="l",VLOOKUP(U90,'EF-S1'!$J$26:$M$29,3,))</f>
        <v>#N/A</v>
      </c>
      <c r="Z90" s="155" t="e" cm="1">
        <f t="array" ref="Z90">+_xlfn.IFS(W90="km",VLOOKUP(U90,'EF-S1'!$J$10:$M$16,4,),W90="l",VLOOKUP(U90,'EF-S1'!$J$26:$M$29,4,))</f>
        <v>#N/A</v>
      </c>
      <c r="AA90" s="155" t="e">
        <f t="shared" si="17"/>
        <v>#N/A</v>
      </c>
      <c r="AB90" s="155" t="e">
        <f t="shared" si="18"/>
        <v>#N/A</v>
      </c>
      <c r="AC90" s="155" t="e">
        <f t="shared" si="19"/>
        <v>#N/A</v>
      </c>
      <c r="AD90" s="155" t="e">
        <f t="shared" si="20"/>
        <v>#N/A</v>
      </c>
      <c r="AE90" s="155" t="e">
        <f t="shared" si="21"/>
        <v>#N/A</v>
      </c>
      <c r="AF90" s="155" t="e">
        <f t="shared" si="22"/>
        <v>#N/A</v>
      </c>
      <c r="AG90" s="156">
        <f t="shared" si="11"/>
        <v>0</v>
      </c>
      <c r="AK90" s="152"/>
      <c r="AL90" s="160"/>
      <c r="AM90" s="158"/>
      <c r="AN90" s="159" t="s">
        <v>49</v>
      </c>
      <c r="AO90" s="155" t="e">
        <f>+VLOOKUP(AL90,'EF-S1'!$U$10:$V$24,2,)</f>
        <v>#N/A</v>
      </c>
      <c r="AP90" s="155" t="e">
        <f t="shared" si="16"/>
        <v>#N/A</v>
      </c>
      <c r="AQ90" s="156">
        <f t="shared" si="12"/>
        <v>0</v>
      </c>
    </row>
    <row r="91" spans="3:43" x14ac:dyDescent="0.7">
      <c r="C91" s="152"/>
      <c r="D91" s="137"/>
      <c r="E91" s="158"/>
      <c r="F91" s="154"/>
      <c r="G91" s="155" t="e" cm="1">
        <f t="array" ref="G91">+_xlfn.IFS($C$7=$D$12,VLOOKUP(D91,'EF-S1'!$B$10:$E$13,2,),$C$7=$D$13,VLOOKUP(D91,'EF-S1'!$B$17:$E$20,2,),$C$7=$D$14,VLOOKUP(D91,'EF-S1'!$B$24:$E$27,2,),$C$7=$D$15,VLOOKUP(D91,'EF-S1'!$B$31:$E$34,2,))</f>
        <v>#N/A</v>
      </c>
      <c r="H91" s="155" t="e" cm="1">
        <f t="array" ref="H91">+_xlfn.IFS($C$7=$D$12,VLOOKUP(D91,'EF-S1'!$B$10:$E$13,3,),$C$7=$D$13,VLOOKUP(D91,'EF-S1'!$B$17:$E$20,3,),$C$7=$D$14,VLOOKUP(D91,'EF-S1'!$B$24:$E$27,3,),$C$7=$D$15,VLOOKUP(D91,'EF-S1'!$B$31:$E$34,3,))</f>
        <v>#N/A</v>
      </c>
      <c r="I91" s="155" t="e" cm="1">
        <f t="array" ref="I91">+_xlfn.IFS($C$7=$D$12,VLOOKUP(D91,'EF-S1'!$B$10:$E$13,4,),$C$7=$D$13,VLOOKUP(D91,'EF-S1'!$B$17:$E$20,4,),$C$7=$D$14,VLOOKUP(D91,'EF-S1'!$B$24:$E$27,4,),$C$7=$D$15,VLOOKUP(D91,'EF-S1'!$B$31:$E$34,4,))</f>
        <v>#N/A</v>
      </c>
      <c r="J91" s="155" t="e" cm="1">
        <f t="array" ref="J91">+_xlfn.IFS(D91=$C$12,_xlfn.IFS(F91=$E$12,E91*G91*'EF-S1'!$C$38*1/'EF-S1'!$E$45,F91=$E$13,E91*G91*1/'EF-S1'!$E$45,F91=$E$14,E91*G91*'EF-S1'!$C$38*1/'EF-S1'!$E$45*1/'EF-S1'!$E$47,F91=$E$15,E91*G91*'EF-S1'!$D$38*1/'EF-S1'!$E$45),D91=$C$13,_xlfn.IFS(F91=$E$12,E91*G91*'EF-S1'!$C$39*1/'EF-S1'!$E$45,F91=$E$13,E91*G91*1/'EF-S1'!$E$45,F91=$E$14,E91*G91*'EF-S1'!$C$39*1/'EF-S1'!$E$45*1/'EF-S1'!$E$47,F91=$E$15,E91*G91*'EF-S1'!$D$39*1/'EF-S1'!$E$45),D91=$C$14,_xlfn.IFS(F91=$E$12,E91*G91*'EF-S1'!$C$40*1/'EF-S1'!$E$45,F91=$E$13,E91*G91*1/'EF-S1'!$E$45,F91=$E$14,E91*G91*'EF-S1'!$C$40*1/'EF-S1'!$E$45*1/'EF-S1'!$E$47,F91=$E$15,E91*G91*'EF-S1'!$D$40*1/'EF-S1'!$E$45),D91=$C$15,_xlfn.IFS(F91=$E$12,E91*G91*'EF-S1'!$C$41*1/'EF-S1'!$E$45,F91=$E$13,E91*G91*1/'EF-S1'!$E$45,F91=$E$14,E91*G91*'EF-S1'!$C$41*1/'EF-S1'!$E$45*1/'EF-S1'!$E$47,F91=$E$15,E91*G91*'EF-S1'!$D$41*1/'EF-S1'!$E$45))</f>
        <v>#N/A</v>
      </c>
      <c r="K91" s="155" t="e" cm="1">
        <f t="array" ref="K91">+_xlfn.IFS(D91=$C$12,_xlfn.IFS(F91=$E$12,E91*H91*'EF-S1'!$C$38*1/'EF-S1'!$E$45,F91=$E$13,E91*H91*1/'EF-S1'!$E$45,F91=$E$14,E91*H91*'EF-S1'!$C$38*1/'EF-S1'!$E$45*1/'EF-S1'!$E$47,F91=$E$15,E91*H91*'EF-S1'!$D$38*1/'EF-S1'!$E$45),D91=$C$13,_xlfn.IFS(F91=$E$12,E91*H91*'EF-S1'!$C$39*1/'EF-S1'!$E$45,F91=$E$13,E91*H91*1/'EF-S1'!$E$45,F91=$E$14,E91*H91*'EF-S1'!$C$39*1/'EF-S1'!$E$45*1/'EF-S1'!$E$47,F91=$E$15,E91*H91*'EF-S1'!$D$39*1/'EF-S1'!$E$45),D91=$C$14,_xlfn.IFS(F91=$E$12,E91*H91*'EF-S1'!$C$40*1/'EF-S1'!$E$45,F91=$E$13,E91*H91*1/'EF-S1'!$E$45,F91=$E$14,E91*H91*'EF-S1'!$C$40*1/'EF-S1'!$E$45*1/'EF-S1'!$E$47,F91=$E$15,E91*H91*'EF-S1'!$D$40*1/'EF-S1'!$E$45),D91=$C$15,_xlfn.IFS(F91=$E$12,E91*H91*'EF-S1'!$C$41*1/'EF-S1'!$E$45,F91=$E$13,E91*H91*1/'EF-S1'!$E$45,F91=$E$14,E91*H91*'EF-S1'!$C$41*1/'EF-S1'!$E$45*1/'EF-S1'!$E$47,F91=$E$15,E91*H91*'EF-S1'!$D$41*1/'EF-S1'!$E$45))</f>
        <v>#N/A</v>
      </c>
      <c r="L91" s="155" t="e" cm="1">
        <f t="array" ref="L91">+_xlfn.IFS(D91=$C$12,_xlfn.IFS(F91=$E$12,E91*I91*'EF-S1'!$C$38*1/'EF-S1'!$E$45,F91=$E$13,E91*I91*1/'EF-S1'!$E$45,F91=$E$14,E91*I91*'EF-S1'!$C$38*1/'EF-S1'!$E$45*1/'EF-S1'!$E$47,F91=$E$15,E91*I91*'EF-S1'!$D$38*1/'EF-S1'!$E$45),D91=$C$13,_xlfn.IFS(F91=$E$12,E91*I91*'EF-S1'!$C$39*1/'EF-S1'!$E$45,F91=$E$13,E91*I91*1/'EF-S1'!$E$45,F91=$E$14,E91*I91*'EF-S1'!$C$39*1/'EF-S1'!$E$45*1/'EF-S1'!$E$47,F91=$E$15,E91*I91*'EF-S1'!$D$39*1/'EF-S1'!$E$45),D91=$C$14,_xlfn.IFS(F91=$E$12,E91*I91*'EF-S1'!$C$40*1/'EF-S1'!$E$45,F91=$E$13,E91*I91*1/'EF-S1'!$E$45,F91=$E$14,E91*I91*'EF-S1'!$C$40*1/'EF-S1'!$E$45*1/'EF-S1'!$E$47,F91=$E$15,E91*I91*'EF-S1'!$D$40*1/'EF-S1'!$E$45),D91=$C$15,_xlfn.IFS(F91=$E$12,E91*I91*'EF-S1'!$C$41*1/'EF-S1'!$E$45,F91=$E$13,E91*I91*1/'EF-S1'!$E$45,F91=$E$14,E91*I91*'EF-S1'!$C$41*1/'EF-S1'!$E$45*1/'EF-S1'!$E$47,F91=$E$15,E91*I91*'EF-S1'!$D$41*1/'EF-S1'!$E$45))</f>
        <v>#N/A</v>
      </c>
      <c r="M91" s="155" t="e">
        <f t="shared" si="13"/>
        <v>#N/A</v>
      </c>
      <c r="N91" s="155" t="e">
        <f t="shared" si="14"/>
        <v>#N/A</v>
      </c>
      <c r="O91" s="155" t="e">
        <f t="shared" si="15"/>
        <v>#N/A</v>
      </c>
      <c r="P91" s="156">
        <f t="shared" si="7"/>
        <v>0</v>
      </c>
      <c r="T91" s="152"/>
      <c r="U91" s="157"/>
      <c r="V91" s="158"/>
      <c r="W91" s="159"/>
      <c r="X91" s="155" t="e" cm="1">
        <f t="array" ref="X91">+_xlfn.IFS(W91="km",VLOOKUP(U91,'EF-S1'!$J$10:$M$16,2,),W91="l",VLOOKUP(U91,'EF-S1'!$J$26:$M$29,2,))</f>
        <v>#N/A</v>
      </c>
      <c r="Y91" s="155" t="e" cm="1">
        <f t="array" ref="Y91">+_xlfn.IFS(W91="km",VLOOKUP(U91,'EF-S1'!$J$10:$M$16,3,),W91="l",VLOOKUP(U91,'EF-S1'!$J$26:$M$29,3,))</f>
        <v>#N/A</v>
      </c>
      <c r="Z91" s="155" t="e" cm="1">
        <f t="array" ref="Z91">+_xlfn.IFS(W91="km",VLOOKUP(U91,'EF-S1'!$J$10:$M$16,4,),W91="l",VLOOKUP(U91,'EF-S1'!$J$26:$M$29,4,))</f>
        <v>#N/A</v>
      </c>
      <c r="AA91" s="155" t="e">
        <f t="shared" si="17"/>
        <v>#N/A</v>
      </c>
      <c r="AB91" s="155" t="e">
        <f t="shared" si="18"/>
        <v>#N/A</v>
      </c>
      <c r="AC91" s="155" t="e">
        <f t="shared" si="19"/>
        <v>#N/A</v>
      </c>
      <c r="AD91" s="155" t="e">
        <f t="shared" si="20"/>
        <v>#N/A</v>
      </c>
      <c r="AE91" s="155" t="e">
        <f t="shared" si="21"/>
        <v>#N/A</v>
      </c>
      <c r="AF91" s="155" t="e">
        <f t="shared" si="22"/>
        <v>#N/A</v>
      </c>
      <c r="AG91" s="156">
        <f t="shared" si="11"/>
        <v>0</v>
      </c>
      <c r="AK91" s="152"/>
      <c r="AL91" s="160"/>
      <c r="AM91" s="158"/>
      <c r="AN91" s="159" t="s">
        <v>49</v>
      </c>
      <c r="AO91" s="155" t="e">
        <f>+VLOOKUP(AL91,'EF-S1'!$U$10:$V$24,2,)</f>
        <v>#N/A</v>
      </c>
      <c r="AP91" s="155" t="e">
        <f t="shared" si="16"/>
        <v>#N/A</v>
      </c>
      <c r="AQ91" s="156">
        <f t="shared" si="12"/>
        <v>0</v>
      </c>
    </row>
    <row r="92" spans="3:43" x14ac:dyDescent="0.7">
      <c r="C92" s="152"/>
      <c r="D92" s="137"/>
      <c r="E92" s="158"/>
      <c r="F92" s="154"/>
      <c r="G92" s="155" t="e" cm="1">
        <f t="array" ref="G92">+_xlfn.IFS($C$7=$D$12,VLOOKUP(D92,'EF-S1'!$B$10:$E$13,2,),$C$7=$D$13,VLOOKUP(D92,'EF-S1'!$B$17:$E$20,2,),$C$7=$D$14,VLOOKUP(D92,'EF-S1'!$B$24:$E$27,2,),$C$7=$D$15,VLOOKUP(D92,'EF-S1'!$B$31:$E$34,2,))</f>
        <v>#N/A</v>
      </c>
      <c r="H92" s="155" t="e" cm="1">
        <f t="array" ref="H92">+_xlfn.IFS($C$7=$D$12,VLOOKUP(D92,'EF-S1'!$B$10:$E$13,3,),$C$7=$D$13,VLOOKUP(D92,'EF-S1'!$B$17:$E$20,3,),$C$7=$D$14,VLOOKUP(D92,'EF-S1'!$B$24:$E$27,3,),$C$7=$D$15,VLOOKUP(D92,'EF-S1'!$B$31:$E$34,3,))</f>
        <v>#N/A</v>
      </c>
      <c r="I92" s="155" t="e" cm="1">
        <f t="array" ref="I92">+_xlfn.IFS($C$7=$D$12,VLOOKUP(D92,'EF-S1'!$B$10:$E$13,4,),$C$7=$D$13,VLOOKUP(D92,'EF-S1'!$B$17:$E$20,4,),$C$7=$D$14,VLOOKUP(D92,'EF-S1'!$B$24:$E$27,4,),$C$7=$D$15,VLOOKUP(D92,'EF-S1'!$B$31:$E$34,4,))</f>
        <v>#N/A</v>
      </c>
      <c r="J92" s="155" t="e" cm="1">
        <f t="array" ref="J92">+_xlfn.IFS(D92=$C$12,_xlfn.IFS(F92=$E$12,E92*G92*'EF-S1'!$C$38*1/'EF-S1'!$E$45,F92=$E$13,E92*G92*1/'EF-S1'!$E$45,F92=$E$14,E92*G92*'EF-S1'!$C$38*1/'EF-S1'!$E$45*1/'EF-S1'!$E$47,F92=$E$15,E92*G92*'EF-S1'!$D$38*1/'EF-S1'!$E$45),D92=$C$13,_xlfn.IFS(F92=$E$12,E92*G92*'EF-S1'!$C$39*1/'EF-S1'!$E$45,F92=$E$13,E92*G92*1/'EF-S1'!$E$45,F92=$E$14,E92*G92*'EF-S1'!$C$39*1/'EF-S1'!$E$45*1/'EF-S1'!$E$47,F92=$E$15,E92*G92*'EF-S1'!$D$39*1/'EF-S1'!$E$45),D92=$C$14,_xlfn.IFS(F92=$E$12,E92*G92*'EF-S1'!$C$40*1/'EF-S1'!$E$45,F92=$E$13,E92*G92*1/'EF-S1'!$E$45,F92=$E$14,E92*G92*'EF-S1'!$C$40*1/'EF-S1'!$E$45*1/'EF-S1'!$E$47,F92=$E$15,E92*G92*'EF-S1'!$D$40*1/'EF-S1'!$E$45),D92=$C$15,_xlfn.IFS(F92=$E$12,E92*G92*'EF-S1'!$C$41*1/'EF-S1'!$E$45,F92=$E$13,E92*G92*1/'EF-S1'!$E$45,F92=$E$14,E92*G92*'EF-S1'!$C$41*1/'EF-S1'!$E$45*1/'EF-S1'!$E$47,F92=$E$15,E92*G92*'EF-S1'!$D$41*1/'EF-S1'!$E$45))</f>
        <v>#N/A</v>
      </c>
      <c r="K92" s="155" t="e" cm="1">
        <f t="array" ref="K92">+_xlfn.IFS(D92=$C$12,_xlfn.IFS(F92=$E$12,E92*H92*'EF-S1'!$C$38*1/'EF-S1'!$E$45,F92=$E$13,E92*H92*1/'EF-S1'!$E$45,F92=$E$14,E92*H92*'EF-S1'!$C$38*1/'EF-S1'!$E$45*1/'EF-S1'!$E$47,F92=$E$15,E92*H92*'EF-S1'!$D$38*1/'EF-S1'!$E$45),D92=$C$13,_xlfn.IFS(F92=$E$12,E92*H92*'EF-S1'!$C$39*1/'EF-S1'!$E$45,F92=$E$13,E92*H92*1/'EF-S1'!$E$45,F92=$E$14,E92*H92*'EF-S1'!$C$39*1/'EF-S1'!$E$45*1/'EF-S1'!$E$47,F92=$E$15,E92*H92*'EF-S1'!$D$39*1/'EF-S1'!$E$45),D92=$C$14,_xlfn.IFS(F92=$E$12,E92*H92*'EF-S1'!$C$40*1/'EF-S1'!$E$45,F92=$E$13,E92*H92*1/'EF-S1'!$E$45,F92=$E$14,E92*H92*'EF-S1'!$C$40*1/'EF-S1'!$E$45*1/'EF-S1'!$E$47,F92=$E$15,E92*H92*'EF-S1'!$D$40*1/'EF-S1'!$E$45),D92=$C$15,_xlfn.IFS(F92=$E$12,E92*H92*'EF-S1'!$C$41*1/'EF-S1'!$E$45,F92=$E$13,E92*H92*1/'EF-S1'!$E$45,F92=$E$14,E92*H92*'EF-S1'!$C$41*1/'EF-S1'!$E$45*1/'EF-S1'!$E$47,F92=$E$15,E92*H92*'EF-S1'!$D$41*1/'EF-S1'!$E$45))</f>
        <v>#N/A</v>
      </c>
      <c r="L92" s="155" t="e" cm="1">
        <f t="array" ref="L92">+_xlfn.IFS(D92=$C$12,_xlfn.IFS(F92=$E$12,E92*I92*'EF-S1'!$C$38*1/'EF-S1'!$E$45,F92=$E$13,E92*I92*1/'EF-S1'!$E$45,F92=$E$14,E92*I92*'EF-S1'!$C$38*1/'EF-S1'!$E$45*1/'EF-S1'!$E$47,F92=$E$15,E92*I92*'EF-S1'!$D$38*1/'EF-S1'!$E$45),D92=$C$13,_xlfn.IFS(F92=$E$12,E92*I92*'EF-S1'!$C$39*1/'EF-S1'!$E$45,F92=$E$13,E92*I92*1/'EF-S1'!$E$45,F92=$E$14,E92*I92*'EF-S1'!$C$39*1/'EF-S1'!$E$45*1/'EF-S1'!$E$47,F92=$E$15,E92*I92*'EF-S1'!$D$39*1/'EF-S1'!$E$45),D92=$C$14,_xlfn.IFS(F92=$E$12,E92*I92*'EF-S1'!$C$40*1/'EF-S1'!$E$45,F92=$E$13,E92*I92*1/'EF-S1'!$E$45,F92=$E$14,E92*I92*'EF-S1'!$C$40*1/'EF-S1'!$E$45*1/'EF-S1'!$E$47,F92=$E$15,E92*I92*'EF-S1'!$D$40*1/'EF-S1'!$E$45),D92=$C$15,_xlfn.IFS(F92=$E$12,E92*I92*'EF-S1'!$C$41*1/'EF-S1'!$E$45,F92=$E$13,E92*I92*1/'EF-S1'!$E$45,F92=$E$14,E92*I92*'EF-S1'!$C$41*1/'EF-S1'!$E$45*1/'EF-S1'!$E$47,F92=$E$15,E92*I92*'EF-S1'!$D$41*1/'EF-S1'!$E$45))</f>
        <v>#N/A</v>
      </c>
      <c r="M92" s="155" t="e">
        <f t="shared" si="13"/>
        <v>#N/A</v>
      </c>
      <c r="N92" s="155" t="e">
        <f t="shared" si="14"/>
        <v>#N/A</v>
      </c>
      <c r="O92" s="155" t="e">
        <f t="shared" si="15"/>
        <v>#N/A</v>
      </c>
      <c r="P92" s="156">
        <f t="shared" si="7"/>
        <v>0</v>
      </c>
      <c r="T92" s="152"/>
      <c r="U92" s="157"/>
      <c r="V92" s="158"/>
      <c r="W92" s="159"/>
      <c r="X92" s="155" t="e" cm="1">
        <f t="array" ref="X92">+_xlfn.IFS(W92="km",VLOOKUP(U92,'EF-S1'!$J$10:$M$16,2,),W92="l",VLOOKUP(U92,'EF-S1'!$J$26:$M$29,2,))</f>
        <v>#N/A</v>
      </c>
      <c r="Y92" s="155" t="e" cm="1">
        <f t="array" ref="Y92">+_xlfn.IFS(W92="km",VLOOKUP(U92,'EF-S1'!$J$10:$M$16,3,),W92="l",VLOOKUP(U92,'EF-S1'!$J$26:$M$29,3,))</f>
        <v>#N/A</v>
      </c>
      <c r="Z92" s="155" t="e" cm="1">
        <f t="array" ref="Z92">+_xlfn.IFS(W92="km",VLOOKUP(U92,'EF-S1'!$J$10:$M$16,4,),W92="l",VLOOKUP(U92,'EF-S1'!$J$26:$M$29,4,))</f>
        <v>#N/A</v>
      </c>
      <c r="AA92" s="155" t="e">
        <f t="shared" si="17"/>
        <v>#N/A</v>
      </c>
      <c r="AB92" s="155" t="e">
        <f t="shared" si="18"/>
        <v>#N/A</v>
      </c>
      <c r="AC92" s="155" t="e">
        <f t="shared" si="19"/>
        <v>#N/A</v>
      </c>
      <c r="AD92" s="155" t="e">
        <f t="shared" si="20"/>
        <v>#N/A</v>
      </c>
      <c r="AE92" s="155" t="e">
        <f t="shared" si="21"/>
        <v>#N/A</v>
      </c>
      <c r="AF92" s="155" t="e">
        <f t="shared" si="22"/>
        <v>#N/A</v>
      </c>
      <c r="AG92" s="156">
        <f t="shared" si="11"/>
        <v>0</v>
      </c>
      <c r="AK92" s="152"/>
      <c r="AL92" s="160"/>
      <c r="AM92" s="158"/>
      <c r="AN92" s="159" t="s">
        <v>49</v>
      </c>
      <c r="AO92" s="155" t="e">
        <f>+VLOOKUP(AL92,'EF-S1'!$U$10:$V$24,2,)</f>
        <v>#N/A</v>
      </c>
      <c r="AP92" s="155" t="e">
        <f t="shared" si="16"/>
        <v>#N/A</v>
      </c>
      <c r="AQ92" s="156">
        <f t="shared" si="12"/>
        <v>0</v>
      </c>
    </row>
    <row r="93" spans="3:43" x14ac:dyDescent="0.7">
      <c r="C93" s="152"/>
      <c r="D93" s="137"/>
      <c r="E93" s="158"/>
      <c r="F93" s="154"/>
      <c r="G93" s="155" t="e" cm="1">
        <f t="array" ref="G93">+_xlfn.IFS($C$7=$D$12,VLOOKUP(D93,'EF-S1'!$B$10:$E$13,2,),$C$7=$D$13,VLOOKUP(D93,'EF-S1'!$B$17:$E$20,2,),$C$7=$D$14,VLOOKUP(D93,'EF-S1'!$B$24:$E$27,2,),$C$7=$D$15,VLOOKUP(D93,'EF-S1'!$B$31:$E$34,2,))</f>
        <v>#N/A</v>
      </c>
      <c r="H93" s="155" t="e" cm="1">
        <f t="array" ref="H93">+_xlfn.IFS($C$7=$D$12,VLOOKUP(D93,'EF-S1'!$B$10:$E$13,3,),$C$7=$D$13,VLOOKUP(D93,'EF-S1'!$B$17:$E$20,3,),$C$7=$D$14,VLOOKUP(D93,'EF-S1'!$B$24:$E$27,3,),$C$7=$D$15,VLOOKUP(D93,'EF-S1'!$B$31:$E$34,3,))</f>
        <v>#N/A</v>
      </c>
      <c r="I93" s="155" t="e" cm="1">
        <f t="array" ref="I93">+_xlfn.IFS($C$7=$D$12,VLOOKUP(D93,'EF-S1'!$B$10:$E$13,4,),$C$7=$D$13,VLOOKUP(D93,'EF-S1'!$B$17:$E$20,4,),$C$7=$D$14,VLOOKUP(D93,'EF-S1'!$B$24:$E$27,4,),$C$7=$D$15,VLOOKUP(D93,'EF-S1'!$B$31:$E$34,4,))</f>
        <v>#N/A</v>
      </c>
      <c r="J93" s="155" t="e" cm="1">
        <f t="array" ref="J93">+_xlfn.IFS(D93=$C$12,_xlfn.IFS(F93=$E$12,E93*G93*'EF-S1'!$C$38*1/'EF-S1'!$E$45,F93=$E$13,E93*G93*1/'EF-S1'!$E$45,F93=$E$14,E93*G93*'EF-S1'!$C$38*1/'EF-S1'!$E$45*1/'EF-S1'!$E$47,F93=$E$15,E93*G93*'EF-S1'!$D$38*1/'EF-S1'!$E$45),D93=$C$13,_xlfn.IFS(F93=$E$12,E93*G93*'EF-S1'!$C$39*1/'EF-S1'!$E$45,F93=$E$13,E93*G93*1/'EF-S1'!$E$45,F93=$E$14,E93*G93*'EF-S1'!$C$39*1/'EF-S1'!$E$45*1/'EF-S1'!$E$47,F93=$E$15,E93*G93*'EF-S1'!$D$39*1/'EF-S1'!$E$45),D93=$C$14,_xlfn.IFS(F93=$E$12,E93*G93*'EF-S1'!$C$40*1/'EF-S1'!$E$45,F93=$E$13,E93*G93*1/'EF-S1'!$E$45,F93=$E$14,E93*G93*'EF-S1'!$C$40*1/'EF-S1'!$E$45*1/'EF-S1'!$E$47,F93=$E$15,E93*G93*'EF-S1'!$D$40*1/'EF-S1'!$E$45),D93=$C$15,_xlfn.IFS(F93=$E$12,E93*G93*'EF-S1'!$C$41*1/'EF-S1'!$E$45,F93=$E$13,E93*G93*1/'EF-S1'!$E$45,F93=$E$14,E93*G93*'EF-S1'!$C$41*1/'EF-S1'!$E$45*1/'EF-S1'!$E$47,F93=$E$15,E93*G93*'EF-S1'!$D$41*1/'EF-S1'!$E$45))</f>
        <v>#N/A</v>
      </c>
      <c r="K93" s="155" t="e" cm="1">
        <f t="array" ref="K93">+_xlfn.IFS(D93=$C$12,_xlfn.IFS(F93=$E$12,E93*H93*'EF-S1'!$C$38*1/'EF-S1'!$E$45,F93=$E$13,E93*H93*1/'EF-S1'!$E$45,F93=$E$14,E93*H93*'EF-S1'!$C$38*1/'EF-S1'!$E$45*1/'EF-S1'!$E$47,F93=$E$15,E93*H93*'EF-S1'!$D$38*1/'EF-S1'!$E$45),D93=$C$13,_xlfn.IFS(F93=$E$12,E93*H93*'EF-S1'!$C$39*1/'EF-S1'!$E$45,F93=$E$13,E93*H93*1/'EF-S1'!$E$45,F93=$E$14,E93*H93*'EF-S1'!$C$39*1/'EF-S1'!$E$45*1/'EF-S1'!$E$47,F93=$E$15,E93*H93*'EF-S1'!$D$39*1/'EF-S1'!$E$45),D93=$C$14,_xlfn.IFS(F93=$E$12,E93*H93*'EF-S1'!$C$40*1/'EF-S1'!$E$45,F93=$E$13,E93*H93*1/'EF-S1'!$E$45,F93=$E$14,E93*H93*'EF-S1'!$C$40*1/'EF-S1'!$E$45*1/'EF-S1'!$E$47,F93=$E$15,E93*H93*'EF-S1'!$D$40*1/'EF-S1'!$E$45),D93=$C$15,_xlfn.IFS(F93=$E$12,E93*H93*'EF-S1'!$C$41*1/'EF-S1'!$E$45,F93=$E$13,E93*H93*1/'EF-S1'!$E$45,F93=$E$14,E93*H93*'EF-S1'!$C$41*1/'EF-S1'!$E$45*1/'EF-S1'!$E$47,F93=$E$15,E93*H93*'EF-S1'!$D$41*1/'EF-S1'!$E$45))</f>
        <v>#N/A</v>
      </c>
      <c r="L93" s="155" t="e" cm="1">
        <f t="array" ref="L93">+_xlfn.IFS(D93=$C$12,_xlfn.IFS(F93=$E$12,E93*I93*'EF-S1'!$C$38*1/'EF-S1'!$E$45,F93=$E$13,E93*I93*1/'EF-S1'!$E$45,F93=$E$14,E93*I93*'EF-S1'!$C$38*1/'EF-S1'!$E$45*1/'EF-S1'!$E$47,F93=$E$15,E93*I93*'EF-S1'!$D$38*1/'EF-S1'!$E$45),D93=$C$13,_xlfn.IFS(F93=$E$12,E93*I93*'EF-S1'!$C$39*1/'EF-S1'!$E$45,F93=$E$13,E93*I93*1/'EF-S1'!$E$45,F93=$E$14,E93*I93*'EF-S1'!$C$39*1/'EF-S1'!$E$45*1/'EF-S1'!$E$47,F93=$E$15,E93*I93*'EF-S1'!$D$39*1/'EF-S1'!$E$45),D93=$C$14,_xlfn.IFS(F93=$E$12,E93*I93*'EF-S1'!$C$40*1/'EF-S1'!$E$45,F93=$E$13,E93*I93*1/'EF-S1'!$E$45,F93=$E$14,E93*I93*'EF-S1'!$C$40*1/'EF-S1'!$E$45*1/'EF-S1'!$E$47,F93=$E$15,E93*I93*'EF-S1'!$D$40*1/'EF-S1'!$E$45),D93=$C$15,_xlfn.IFS(F93=$E$12,E93*I93*'EF-S1'!$C$41*1/'EF-S1'!$E$45,F93=$E$13,E93*I93*1/'EF-S1'!$E$45,F93=$E$14,E93*I93*'EF-S1'!$C$41*1/'EF-S1'!$E$45*1/'EF-S1'!$E$47,F93=$E$15,E93*I93*'EF-S1'!$D$41*1/'EF-S1'!$E$45))</f>
        <v>#N/A</v>
      </c>
      <c r="M93" s="155" t="e">
        <f t="shared" si="13"/>
        <v>#N/A</v>
      </c>
      <c r="N93" s="155" t="e">
        <f t="shared" si="14"/>
        <v>#N/A</v>
      </c>
      <c r="O93" s="155" t="e">
        <f t="shared" si="15"/>
        <v>#N/A</v>
      </c>
      <c r="P93" s="156">
        <f t="shared" si="7"/>
        <v>0</v>
      </c>
      <c r="T93" s="152"/>
      <c r="U93" s="157"/>
      <c r="V93" s="158"/>
      <c r="W93" s="159"/>
      <c r="X93" s="155" t="e" cm="1">
        <f t="array" ref="X93">+_xlfn.IFS(W93="km",VLOOKUP(U93,'EF-S1'!$J$10:$M$16,2,),W93="l",VLOOKUP(U93,'EF-S1'!$J$26:$M$29,2,))</f>
        <v>#N/A</v>
      </c>
      <c r="Y93" s="155" t="e" cm="1">
        <f t="array" ref="Y93">+_xlfn.IFS(W93="km",VLOOKUP(U93,'EF-S1'!$J$10:$M$16,3,),W93="l",VLOOKUP(U93,'EF-S1'!$J$26:$M$29,3,))</f>
        <v>#N/A</v>
      </c>
      <c r="Z93" s="155" t="e" cm="1">
        <f t="array" ref="Z93">+_xlfn.IFS(W93="km",VLOOKUP(U93,'EF-S1'!$J$10:$M$16,4,),W93="l",VLOOKUP(U93,'EF-S1'!$J$26:$M$29,4,))</f>
        <v>#N/A</v>
      </c>
      <c r="AA93" s="155" t="e">
        <f t="shared" si="17"/>
        <v>#N/A</v>
      </c>
      <c r="AB93" s="155" t="e">
        <f t="shared" si="18"/>
        <v>#N/A</v>
      </c>
      <c r="AC93" s="155" t="e">
        <f t="shared" si="19"/>
        <v>#N/A</v>
      </c>
      <c r="AD93" s="155" t="e">
        <f t="shared" si="20"/>
        <v>#N/A</v>
      </c>
      <c r="AE93" s="155" t="e">
        <f t="shared" si="21"/>
        <v>#N/A</v>
      </c>
      <c r="AF93" s="155" t="e">
        <f t="shared" si="22"/>
        <v>#N/A</v>
      </c>
      <c r="AG93" s="156">
        <f t="shared" si="11"/>
        <v>0</v>
      </c>
      <c r="AK93" s="152"/>
      <c r="AL93" s="160"/>
      <c r="AM93" s="158"/>
      <c r="AN93" s="159" t="s">
        <v>49</v>
      </c>
      <c r="AO93" s="155" t="e">
        <f>+VLOOKUP(AL93,'EF-S1'!$U$10:$V$24,2,)</f>
        <v>#N/A</v>
      </c>
      <c r="AP93" s="155" t="e">
        <f t="shared" si="16"/>
        <v>#N/A</v>
      </c>
      <c r="AQ93" s="156">
        <f t="shared" si="12"/>
        <v>0</v>
      </c>
    </row>
    <row r="94" spans="3:43" x14ac:dyDescent="0.7">
      <c r="C94" s="152"/>
      <c r="D94" s="137"/>
      <c r="E94" s="158"/>
      <c r="F94" s="154"/>
      <c r="G94" s="155" t="e" cm="1">
        <f t="array" ref="G94">+_xlfn.IFS($C$7=$D$12,VLOOKUP(D94,'EF-S1'!$B$10:$E$13,2,),$C$7=$D$13,VLOOKUP(D94,'EF-S1'!$B$17:$E$20,2,),$C$7=$D$14,VLOOKUP(D94,'EF-S1'!$B$24:$E$27,2,),$C$7=$D$15,VLOOKUP(D94,'EF-S1'!$B$31:$E$34,2,))</f>
        <v>#N/A</v>
      </c>
      <c r="H94" s="155" t="e" cm="1">
        <f t="array" ref="H94">+_xlfn.IFS($C$7=$D$12,VLOOKUP(D94,'EF-S1'!$B$10:$E$13,3,),$C$7=$D$13,VLOOKUP(D94,'EF-S1'!$B$17:$E$20,3,),$C$7=$D$14,VLOOKUP(D94,'EF-S1'!$B$24:$E$27,3,),$C$7=$D$15,VLOOKUP(D94,'EF-S1'!$B$31:$E$34,3,))</f>
        <v>#N/A</v>
      </c>
      <c r="I94" s="155" t="e" cm="1">
        <f t="array" ref="I94">+_xlfn.IFS($C$7=$D$12,VLOOKUP(D94,'EF-S1'!$B$10:$E$13,4,),$C$7=$D$13,VLOOKUP(D94,'EF-S1'!$B$17:$E$20,4,),$C$7=$D$14,VLOOKUP(D94,'EF-S1'!$B$24:$E$27,4,),$C$7=$D$15,VLOOKUP(D94,'EF-S1'!$B$31:$E$34,4,))</f>
        <v>#N/A</v>
      </c>
      <c r="J94" s="155" t="e" cm="1">
        <f t="array" ref="J94">+_xlfn.IFS(D94=$C$12,_xlfn.IFS(F94=$E$12,E94*G94*'EF-S1'!$C$38*1/'EF-S1'!$E$45,F94=$E$13,E94*G94*1/'EF-S1'!$E$45,F94=$E$14,E94*G94*'EF-S1'!$C$38*1/'EF-S1'!$E$45*1/'EF-S1'!$E$47,F94=$E$15,E94*G94*'EF-S1'!$D$38*1/'EF-S1'!$E$45),D94=$C$13,_xlfn.IFS(F94=$E$12,E94*G94*'EF-S1'!$C$39*1/'EF-S1'!$E$45,F94=$E$13,E94*G94*1/'EF-S1'!$E$45,F94=$E$14,E94*G94*'EF-S1'!$C$39*1/'EF-S1'!$E$45*1/'EF-S1'!$E$47,F94=$E$15,E94*G94*'EF-S1'!$D$39*1/'EF-S1'!$E$45),D94=$C$14,_xlfn.IFS(F94=$E$12,E94*G94*'EF-S1'!$C$40*1/'EF-S1'!$E$45,F94=$E$13,E94*G94*1/'EF-S1'!$E$45,F94=$E$14,E94*G94*'EF-S1'!$C$40*1/'EF-S1'!$E$45*1/'EF-S1'!$E$47,F94=$E$15,E94*G94*'EF-S1'!$D$40*1/'EF-S1'!$E$45),D94=$C$15,_xlfn.IFS(F94=$E$12,E94*G94*'EF-S1'!$C$41*1/'EF-S1'!$E$45,F94=$E$13,E94*G94*1/'EF-S1'!$E$45,F94=$E$14,E94*G94*'EF-S1'!$C$41*1/'EF-S1'!$E$45*1/'EF-S1'!$E$47,F94=$E$15,E94*G94*'EF-S1'!$D$41*1/'EF-S1'!$E$45))</f>
        <v>#N/A</v>
      </c>
      <c r="K94" s="155" t="e" cm="1">
        <f t="array" ref="K94">+_xlfn.IFS(D94=$C$12,_xlfn.IFS(F94=$E$12,E94*H94*'EF-S1'!$C$38*1/'EF-S1'!$E$45,F94=$E$13,E94*H94*1/'EF-S1'!$E$45,F94=$E$14,E94*H94*'EF-S1'!$C$38*1/'EF-S1'!$E$45*1/'EF-S1'!$E$47,F94=$E$15,E94*H94*'EF-S1'!$D$38*1/'EF-S1'!$E$45),D94=$C$13,_xlfn.IFS(F94=$E$12,E94*H94*'EF-S1'!$C$39*1/'EF-S1'!$E$45,F94=$E$13,E94*H94*1/'EF-S1'!$E$45,F94=$E$14,E94*H94*'EF-S1'!$C$39*1/'EF-S1'!$E$45*1/'EF-S1'!$E$47,F94=$E$15,E94*H94*'EF-S1'!$D$39*1/'EF-S1'!$E$45),D94=$C$14,_xlfn.IFS(F94=$E$12,E94*H94*'EF-S1'!$C$40*1/'EF-S1'!$E$45,F94=$E$13,E94*H94*1/'EF-S1'!$E$45,F94=$E$14,E94*H94*'EF-S1'!$C$40*1/'EF-S1'!$E$45*1/'EF-S1'!$E$47,F94=$E$15,E94*H94*'EF-S1'!$D$40*1/'EF-S1'!$E$45),D94=$C$15,_xlfn.IFS(F94=$E$12,E94*H94*'EF-S1'!$C$41*1/'EF-S1'!$E$45,F94=$E$13,E94*H94*1/'EF-S1'!$E$45,F94=$E$14,E94*H94*'EF-S1'!$C$41*1/'EF-S1'!$E$45*1/'EF-S1'!$E$47,F94=$E$15,E94*H94*'EF-S1'!$D$41*1/'EF-S1'!$E$45))</f>
        <v>#N/A</v>
      </c>
      <c r="L94" s="155" t="e" cm="1">
        <f t="array" ref="L94">+_xlfn.IFS(D94=$C$12,_xlfn.IFS(F94=$E$12,E94*I94*'EF-S1'!$C$38*1/'EF-S1'!$E$45,F94=$E$13,E94*I94*1/'EF-S1'!$E$45,F94=$E$14,E94*I94*'EF-S1'!$C$38*1/'EF-S1'!$E$45*1/'EF-S1'!$E$47,F94=$E$15,E94*I94*'EF-S1'!$D$38*1/'EF-S1'!$E$45),D94=$C$13,_xlfn.IFS(F94=$E$12,E94*I94*'EF-S1'!$C$39*1/'EF-S1'!$E$45,F94=$E$13,E94*I94*1/'EF-S1'!$E$45,F94=$E$14,E94*I94*'EF-S1'!$C$39*1/'EF-S1'!$E$45*1/'EF-S1'!$E$47,F94=$E$15,E94*I94*'EF-S1'!$D$39*1/'EF-S1'!$E$45),D94=$C$14,_xlfn.IFS(F94=$E$12,E94*I94*'EF-S1'!$C$40*1/'EF-S1'!$E$45,F94=$E$13,E94*I94*1/'EF-S1'!$E$45,F94=$E$14,E94*I94*'EF-S1'!$C$40*1/'EF-S1'!$E$45*1/'EF-S1'!$E$47,F94=$E$15,E94*I94*'EF-S1'!$D$40*1/'EF-S1'!$E$45),D94=$C$15,_xlfn.IFS(F94=$E$12,E94*I94*'EF-S1'!$C$41*1/'EF-S1'!$E$45,F94=$E$13,E94*I94*1/'EF-S1'!$E$45,F94=$E$14,E94*I94*'EF-S1'!$C$41*1/'EF-S1'!$E$45*1/'EF-S1'!$E$47,F94=$E$15,E94*I94*'EF-S1'!$D$41*1/'EF-S1'!$E$45))</f>
        <v>#N/A</v>
      </c>
      <c r="M94" s="155" t="e">
        <f t="shared" si="13"/>
        <v>#N/A</v>
      </c>
      <c r="N94" s="155" t="e">
        <f t="shared" si="14"/>
        <v>#N/A</v>
      </c>
      <c r="O94" s="155" t="e">
        <f t="shared" si="15"/>
        <v>#N/A</v>
      </c>
      <c r="P94" s="156">
        <f t="shared" ref="P94:P104" si="23">+IFERROR(SUM(M94:O94),0)</f>
        <v>0</v>
      </c>
      <c r="T94" s="152"/>
      <c r="U94" s="157"/>
      <c r="V94" s="158"/>
      <c r="W94" s="159"/>
      <c r="X94" s="155" t="e" cm="1">
        <f t="array" ref="X94">+_xlfn.IFS(W94="km",VLOOKUP(U94,'EF-S1'!$J$10:$M$16,2,),W94="l",VLOOKUP(U94,'EF-S1'!$J$26:$M$29,2,))</f>
        <v>#N/A</v>
      </c>
      <c r="Y94" s="155" t="e" cm="1">
        <f t="array" ref="Y94">+_xlfn.IFS(W94="km",VLOOKUP(U94,'EF-S1'!$J$10:$M$16,3,),W94="l",VLOOKUP(U94,'EF-S1'!$J$26:$M$29,3,))</f>
        <v>#N/A</v>
      </c>
      <c r="Z94" s="155" t="e" cm="1">
        <f t="array" ref="Z94">+_xlfn.IFS(W94="km",VLOOKUP(U94,'EF-S1'!$J$10:$M$16,4,),W94="l",VLOOKUP(U94,'EF-S1'!$J$26:$M$29,4,))</f>
        <v>#N/A</v>
      </c>
      <c r="AA94" s="155" t="e">
        <f t="shared" si="17"/>
        <v>#N/A</v>
      </c>
      <c r="AB94" s="155" t="e">
        <f t="shared" si="18"/>
        <v>#N/A</v>
      </c>
      <c r="AC94" s="155" t="e">
        <f t="shared" si="19"/>
        <v>#N/A</v>
      </c>
      <c r="AD94" s="155" t="e">
        <f t="shared" si="20"/>
        <v>#N/A</v>
      </c>
      <c r="AE94" s="155" t="e">
        <f t="shared" si="21"/>
        <v>#N/A</v>
      </c>
      <c r="AF94" s="155" t="e">
        <f t="shared" si="22"/>
        <v>#N/A</v>
      </c>
      <c r="AG94" s="156">
        <f t="shared" ref="AG94:AG104" si="24">+IFERROR(SUM(AD94:AF94),0)</f>
        <v>0</v>
      </c>
      <c r="AK94" s="152"/>
      <c r="AL94" s="160"/>
      <c r="AM94" s="158"/>
      <c r="AN94" s="159" t="s">
        <v>49</v>
      </c>
      <c r="AO94" s="155" t="e">
        <f>+VLOOKUP(AL94,'EF-S1'!$U$10:$V$24,2,)</f>
        <v>#N/A</v>
      </c>
      <c r="AP94" s="155" t="e">
        <f t="shared" si="16"/>
        <v>#N/A</v>
      </c>
      <c r="AQ94" s="156">
        <f t="shared" ref="AQ94:AQ104" si="25">+IFERROR(AP94/1000,0)</f>
        <v>0</v>
      </c>
    </row>
    <row r="95" spans="3:43" x14ac:dyDescent="0.7">
      <c r="C95" s="152"/>
      <c r="D95" s="137"/>
      <c r="E95" s="158"/>
      <c r="F95" s="154"/>
      <c r="G95" s="155" t="e" cm="1">
        <f t="array" ref="G95">+_xlfn.IFS($C$7=$D$12,VLOOKUP(D95,'EF-S1'!$B$10:$E$13,2,),$C$7=$D$13,VLOOKUP(D95,'EF-S1'!$B$17:$E$20,2,),$C$7=$D$14,VLOOKUP(D95,'EF-S1'!$B$24:$E$27,2,),$C$7=$D$15,VLOOKUP(D95,'EF-S1'!$B$31:$E$34,2,))</f>
        <v>#N/A</v>
      </c>
      <c r="H95" s="155" t="e" cm="1">
        <f t="array" ref="H95">+_xlfn.IFS($C$7=$D$12,VLOOKUP(D95,'EF-S1'!$B$10:$E$13,3,),$C$7=$D$13,VLOOKUP(D95,'EF-S1'!$B$17:$E$20,3,),$C$7=$D$14,VLOOKUP(D95,'EF-S1'!$B$24:$E$27,3,),$C$7=$D$15,VLOOKUP(D95,'EF-S1'!$B$31:$E$34,3,))</f>
        <v>#N/A</v>
      </c>
      <c r="I95" s="155" t="e" cm="1">
        <f t="array" ref="I95">+_xlfn.IFS($C$7=$D$12,VLOOKUP(D95,'EF-S1'!$B$10:$E$13,4,),$C$7=$D$13,VLOOKUP(D95,'EF-S1'!$B$17:$E$20,4,),$C$7=$D$14,VLOOKUP(D95,'EF-S1'!$B$24:$E$27,4,),$C$7=$D$15,VLOOKUP(D95,'EF-S1'!$B$31:$E$34,4,))</f>
        <v>#N/A</v>
      </c>
      <c r="J95" s="155" t="e" cm="1">
        <f t="array" ref="J95">+_xlfn.IFS(D95=$C$12,_xlfn.IFS(F95=$E$12,E95*G95*'EF-S1'!$C$38*1/'EF-S1'!$E$45,F95=$E$13,E95*G95*1/'EF-S1'!$E$45,F95=$E$14,E95*G95*'EF-S1'!$C$38*1/'EF-S1'!$E$45*1/'EF-S1'!$E$47,F95=$E$15,E95*G95*'EF-S1'!$D$38*1/'EF-S1'!$E$45),D95=$C$13,_xlfn.IFS(F95=$E$12,E95*G95*'EF-S1'!$C$39*1/'EF-S1'!$E$45,F95=$E$13,E95*G95*1/'EF-S1'!$E$45,F95=$E$14,E95*G95*'EF-S1'!$C$39*1/'EF-S1'!$E$45*1/'EF-S1'!$E$47,F95=$E$15,E95*G95*'EF-S1'!$D$39*1/'EF-S1'!$E$45),D95=$C$14,_xlfn.IFS(F95=$E$12,E95*G95*'EF-S1'!$C$40*1/'EF-S1'!$E$45,F95=$E$13,E95*G95*1/'EF-S1'!$E$45,F95=$E$14,E95*G95*'EF-S1'!$C$40*1/'EF-S1'!$E$45*1/'EF-S1'!$E$47,F95=$E$15,E95*G95*'EF-S1'!$D$40*1/'EF-S1'!$E$45),D95=$C$15,_xlfn.IFS(F95=$E$12,E95*G95*'EF-S1'!$C$41*1/'EF-S1'!$E$45,F95=$E$13,E95*G95*1/'EF-S1'!$E$45,F95=$E$14,E95*G95*'EF-S1'!$C$41*1/'EF-S1'!$E$45*1/'EF-S1'!$E$47,F95=$E$15,E95*G95*'EF-S1'!$D$41*1/'EF-S1'!$E$45))</f>
        <v>#N/A</v>
      </c>
      <c r="K95" s="155" t="e" cm="1">
        <f t="array" ref="K95">+_xlfn.IFS(D95=$C$12,_xlfn.IFS(F95=$E$12,E95*H95*'EF-S1'!$C$38*1/'EF-S1'!$E$45,F95=$E$13,E95*H95*1/'EF-S1'!$E$45,F95=$E$14,E95*H95*'EF-S1'!$C$38*1/'EF-S1'!$E$45*1/'EF-S1'!$E$47,F95=$E$15,E95*H95*'EF-S1'!$D$38*1/'EF-S1'!$E$45),D95=$C$13,_xlfn.IFS(F95=$E$12,E95*H95*'EF-S1'!$C$39*1/'EF-S1'!$E$45,F95=$E$13,E95*H95*1/'EF-S1'!$E$45,F95=$E$14,E95*H95*'EF-S1'!$C$39*1/'EF-S1'!$E$45*1/'EF-S1'!$E$47,F95=$E$15,E95*H95*'EF-S1'!$D$39*1/'EF-S1'!$E$45),D95=$C$14,_xlfn.IFS(F95=$E$12,E95*H95*'EF-S1'!$C$40*1/'EF-S1'!$E$45,F95=$E$13,E95*H95*1/'EF-S1'!$E$45,F95=$E$14,E95*H95*'EF-S1'!$C$40*1/'EF-S1'!$E$45*1/'EF-S1'!$E$47,F95=$E$15,E95*H95*'EF-S1'!$D$40*1/'EF-S1'!$E$45),D95=$C$15,_xlfn.IFS(F95=$E$12,E95*H95*'EF-S1'!$C$41*1/'EF-S1'!$E$45,F95=$E$13,E95*H95*1/'EF-S1'!$E$45,F95=$E$14,E95*H95*'EF-S1'!$C$41*1/'EF-S1'!$E$45*1/'EF-S1'!$E$47,F95=$E$15,E95*H95*'EF-S1'!$D$41*1/'EF-S1'!$E$45))</f>
        <v>#N/A</v>
      </c>
      <c r="L95" s="155" t="e" cm="1">
        <f t="array" ref="L95">+_xlfn.IFS(D95=$C$12,_xlfn.IFS(F95=$E$12,E95*I95*'EF-S1'!$C$38*1/'EF-S1'!$E$45,F95=$E$13,E95*I95*1/'EF-S1'!$E$45,F95=$E$14,E95*I95*'EF-S1'!$C$38*1/'EF-S1'!$E$45*1/'EF-S1'!$E$47,F95=$E$15,E95*I95*'EF-S1'!$D$38*1/'EF-S1'!$E$45),D95=$C$13,_xlfn.IFS(F95=$E$12,E95*I95*'EF-S1'!$C$39*1/'EF-S1'!$E$45,F95=$E$13,E95*I95*1/'EF-S1'!$E$45,F95=$E$14,E95*I95*'EF-S1'!$C$39*1/'EF-S1'!$E$45*1/'EF-S1'!$E$47,F95=$E$15,E95*I95*'EF-S1'!$D$39*1/'EF-S1'!$E$45),D95=$C$14,_xlfn.IFS(F95=$E$12,E95*I95*'EF-S1'!$C$40*1/'EF-S1'!$E$45,F95=$E$13,E95*I95*1/'EF-S1'!$E$45,F95=$E$14,E95*I95*'EF-S1'!$C$40*1/'EF-S1'!$E$45*1/'EF-S1'!$E$47,F95=$E$15,E95*I95*'EF-S1'!$D$40*1/'EF-S1'!$E$45),D95=$C$15,_xlfn.IFS(F95=$E$12,E95*I95*'EF-S1'!$C$41*1/'EF-S1'!$E$45,F95=$E$13,E95*I95*1/'EF-S1'!$E$45,F95=$E$14,E95*I95*'EF-S1'!$C$41*1/'EF-S1'!$E$45*1/'EF-S1'!$E$47,F95=$E$15,E95*I95*'EF-S1'!$D$41*1/'EF-S1'!$E$45))</f>
        <v>#N/A</v>
      </c>
      <c r="M95" s="155" t="e">
        <f t="shared" si="13"/>
        <v>#N/A</v>
      </c>
      <c r="N95" s="155" t="e">
        <f t="shared" si="14"/>
        <v>#N/A</v>
      </c>
      <c r="O95" s="155" t="e">
        <f t="shared" si="15"/>
        <v>#N/A</v>
      </c>
      <c r="P95" s="156">
        <f t="shared" si="23"/>
        <v>0</v>
      </c>
      <c r="T95" s="152"/>
      <c r="U95" s="157"/>
      <c r="V95" s="158"/>
      <c r="W95" s="159"/>
      <c r="X95" s="155" t="e" cm="1">
        <f t="array" ref="X95">+_xlfn.IFS(W95="km",VLOOKUP(U95,'EF-S1'!$J$10:$M$16,2,),W95="l",VLOOKUP(U95,'EF-S1'!$J$26:$M$29,2,))</f>
        <v>#N/A</v>
      </c>
      <c r="Y95" s="155" t="e" cm="1">
        <f t="array" ref="Y95">+_xlfn.IFS(W95="km",VLOOKUP(U95,'EF-S1'!$J$10:$M$16,3,),W95="l",VLOOKUP(U95,'EF-S1'!$J$26:$M$29,3,))</f>
        <v>#N/A</v>
      </c>
      <c r="Z95" s="155" t="e" cm="1">
        <f t="array" ref="Z95">+_xlfn.IFS(W95="km",VLOOKUP(U95,'EF-S1'!$J$10:$M$16,4,),W95="l",VLOOKUP(U95,'EF-S1'!$J$26:$M$29,4,))</f>
        <v>#N/A</v>
      </c>
      <c r="AA95" s="155" t="e">
        <f t="shared" si="17"/>
        <v>#N/A</v>
      </c>
      <c r="AB95" s="155" t="e">
        <f t="shared" si="18"/>
        <v>#N/A</v>
      </c>
      <c r="AC95" s="155" t="e">
        <f t="shared" si="19"/>
        <v>#N/A</v>
      </c>
      <c r="AD95" s="155" t="e">
        <f t="shared" si="20"/>
        <v>#N/A</v>
      </c>
      <c r="AE95" s="155" t="e">
        <f t="shared" si="21"/>
        <v>#N/A</v>
      </c>
      <c r="AF95" s="155" t="e">
        <f t="shared" si="22"/>
        <v>#N/A</v>
      </c>
      <c r="AG95" s="156">
        <f t="shared" si="24"/>
        <v>0</v>
      </c>
      <c r="AK95" s="152"/>
      <c r="AL95" s="160"/>
      <c r="AM95" s="158"/>
      <c r="AN95" s="159" t="s">
        <v>49</v>
      </c>
      <c r="AO95" s="155" t="e">
        <f>+VLOOKUP(AL95,'EF-S1'!$U$10:$V$24,2,)</f>
        <v>#N/A</v>
      </c>
      <c r="AP95" s="155" t="e">
        <f t="shared" si="16"/>
        <v>#N/A</v>
      </c>
      <c r="AQ95" s="156">
        <f t="shared" si="25"/>
        <v>0</v>
      </c>
    </row>
    <row r="96" spans="3:43" x14ac:dyDescent="0.7">
      <c r="C96" s="152"/>
      <c r="D96" s="137"/>
      <c r="E96" s="158"/>
      <c r="F96" s="154"/>
      <c r="G96" s="155" t="e" cm="1">
        <f t="array" ref="G96">+_xlfn.IFS($C$7=$D$12,VLOOKUP(D96,'EF-S1'!$B$10:$E$13,2,),$C$7=$D$13,VLOOKUP(D96,'EF-S1'!$B$17:$E$20,2,),$C$7=$D$14,VLOOKUP(D96,'EF-S1'!$B$24:$E$27,2,),$C$7=$D$15,VLOOKUP(D96,'EF-S1'!$B$31:$E$34,2,))</f>
        <v>#N/A</v>
      </c>
      <c r="H96" s="155" t="e" cm="1">
        <f t="array" ref="H96">+_xlfn.IFS($C$7=$D$12,VLOOKUP(D96,'EF-S1'!$B$10:$E$13,3,),$C$7=$D$13,VLOOKUP(D96,'EF-S1'!$B$17:$E$20,3,),$C$7=$D$14,VLOOKUP(D96,'EF-S1'!$B$24:$E$27,3,),$C$7=$D$15,VLOOKUP(D96,'EF-S1'!$B$31:$E$34,3,))</f>
        <v>#N/A</v>
      </c>
      <c r="I96" s="155" t="e" cm="1">
        <f t="array" ref="I96">+_xlfn.IFS($C$7=$D$12,VLOOKUP(D96,'EF-S1'!$B$10:$E$13,4,),$C$7=$D$13,VLOOKUP(D96,'EF-S1'!$B$17:$E$20,4,),$C$7=$D$14,VLOOKUP(D96,'EF-S1'!$B$24:$E$27,4,),$C$7=$D$15,VLOOKUP(D96,'EF-S1'!$B$31:$E$34,4,))</f>
        <v>#N/A</v>
      </c>
      <c r="J96" s="155" t="e" cm="1">
        <f t="array" ref="J96">+_xlfn.IFS(D96=$C$12,_xlfn.IFS(F96=$E$12,E96*G96*'EF-S1'!$C$38*1/'EF-S1'!$E$45,F96=$E$13,E96*G96*1/'EF-S1'!$E$45,F96=$E$14,E96*G96*'EF-S1'!$C$38*1/'EF-S1'!$E$45*1/'EF-S1'!$E$47,F96=$E$15,E96*G96*'EF-S1'!$D$38*1/'EF-S1'!$E$45),D96=$C$13,_xlfn.IFS(F96=$E$12,E96*G96*'EF-S1'!$C$39*1/'EF-S1'!$E$45,F96=$E$13,E96*G96*1/'EF-S1'!$E$45,F96=$E$14,E96*G96*'EF-S1'!$C$39*1/'EF-S1'!$E$45*1/'EF-S1'!$E$47,F96=$E$15,E96*G96*'EF-S1'!$D$39*1/'EF-S1'!$E$45),D96=$C$14,_xlfn.IFS(F96=$E$12,E96*G96*'EF-S1'!$C$40*1/'EF-S1'!$E$45,F96=$E$13,E96*G96*1/'EF-S1'!$E$45,F96=$E$14,E96*G96*'EF-S1'!$C$40*1/'EF-S1'!$E$45*1/'EF-S1'!$E$47,F96=$E$15,E96*G96*'EF-S1'!$D$40*1/'EF-S1'!$E$45),D96=$C$15,_xlfn.IFS(F96=$E$12,E96*G96*'EF-S1'!$C$41*1/'EF-S1'!$E$45,F96=$E$13,E96*G96*1/'EF-S1'!$E$45,F96=$E$14,E96*G96*'EF-S1'!$C$41*1/'EF-S1'!$E$45*1/'EF-S1'!$E$47,F96=$E$15,E96*G96*'EF-S1'!$D$41*1/'EF-S1'!$E$45))</f>
        <v>#N/A</v>
      </c>
      <c r="K96" s="155" t="e" cm="1">
        <f t="array" ref="K96">+_xlfn.IFS(D96=$C$12,_xlfn.IFS(F96=$E$12,E96*H96*'EF-S1'!$C$38*1/'EF-S1'!$E$45,F96=$E$13,E96*H96*1/'EF-S1'!$E$45,F96=$E$14,E96*H96*'EF-S1'!$C$38*1/'EF-S1'!$E$45*1/'EF-S1'!$E$47,F96=$E$15,E96*H96*'EF-S1'!$D$38*1/'EF-S1'!$E$45),D96=$C$13,_xlfn.IFS(F96=$E$12,E96*H96*'EF-S1'!$C$39*1/'EF-S1'!$E$45,F96=$E$13,E96*H96*1/'EF-S1'!$E$45,F96=$E$14,E96*H96*'EF-S1'!$C$39*1/'EF-S1'!$E$45*1/'EF-S1'!$E$47,F96=$E$15,E96*H96*'EF-S1'!$D$39*1/'EF-S1'!$E$45),D96=$C$14,_xlfn.IFS(F96=$E$12,E96*H96*'EF-S1'!$C$40*1/'EF-S1'!$E$45,F96=$E$13,E96*H96*1/'EF-S1'!$E$45,F96=$E$14,E96*H96*'EF-S1'!$C$40*1/'EF-S1'!$E$45*1/'EF-S1'!$E$47,F96=$E$15,E96*H96*'EF-S1'!$D$40*1/'EF-S1'!$E$45),D96=$C$15,_xlfn.IFS(F96=$E$12,E96*H96*'EF-S1'!$C$41*1/'EF-S1'!$E$45,F96=$E$13,E96*H96*1/'EF-S1'!$E$45,F96=$E$14,E96*H96*'EF-S1'!$C$41*1/'EF-S1'!$E$45*1/'EF-S1'!$E$47,F96=$E$15,E96*H96*'EF-S1'!$D$41*1/'EF-S1'!$E$45))</f>
        <v>#N/A</v>
      </c>
      <c r="L96" s="155" t="e" cm="1">
        <f t="array" ref="L96">+_xlfn.IFS(D96=$C$12,_xlfn.IFS(F96=$E$12,E96*I96*'EF-S1'!$C$38*1/'EF-S1'!$E$45,F96=$E$13,E96*I96*1/'EF-S1'!$E$45,F96=$E$14,E96*I96*'EF-S1'!$C$38*1/'EF-S1'!$E$45*1/'EF-S1'!$E$47,F96=$E$15,E96*I96*'EF-S1'!$D$38*1/'EF-S1'!$E$45),D96=$C$13,_xlfn.IFS(F96=$E$12,E96*I96*'EF-S1'!$C$39*1/'EF-S1'!$E$45,F96=$E$13,E96*I96*1/'EF-S1'!$E$45,F96=$E$14,E96*I96*'EF-S1'!$C$39*1/'EF-S1'!$E$45*1/'EF-S1'!$E$47,F96=$E$15,E96*I96*'EF-S1'!$D$39*1/'EF-S1'!$E$45),D96=$C$14,_xlfn.IFS(F96=$E$12,E96*I96*'EF-S1'!$C$40*1/'EF-S1'!$E$45,F96=$E$13,E96*I96*1/'EF-S1'!$E$45,F96=$E$14,E96*I96*'EF-S1'!$C$40*1/'EF-S1'!$E$45*1/'EF-S1'!$E$47,F96=$E$15,E96*I96*'EF-S1'!$D$40*1/'EF-S1'!$E$45),D96=$C$15,_xlfn.IFS(F96=$E$12,E96*I96*'EF-S1'!$C$41*1/'EF-S1'!$E$45,F96=$E$13,E96*I96*1/'EF-S1'!$E$45,F96=$E$14,E96*I96*'EF-S1'!$C$41*1/'EF-S1'!$E$45*1/'EF-S1'!$E$47,F96=$E$15,E96*I96*'EF-S1'!$D$41*1/'EF-S1'!$E$45))</f>
        <v>#N/A</v>
      </c>
      <c r="M96" s="155" t="e">
        <f t="shared" si="13"/>
        <v>#N/A</v>
      </c>
      <c r="N96" s="155" t="e">
        <f t="shared" si="14"/>
        <v>#N/A</v>
      </c>
      <c r="O96" s="155" t="e">
        <f t="shared" si="15"/>
        <v>#N/A</v>
      </c>
      <c r="P96" s="156">
        <f t="shared" si="23"/>
        <v>0</v>
      </c>
      <c r="T96" s="152"/>
      <c r="U96" s="157"/>
      <c r="V96" s="158"/>
      <c r="W96" s="159"/>
      <c r="X96" s="155" t="e" cm="1">
        <f t="array" ref="X96">+_xlfn.IFS(W96="km",VLOOKUP(U96,'EF-S1'!$J$10:$M$16,2,),W96="l",VLOOKUP(U96,'EF-S1'!$J$26:$M$29,2,))</f>
        <v>#N/A</v>
      </c>
      <c r="Y96" s="155" t="e" cm="1">
        <f t="array" ref="Y96">+_xlfn.IFS(W96="km",VLOOKUP(U96,'EF-S1'!$J$10:$M$16,3,),W96="l",VLOOKUP(U96,'EF-S1'!$J$26:$M$29,3,))</f>
        <v>#N/A</v>
      </c>
      <c r="Z96" s="155" t="e" cm="1">
        <f t="array" ref="Z96">+_xlfn.IFS(W96="km",VLOOKUP(U96,'EF-S1'!$J$10:$M$16,4,),W96="l",VLOOKUP(U96,'EF-S1'!$J$26:$M$29,4,))</f>
        <v>#N/A</v>
      </c>
      <c r="AA96" s="155" t="e">
        <f t="shared" si="17"/>
        <v>#N/A</v>
      </c>
      <c r="AB96" s="155" t="e">
        <f t="shared" si="18"/>
        <v>#N/A</v>
      </c>
      <c r="AC96" s="155" t="e">
        <f t="shared" si="19"/>
        <v>#N/A</v>
      </c>
      <c r="AD96" s="155" t="e">
        <f t="shared" si="20"/>
        <v>#N/A</v>
      </c>
      <c r="AE96" s="155" t="e">
        <f t="shared" si="21"/>
        <v>#N/A</v>
      </c>
      <c r="AF96" s="155" t="e">
        <f t="shared" si="22"/>
        <v>#N/A</v>
      </c>
      <c r="AG96" s="156">
        <f t="shared" si="24"/>
        <v>0</v>
      </c>
      <c r="AK96" s="152"/>
      <c r="AL96" s="160"/>
      <c r="AM96" s="158"/>
      <c r="AN96" s="159" t="s">
        <v>49</v>
      </c>
      <c r="AO96" s="155" t="e">
        <f>+VLOOKUP(AL96,'EF-S1'!$U$10:$V$24,2,)</f>
        <v>#N/A</v>
      </c>
      <c r="AP96" s="155" t="e">
        <f t="shared" si="16"/>
        <v>#N/A</v>
      </c>
      <c r="AQ96" s="156">
        <f t="shared" si="25"/>
        <v>0</v>
      </c>
    </row>
    <row r="97" spans="3:43" x14ac:dyDescent="0.7">
      <c r="C97" s="152"/>
      <c r="D97" s="137"/>
      <c r="E97" s="158"/>
      <c r="F97" s="154"/>
      <c r="G97" s="155" t="e" cm="1">
        <f t="array" ref="G97">+_xlfn.IFS($C$7=$D$12,VLOOKUP(D97,'EF-S1'!$B$10:$E$13,2,),$C$7=$D$13,VLOOKUP(D97,'EF-S1'!$B$17:$E$20,2,),$C$7=$D$14,VLOOKUP(D97,'EF-S1'!$B$24:$E$27,2,),$C$7=$D$15,VLOOKUP(D97,'EF-S1'!$B$31:$E$34,2,))</f>
        <v>#N/A</v>
      </c>
      <c r="H97" s="155" t="e" cm="1">
        <f t="array" ref="H97">+_xlfn.IFS($C$7=$D$12,VLOOKUP(D97,'EF-S1'!$B$10:$E$13,3,),$C$7=$D$13,VLOOKUP(D97,'EF-S1'!$B$17:$E$20,3,),$C$7=$D$14,VLOOKUP(D97,'EF-S1'!$B$24:$E$27,3,),$C$7=$D$15,VLOOKUP(D97,'EF-S1'!$B$31:$E$34,3,))</f>
        <v>#N/A</v>
      </c>
      <c r="I97" s="155" t="e" cm="1">
        <f t="array" ref="I97">+_xlfn.IFS($C$7=$D$12,VLOOKUP(D97,'EF-S1'!$B$10:$E$13,4,),$C$7=$D$13,VLOOKUP(D97,'EF-S1'!$B$17:$E$20,4,),$C$7=$D$14,VLOOKUP(D97,'EF-S1'!$B$24:$E$27,4,),$C$7=$D$15,VLOOKUP(D97,'EF-S1'!$B$31:$E$34,4,))</f>
        <v>#N/A</v>
      </c>
      <c r="J97" s="155" t="e" cm="1">
        <f t="array" ref="J97">+_xlfn.IFS(D97=$C$12,_xlfn.IFS(F97=$E$12,E97*G97*'EF-S1'!$C$38*1/'EF-S1'!$E$45,F97=$E$13,E97*G97*1/'EF-S1'!$E$45,F97=$E$14,E97*G97*'EF-S1'!$C$38*1/'EF-S1'!$E$45*1/'EF-S1'!$E$47,F97=$E$15,E97*G97*'EF-S1'!$D$38*1/'EF-S1'!$E$45),D97=$C$13,_xlfn.IFS(F97=$E$12,E97*G97*'EF-S1'!$C$39*1/'EF-S1'!$E$45,F97=$E$13,E97*G97*1/'EF-S1'!$E$45,F97=$E$14,E97*G97*'EF-S1'!$C$39*1/'EF-S1'!$E$45*1/'EF-S1'!$E$47,F97=$E$15,E97*G97*'EF-S1'!$D$39*1/'EF-S1'!$E$45),D97=$C$14,_xlfn.IFS(F97=$E$12,E97*G97*'EF-S1'!$C$40*1/'EF-S1'!$E$45,F97=$E$13,E97*G97*1/'EF-S1'!$E$45,F97=$E$14,E97*G97*'EF-S1'!$C$40*1/'EF-S1'!$E$45*1/'EF-S1'!$E$47,F97=$E$15,E97*G97*'EF-S1'!$D$40*1/'EF-S1'!$E$45),D97=$C$15,_xlfn.IFS(F97=$E$12,E97*G97*'EF-S1'!$C$41*1/'EF-S1'!$E$45,F97=$E$13,E97*G97*1/'EF-S1'!$E$45,F97=$E$14,E97*G97*'EF-S1'!$C$41*1/'EF-S1'!$E$45*1/'EF-S1'!$E$47,F97=$E$15,E97*G97*'EF-S1'!$D$41*1/'EF-S1'!$E$45))</f>
        <v>#N/A</v>
      </c>
      <c r="K97" s="155" t="e" cm="1">
        <f t="array" ref="K97">+_xlfn.IFS(D97=$C$12,_xlfn.IFS(F97=$E$12,E97*H97*'EF-S1'!$C$38*1/'EF-S1'!$E$45,F97=$E$13,E97*H97*1/'EF-S1'!$E$45,F97=$E$14,E97*H97*'EF-S1'!$C$38*1/'EF-S1'!$E$45*1/'EF-S1'!$E$47,F97=$E$15,E97*H97*'EF-S1'!$D$38*1/'EF-S1'!$E$45),D97=$C$13,_xlfn.IFS(F97=$E$12,E97*H97*'EF-S1'!$C$39*1/'EF-S1'!$E$45,F97=$E$13,E97*H97*1/'EF-S1'!$E$45,F97=$E$14,E97*H97*'EF-S1'!$C$39*1/'EF-S1'!$E$45*1/'EF-S1'!$E$47,F97=$E$15,E97*H97*'EF-S1'!$D$39*1/'EF-S1'!$E$45),D97=$C$14,_xlfn.IFS(F97=$E$12,E97*H97*'EF-S1'!$C$40*1/'EF-S1'!$E$45,F97=$E$13,E97*H97*1/'EF-S1'!$E$45,F97=$E$14,E97*H97*'EF-S1'!$C$40*1/'EF-S1'!$E$45*1/'EF-S1'!$E$47,F97=$E$15,E97*H97*'EF-S1'!$D$40*1/'EF-S1'!$E$45),D97=$C$15,_xlfn.IFS(F97=$E$12,E97*H97*'EF-S1'!$C$41*1/'EF-S1'!$E$45,F97=$E$13,E97*H97*1/'EF-S1'!$E$45,F97=$E$14,E97*H97*'EF-S1'!$C$41*1/'EF-S1'!$E$45*1/'EF-S1'!$E$47,F97=$E$15,E97*H97*'EF-S1'!$D$41*1/'EF-S1'!$E$45))</f>
        <v>#N/A</v>
      </c>
      <c r="L97" s="155" t="e" cm="1">
        <f t="array" ref="L97">+_xlfn.IFS(D97=$C$12,_xlfn.IFS(F97=$E$12,E97*I97*'EF-S1'!$C$38*1/'EF-S1'!$E$45,F97=$E$13,E97*I97*1/'EF-S1'!$E$45,F97=$E$14,E97*I97*'EF-S1'!$C$38*1/'EF-S1'!$E$45*1/'EF-S1'!$E$47,F97=$E$15,E97*I97*'EF-S1'!$D$38*1/'EF-S1'!$E$45),D97=$C$13,_xlfn.IFS(F97=$E$12,E97*I97*'EF-S1'!$C$39*1/'EF-S1'!$E$45,F97=$E$13,E97*I97*1/'EF-S1'!$E$45,F97=$E$14,E97*I97*'EF-S1'!$C$39*1/'EF-S1'!$E$45*1/'EF-S1'!$E$47,F97=$E$15,E97*I97*'EF-S1'!$D$39*1/'EF-S1'!$E$45),D97=$C$14,_xlfn.IFS(F97=$E$12,E97*I97*'EF-S1'!$C$40*1/'EF-S1'!$E$45,F97=$E$13,E97*I97*1/'EF-S1'!$E$45,F97=$E$14,E97*I97*'EF-S1'!$C$40*1/'EF-S1'!$E$45*1/'EF-S1'!$E$47,F97=$E$15,E97*I97*'EF-S1'!$D$40*1/'EF-S1'!$E$45),D97=$C$15,_xlfn.IFS(F97=$E$12,E97*I97*'EF-S1'!$C$41*1/'EF-S1'!$E$45,F97=$E$13,E97*I97*1/'EF-S1'!$E$45,F97=$E$14,E97*I97*'EF-S1'!$C$41*1/'EF-S1'!$E$45*1/'EF-S1'!$E$47,F97=$E$15,E97*I97*'EF-S1'!$D$41*1/'EF-S1'!$E$45))</f>
        <v>#N/A</v>
      </c>
      <c r="M97" s="155" t="e">
        <f t="shared" si="13"/>
        <v>#N/A</v>
      </c>
      <c r="N97" s="155" t="e">
        <f t="shared" si="14"/>
        <v>#N/A</v>
      </c>
      <c r="O97" s="155" t="e">
        <f t="shared" si="15"/>
        <v>#N/A</v>
      </c>
      <c r="P97" s="156">
        <f t="shared" si="23"/>
        <v>0</v>
      </c>
      <c r="T97" s="152"/>
      <c r="U97" s="157"/>
      <c r="V97" s="158"/>
      <c r="W97" s="159"/>
      <c r="X97" s="155" t="e" cm="1">
        <f t="array" ref="X97">+_xlfn.IFS(W97="km",VLOOKUP(U97,'EF-S1'!$J$10:$M$16,2,),W97="l",VLOOKUP(U97,'EF-S1'!$J$26:$M$29,2,))</f>
        <v>#N/A</v>
      </c>
      <c r="Y97" s="155" t="e" cm="1">
        <f t="array" ref="Y97">+_xlfn.IFS(W97="km",VLOOKUP(U97,'EF-S1'!$J$10:$M$16,3,),W97="l",VLOOKUP(U97,'EF-S1'!$J$26:$M$29,3,))</f>
        <v>#N/A</v>
      </c>
      <c r="Z97" s="155" t="e" cm="1">
        <f t="array" ref="Z97">+_xlfn.IFS(W97="km",VLOOKUP(U97,'EF-S1'!$J$10:$M$16,4,),W97="l",VLOOKUP(U97,'EF-S1'!$J$26:$M$29,4,))</f>
        <v>#N/A</v>
      </c>
      <c r="AA97" s="155" t="e">
        <f t="shared" si="17"/>
        <v>#N/A</v>
      </c>
      <c r="AB97" s="155" t="e">
        <f t="shared" si="18"/>
        <v>#N/A</v>
      </c>
      <c r="AC97" s="155" t="e">
        <f t="shared" si="19"/>
        <v>#N/A</v>
      </c>
      <c r="AD97" s="155" t="e">
        <f t="shared" si="20"/>
        <v>#N/A</v>
      </c>
      <c r="AE97" s="155" t="e">
        <f t="shared" si="21"/>
        <v>#N/A</v>
      </c>
      <c r="AF97" s="155" t="e">
        <f t="shared" si="22"/>
        <v>#N/A</v>
      </c>
      <c r="AG97" s="156">
        <f t="shared" si="24"/>
        <v>0</v>
      </c>
      <c r="AK97" s="152"/>
      <c r="AL97" s="160"/>
      <c r="AM97" s="158"/>
      <c r="AN97" s="159" t="s">
        <v>49</v>
      </c>
      <c r="AO97" s="155" t="e">
        <f>+VLOOKUP(AL97,'EF-S1'!$U$10:$V$24,2,)</f>
        <v>#N/A</v>
      </c>
      <c r="AP97" s="155" t="e">
        <f t="shared" si="16"/>
        <v>#N/A</v>
      </c>
      <c r="AQ97" s="156">
        <f t="shared" si="25"/>
        <v>0</v>
      </c>
    </row>
    <row r="98" spans="3:43" x14ac:dyDescent="0.7">
      <c r="C98" s="152"/>
      <c r="D98" s="137"/>
      <c r="E98" s="158"/>
      <c r="F98" s="154"/>
      <c r="G98" s="155" t="e" cm="1">
        <f t="array" ref="G98">+_xlfn.IFS($C$7=$D$12,VLOOKUP(D98,'EF-S1'!$B$10:$E$13,2,),$C$7=$D$13,VLOOKUP(D98,'EF-S1'!$B$17:$E$20,2,),$C$7=$D$14,VLOOKUP(D98,'EF-S1'!$B$24:$E$27,2,),$C$7=$D$15,VLOOKUP(D98,'EF-S1'!$B$31:$E$34,2,))</f>
        <v>#N/A</v>
      </c>
      <c r="H98" s="155" t="e" cm="1">
        <f t="array" ref="H98">+_xlfn.IFS($C$7=$D$12,VLOOKUP(D98,'EF-S1'!$B$10:$E$13,3,),$C$7=$D$13,VLOOKUP(D98,'EF-S1'!$B$17:$E$20,3,),$C$7=$D$14,VLOOKUP(D98,'EF-S1'!$B$24:$E$27,3,),$C$7=$D$15,VLOOKUP(D98,'EF-S1'!$B$31:$E$34,3,))</f>
        <v>#N/A</v>
      </c>
      <c r="I98" s="155" t="e" cm="1">
        <f t="array" ref="I98">+_xlfn.IFS($C$7=$D$12,VLOOKUP(D98,'EF-S1'!$B$10:$E$13,4,),$C$7=$D$13,VLOOKUP(D98,'EF-S1'!$B$17:$E$20,4,),$C$7=$D$14,VLOOKUP(D98,'EF-S1'!$B$24:$E$27,4,),$C$7=$D$15,VLOOKUP(D98,'EF-S1'!$B$31:$E$34,4,))</f>
        <v>#N/A</v>
      </c>
      <c r="J98" s="155" t="e" cm="1">
        <f t="array" ref="J98">+_xlfn.IFS(D98=$C$12,_xlfn.IFS(F98=$E$12,E98*G98*'EF-S1'!$C$38*1/'EF-S1'!$E$45,F98=$E$13,E98*G98*1/'EF-S1'!$E$45,F98=$E$14,E98*G98*'EF-S1'!$C$38*1/'EF-S1'!$E$45*1/'EF-S1'!$E$47,F98=$E$15,E98*G98*'EF-S1'!$D$38*1/'EF-S1'!$E$45),D98=$C$13,_xlfn.IFS(F98=$E$12,E98*G98*'EF-S1'!$C$39*1/'EF-S1'!$E$45,F98=$E$13,E98*G98*1/'EF-S1'!$E$45,F98=$E$14,E98*G98*'EF-S1'!$C$39*1/'EF-S1'!$E$45*1/'EF-S1'!$E$47,F98=$E$15,E98*G98*'EF-S1'!$D$39*1/'EF-S1'!$E$45),D98=$C$14,_xlfn.IFS(F98=$E$12,E98*G98*'EF-S1'!$C$40*1/'EF-S1'!$E$45,F98=$E$13,E98*G98*1/'EF-S1'!$E$45,F98=$E$14,E98*G98*'EF-S1'!$C$40*1/'EF-S1'!$E$45*1/'EF-S1'!$E$47,F98=$E$15,E98*G98*'EF-S1'!$D$40*1/'EF-S1'!$E$45),D98=$C$15,_xlfn.IFS(F98=$E$12,E98*G98*'EF-S1'!$C$41*1/'EF-S1'!$E$45,F98=$E$13,E98*G98*1/'EF-S1'!$E$45,F98=$E$14,E98*G98*'EF-S1'!$C$41*1/'EF-S1'!$E$45*1/'EF-S1'!$E$47,F98=$E$15,E98*G98*'EF-S1'!$D$41*1/'EF-S1'!$E$45))</f>
        <v>#N/A</v>
      </c>
      <c r="K98" s="155" t="e" cm="1">
        <f t="array" ref="K98">+_xlfn.IFS(D98=$C$12,_xlfn.IFS(F98=$E$12,E98*H98*'EF-S1'!$C$38*1/'EF-S1'!$E$45,F98=$E$13,E98*H98*1/'EF-S1'!$E$45,F98=$E$14,E98*H98*'EF-S1'!$C$38*1/'EF-S1'!$E$45*1/'EF-S1'!$E$47,F98=$E$15,E98*H98*'EF-S1'!$D$38*1/'EF-S1'!$E$45),D98=$C$13,_xlfn.IFS(F98=$E$12,E98*H98*'EF-S1'!$C$39*1/'EF-S1'!$E$45,F98=$E$13,E98*H98*1/'EF-S1'!$E$45,F98=$E$14,E98*H98*'EF-S1'!$C$39*1/'EF-S1'!$E$45*1/'EF-S1'!$E$47,F98=$E$15,E98*H98*'EF-S1'!$D$39*1/'EF-S1'!$E$45),D98=$C$14,_xlfn.IFS(F98=$E$12,E98*H98*'EF-S1'!$C$40*1/'EF-S1'!$E$45,F98=$E$13,E98*H98*1/'EF-S1'!$E$45,F98=$E$14,E98*H98*'EF-S1'!$C$40*1/'EF-S1'!$E$45*1/'EF-S1'!$E$47,F98=$E$15,E98*H98*'EF-S1'!$D$40*1/'EF-S1'!$E$45),D98=$C$15,_xlfn.IFS(F98=$E$12,E98*H98*'EF-S1'!$C$41*1/'EF-S1'!$E$45,F98=$E$13,E98*H98*1/'EF-S1'!$E$45,F98=$E$14,E98*H98*'EF-S1'!$C$41*1/'EF-S1'!$E$45*1/'EF-S1'!$E$47,F98=$E$15,E98*H98*'EF-S1'!$D$41*1/'EF-S1'!$E$45))</f>
        <v>#N/A</v>
      </c>
      <c r="L98" s="155" t="e" cm="1">
        <f t="array" ref="L98">+_xlfn.IFS(D98=$C$12,_xlfn.IFS(F98=$E$12,E98*I98*'EF-S1'!$C$38*1/'EF-S1'!$E$45,F98=$E$13,E98*I98*1/'EF-S1'!$E$45,F98=$E$14,E98*I98*'EF-S1'!$C$38*1/'EF-S1'!$E$45*1/'EF-S1'!$E$47,F98=$E$15,E98*I98*'EF-S1'!$D$38*1/'EF-S1'!$E$45),D98=$C$13,_xlfn.IFS(F98=$E$12,E98*I98*'EF-S1'!$C$39*1/'EF-S1'!$E$45,F98=$E$13,E98*I98*1/'EF-S1'!$E$45,F98=$E$14,E98*I98*'EF-S1'!$C$39*1/'EF-S1'!$E$45*1/'EF-S1'!$E$47,F98=$E$15,E98*I98*'EF-S1'!$D$39*1/'EF-S1'!$E$45),D98=$C$14,_xlfn.IFS(F98=$E$12,E98*I98*'EF-S1'!$C$40*1/'EF-S1'!$E$45,F98=$E$13,E98*I98*1/'EF-S1'!$E$45,F98=$E$14,E98*I98*'EF-S1'!$C$40*1/'EF-S1'!$E$45*1/'EF-S1'!$E$47,F98=$E$15,E98*I98*'EF-S1'!$D$40*1/'EF-S1'!$E$45),D98=$C$15,_xlfn.IFS(F98=$E$12,E98*I98*'EF-S1'!$C$41*1/'EF-S1'!$E$45,F98=$E$13,E98*I98*1/'EF-S1'!$E$45,F98=$E$14,E98*I98*'EF-S1'!$C$41*1/'EF-S1'!$E$45*1/'EF-S1'!$E$47,F98=$E$15,E98*I98*'EF-S1'!$D$41*1/'EF-S1'!$E$45))</f>
        <v>#N/A</v>
      </c>
      <c r="M98" s="155" t="e">
        <f t="shared" ref="M98:M104" si="26">+J98/1000</f>
        <v>#N/A</v>
      </c>
      <c r="N98" s="155" t="e">
        <f t="shared" ref="N98:N104" si="27">+K98/1000</f>
        <v>#N/A</v>
      </c>
      <c r="O98" s="155" t="e">
        <f t="shared" ref="O98:O104" si="28">+L98/1000</f>
        <v>#N/A</v>
      </c>
      <c r="P98" s="156">
        <f t="shared" si="23"/>
        <v>0</v>
      </c>
      <c r="T98" s="152"/>
      <c r="U98" s="157"/>
      <c r="V98" s="158"/>
      <c r="W98" s="159"/>
      <c r="X98" s="155" t="e" cm="1">
        <f t="array" ref="X98">+_xlfn.IFS(W98="km",VLOOKUP(U98,'EF-S1'!$J$10:$M$16,2,),W98="l",VLOOKUP(U98,'EF-S1'!$J$26:$M$29,2,))</f>
        <v>#N/A</v>
      </c>
      <c r="Y98" s="155" t="e" cm="1">
        <f t="array" ref="Y98">+_xlfn.IFS(W98="km",VLOOKUP(U98,'EF-S1'!$J$10:$M$16,3,),W98="l",VLOOKUP(U98,'EF-S1'!$J$26:$M$29,3,))</f>
        <v>#N/A</v>
      </c>
      <c r="Z98" s="155" t="e" cm="1">
        <f t="array" ref="Z98">+_xlfn.IFS(W98="km",VLOOKUP(U98,'EF-S1'!$J$10:$M$16,4,),W98="l",VLOOKUP(U98,'EF-S1'!$J$26:$M$29,4,))</f>
        <v>#N/A</v>
      </c>
      <c r="AA98" s="155" t="e">
        <f t="shared" si="17"/>
        <v>#N/A</v>
      </c>
      <c r="AB98" s="155" t="e">
        <f t="shared" si="18"/>
        <v>#N/A</v>
      </c>
      <c r="AC98" s="155" t="e">
        <f t="shared" si="19"/>
        <v>#N/A</v>
      </c>
      <c r="AD98" s="155" t="e">
        <f t="shared" si="20"/>
        <v>#N/A</v>
      </c>
      <c r="AE98" s="155" t="e">
        <f t="shared" si="21"/>
        <v>#N/A</v>
      </c>
      <c r="AF98" s="155" t="e">
        <f t="shared" si="22"/>
        <v>#N/A</v>
      </c>
      <c r="AG98" s="156">
        <f t="shared" si="24"/>
        <v>0</v>
      </c>
      <c r="AK98" s="152"/>
      <c r="AL98" s="160"/>
      <c r="AM98" s="158"/>
      <c r="AN98" s="159" t="s">
        <v>49</v>
      </c>
      <c r="AO98" s="155" t="e">
        <f>+VLOOKUP(AL98,'EF-S1'!$U$10:$V$24,2,)</f>
        <v>#N/A</v>
      </c>
      <c r="AP98" s="155" t="e">
        <f t="shared" si="16"/>
        <v>#N/A</v>
      </c>
      <c r="AQ98" s="156">
        <f t="shared" si="25"/>
        <v>0</v>
      </c>
    </row>
    <row r="99" spans="3:43" x14ac:dyDescent="0.7">
      <c r="C99" s="152"/>
      <c r="D99" s="137"/>
      <c r="E99" s="158"/>
      <c r="F99" s="154"/>
      <c r="G99" s="155" t="e" cm="1">
        <f t="array" ref="G99">+_xlfn.IFS($C$7=$D$12,VLOOKUP(D99,'EF-S1'!$B$10:$E$13,2,),$C$7=$D$13,VLOOKUP(D99,'EF-S1'!$B$17:$E$20,2,),$C$7=$D$14,VLOOKUP(D99,'EF-S1'!$B$24:$E$27,2,),$C$7=$D$15,VLOOKUP(D99,'EF-S1'!$B$31:$E$34,2,))</f>
        <v>#N/A</v>
      </c>
      <c r="H99" s="155" t="e" cm="1">
        <f t="array" ref="H99">+_xlfn.IFS($C$7=$D$12,VLOOKUP(D99,'EF-S1'!$B$10:$E$13,3,),$C$7=$D$13,VLOOKUP(D99,'EF-S1'!$B$17:$E$20,3,),$C$7=$D$14,VLOOKUP(D99,'EF-S1'!$B$24:$E$27,3,),$C$7=$D$15,VLOOKUP(D99,'EF-S1'!$B$31:$E$34,3,))</f>
        <v>#N/A</v>
      </c>
      <c r="I99" s="155" t="e" cm="1">
        <f t="array" ref="I99">+_xlfn.IFS($C$7=$D$12,VLOOKUP(D99,'EF-S1'!$B$10:$E$13,4,),$C$7=$D$13,VLOOKUP(D99,'EF-S1'!$B$17:$E$20,4,),$C$7=$D$14,VLOOKUP(D99,'EF-S1'!$B$24:$E$27,4,),$C$7=$D$15,VLOOKUP(D99,'EF-S1'!$B$31:$E$34,4,))</f>
        <v>#N/A</v>
      </c>
      <c r="J99" s="155" t="e" cm="1">
        <f t="array" ref="J99">+_xlfn.IFS(D99=$C$12,_xlfn.IFS(F99=$E$12,E99*G99*'EF-S1'!$C$38*1/'EF-S1'!$E$45,F99=$E$13,E99*G99*1/'EF-S1'!$E$45,F99=$E$14,E99*G99*'EF-S1'!$C$38*1/'EF-S1'!$E$45*1/'EF-S1'!$E$47,F99=$E$15,E99*G99*'EF-S1'!$D$38*1/'EF-S1'!$E$45),D99=$C$13,_xlfn.IFS(F99=$E$12,E99*G99*'EF-S1'!$C$39*1/'EF-S1'!$E$45,F99=$E$13,E99*G99*1/'EF-S1'!$E$45,F99=$E$14,E99*G99*'EF-S1'!$C$39*1/'EF-S1'!$E$45*1/'EF-S1'!$E$47,F99=$E$15,E99*G99*'EF-S1'!$D$39*1/'EF-S1'!$E$45),D99=$C$14,_xlfn.IFS(F99=$E$12,E99*G99*'EF-S1'!$C$40*1/'EF-S1'!$E$45,F99=$E$13,E99*G99*1/'EF-S1'!$E$45,F99=$E$14,E99*G99*'EF-S1'!$C$40*1/'EF-S1'!$E$45*1/'EF-S1'!$E$47,F99=$E$15,E99*G99*'EF-S1'!$D$40*1/'EF-S1'!$E$45),D99=$C$15,_xlfn.IFS(F99=$E$12,E99*G99*'EF-S1'!$C$41*1/'EF-S1'!$E$45,F99=$E$13,E99*G99*1/'EF-S1'!$E$45,F99=$E$14,E99*G99*'EF-S1'!$C$41*1/'EF-S1'!$E$45*1/'EF-S1'!$E$47,F99=$E$15,E99*G99*'EF-S1'!$D$41*1/'EF-S1'!$E$45))</f>
        <v>#N/A</v>
      </c>
      <c r="K99" s="155" t="e" cm="1">
        <f t="array" ref="K99">+_xlfn.IFS(D99=$C$12,_xlfn.IFS(F99=$E$12,E99*H99*'EF-S1'!$C$38*1/'EF-S1'!$E$45,F99=$E$13,E99*H99*1/'EF-S1'!$E$45,F99=$E$14,E99*H99*'EF-S1'!$C$38*1/'EF-S1'!$E$45*1/'EF-S1'!$E$47,F99=$E$15,E99*H99*'EF-S1'!$D$38*1/'EF-S1'!$E$45),D99=$C$13,_xlfn.IFS(F99=$E$12,E99*H99*'EF-S1'!$C$39*1/'EF-S1'!$E$45,F99=$E$13,E99*H99*1/'EF-S1'!$E$45,F99=$E$14,E99*H99*'EF-S1'!$C$39*1/'EF-S1'!$E$45*1/'EF-S1'!$E$47,F99=$E$15,E99*H99*'EF-S1'!$D$39*1/'EF-S1'!$E$45),D99=$C$14,_xlfn.IFS(F99=$E$12,E99*H99*'EF-S1'!$C$40*1/'EF-S1'!$E$45,F99=$E$13,E99*H99*1/'EF-S1'!$E$45,F99=$E$14,E99*H99*'EF-S1'!$C$40*1/'EF-S1'!$E$45*1/'EF-S1'!$E$47,F99=$E$15,E99*H99*'EF-S1'!$D$40*1/'EF-S1'!$E$45),D99=$C$15,_xlfn.IFS(F99=$E$12,E99*H99*'EF-S1'!$C$41*1/'EF-S1'!$E$45,F99=$E$13,E99*H99*1/'EF-S1'!$E$45,F99=$E$14,E99*H99*'EF-S1'!$C$41*1/'EF-S1'!$E$45*1/'EF-S1'!$E$47,F99=$E$15,E99*H99*'EF-S1'!$D$41*1/'EF-S1'!$E$45))</f>
        <v>#N/A</v>
      </c>
      <c r="L99" s="155" t="e" cm="1">
        <f t="array" ref="L99">+_xlfn.IFS(D99=$C$12,_xlfn.IFS(F99=$E$12,E99*I99*'EF-S1'!$C$38*1/'EF-S1'!$E$45,F99=$E$13,E99*I99*1/'EF-S1'!$E$45,F99=$E$14,E99*I99*'EF-S1'!$C$38*1/'EF-S1'!$E$45*1/'EF-S1'!$E$47,F99=$E$15,E99*I99*'EF-S1'!$D$38*1/'EF-S1'!$E$45),D99=$C$13,_xlfn.IFS(F99=$E$12,E99*I99*'EF-S1'!$C$39*1/'EF-S1'!$E$45,F99=$E$13,E99*I99*1/'EF-S1'!$E$45,F99=$E$14,E99*I99*'EF-S1'!$C$39*1/'EF-S1'!$E$45*1/'EF-S1'!$E$47,F99=$E$15,E99*I99*'EF-S1'!$D$39*1/'EF-S1'!$E$45),D99=$C$14,_xlfn.IFS(F99=$E$12,E99*I99*'EF-S1'!$C$40*1/'EF-S1'!$E$45,F99=$E$13,E99*I99*1/'EF-S1'!$E$45,F99=$E$14,E99*I99*'EF-S1'!$C$40*1/'EF-S1'!$E$45*1/'EF-S1'!$E$47,F99=$E$15,E99*I99*'EF-S1'!$D$40*1/'EF-S1'!$E$45),D99=$C$15,_xlfn.IFS(F99=$E$12,E99*I99*'EF-S1'!$C$41*1/'EF-S1'!$E$45,F99=$E$13,E99*I99*1/'EF-S1'!$E$45,F99=$E$14,E99*I99*'EF-S1'!$C$41*1/'EF-S1'!$E$45*1/'EF-S1'!$E$47,F99=$E$15,E99*I99*'EF-S1'!$D$41*1/'EF-S1'!$E$45))</f>
        <v>#N/A</v>
      </c>
      <c r="M99" s="155" t="e">
        <f t="shared" si="26"/>
        <v>#N/A</v>
      </c>
      <c r="N99" s="155" t="e">
        <f t="shared" si="27"/>
        <v>#N/A</v>
      </c>
      <c r="O99" s="155" t="e">
        <f t="shared" si="28"/>
        <v>#N/A</v>
      </c>
      <c r="P99" s="156">
        <f t="shared" si="23"/>
        <v>0</v>
      </c>
      <c r="T99" s="152"/>
      <c r="U99" s="157"/>
      <c r="V99" s="158"/>
      <c r="W99" s="159"/>
      <c r="X99" s="155" t="e" cm="1">
        <f t="array" ref="X99">+_xlfn.IFS(W99="km",VLOOKUP(U99,'EF-S1'!$J$10:$M$16,2,),W99="l",VLOOKUP(U99,'EF-S1'!$J$26:$M$29,2,))</f>
        <v>#N/A</v>
      </c>
      <c r="Y99" s="155" t="e" cm="1">
        <f t="array" ref="Y99">+_xlfn.IFS(W99="km",VLOOKUP(U99,'EF-S1'!$J$10:$M$16,3,),W99="l",VLOOKUP(U99,'EF-S1'!$J$26:$M$29,3,))</f>
        <v>#N/A</v>
      </c>
      <c r="Z99" s="155" t="e" cm="1">
        <f t="array" ref="Z99">+_xlfn.IFS(W99="km",VLOOKUP(U99,'EF-S1'!$J$10:$M$16,4,),W99="l",VLOOKUP(U99,'EF-S1'!$J$26:$M$29,4,))</f>
        <v>#N/A</v>
      </c>
      <c r="AA99" s="155" t="e">
        <f t="shared" si="17"/>
        <v>#N/A</v>
      </c>
      <c r="AB99" s="155" t="e">
        <f t="shared" si="18"/>
        <v>#N/A</v>
      </c>
      <c r="AC99" s="155" t="e">
        <f t="shared" si="19"/>
        <v>#N/A</v>
      </c>
      <c r="AD99" s="155" t="e">
        <f t="shared" si="20"/>
        <v>#N/A</v>
      </c>
      <c r="AE99" s="155" t="e">
        <f t="shared" si="21"/>
        <v>#N/A</v>
      </c>
      <c r="AF99" s="155" t="e">
        <f t="shared" si="22"/>
        <v>#N/A</v>
      </c>
      <c r="AG99" s="156">
        <f t="shared" si="24"/>
        <v>0</v>
      </c>
      <c r="AK99" s="152"/>
      <c r="AL99" s="160"/>
      <c r="AM99" s="158"/>
      <c r="AN99" s="159" t="s">
        <v>49</v>
      </c>
      <c r="AO99" s="155" t="e">
        <f>+VLOOKUP(AL99,'EF-S1'!$U$10:$V$24,2,)</f>
        <v>#N/A</v>
      </c>
      <c r="AP99" s="155" t="e">
        <f t="shared" ref="AP99:AP104" si="29">+AM99*AO99</f>
        <v>#N/A</v>
      </c>
      <c r="AQ99" s="156">
        <f t="shared" si="25"/>
        <v>0</v>
      </c>
    </row>
    <row r="100" spans="3:43" x14ac:dyDescent="0.7">
      <c r="C100" s="152"/>
      <c r="D100" s="137"/>
      <c r="E100" s="158"/>
      <c r="F100" s="154"/>
      <c r="G100" s="155" t="e" cm="1">
        <f t="array" ref="G100">+_xlfn.IFS($C$7=$D$12,VLOOKUP(D100,'EF-S1'!$B$10:$E$13,2,),$C$7=$D$13,VLOOKUP(D100,'EF-S1'!$B$17:$E$20,2,),$C$7=$D$14,VLOOKUP(D100,'EF-S1'!$B$24:$E$27,2,),$C$7=$D$15,VLOOKUP(D100,'EF-S1'!$B$31:$E$34,2,))</f>
        <v>#N/A</v>
      </c>
      <c r="H100" s="155" t="e" cm="1">
        <f t="array" ref="H100">+_xlfn.IFS($C$7=$D$12,VLOOKUP(D100,'EF-S1'!$B$10:$E$13,3,),$C$7=$D$13,VLOOKUP(D100,'EF-S1'!$B$17:$E$20,3,),$C$7=$D$14,VLOOKUP(D100,'EF-S1'!$B$24:$E$27,3,),$C$7=$D$15,VLOOKUP(D100,'EF-S1'!$B$31:$E$34,3,))</f>
        <v>#N/A</v>
      </c>
      <c r="I100" s="155" t="e" cm="1">
        <f t="array" ref="I100">+_xlfn.IFS($C$7=$D$12,VLOOKUP(D100,'EF-S1'!$B$10:$E$13,4,),$C$7=$D$13,VLOOKUP(D100,'EF-S1'!$B$17:$E$20,4,),$C$7=$D$14,VLOOKUP(D100,'EF-S1'!$B$24:$E$27,4,),$C$7=$D$15,VLOOKUP(D100,'EF-S1'!$B$31:$E$34,4,))</f>
        <v>#N/A</v>
      </c>
      <c r="J100" s="155" t="e" cm="1">
        <f t="array" ref="J100">+_xlfn.IFS(D100=$C$12,_xlfn.IFS(F100=$E$12,E100*G100*'EF-S1'!$C$38*1/'EF-S1'!$E$45,F100=$E$13,E100*G100*1/'EF-S1'!$E$45,F100=$E$14,E100*G100*'EF-S1'!$C$38*1/'EF-S1'!$E$45*1/'EF-S1'!$E$47,F100=$E$15,E100*G100*'EF-S1'!$D$38*1/'EF-S1'!$E$45),D100=$C$13,_xlfn.IFS(F100=$E$12,E100*G100*'EF-S1'!$C$39*1/'EF-S1'!$E$45,F100=$E$13,E100*G100*1/'EF-S1'!$E$45,F100=$E$14,E100*G100*'EF-S1'!$C$39*1/'EF-S1'!$E$45*1/'EF-S1'!$E$47,F100=$E$15,E100*G100*'EF-S1'!$D$39*1/'EF-S1'!$E$45),D100=$C$14,_xlfn.IFS(F100=$E$12,E100*G100*'EF-S1'!$C$40*1/'EF-S1'!$E$45,F100=$E$13,E100*G100*1/'EF-S1'!$E$45,F100=$E$14,E100*G100*'EF-S1'!$C$40*1/'EF-S1'!$E$45*1/'EF-S1'!$E$47,F100=$E$15,E100*G100*'EF-S1'!$D$40*1/'EF-S1'!$E$45),D100=$C$15,_xlfn.IFS(F100=$E$12,E100*G100*'EF-S1'!$C$41*1/'EF-S1'!$E$45,F100=$E$13,E100*G100*1/'EF-S1'!$E$45,F100=$E$14,E100*G100*'EF-S1'!$C$41*1/'EF-S1'!$E$45*1/'EF-S1'!$E$47,F100=$E$15,E100*G100*'EF-S1'!$D$41*1/'EF-S1'!$E$45))</f>
        <v>#N/A</v>
      </c>
      <c r="K100" s="155" t="e" cm="1">
        <f t="array" ref="K100">+_xlfn.IFS(D100=$C$12,_xlfn.IFS(F100=$E$12,E100*H100*'EF-S1'!$C$38*1/'EF-S1'!$E$45,F100=$E$13,E100*H100*1/'EF-S1'!$E$45,F100=$E$14,E100*H100*'EF-S1'!$C$38*1/'EF-S1'!$E$45*1/'EF-S1'!$E$47,F100=$E$15,E100*H100*'EF-S1'!$D$38*1/'EF-S1'!$E$45),D100=$C$13,_xlfn.IFS(F100=$E$12,E100*H100*'EF-S1'!$C$39*1/'EF-S1'!$E$45,F100=$E$13,E100*H100*1/'EF-S1'!$E$45,F100=$E$14,E100*H100*'EF-S1'!$C$39*1/'EF-S1'!$E$45*1/'EF-S1'!$E$47,F100=$E$15,E100*H100*'EF-S1'!$D$39*1/'EF-S1'!$E$45),D100=$C$14,_xlfn.IFS(F100=$E$12,E100*H100*'EF-S1'!$C$40*1/'EF-S1'!$E$45,F100=$E$13,E100*H100*1/'EF-S1'!$E$45,F100=$E$14,E100*H100*'EF-S1'!$C$40*1/'EF-S1'!$E$45*1/'EF-S1'!$E$47,F100=$E$15,E100*H100*'EF-S1'!$D$40*1/'EF-S1'!$E$45),D100=$C$15,_xlfn.IFS(F100=$E$12,E100*H100*'EF-S1'!$C$41*1/'EF-S1'!$E$45,F100=$E$13,E100*H100*1/'EF-S1'!$E$45,F100=$E$14,E100*H100*'EF-S1'!$C$41*1/'EF-S1'!$E$45*1/'EF-S1'!$E$47,F100=$E$15,E100*H100*'EF-S1'!$D$41*1/'EF-S1'!$E$45))</f>
        <v>#N/A</v>
      </c>
      <c r="L100" s="155" t="e" cm="1">
        <f t="array" ref="L100">+_xlfn.IFS(D100=$C$12,_xlfn.IFS(F100=$E$12,E100*I100*'EF-S1'!$C$38*1/'EF-S1'!$E$45,F100=$E$13,E100*I100*1/'EF-S1'!$E$45,F100=$E$14,E100*I100*'EF-S1'!$C$38*1/'EF-S1'!$E$45*1/'EF-S1'!$E$47,F100=$E$15,E100*I100*'EF-S1'!$D$38*1/'EF-S1'!$E$45),D100=$C$13,_xlfn.IFS(F100=$E$12,E100*I100*'EF-S1'!$C$39*1/'EF-S1'!$E$45,F100=$E$13,E100*I100*1/'EF-S1'!$E$45,F100=$E$14,E100*I100*'EF-S1'!$C$39*1/'EF-S1'!$E$45*1/'EF-S1'!$E$47,F100=$E$15,E100*I100*'EF-S1'!$D$39*1/'EF-S1'!$E$45),D100=$C$14,_xlfn.IFS(F100=$E$12,E100*I100*'EF-S1'!$C$40*1/'EF-S1'!$E$45,F100=$E$13,E100*I100*1/'EF-S1'!$E$45,F100=$E$14,E100*I100*'EF-S1'!$C$40*1/'EF-S1'!$E$45*1/'EF-S1'!$E$47,F100=$E$15,E100*I100*'EF-S1'!$D$40*1/'EF-S1'!$E$45),D100=$C$15,_xlfn.IFS(F100=$E$12,E100*I100*'EF-S1'!$C$41*1/'EF-S1'!$E$45,F100=$E$13,E100*I100*1/'EF-S1'!$E$45,F100=$E$14,E100*I100*'EF-S1'!$C$41*1/'EF-S1'!$E$45*1/'EF-S1'!$E$47,F100=$E$15,E100*I100*'EF-S1'!$D$41*1/'EF-S1'!$E$45))</f>
        <v>#N/A</v>
      </c>
      <c r="M100" s="155" t="e">
        <f t="shared" si="26"/>
        <v>#N/A</v>
      </c>
      <c r="N100" s="155" t="e">
        <f t="shared" si="27"/>
        <v>#N/A</v>
      </c>
      <c r="O100" s="155" t="e">
        <f t="shared" si="28"/>
        <v>#N/A</v>
      </c>
      <c r="P100" s="156">
        <f t="shared" si="23"/>
        <v>0</v>
      </c>
      <c r="T100" s="152"/>
      <c r="U100" s="157"/>
      <c r="V100" s="158"/>
      <c r="W100" s="159"/>
      <c r="X100" s="155" t="e" cm="1">
        <f t="array" ref="X100">+_xlfn.IFS(W100="km",VLOOKUP(U100,'EF-S1'!$J$10:$M$16,2,),W100="l",VLOOKUP(U100,'EF-S1'!$J$26:$M$29,2,))</f>
        <v>#N/A</v>
      </c>
      <c r="Y100" s="155" t="e" cm="1">
        <f t="array" ref="Y100">+_xlfn.IFS(W100="km",VLOOKUP(U100,'EF-S1'!$J$10:$M$16,3,),W100="l",VLOOKUP(U100,'EF-S1'!$J$26:$M$29,3,))</f>
        <v>#N/A</v>
      </c>
      <c r="Z100" s="155" t="e" cm="1">
        <f t="array" ref="Z100">+_xlfn.IFS(W100="km",VLOOKUP(U100,'EF-S1'!$J$10:$M$16,4,),W100="l",VLOOKUP(U100,'EF-S1'!$J$26:$M$29,4,))</f>
        <v>#N/A</v>
      </c>
      <c r="AA100" s="155" t="e">
        <f t="shared" ref="AA100:AA104" si="30">+$V100*X100</f>
        <v>#N/A</v>
      </c>
      <c r="AB100" s="155" t="e">
        <f t="shared" ref="AB100:AB104" si="31">+$V100*Y100</f>
        <v>#N/A</v>
      </c>
      <c r="AC100" s="155" t="e">
        <f t="shared" ref="AC100:AC104" si="32">+$V100*Z100</f>
        <v>#N/A</v>
      </c>
      <c r="AD100" s="155" t="e">
        <f t="shared" ref="AD100:AD104" si="33">+AA100/1000</f>
        <v>#N/A</v>
      </c>
      <c r="AE100" s="155" t="e">
        <f t="shared" ref="AE100:AE104" si="34">+AB100/1000</f>
        <v>#N/A</v>
      </c>
      <c r="AF100" s="155" t="e">
        <f t="shared" ref="AF100:AF104" si="35">+AC100/1000</f>
        <v>#N/A</v>
      </c>
      <c r="AG100" s="156">
        <f t="shared" si="24"/>
        <v>0</v>
      </c>
      <c r="AK100" s="152"/>
      <c r="AL100" s="160"/>
      <c r="AM100" s="158"/>
      <c r="AN100" s="159" t="s">
        <v>49</v>
      </c>
      <c r="AO100" s="155" t="e">
        <f>+VLOOKUP(AL100,'EF-S1'!$U$10:$V$24,2,)</f>
        <v>#N/A</v>
      </c>
      <c r="AP100" s="155" t="e">
        <f t="shared" si="29"/>
        <v>#N/A</v>
      </c>
      <c r="AQ100" s="156">
        <f t="shared" si="25"/>
        <v>0</v>
      </c>
    </row>
    <row r="101" spans="3:43" x14ac:dyDescent="0.7">
      <c r="C101" s="152"/>
      <c r="D101" s="137"/>
      <c r="E101" s="158"/>
      <c r="F101" s="154"/>
      <c r="G101" s="155" t="e" cm="1">
        <f t="array" ref="G101">+_xlfn.IFS($C$7=$D$12,VLOOKUP(D101,'EF-S1'!$B$10:$E$13,2,),$C$7=$D$13,VLOOKUP(D101,'EF-S1'!$B$17:$E$20,2,),$C$7=$D$14,VLOOKUP(D101,'EF-S1'!$B$24:$E$27,2,),$C$7=$D$15,VLOOKUP(D101,'EF-S1'!$B$31:$E$34,2,))</f>
        <v>#N/A</v>
      </c>
      <c r="H101" s="155" t="e" cm="1">
        <f t="array" ref="H101">+_xlfn.IFS($C$7=$D$12,VLOOKUP(D101,'EF-S1'!$B$10:$E$13,3,),$C$7=$D$13,VLOOKUP(D101,'EF-S1'!$B$17:$E$20,3,),$C$7=$D$14,VLOOKUP(D101,'EF-S1'!$B$24:$E$27,3,),$C$7=$D$15,VLOOKUP(D101,'EF-S1'!$B$31:$E$34,3,))</f>
        <v>#N/A</v>
      </c>
      <c r="I101" s="155" t="e" cm="1">
        <f t="array" ref="I101">+_xlfn.IFS($C$7=$D$12,VLOOKUP(D101,'EF-S1'!$B$10:$E$13,4,),$C$7=$D$13,VLOOKUP(D101,'EF-S1'!$B$17:$E$20,4,),$C$7=$D$14,VLOOKUP(D101,'EF-S1'!$B$24:$E$27,4,),$C$7=$D$15,VLOOKUP(D101,'EF-S1'!$B$31:$E$34,4,))</f>
        <v>#N/A</v>
      </c>
      <c r="J101" s="155" t="e" cm="1">
        <f t="array" ref="J101">+_xlfn.IFS(D101=$C$12,_xlfn.IFS(F101=$E$12,E101*G101*'EF-S1'!$C$38*1/'EF-S1'!$E$45,F101=$E$13,E101*G101*1/'EF-S1'!$E$45,F101=$E$14,E101*G101*'EF-S1'!$C$38*1/'EF-S1'!$E$45*1/'EF-S1'!$E$47,F101=$E$15,E101*G101*'EF-S1'!$D$38*1/'EF-S1'!$E$45),D101=$C$13,_xlfn.IFS(F101=$E$12,E101*G101*'EF-S1'!$C$39*1/'EF-S1'!$E$45,F101=$E$13,E101*G101*1/'EF-S1'!$E$45,F101=$E$14,E101*G101*'EF-S1'!$C$39*1/'EF-S1'!$E$45*1/'EF-S1'!$E$47,F101=$E$15,E101*G101*'EF-S1'!$D$39*1/'EF-S1'!$E$45),D101=$C$14,_xlfn.IFS(F101=$E$12,E101*G101*'EF-S1'!$C$40*1/'EF-S1'!$E$45,F101=$E$13,E101*G101*1/'EF-S1'!$E$45,F101=$E$14,E101*G101*'EF-S1'!$C$40*1/'EF-S1'!$E$45*1/'EF-S1'!$E$47,F101=$E$15,E101*G101*'EF-S1'!$D$40*1/'EF-S1'!$E$45),D101=$C$15,_xlfn.IFS(F101=$E$12,E101*G101*'EF-S1'!$C$41*1/'EF-S1'!$E$45,F101=$E$13,E101*G101*1/'EF-S1'!$E$45,F101=$E$14,E101*G101*'EF-S1'!$C$41*1/'EF-S1'!$E$45*1/'EF-S1'!$E$47,F101=$E$15,E101*G101*'EF-S1'!$D$41*1/'EF-S1'!$E$45))</f>
        <v>#N/A</v>
      </c>
      <c r="K101" s="155" t="e" cm="1">
        <f t="array" ref="K101">+_xlfn.IFS(D101=$C$12,_xlfn.IFS(F101=$E$12,E101*H101*'EF-S1'!$C$38*1/'EF-S1'!$E$45,F101=$E$13,E101*H101*1/'EF-S1'!$E$45,F101=$E$14,E101*H101*'EF-S1'!$C$38*1/'EF-S1'!$E$45*1/'EF-S1'!$E$47,F101=$E$15,E101*H101*'EF-S1'!$D$38*1/'EF-S1'!$E$45),D101=$C$13,_xlfn.IFS(F101=$E$12,E101*H101*'EF-S1'!$C$39*1/'EF-S1'!$E$45,F101=$E$13,E101*H101*1/'EF-S1'!$E$45,F101=$E$14,E101*H101*'EF-S1'!$C$39*1/'EF-S1'!$E$45*1/'EF-S1'!$E$47,F101=$E$15,E101*H101*'EF-S1'!$D$39*1/'EF-S1'!$E$45),D101=$C$14,_xlfn.IFS(F101=$E$12,E101*H101*'EF-S1'!$C$40*1/'EF-S1'!$E$45,F101=$E$13,E101*H101*1/'EF-S1'!$E$45,F101=$E$14,E101*H101*'EF-S1'!$C$40*1/'EF-S1'!$E$45*1/'EF-S1'!$E$47,F101=$E$15,E101*H101*'EF-S1'!$D$40*1/'EF-S1'!$E$45),D101=$C$15,_xlfn.IFS(F101=$E$12,E101*H101*'EF-S1'!$C$41*1/'EF-S1'!$E$45,F101=$E$13,E101*H101*1/'EF-S1'!$E$45,F101=$E$14,E101*H101*'EF-S1'!$C$41*1/'EF-S1'!$E$45*1/'EF-S1'!$E$47,F101=$E$15,E101*H101*'EF-S1'!$D$41*1/'EF-S1'!$E$45))</f>
        <v>#N/A</v>
      </c>
      <c r="L101" s="155" t="e" cm="1">
        <f t="array" ref="L101">+_xlfn.IFS(D101=$C$12,_xlfn.IFS(F101=$E$12,E101*I101*'EF-S1'!$C$38*1/'EF-S1'!$E$45,F101=$E$13,E101*I101*1/'EF-S1'!$E$45,F101=$E$14,E101*I101*'EF-S1'!$C$38*1/'EF-S1'!$E$45*1/'EF-S1'!$E$47,F101=$E$15,E101*I101*'EF-S1'!$D$38*1/'EF-S1'!$E$45),D101=$C$13,_xlfn.IFS(F101=$E$12,E101*I101*'EF-S1'!$C$39*1/'EF-S1'!$E$45,F101=$E$13,E101*I101*1/'EF-S1'!$E$45,F101=$E$14,E101*I101*'EF-S1'!$C$39*1/'EF-S1'!$E$45*1/'EF-S1'!$E$47,F101=$E$15,E101*I101*'EF-S1'!$D$39*1/'EF-S1'!$E$45),D101=$C$14,_xlfn.IFS(F101=$E$12,E101*I101*'EF-S1'!$C$40*1/'EF-S1'!$E$45,F101=$E$13,E101*I101*1/'EF-S1'!$E$45,F101=$E$14,E101*I101*'EF-S1'!$C$40*1/'EF-S1'!$E$45*1/'EF-S1'!$E$47,F101=$E$15,E101*I101*'EF-S1'!$D$40*1/'EF-S1'!$E$45),D101=$C$15,_xlfn.IFS(F101=$E$12,E101*I101*'EF-S1'!$C$41*1/'EF-S1'!$E$45,F101=$E$13,E101*I101*1/'EF-S1'!$E$45,F101=$E$14,E101*I101*'EF-S1'!$C$41*1/'EF-S1'!$E$45*1/'EF-S1'!$E$47,F101=$E$15,E101*I101*'EF-S1'!$D$41*1/'EF-S1'!$E$45))</f>
        <v>#N/A</v>
      </c>
      <c r="M101" s="155" t="e">
        <f t="shared" si="26"/>
        <v>#N/A</v>
      </c>
      <c r="N101" s="155" t="e">
        <f t="shared" si="27"/>
        <v>#N/A</v>
      </c>
      <c r="O101" s="155" t="e">
        <f t="shared" si="28"/>
        <v>#N/A</v>
      </c>
      <c r="P101" s="156">
        <f t="shared" si="23"/>
        <v>0</v>
      </c>
      <c r="T101" s="152"/>
      <c r="U101" s="157"/>
      <c r="V101" s="158"/>
      <c r="W101" s="159"/>
      <c r="X101" s="155" t="e" cm="1">
        <f t="array" ref="X101">+_xlfn.IFS(W101="km",VLOOKUP(U101,'EF-S1'!$J$10:$M$16,2,),W101="l",VLOOKUP(U101,'EF-S1'!$J$26:$M$29,2,))</f>
        <v>#N/A</v>
      </c>
      <c r="Y101" s="155" t="e" cm="1">
        <f t="array" ref="Y101">+_xlfn.IFS(W101="km",VLOOKUP(U101,'EF-S1'!$J$10:$M$16,3,),W101="l",VLOOKUP(U101,'EF-S1'!$J$26:$M$29,3,))</f>
        <v>#N/A</v>
      </c>
      <c r="Z101" s="155" t="e" cm="1">
        <f t="array" ref="Z101">+_xlfn.IFS(W101="km",VLOOKUP(U101,'EF-S1'!$J$10:$M$16,4,),W101="l",VLOOKUP(U101,'EF-S1'!$J$26:$M$29,4,))</f>
        <v>#N/A</v>
      </c>
      <c r="AA101" s="155" t="e">
        <f t="shared" si="30"/>
        <v>#N/A</v>
      </c>
      <c r="AB101" s="155" t="e">
        <f t="shared" si="31"/>
        <v>#N/A</v>
      </c>
      <c r="AC101" s="155" t="e">
        <f t="shared" si="32"/>
        <v>#N/A</v>
      </c>
      <c r="AD101" s="155" t="e">
        <f t="shared" si="33"/>
        <v>#N/A</v>
      </c>
      <c r="AE101" s="155" t="e">
        <f t="shared" si="34"/>
        <v>#N/A</v>
      </c>
      <c r="AF101" s="155" t="e">
        <f t="shared" si="35"/>
        <v>#N/A</v>
      </c>
      <c r="AG101" s="156">
        <f t="shared" si="24"/>
        <v>0</v>
      </c>
      <c r="AK101" s="152"/>
      <c r="AL101" s="160"/>
      <c r="AM101" s="158"/>
      <c r="AN101" s="159" t="s">
        <v>49</v>
      </c>
      <c r="AO101" s="155" t="e">
        <f>+VLOOKUP(AL101,'EF-S1'!$U$10:$V$24,2,)</f>
        <v>#N/A</v>
      </c>
      <c r="AP101" s="155" t="e">
        <f t="shared" si="29"/>
        <v>#N/A</v>
      </c>
      <c r="AQ101" s="156">
        <f t="shared" si="25"/>
        <v>0</v>
      </c>
    </row>
    <row r="102" spans="3:43" x14ac:dyDescent="0.7">
      <c r="C102" s="152"/>
      <c r="D102" s="137"/>
      <c r="E102" s="158"/>
      <c r="F102" s="154"/>
      <c r="G102" s="155" t="e" cm="1">
        <f t="array" ref="G102">+_xlfn.IFS($C$7=$D$12,VLOOKUP(D102,'EF-S1'!$B$10:$E$13,2,),$C$7=$D$13,VLOOKUP(D102,'EF-S1'!$B$17:$E$20,2,),$C$7=$D$14,VLOOKUP(D102,'EF-S1'!$B$24:$E$27,2,),$C$7=$D$15,VLOOKUP(D102,'EF-S1'!$B$31:$E$34,2,))</f>
        <v>#N/A</v>
      </c>
      <c r="H102" s="155" t="e" cm="1">
        <f t="array" ref="H102">+_xlfn.IFS($C$7=$D$12,VLOOKUP(D102,'EF-S1'!$B$10:$E$13,3,),$C$7=$D$13,VLOOKUP(D102,'EF-S1'!$B$17:$E$20,3,),$C$7=$D$14,VLOOKUP(D102,'EF-S1'!$B$24:$E$27,3,),$C$7=$D$15,VLOOKUP(D102,'EF-S1'!$B$31:$E$34,3,))</f>
        <v>#N/A</v>
      </c>
      <c r="I102" s="155" t="e" cm="1">
        <f t="array" ref="I102">+_xlfn.IFS($C$7=$D$12,VLOOKUP(D102,'EF-S1'!$B$10:$E$13,4,),$C$7=$D$13,VLOOKUP(D102,'EF-S1'!$B$17:$E$20,4,),$C$7=$D$14,VLOOKUP(D102,'EF-S1'!$B$24:$E$27,4,),$C$7=$D$15,VLOOKUP(D102,'EF-S1'!$B$31:$E$34,4,))</f>
        <v>#N/A</v>
      </c>
      <c r="J102" s="155" t="e" cm="1">
        <f t="array" ref="J102">+_xlfn.IFS(D102=$C$12,_xlfn.IFS(F102=$E$12,E102*G102*'EF-S1'!$C$38*1/'EF-S1'!$E$45,F102=$E$13,E102*G102*1/'EF-S1'!$E$45,F102=$E$14,E102*G102*'EF-S1'!$C$38*1/'EF-S1'!$E$45*1/'EF-S1'!$E$47,F102=$E$15,E102*G102*'EF-S1'!$D$38*1/'EF-S1'!$E$45),D102=$C$13,_xlfn.IFS(F102=$E$12,E102*G102*'EF-S1'!$C$39*1/'EF-S1'!$E$45,F102=$E$13,E102*G102*1/'EF-S1'!$E$45,F102=$E$14,E102*G102*'EF-S1'!$C$39*1/'EF-S1'!$E$45*1/'EF-S1'!$E$47,F102=$E$15,E102*G102*'EF-S1'!$D$39*1/'EF-S1'!$E$45),D102=$C$14,_xlfn.IFS(F102=$E$12,E102*G102*'EF-S1'!$C$40*1/'EF-S1'!$E$45,F102=$E$13,E102*G102*1/'EF-S1'!$E$45,F102=$E$14,E102*G102*'EF-S1'!$C$40*1/'EF-S1'!$E$45*1/'EF-S1'!$E$47,F102=$E$15,E102*G102*'EF-S1'!$D$40*1/'EF-S1'!$E$45),D102=$C$15,_xlfn.IFS(F102=$E$12,E102*G102*'EF-S1'!$C$41*1/'EF-S1'!$E$45,F102=$E$13,E102*G102*1/'EF-S1'!$E$45,F102=$E$14,E102*G102*'EF-S1'!$C$41*1/'EF-S1'!$E$45*1/'EF-S1'!$E$47,F102=$E$15,E102*G102*'EF-S1'!$D$41*1/'EF-S1'!$E$45))</f>
        <v>#N/A</v>
      </c>
      <c r="K102" s="155" t="e" cm="1">
        <f t="array" ref="K102">+_xlfn.IFS(D102=$C$12,_xlfn.IFS(F102=$E$12,E102*H102*'EF-S1'!$C$38*1/'EF-S1'!$E$45,F102=$E$13,E102*H102*1/'EF-S1'!$E$45,F102=$E$14,E102*H102*'EF-S1'!$C$38*1/'EF-S1'!$E$45*1/'EF-S1'!$E$47,F102=$E$15,E102*H102*'EF-S1'!$D$38*1/'EF-S1'!$E$45),D102=$C$13,_xlfn.IFS(F102=$E$12,E102*H102*'EF-S1'!$C$39*1/'EF-S1'!$E$45,F102=$E$13,E102*H102*1/'EF-S1'!$E$45,F102=$E$14,E102*H102*'EF-S1'!$C$39*1/'EF-S1'!$E$45*1/'EF-S1'!$E$47,F102=$E$15,E102*H102*'EF-S1'!$D$39*1/'EF-S1'!$E$45),D102=$C$14,_xlfn.IFS(F102=$E$12,E102*H102*'EF-S1'!$C$40*1/'EF-S1'!$E$45,F102=$E$13,E102*H102*1/'EF-S1'!$E$45,F102=$E$14,E102*H102*'EF-S1'!$C$40*1/'EF-S1'!$E$45*1/'EF-S1'!$E$47,F102=$E$15,E102*H102*'EF-S1'!$D$40*1/'EF-S1'!$E$45),D102=$C$15,_xlfn.IFS(F102=$E$12,E102*H102*'EF-S1'!$C$41*1/'EF-S1'!$E$45,F102=$E$13,E102*H102*1/'EF-S1'!$E$45,F102=$E$14,E102*H102*'EF-S1'!$C$41*1/'EF-S1'!$E$45*1/'EF-S1'!$E$47,F102=$E$15,E102*H102*'EF-S1'!$D$41*1/'EF-S1'!$E$45))</f>
        <v>#N/A</v>
      </c>
      <c r="L102" s="155" t="e" cm="1">
        <f t="array" ref="L102">+_xlfn.IFS(D102=$C$12,_xlfn.IFS(F102=$E$12,E102*I102*'EF-S1'!$C$38*1/'EF-S1'!$E$45,F102=$E$13,E102*I102*1/'EF-S1'!$E$45,F102=$E$14,E102*I102*'EF-S1'!$C$38*1/'EF-S1'!$E$45*1/'EF-S1'!$E$47,F102=$E$15,E102*I102*'EF-S1'!$D$38*1/'EF-S1'!$E$45),D102=$C$13,_xlfn.IFS(F102=$E$12,E102*I102*'EF-S1'!$C$39*1/'EF-S1'!$E$45,F102=$E$13,E102*I102*1/'EF-S1'!$E$45,F102=$E$14,E102*I102*'EF-S1'!$C$39*1/'EF-S1'!$E$45*1/'EF-S1'!$E$47,F102=$E$15,E102*I102*'EF-S1'!$D$39*1/'EF-S1'!$E$45),D102=$C$14,_xlfn.IFS(F102=$E$12,E102*I102*'EF-S1'!$C$40*1/'EF-S1'!$E$45,F102=$E$13,E102*I102*1/'EF-S1'!$E$45,F102=$E$14,E102*I102*'EF-S1'!$C$40*1/'EF-S1'!$E$45*1/'EF-S1'!$E$47,F102=$E$15,E102*I102*'EF-S1'!$D$40*1/'EF-S1'!$E$45),D102=$C$15,_xlfn.IFS(F102=$E$12,E102*I102*'EF-S1'!$C$41*1/'EF-S1'!$E$45,F102=$E$13,E102*I102*1/'EF-S1'!$E$45,F102=$E$14,E102*I102*'EF-S1'!$C$41*1/'EF-S1'!$E$45*1/'EF-S1'!$E$47,F102=$E$15,E102*I102*'EF-S1'!$D$41*1/'EF-S1'!$E$45))</f>
        <v>#N/A</v>
      </c>
      <c r="M102" s="155" t="e">
        <f t="shared" si="26"/>
        <v>#N/A</v>
      </c>
      <c r="N102" s="155" t="e">
        <f t="shared" si="27"/>
        <v>#N/A</v>
      </c>
      <c r="O102" s="155" t="e">
        <f t="shared" si="28"/>
        <v>#N/A</v>
      </c>
      <c r="P102" s="156">
        <f t="shared" si="23"/>
        <v>0</v>
      </c>
      <c r="T102" s="152"/>
      <c r="U102" s="157"/>
      <c r="V102" s="158"/>
      <c r="W102" s="159"/>
      <c r="X102" s="155" t="e" cm="1">
        <f t="array" ref="X102">+_xlfn.IFS(W102="km",VLOOKUP(U102,'EF-S1'!$J$10:$M$16,2,),W102="l",VLOOKUP(U102,'EF-S1'!$J$26:$M$29,2,))</f>
        <v>#N/A</v>
      </c>
      <c r="Y102" s="155" t="e" cm="1">
        <f t="array" ref="Y102">+_xlfn.IFS(W102="km",VLOOKUP(U102,'EF-S1'!$J$10:$M$16,3,),W102="l",VLOOKUP(U102,'EF-S1'!$J$26:$M$29,3,))</f>
        <v>#N/A</v>
      </c>
      <c r="Z102" s="155" t="e" cm="1">
        <f t="array" ref="Z102">+_xlfn.IFS(W102="km",VLOOKUP(U102,'EF-S1'!$J$10:$M$16,4,),W102="l",VLOOKUP(U102,'EF-S1'!$J$26:$M$29,4,))</f>
        <v>#N/A</v>
      </c>
      <c r="AA102" s="155" t="e">
        <f t="shared" si="30"/>
        <v>#N/A</v>
      </c>
      <c r="AB102" s="155" t="e">
        <f t="shared" si="31"/>
        <v>#N/A</v>
      </c>
      <c r="AC102" s="155" t="e">
        <f t="shared" si="32"/>
        <v>#N/A</v>
      </c>
      <c r="AD102" s="155" t="e">
        <f t="shared" si="33"/>
        <v>#N/A</v>
      </c>
      <c r="AE102" s="155" t="e">
        <f t="shared" si="34"/>
        <v>#N/A</v>
      </c>
      <c r="AF102" s="155" t="e">
        <f t="shared" si="35"/>
        <v>#N/A</v>
      </c>
      <c r="AG102" s="156">
        <f t="shared" si="24"/>
        <v>0</v>
      </c>
      <c r="AK102" s="152"/>
      <c r="AL102" s="160"/>
      <c r="AM102" s="158"/>
      <c r="AN102" s="159" t="s">
        <v>49</v>
      </c>
      <c r="AO102" s="155" t="e">
        <f>+VLOOKUP(AL102,'EF-S1'!$U$10:$V$24,2,)</f>
        <v>#N/A</v>
      </c>
      <c r="AP102" s="155" t="e">
        <f t="shared" si="29"/>
        <v>#N/A</v>
      </c>
      <c r="AQ102" s="156">
        <f t="shared" si="25"/>
        <v>0</v>
      </c>
    </row>
    <row r="103" spans="3:43" x14ac:dyDescent="0.7">
      <c r="C103" s="152"/>
      <c r="D103" s="137"/>
      <c r="E103" s="158"/>
      <c r="F103" s="154"/>
      <c r="G103" s="155" t="e" cm="1">
        <f t="array" ref="G103">+_xlfn.IFS($C$7=$D$12,VLOOKUP(D103,'EF-S1'!$B$10:$E$13,2,),$C$7=$D$13,VLOOKUP(D103,'EF-S1'!$B$17:$E$20,2,),$C$7=$D$14,VLOOKUP(D103,'EF-S1'!$B$24:$E$27,2,),$C$7=$D$15,VLOOKUP(D103,'EF-S1'!$B$31:$E$34,2,))</f>
        <v>#N/A</v>
      </c>
      <c r="H103" s="155" t="e" cm="1">
        <f t="array" ref="H103">+_xlfn.IFS($C$7=$D$12,VLOOKUP(D103,'EF-S1'!$B$10:$E$13,3,),$C$7=$D$13,VLOOKUP(D103,'EF-S1'!$B$17:$E$20,3,),$C$7=$D$14,VLOOKUP(D103,'EF-S1'!$B$24:$E$27,3,),$C$7=$D$15,VLOOKUP(D103,'EF-S1'!$B$31:$E$34,3,))</f>
        <v>#N/A</v>
      </c>
      <c r="I103" s="155" t="e" cm="1">
        <f t="array" ref="I103">+_xlfn.IFS($C$7=$D$12,VLOOKUP(D103,'EF-S1'!$B$10:$E$13,4,),$C$7=$D$13,VLOOKUP(D103,'EF-S1'!$B$17:$E$20,4,),$C$7=$D$14,VLOOKUP(D103,'EF-S1'!$B$24:$E$27,4,),$C$7=$D$15,VLOOKUP(D103,'EF-S1'!$B$31:$E$34,4,))</f>
        <v>#N/A</v>
      </c>
      <c r="J103" s="155" t="e" cm="1">
        <f t="array" ref="J103">+_xlfn.IFS(D103=$C$12,_xlfn.IFS(F103=$E$12,E103*G103*'EF-S1'!$C$38*1/'EF-S1'!$E$45,F103=$E$13,E103*G103*1/'EF-S1'!$E$45,F103=$E$14,E103*G103*'EF-S1'!$C$38*1/'EF-S1'!$E$45*1/'EF-S1'!$E$47,F103=$E$15,E103*G103*'EF-S1'!$D$38*1/'EF-S1'!$E$45),D103=$C$13,_xlfn.IFS(F103=$E$12,E103*G103*'EF-S1'!$C$39*1/'EF-S1'!$E$45,F103=$E$13,E103*G103*1/'EF-S1'!$E$45,F103=$E$14,E103*G103*'EF-S1'!$C$39*1/'EF-S1'!$E$45*1/'EF-S1'!$E$47,F103=$E$15,E103*G103*'EF-S1'!$D$39*1/'EF-S1'!$E$45),D103=$C$14,_xlfn.IFS(F103=$E$12,E103*G103*'EF-S1'!$C$40*1/'EF-S1'!$E$45,F103=$E$13,E103*G103*1/'EF-S1'!$E$45,F103=$E$14,E103*G103*'EF-S1'!$C$40*1/'EF-S1'!$E$45*1/'EF-S1'!$E$47,F103=$E$15,E103*G103*'EF-S1'!$D$40*1/'EF-S1'!$E$45),D103=$C$15,_xlfn.IFS(F103=$E$12,E103*G103*'EF-S1'!$C$41*1/'EF-S1'!$E$45,F103=$E$13,E103*G103*1/'EF-S1'!$E$45,F103=$E$14,E103*G103*'EF-S1'!$C$41*1/'EF-S1'!$E$45*1/'EF-S1'!$E$47,F103=$E$15,E103*G103*'EF-S1'!$D$41*1/'EF-S1'!$E$45))</f>
        <v>#N/A</v>
      </c>
      <c r="K103" s="155" t="e" cm="1">
        <f t="array" ref="K103">+_xlfn.IFS(D103=$C$12,_xlfn.IFS(F103=$E$12,E103*H103*'EF-S1'!$C$38*1/'EF-S1'!$E$45,F103=$E$13,E103*H103*1/'EF-S1'!$E$45,F103=$E$14,E103*H103*'EF-S1'!$C$38*1/'EF-S1'!$E$45*1/'EF-S1'!$E$47,F103=$E$15,E103*H103*'EF-S1'!$D$38*1/'EF-S1'!$E$45),D103=$C$13,_xlfn.IFS(F103=$E$12,E103*H103*'EF-S1'!$C$39*1/'EF-S1'!$E$45,F103=$E$13,E103*H103*1/'EF-S1'!$E$45,F103=$E$14,E103*H103*'EF-S1'!$C$39*1/'EF-S1'!$E$45*1/'EF-S1'!$E$47,F103=$E$15,E103*H103*'EF-S1'!$D$39*1/'EF-S1'!$E$45),D103=$C$14,_xlfn.IFS(F103=$E$12,E103*H103*'EF-S1'!$C$40*1/'EF-S1'!$E$45,F103=$E$13,E103*H103*1/'EF-S1'!$E$45,F103=$E$14,E103*H103*'EF-S1'!$C$40*1/'EF-S1'!$E$45*1/'EF-S1'!$E$47,F103=$E$15,E103*H103*'EF-S1'!$D$40*1/'EF-S1'!$E$45),D103=$C$15,_xlfn.IFS(F103=$E$12,E103*H103*'EF-S1'!$C$41*1/'EF-S1'!$E$45,F103=$E$13,E103*H103*1/'EF-S1'!$E$45,F103=$E$14,E103*H103*'EF-S1'!$C$41*1/'EF-S1'!$E$45*1/'EF-S1'!$E$47,F103=$E$15,E103*H103*'EF-S1'!$D$41*1/'EF-S1'!$E$45))</f>
        <v>#N/A</v>
      </c>
      <c r="L103" s="155" t="e" cm="1">
        <f t="array" ref="L103">+_xlfn.IFS(D103=$C$12,_xlfn.IFS(F103=$E$12,E103*I103*'EF-S1'!$C$38*1/'EF-S1'!$E$45,F103=$E$13,E103*I103*1/'EF-S1'!$E$45,F103=$E$14,E103*I103*'EF-S1'!$C$38*1/'EF-S1'!$E$45*1/'EF-S1'!$E$47,F103=$E$15,E103*I103*'EF-S1'!$D$38*1/'EF-S1'!$E$45),D103=$C$13,_xlfn.IFS(F103=$E$12,E103*I103*'EF-S1'!$C$39*1/'EF-S1'!$E$45,F103=$E$13,E103*I103*1/'EF-S1'!$E$45,F103=$E$14,E103*I103*'EF-S1'!$C$39*1/'EF-S1'!$E$45*1/'EF-S1'!$E$47,F103=$E$15,E103*I103*'EF-S1'!$D$39*1/'EF-S1'!$E$45),D103=$C$14,_xlfn.IFS(F103=$E$12,E103*I103*'EF-S1'!$C$40*1/'EF-S1'!$E$45,F103=$E$13,E103*I103*1/'EF-S1'!$E$45,F103=$E$14,E103*I103*'EF-S1'!$C$40*1/'EF-S1'!$E$45*1/'EF-S1'!$E$47,F103=$E$15,E103*I103*'EF-S1'!$D$40*1/'EF-S1'!$E$45),D103=$C$15,_xlfn.IFS(F103=$E$12,E103*I103*'EF-S1'!$C$41*1/'EF-S1'!$E$45,F103=$E$13,E103*I103*1/'EF-S1'!$E$45,F103=$E$14,E103*I103*'EF-S1'!$C$41*1/'EF-S1'!$E$45*1/'EF-S1'!$E$47,F103=$E$15,E103*I103*'EF-S1'!$D$41*1/'EF-S1'!$E$45))</f>
        <v>#N/A</v>
      </c>
      <c r="M103" s="155" t="e">
        <f t="shared" si="26"/>
        <v>#N/A</v>
      </c>
      <c r="N103" s="155" t="e">
        <f t="shared" si="27"/>
        <v>#N/A</v>
      </c>
      <c r="O103" s="155" t="e">
        <f t="shared" si="28"/>
        <v>#N/A</v>
      </c>
      <c r="P103" s="156">
        <f t="shared" si="23"/>
        <v>0</v>
      </c>
      <c r="T103" s="152"/>
      <c r="U103" s="157"/>
      <c r="V103" s="158"/>
      <c r="W103" s="159"/>
      <c r="X103" s="155" t="e" cm="1">
        <f t="array" ref="X103">+_xlfn.IFS(W103="km",VLOOKUP(U103,'EF-S1'!$J$10:$M$16,2,),W103="l",VLOOKUP(U103,'EF-S1'!$J$26:$M$29,2,))</f>
        <v>#N/A</v>
      </c>
      <c r="Y103" s="155" t="e" cm="1">
        <f t="array" ref="Y103">+_xlfn.IFS(W103="km",VLOOKUP(U103,'EF-S1'!$J$10:$M$16,3,),W103="l",VLOOKUP(U103,'EF-S1'!$J$26:$M$29,3,))</f>
        <v>#N/A</v>
      </c>
      <c r="Z103" s="155" t="e" cm="1">
        <f t="array" ref="Z103">+_xlfn.IFS(W103="km",VLOOKUP(U103,'EF-S1'!$J$10:$M$16,4,),W103="l",VLOOKUP(U103,'EF-S1'!$J$26:$M$29,4,))</f>
        <v>#N/A</v>
      </c>
      <c r="AA103" s="155" t="e">
        <f t="shared" si="30"/>
        <v>#N/A</v>
      </c>
      <c r="AB103" s="155" t="e">
        <f t="shared" si="31"/>
        <v>#N/A</v>
      </c>
      <c r="AC103" s="155" t="e">
        <f t="shared" si="32"/>
        <v>#N/A</v>
      </c>
      <c r="AD103" s="155" t="e">
        <f t="shared" si="33"/>
        <v>#N/A</v>
      </c>
      <c r="AE103" s="155" t="e">
        <f t="shared" si="34"/>
        <v>#N/A</v>
      </c>
      <c r="AF103" s="155" t="e">
        <f t="shared" si="35"/>
        <v>#N/A</v>
      </c>
      <c r="AG103" s="156">
        <f t="shared" si="24"/>
        <v>0</v>
      </c>
      <c r="AK103" s="152"/>
      <c r="AL103" s="160"/>
      <c r="AM103" s="158"/>
      <c r="AN103" s="159" t="s">
        <v>49</v>
      </c>
      <c r="AO103" s="155" t="e">
        <f>+VLOOKUP(AL103,'EF-S1'!$U$10:$V$24,2,)</f>
        <v>#N/A</v>
      </c>
      <c r="AP103" s="155" t="e">
        <f t="shared" si="29"/>
        <v>#N/A</v>
      </c>
      <c r="AQ103" s="156">
        <f t="shared" si="25"/>
        <v>0</v>
      </c>
    </row>
    <row r="104" spans="3:43" x14ac:dyDescent="0.7">
      <c r="C104" s="152"/>
      <c r="D104" s="137"/>
      <c r="E104" s="158"/>
      <c r="F104" s="154"/>
      <c r="G104" s="155" t="e" cm="1">
        <f t="array" ref="G104">+_xlfn.IFS($C$7=$D$12,VLOOKUP(D104,'EF-S1'!$B$10:$E$13,2,),$C$7=$D$13,VLOOKUP(D104,'EF-S1'!$B$17:$E$20,2,),$C$7=$D$14,VLOOKUP(D104,'EF-S1'!$B$24:$E$27,2,),$C$7=$D$15,VLOOKUP(D104,'EF-S1'!$B$31:$E$34,2,))</f>
        <v>#N/A</v>
      </c>
      <c r="H104" s="155" t="e" cm="1">
        <f t="array" ref="H104">+_xlfn.IFS($C$7=$D$12,VLOOKUP(D104,'EF-S1'!$B$10:$E$13,3,),$C$7=$D$13,VLOOKUP(D104,'EF-S1'!$B$17:$E$20,3,),$C$7=$D$14,VLOOKUP(D104,'EF-S1'!$B$24:$E$27,3,),$C$7=$D$15,VLOOKUP(D104,'EF-S1'!$B$31:$E$34,3,))</f>
        <v>#N/A</v>
      </c>
      <c r="I104" s="155" t="e" cm="1">
        <f t="array" ref="I104">+_xlfn.IFS($C$7=$D$12,VLOOKUP(D104,'EF-S1'!$B$10:$E$13,4,),$C$7=$D$13,VLOOKUP(D104,'EF-S1'!$B$17:$E$20,4,),$C$7=$D$14,VLOOKUP(D104,'EF-S1'!$B$24:$E$27,4,),$C$7=$D$15,VLOOKUP(D104,'EF-S1'!$B$31:$E$34,4,))</f>
        <v>#N/A</v>
      </c>
      <c r="J104" s="155" t="e" cm="1">
        <f t="array" ref="J104">+_xlfn.IFS(D104=$C$12,_xlfn.IFS(F104=$E$12,E104*G104*'EF-S1'!$C$38*1/'EF-S1'!$E$45,F104=$E$13,E104*G104*1/'EF-S1'!$E$45,F104=$E$14,E104*G104*'EF-S1'!$C$38*1/'EF-S1'!$E$45*1/'EF-S1'!$E$47,F104=$E$15,E104*G104*'EF-S1'!$D$38*1/'EF-S1'!$E$45),D104=$C$13,_xlfn.IFS(F104=$E$12,E104*G104*'EF-S1'!$C$39*1/'EF-S1'!$E$45,F104=$E$13,E104*G104*1/'EF-S1'!$E$45,F104=$E$14,E104*G104*'EF-S1'!$C$39*1/'EF-S1'!$E$45*1/'EF-S1'!$E$47,F104=$E$15,E104*G104*'EF-S1'!$D$39*1/'EF-S1'!$E$45),D104=$C$14,_xlfn.IFS(F104=$E$12,E104*G104*'EF-S1'!$C$40*1/'EF-S1'!$E$45,F104=$E$13,E104*G104*1/'EF-S1'!$E$45,F104=$E$14,E104*G104*'EF-S1'!$C$40*1/'EF-S1'!$E$45*1/'EF-S1'!$E$47,F104=$E$15,E104*G104*'EF-S1'!$D$40*1/'EF-S1'!$E$45),D104=$C$15,_xlfn.IFS(F104=$E$12,E104*G104*'EF-S1'!$C$41*1/'EF-S1'!$E$45,F104=$E$13,E104*G104*1/'EF-S1'!$E$45,F104=$E$14,E104*G104*'EF-S1'!$C$41*1/'EF-S1'!$E$45*1/'EF-S1'!$E$47,F104=$E$15,E104*G104*'EF-S1'!$D$41*1/'EF-S1'!$E$45))</f>
        <v>#N/A</v>
      </c>
      <c r="K104" s="155" t="e" cm="1">
        <f t="array" ref="K104">+_xlfn.IFS(D104=$C$12,_xlfn.IFS(F104=$E$12,E104*H104*'EF-S1'!$C$38*1/'EF-S1'!$E$45,F104=$E$13,E104*H104*1/'EF-S1'!$E$45,F104=$E$14,E104*H104*'EF-S1'!$C$38*1/'EF-S1'!$E$45*1/'EF-S1'!$E$47,F104=$E$15,E104*H104*'EF-S1'!$D$38*1/'EF-S1'!$E$45),D104=$C$13,_xlfn.IFS(F104=$E$12,E104*H104*'EF-S1'!$C$39*1/'EF-S1'!$E$45,F104=$E$13,E104*H104*1/'EF-S1'!$E$45,F104=$E$14,E104*H104*'EF-S1'!$C$39*1/'EF-S1'!$E$45*1/'EF-S1'!$E$47,F104=$E$15,E104*H104*'EF-S1'!$D$39*1/'EF-S1'!$E$45),D104=$C$14,_xlfn.IFS(F104=$E$12,E104*H104*'EF-S1'!$C$40*1/'EF-S1'!$E$45,F104=$E$13,E104*H104*1/'EF-S1'!$E$45,F104=$E$14,E104*H104*'EF-S1'!$C$40*1/'EF-S1'!$E$45*1/'EF-S1'!$E$47,F104=$E$15,E104*H104*'EF-S1'!$D$40*1/'EF-S1'!$E$45),D104=$C$15,_xlfn.IFS(F104=$E$12,E104*H104*'EF-S1'!$C$41*1/'EF-S1'!$E$45,F104=$E$13,E104*H104*1/'EF-S1'!$E$45,F104=$E$14,E104*H104*'EF-S1'!$C$41*1/'EF-S1'!$E$45*1/'EF-S1'!$E$47,F104=$E$15,E104*H104*'EF-S1'!$D$41*1/'EF-S1'!$E$45))</f>
        <v>#N/A</v>
      </c>
      <c r="L104" s="155" t="e" cm="1">
        <f t="array" ref="L104">+_xlfn.IFS(D104=$C$12,_xlfn.IFS(F104=$E$12,E104*I104*'EF-S1'!$C$38*1/'EF-S1'!$E$45,F104=$E$13,E104*I104*1/'EF-S1'!$E$45,F104=$E$14,E104*I104*'EF-S1'!$C$38*1/'EF-S1'!$E$45*1/'EF-S1'!$E$47,F104=$E$15,E104*I104*'EF-S1'!$D$38*1/'EF-S1'!$E$45),D104=$C$13,_xlfn.IFS(F104=$E$12,E104*I104*'EF-S1'!$C$39*1/'EF-S1'!$E$45,F104=$E$13,E104*I104*1/'EF-S1'!$E$45,F104=$E$14,E104*I104*'EF-S1'!$C$39*1/'EF-S1'!$E$45*1/'EF-S1'!$E$47,F104=$E$15,E104*I104*'EF-S1'!$D$39*1/'EF-S1'!$E$45),D104=$C$14,_xlfn.IFS(F104=$E$12,E104*I104*'EF-S1'!$C$40*1/'EF-S1'!$E$45,F104=$E$13,E104*I104*1/'EF-S1'!$E$45,F104=$E$14,E104*I104*'EF-S1'!$C$40*1/'EF-S1'!$E$45*1/'EF-S1'!$E$47,F104=$E$15,E104*I104*'EF-S1'!$D$40*1/'EF-S1'!$E$45),D104=$C$15,_xlfn.IFS(F104=$E$12,E104*I104*'EF-S1'!$C$41*1/'EF-S1'!$E$45,F104=$E$13,E104*I104*1/'EF-S1'!$E$45,F104=$E$14,E104*I104*'EF-S1'!$C$41*1/'EF-S1'!$E$45*1/'EF-S1'!$E$47,F104=$E$15,E104*I104*'EF-S1'!$D$41*1/'EF-S1'!$E$45))</f>
        <v>#N/A</v>
      </c>
      <c r="M104" s="155" t="e">
        <f t="shared" si="26"/>
        <v>#N/A</v>
      </c>
      <c r="N104" s="155" t="e">
        <f t="shared" si="27"/>
        <v>#N/A</v>
      </c>
      <c r="O104" s="155" t="e">
        <f t="shared" si="28"/>
        <v>#N/A</v>
      </c>
      <c r="P104" s="156">
        <f t="shared" si="23"/>
        <v>0</v>
      </c>
      <c r="T104" s="152"/>
      <c r="U104" s="157"/>
      <c r="V104" s="158"/>
      <c r="W104" s="159"/>
      <c r="X104" s="155" t="e" cm="1">
        <f t="array" ref="X104">+_xlfn.IFS(W104="km",VLOOKUP(U104,'EF-S1'!$J$10:$M$16,2,),W104="l",VLOOKUP(U104,'EF-S1'!$J$26:$M$29,2,))</f>
        <v>#N/A</v>
      </c>
      <c r="Y104" s="155" t="e" cm="1">
        <f t="array" ref="Y104">+_xlfn.IFS(W104="km",VLOOKUP(U104,'EF-S1'!$J$10:$M$16,3,),W104="l",VLOOKUP(U104,'EF-S1'!$J$26:$M$29,3,))</f>
        <v>#N/A</v>
      </c>
      <c r="Z104" s="155" t="e" cm="1">
        <f t="array" ref="Z104">+_xlfn.IFS(W104="km",VLOOKUP(U104,'EF-S1'!$J$10:$M$16,4,),W104="l",VLOOKUP(U104,'EF-S1'!$J$26:$M$29,4,))</f>
        <v>#N/A</v>
      </c>
      <c r="AA104" s="155" t="e">
        <f t="shared" si="30"/>
        <v>#N/A</v>
      </c>
      <c r="AB104" s="155" t="e">
        <f t="shared" si="31"/>
        <v>#N/A</v>
      </c>
      <c r="AC104" s="155" t="e">
        <f t="shared" si="32"/>
        <v>#N/A</v>
      </c>
      <c r="AD104" s="155" t="e">
        <f t="shared" si="33"/>
        <v>#N/A</v>
      </c>
      <c r="AE104" s="155" t="e">
        <f t="shared" si="34"/>
        <v>#N/A</v>
      </c>
      <c r="AF104" s="155" t="e">
        <f t="shared" si="35"/>
        <v>#N/A</v>
      </c>
      <c r="AG104" s="156">
        <f t="shared" si="24"/>
        <v>0</v>
      </c>
      <c r="AK104" s="152"/>
      <c r="AL104" s="160"/>
      <c r="AM104" s="158"/>
      <c r="AN104" s="159" t="s">
        <v>49</v>
      </c>
      <c r="AO104" s="155" t="e">
        <f>+VLOOKUP(AL104,'EF-S1'!$U$10:$V$24,2,)</f>
        <v>#N/A</v>
      </c>
      <c r="AP104" s="155" t="e">
        <f t="shared" si="29"/>
        <v>#N/A</v>
      </c>
      <c r="AQ104" s="156">
        <f t="shared" si="25"/>
        <v>0</v>
      </c>
    </row>
  </sheetData>
  <sheetProtection algorithmName="SHA-512" hashValue="e66+jAScEkOZbVJyklySnUcE5pScyvRlRBUABxUb29qq/CVPlQozvK7k+17Xtir9L5JHKR+3E8stqQVCRWcZJg==" saltValue="m2vTmkacLUQhHd1QoGhlRw==" spinCount="100000" sheet="1" objects="1" scenarios="1"/>
  <protectedRanges>
    <protectedRange sqref="C7 T29:W104 AK29:AM104 C29:F104" name="Rango1"/>
  </protectedRanges>
  <mergeCells count="13">
    <mergeCell ref="C10:E10"/>
    <mergeCell ref="G10:J10"/>
    <mergeCell ref="A25:Q25"/>
    <mergeCell ref="AP27:AQ27"/>
    <mergeCell ref="G27:I27"/>
    <mergeCell ref="J27:P27"/>
    <mergeCell ref="C27:F27"/>
    <mergeCell ref="T27:W27"/>
    <mergeCell ref="X27:Z27"/>
    <mergeCell ref="AA27:AG27"/>
    <mergeCell ref="S25:AH25"/>
    <mergeCell ref="AK27:AN27"/>
    <mergeCell ref="AJ25:AR25"/>
  </mergeCells>
  <phoneticPr fontId="29" type="noConversion"/>
  <dataValidations count="7">
    <dataValidation type="list" allowBlank="1" showInputMessage="1" showErrorMessage="1" sqref="U29:U104" xr:uid="{1F29D1E1-DFF3-4E34-B829-DC3095EF666C}">
      <formula1>Type_mob_comb</formula1>
    </dataValidation>
    <dataValidation type="list" allowBlank="1" showInputMessage="1" showErrorMessage="1" sqref="C7" xr:uid="{293C2009-2895-4459-BA24-CBE4DFB84F34}">
      <formula1>SECTORS</formula1>
    </dataValidation>
    <dataValidation type="list" allowBlank="1" showInputMessage="1" showErrorMessage="1" sqref="D29:D104" xr:uid="{A666B125-8E2F-452E-8D0C-344227368439}">
      <formula1>Sources_stat_comb</formula1>
    </dataValidation>
    <dataValidation type="list" allowBlank="1" showInputMessage="1" showErrorMessage="1" sqref="F29:F104" xr:uid="{D371FE26-35FA-4549-A714-95D0AEFDCA69}">
      <formula1>UNITS</formula1>
    </dataValidation>
    <dataValidation type="list" allowBlank="1" showInputMessage="1" showErrorMessage="1" sqref="AL29:AL104" xr:uid="{11A8F509-9A57-4F8C-92FF-D53214F986AB}">
      <formula1>refrigerant</formula1>
    </dataValidation>
    <dataValidation type="list" allowBlank="1" showInputMessage="1" showErrorMessage="1" sqref="W29:W104" xr:uid="{803C0C75-1E97-48D3-B361-391BC69FEDD7}">
      <formula1>INDIRECT($U29)</formula1>
    </dataValidation>
    <dataValidation type="decimal" allowBlank="1" showInputMessage="1" showErrorMessage="1" sqref="E29:E104 V29:V104 AM29:AM104" xr:uid="{9934D0E8-5430-4869-813A-705FC613C2BA}">
      <formula1>0</formula1>
      <formula2>99999999</formula2>
    </dataValidation>
  </dataValidations>
  <pageMargins left="0.7" right="0.7" top="0.75" bottom="0.75" header="0.3" footer="0.3"/>
  <pageSetup paperSize="9" orientation="portrait" r:id="rId1"/>
  <drawing r:id="rId2"/>
  <tableParts count="4">
    <tablePart r:id="rId3"/>
    <tablePart r:id="rId4"/>
    <tablePart r:id="rId5"/>
    <tablePart r:id="rId6"/>
  </tableParts>
  <extLst>
    <ext xmlns:x14="http://schemas.microsoft.com/office/spreadsheetml/2009/9/main" uri="{CCE6A557-97BC-4b89-ADB6-D9C93CAAB3DF}">
      <x14:dataValidations xmlns:xm="http://schemas.microsoft.com/office/excel/2006/main" count="1">
        <x14:dataValidation type="list" allowBlank="1" showInputMessage="1" showErrorMessage="1" xr:uid="{3C02EAB0-91D4-4F9A-AAE3-48FB5AF9602D}">
          <x14:formula1>
            <xm:f>'EF-S1'!$U$10:$U$24</xm:f>
          </x14:formula1>
          <xm:sqref>AL29:AL104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46C43-181A-4242-8DC6-A78F557A8841}">
  <sheetPr>
    <tabColor rgb="FF083C12"/>
  </sheetPr>
  <dimension ref="A1:AB103"/>
  <sheetViews>
    <sheetView tabSelected="1" zoomScale="39" zoomScaleNormal="39" workbookViewId="0">
      <selection activeCell="E9" sqref="E9"/>
    </sheetView>
  </sheetViews>
  <sheetFormatPr baseColWidth="10" defaultColWidth="10.88671875" defaultRowHeight="36.6" x14ac:dyDescent="0.7"/>
  <cols>
    <col min="1" max="1" width="4.109375" style="143" customWidth="1"/>
    <col min="2" max="2" width="56.33203125" style="143" customWidth="1"/>
    <col min="3" max="3" width="56.44140625" style="143" customWidth="1"/>
    <col min="4" max="4" width="92.5546875" style="143" customWidth="1"/>
    <col min="5" max="5" width="58.109375" style="143" customWidth="1"/>
    <col min="6" max="6" width="35.88671875" style="143" customWidth="1"/>
    <col min="7" max="7" width="41.109375" style="143" customWidth="1"/>
    <col min="8" max="8" width="52.6640625" style="143" customWidth="1"/>
    <col min="9" max="9" width="71.6640625" style="143" customWidth="1"/>
    <col min="10" max="10" width="24.109375" style="143" customWidth="1"/>
    <col min="11" max="11" width="50.5546875" style="143" customWidth="1"/>
    <col min="12" max="12" width="51.5546875" style="143" customWidth="1"/>
    <col min="13" max="13" width="43.5546875" style="143" customWidth="1"/>
    <col min="14" max="14" width="10.88671875" style="143"/>
    <col min="15" max="17" width="0" style="143" hidden="1" customWidth="1"/>
    <col min="18" max="18" width="10.88671875" style="143"/>
    <col min="19" max="19" width="69.33203125" style="143" customWidth="1"/>
    <col min="20" max="20" width="57.33203125" style="143" customWidth="1"/>
    <col min="21" max="21" width="53.109375" style="143" customWidth="1"/>
    <col min="22" max="22" width="62.88671875" style="143" customWidth="1"/>
    <col min="23" max="23" width="75.5546875" style="143" customWidth="1"/>
    <col min="24" max="24" width="70.33203125" style="143" customWidth="1"/>
    <col min="25" max="25" width="42.88671875" style="143" customWidth="1"/>
    <col min="26" max="26" width="48.109375" style="143" customWidth="1"/>
    <col min="27" max="27" width="47.44140625" style="143" customWidth="1"/>
    <col min="28" max="28" width="60.5546875" style="143" customWidth="1"/>
    <col min="29" max="16384" width="10.88671875" style="143"/>
  </cols>
  <sheetData>
    <row r="1" spans="1:28" x14ac:dyDescent="0.7">
      <c r="A1" s="163"/>
      <c r="B1" s="163"/>
      <c r="C1" s="163"/>
      <c r="D1" s="163"/>
      <c r="E1" s="163"/>
      <c r="F1" s="163"/>
      <c r="G1" s="163"/>
      <c r="H1" s="163"/>
      <c r="I1" s="163"/>
      <c r="J1" s="163"/>
      <c r="K1" s="163"/>
      <c r="L1" s="163"/>
      <c r="M1" s="163"/>
      <c r="N1" s="163"/>
      <c r="O1" s="163"/>
      <c r="P1" s="163"/>
      <c r="Q1" s="163"/>
    </row>
    <row r="2" spans="1:28" x14ac:dyDescent="0.7">
      <c r="A2" s="163"/>
      <c r="B2" s="163"/>
      <c r="C2" s="163"/>
      <c r="D2" s="163"/>
      <c r="E2" s="163"/>
      <c r="F2" s="163"/>
      <c r="G2" s="163"/>
      <c r="H2" s="163"/>
      <c r="I2" s="163"/>
      <c r="J2" s="163"/>
      <c r="K2" s="163"/>
      <c r="L2" s="163"/>
      <c r="M2" s="163"/>
      <c r="N2" s="163"/>
      <c r="O2" s="163"/>
      <c r="P2" s="163"/>
      <c r="Q2" s="163"/>
    </row>
    <row r="3" spans="1:28" x14ac:dyDescent="0.7">
      <c r="A3" s="163"/>
      <c r="B3" s="163"/>
      <c r="C3" s="163"/>
      <c r="D3" s="163"/>
      <c r="E3" s="163"/>
      <c r="F3" s="163"/>
      <c r="G3" s="163"/>
      <c r="H3" s="163"/>
      <c r="I3" s="163"/>
      <c r="J3" s="163"/>
      <c r="K3" s="163"/>
      <c r="L3" s="163"/>
      <c r="M3" s="163"/>
      <c r="N3" s="163"/>
      <c r="O3" s="163"/>
      <c r="P3" s="163"/>
      <c r="Q3" s="163"/>
    </row>
    <row r="4" spans="1:28" x14ac:dyDescent="0.7">
      <c r="A4" s="163"/>
      <c r="B4" s="163"/>
      <c r="C4" s="163"/>
      <c r="D4" s="163"/>
      <c r="E4" s="163"/>
      <c r="F4" s="163"/>
      <c r="G4" s="163"/>
      <c r="H4" s="163"/>
      <c r="I4" s="163"/>
      <c r="J4" s="163"/>
      <c r="K4" s="163"/>
      <c r="L4" s="163"/>
      <c r="M4" s="163"/>
      <c r="N4" s="163"/>
      <c r="O4" s="163"/>
      <c r="P4" s="163"/>
      <c r="Q4" s="163"/>
    </row>
    <row r="5" spans="1:28" x14ac:dyDescent="0.7">
      <c r="A5" s="267" t="s">
        <v>83</v>
      </c>
      <c r="B5" s="268"/>
      <c r="C5" s="268"/>
      <c r="D5" s="268"/>
      <c r="E5" s="268"/>
      <c r="F5" s="268"/>
      <c r="G5" s="268"/>
      <c r="H5" s="268"/>
      <c r="I5" s="268"/>
      <c r="J5" s="268"/>
      <c r="K5" s="268"/>
      <c r="L5" s="268"/>
      <c r="M5" s="268"/>
      <c r="N5" s="268"/>
      <c r="O5" s="268"/>
      <c r="P5" s="268"/>
      <c r="Q5" s="269"/>
      <c r="R5" s="164"/>
      <c r="S5" s="267" t="s">
        <v>84</v>
      </c>
      <c r="T5" s="268"/>
      <c r="U5" s="268"/>
      <c r="V5" s="268"/>
      <c r="W5" s="268"/>
      <c r="X5" s="268"/>
      <c r="Y5" s="268"/>
      <c r="Z5" s="268"/>
      <c r="AA5" s="268"/>
      <c r="AB5" s="269"/>
    </row>
    <row r="6" spans="1:28" x14ac:dyDescent="0.7">
      <c r="A6" s="165"/>
      <c r="B6" s="165"/>
      <c r="C6" s="165"/>
      <c r="D6" s="165"/>
      <c r="E6" s="165"/>
      <c r="F6" s="165"/>
      <c r="G6" s="165"/>
      <c r="H6" s="165"/>
      <c r="I6" s="165"/>
      <c r="J6" s="165"/>
      <c r="K6" s="165"/>
      <c r="L6" s="165"/>
      <c r="M6" s="165"/>
      <c r="N6" s="165"/>
      <c r="O6" s="165"/>
      <c r="P6" s="165"/>
      <c r="Q6" s="165"/>
      <c r="S6" s="165"/>
      <c r="T6" s="165"/>
      <c r="U6" s="165"/>
      <c r="V6" s="165"/>
      <c r="W6" s="165"/>
      <c r="X6" s="165"/>
      <c r="Y6" s="165"/>
      <c r="Z6" s="165"/>
      <c r="AA6" s="165"/>
      <c r="AB6" s="165"/>
    </row>
    <row r="7" spans="1:28" x14ac:dyDescent="0.7">
      <c r="B7" s="273" t="s">
        <v>59</v>
      </c>
      <c r="C7" s="274"/>
      <c r="D7" s="274"/>
      <c r="E7" s="274"/>
      <c r="F7" s="275"/>
      <c r="G7" s="270" t="s">
        <v>60</v>
      </c>
      <c r="H7" s="272"/>
      <c r="I7" s="271"/>
      <c r="J7" s="270" t="s">
        <v>61</v>
      </c>
      <c r="K7" s="272"/>
      <c r="L7" s="272"/>
      <c r="M7" s="271"/>
      <c r="P7" s="140" t="s">
        <v>85</v>
      </c>
      <c r="Q7" s="166" t="s">
        <v>86</v>
      </c>
      <c r="S7" s="273" t="s">
        <v>59</v>
      </c>
      <c r="T7" s="274"/>
      <c r="U7" s="274"/>
      <c r="V7" s="270" t="s">
        <v>60</v>
      </c>
      <c r="W7" s="272"/>
      <c r="X7" s="272"/>
      <c r="Y7" s="270" t="s">
        <v>61</v>
      </c>
      <c r="Z7" s="272"/>
      <c r="AA7" s="272"/>
      <c r="AB7" s="271"/>
    </row>
    <row r="8" spans="1:28" x14ac:dyDescent="0.7">
      <c r="B8" s="152" t="s">
        <v>62</v>
      </c>
      <c r="C8" s="152" t="s">
        <v>87</v>
      </c>
      <c r="D8" s="152" t="s">
        <v>88</v>
      </c>
      <c r="E8" s="152" t="s">
        <v>64</v>
      </c>
      <c r="F8" s="152" t="s">
        <v>32</v>
      </c>
      <c r="G8" s="237" t="s">
        <v>89</v>
      </c>
      <c r="H8" s="238" t="s">
        <v>90</v>
      </c>
      <c r="I8" s="238" t="s">
        <v>91</v>
      </c>
      <c r="J8" s="237" t="s">
        <v>71</v>
      </c>
      <c r="K8" s="237" t="s">
        <v>72</v>
      </c>
      <c r="L8" s="237" t="s">
        <v>92</v>
      </c>
      <c r="M8" s="237" t="s">
        <v>74</v>
      </c>
      <c r="P8" s="142" t="s">
        <v>93</v>
      </c>
      <c r="Q8" s="144" t="s">
        <v>43</v>
      </c>
      <c r="S8" s="152" t="s">
        <v>62</v>
      </c>
      <c r="T8" s="152" t="s">
        <v>64</v>
      </c>
      <c r="U8" s="152" t="s">
        <v>32</v>
      </c>
      <c r="V8" s="238" t="s">
        <v>94</v>
      </c>
      <c r="W8" s="238" t="s">
        <v>95</v>
      </c>
      <c r="X8" s="238" t="s">
        <v>96</v>
      </c>
      <c r="Y8" s="238" t="s">
        <v>97</v>
      </c>
      <c r="Z8" s="237" t="s">
        <v>72</v>
      </c>
      <c r="AA8" s="237" t="s">
        <v>92</v>
      </c>
      <c r="AB8" s="237" t="s">
        <v>74</v>
      </c>
    </row>
    <row r="9" spans="1:28" ht="73.2" x14ac:dyDescent="0.7">
      <c r="B9" s="152" t="s">
        <v>98</v>
      </c>
      <c r="C9" s="159" t="s">
        <v>93</v>
      </c>
      <c r="D9" s="159" t="s">
        <v>99</v>
      </c>
      <c r="E9" s="258">
        <v>11785.71</v>
      </c>
      <c r="F9" s="159" t="s">
        <v>43</v>
      </c>
      <c r="G9" s="155" cm="1">
        <f t="array" ref="G9">+_xlfn.IFS($C9="Renewable",0,$C9="National grid",VLOOKUP($D9,'EF-S2'!$B$11:$C$169,2,))</f>
        <v>198.3</v>
      </c>
      <c r="H9" s="155" cm="1">
        <f t="array" ref="H9">+_xlfn.IFS($C9="Renewable",0,$C9="National grid",VLOOKUP($D9,'EF-S2'!$E$11:$F$169,2,))</f>
        <v>0.3</v>
      </c>
      <c r="I9" s="155" cm="1">
        <f t="array" ref="I9">+_xlfn.IFS($C9="Renewable",0,$C9="National grid",VLOOKUP($D9,'EF-S2'!$H$11:$I$169,2,))</f>
        <v>0.6</v>
      </c>
      <c r="J9" s="155" cm="1">
        <f t="array" ref="J9">+_xlfn.IFS($F$9="kWh",$E9*G9/1000000,$F$9="MWh",$E9*G9/1000)</f>
        <v>2.3371062930000002</v>
      </c>
      <c r="K9" s="155" cm="1">
        <f t="array" ref="K9">+_xlfn.IFS($F$9="kWh",$E9*H9/1000000,$F$9="MWh",$E9*H9/1000)</f>
        <v>3.5357129999999998E-3</v>
      </c>
      <c r="L9" s="155" cm="1">
        <f t="array" ref="L9">+_xlfn.IFS($F$9="kWh",$E9*I9/1000000,$F$9="MWh",$E9*I9/1000)</f>
        <v>7.0714259999999996E-3</v>
      </c>
      <c r="M9" s="156">
        <f>+IFERROR(SUM(J9:L9),0)</f>
        <v>2.3477134320000004</v>
      </c>
      <c r="P9" s="145" t="s">
        <v>100</v>
      </c>
      <c r="Q9" s="144" t="s">
        <v>101</v>
      </c>
      <c r="S9" s="152"/>
      <c r="T9" s="158"/>
      <c r="U9" s="159"/>
      <c r="V9" s="167">
        <f>+'EF-S2'!L10</f>
        <v>0.16905999999999999</v>
      </c>
      <c r="W9" s="167">
        <f>+'EF-S2'!L11</f>
        <v>1.09E-3</v>
      </c>
      <c r="X9" s="167">
        <f>+'EF-S2'!L12</f>
        <v>5.8E-4</v>
      </c>
      <c r="Y9" s="155" t="e" cm="1">
        <f t="array" ref="Y9">+_xlfn.IFS($U$9="kWh",$T9*V9/1000,$U$9="MWh",$T9*V9)</f>
        <v>#N/A</v>
      </c>
      <c r="Z9" s="155" t="e" cm="1">
        <f t="array" ref="Z9">+_xlfn.IFS($U$9="kWh",$T9*W9/1000,$U$9="MWh",$T9*W9)</f>
        <v>#N/A</v>
      </c>
      <c r="AA9" s="155" t="e" cm="1">
        <f t="array" ref="AA9">+_xlfn.IFS($U$9="kWh",$T9*X9/1000,$U$9="MWh",$T9*X9)</f>
        <v>#N/A</v>
      </c>
      <c r="AB9" s="156">
        <f>+IFERROR(SUM(Y9:AA9),0)</f>
        <v>0</v>
      </c>
    </row>
    <row r="10" spans="1:28" x14ac:dyDescent="0.7">
      <c r="B10" s="152"/>
      <c r="C10" s="159"/>
      <c r="D10" s="159"/>
      <c r="E10" s="158"/>
      <c r="F10" s="159"/>
      <c r="G10" s="155" t="e" cm="1">
        <f t="array" ref="G10">+_xlfn.IFS($C10="Renewable",0,$C10="National grid",VLOOKUP($D10,'EF-S2'!$B$11:$C$169,2,))</f>
        <v>#N/A</v>
      </c>
      <c r="H10" s="155" t="e" cm="1">
        <f t="array" ref="H10">+_xlfn.IFS($C10="Renewable",0,$C10="National grid",VLOOKUP($D10,'EF-S2'!$E$11:$F$169,2,))</f>
        <v>#N/A</v>
      </c>
      <c r="I10" s="155" t="e" cm="1">
        <f t="array" ref="I10">+_xlfn.IFS($C10="Renewable",0,$C10="National grid",VLOOKUP($D10,'EF-S2'!$H$11:$I$169,2,))</f>
        <v>#N/A</v>
      </c>
      <c r="J10" s="155" t="e" cm="1">
        <f t="array" ref="J10">+_xlfn.IFS($F$9="kWh",$E10*G10/1000000,$F$9="MWh",$E10*G10/1000)</f>
        <v>#N/A</v>
      </c>
      <c r="K10" s="155" t="e" cm="1">
        <f t="array" ref="K10">+_xlfn.IFS($F$9="kWh",$E10*H10/1000000,$F$9="MWh",$E10*H10/1000)</f>
        <v>#N/A</v>
      </c>
      <c r="L10" s="155" t="e" cm="1">
        <f t="array" ref="L10">+_xlfn.IFS($F$9="kWh",$E10*I10/1000000,$F$9="MWh",$E10*I10/1000)</f>
        <v>#N/A</v>
      </c>
      <c r="M10" s="156">
        <f t="shared" ref="M10:M73" si="0">+IFERROR(SUM(J10:L10),0)</f>
        <v>0</v>
      </c>
      <c r="S10" s="152"/>
      <c r="T10" s="158"/>
      <c r="U10" s="159"/>
      <c r="V10" s="167">
        <f>+'EF-S2'!L11</f>
        <v>1.09E-3</v>
      </c>
      <c r="W10" s="167">
        <f>+'EF-S2'!L12</f>
        <v>5.8E-4</v>
      </c>
      <c r="X10" s="167">
        <f>+'EF-S2'!L13</f>
        <v>0</v>
      </c>
      <c r="Y10" s="155" t="e" cm="1">
        <f t="array" ref="Y10">+_xlfn.IFS($U$9="kWh",$T10*V10/1000,$U$9="MWh",$T10*V10)</f>
        <v>#N/A</v>
      </c>
      <c r="Z10" s="155" t="e" cm="1">
        <f t="array" ref="Z10">+_xlfn.IFS($U$9="kWh",$T10*W10/1000,$U$9="MWh",$T10*W10)</f>
        <v>#N/A</v>
      </c>
      <c r="AA10" s="155" t="e" cm="1">
        <f t="array" ref="AA10">+_xlfn.IFS($U$9="kWh",$T10*X10/1000,$U$9="MWh",$T10*X10)</f>
        <v>#N/A</v>
      </c>
      <c r="AB10" s="156">
        <f t="shared" ref="AB10:AB73" si="1">+IFERROR(SUM(Y10:AA10),0)</f>
        <v>0</v>
      </c>
    </row>
    <row r="11" spans="1:28" x14ac:dyDescent="0.7">
      <c r="B11" s="152"/>
      <c r="C11" s="159"/>
      <c r="D11" s="159"/>
      <c r="E11" s="158"/>
      <c r="F11" s="159"/>
      <c r="G11" s="155" t="e" cm="1">
        <f t="array" ref="G11">+_xlfn.IFS($C11="Renewable",0,$C11="National grid",VLOOKUP($D11,'EF-S2'!$B$11:$C$169,2,))</f>
        <v>#N/A</v>
      </c>
      <c r="H11" s="155" t="e" cm="1">
        <f t="array" ref="H11">+_xlfn.IFS($C11="Renewable",0,$C11="National grid",VLOOKUP($D11,'EF-S2'!$E$11:$F$169,2,))</f>
        <v>#N/A</v>
      </c>
      <c r="I11" s="155" t="e" cm="1">
        <f t="array" ref="I11">+_xlfn.IFS($C11="Renewable",0,$C11="National grid",VLOOKUP($D11,'EF-S2'!$H$11:$I$169,2,))</f>
        <v>#N/A</v>
      </c>
      <c r="J11" s="155" t="e" cm="1">
        <f t="array" ref="J11">+_xlfn.IFS($F$9="kWh",$E11*G11/1000000,$F$9="MWh",$E11*G11/1000)</f>
        <v>#N/A</v>
      </c>
      <c r="K11" s="155" t="e" cm="1">
        <f t="array" ref="K11">+_xlfn.IFS($F$9="kWh",$E11*H11/1000000,$F$9="MWh",$E11*H11/1000)</f>
        <v>#N/A</v>
      </c>
      <c r="L11" s="155" t="e" cm="1">
        <f t="array" ref="L11">+_xlfn.IFS($F$9="kWh",$E11*I11/1000000,$F$9="MWh",$E11*I11/1000)</f>
        <v>#N/A</v>
      </c>
      <c r="M11" s="156">
        <f t="shared" si="0"/>
        <v>0</v>
      </c>
      <c r="S11" s="152"/>
      <c r="T11" s="158"/>
      <c r="U11" s="159"/>
      <c r="V11" s="167">
        <f>+'EF-S2'!L12</f>
        <v>5.8E-4</v>
      </c>
      <c r="W11" s="167">
        <f>+'EF-S2'!L13</f>
        <v>0</v>
      </c>
      <c r="X11" s="167">
        <f>+'EF-S2'!L14</f>
        <v>0</v>
      </c>
      <c r="Y11" s="155" t="e" cm="1">
        <f t="array" ref="Y11">+_xlfn.IFS($U$9="kWh",$T11*V11/1000,$U$9="MWh",$T11*V11)</f>
        <v>#N/A</v>
      </c>
      <c r="Z11" s="155" t="e" cm="1">
        <f t="array" ref="Z11">+_xlfn.IFS($U$9="kWh",$T11*W11/1000,$U$9="MWh",$T11*W11)</f>
        <v>#N/A</v>
      </c>
      <c r="AA11" s="155" t="e" cm="1">
        <f t="array" ref="AA11">+_xlfn.IFS($U$9="kWh",$T11*X11/1000,$U$9="MWh",$T11*X11)</f>
        <v>#N/A</v>
      </c>
      <c r="AB11" s="156">
        <f t="shared" si="1"/>
        <v>0</v>
      </c>
    </row>
    <row r="12" spans="1:28" x14ac:dyDescent="0.7">
      <c r="B12" s="152"/>
      <c r="C12" s="159"/>
      <c r="D12" s="159"/>
      <c r="E12" s="158"/>
      <c r="F12" s="159"/>
      <c r="G12" s="155" t="e" cm="1">
        <f t="array" ref="G12">+_xlfn.IFS($C12="Renewable",0,$C12="National grid",VLOOKUP($D12,'EF-S2'!$B$11:$C$169,2,))</f>
        <v>#N/A</v>
      </c>
      <c r="H12" s="155" t="e" cm="1">
        <f t="array" ref="H12">+_xlfn.IFS($C12="Renewable",0,$C12="National grid",VLOOKUP($D12,'EF-S2'!$E$11:$F$169,2,))</f>
        <v>#N/A</v>
      </c>
      <c r="I12" s="155" t="e" cm="1">
        <f t="array" ref="I12">+_xlfn.IFS($C12="Renewable",0,$C12="National grid",VLOOKUP($D12,'EF-S2'!$H$11:$I$169,2,))</f>
        <v>#N/A</v>
      </c>
      <c r="J12" s="155" t="e" cm="1">
        <f t="array" ref="J12">+_xlfn.IFS($F$9="kWh",$E12*G12/1000000,$F$9="MWh",$E12*G12/1000)</f>
        <v>#N/A</v>
      </c>
      <c r="K12" s="155" t="e" cm="1">
        <f t="array" ref="K12">+_xlfn.IFS($F$9="kWh",$E12*H12/1000000,$F$9="MWh",$E12*H12/1000)</f>
        <v>#N/A</v>
      </c>
      <c r="L12" s="155" t="e" cm="1">
        <f t="array" ref="L12">+_xlfn.IFS($F$9="kWh",$E12*I12/1000000,$F$9="MWh",$E12*I12/1000)</f>
        <v>#N/A</v>
      </c>
      <c r="M12" s="156">
        <f t="shared" si="0"/>
        <v>0</v>
      </c>
      <c r="S12" s="152"/>
      <c r="T12" s="158"/>
      <c r="U12" s="159"/>
      <c r="V12" s="167">
        <f>+'EF-S2'!L13</f>
        <v>0</v>
      </c>
      <c r="W12" s="167">
        <f>+'EF-S2'!L14</f>
        <v>0</v>
      </c>
      <c r="X12" s="167">
        <f>+'EF-S2'!L15</f>
        <v>0</v>
      </c>
      <c r="Y12" s="155" t="e" cm="1">
        <f t="array" ref="Y12">+_xlfn.IFS($U$9="kWh",$T12*V12/1000,$U$9="MWh",$T12*V12)</f>
        <v>#N/A</v>
      </c>
      <c r="Z12" s="155" t="e" cm="1">
        <f t="array" ref="Z12">+_xlfn.IFS($U$9="kWh",$T12*W12/1000,$U$9="MWh",$T12*W12)</f>
        <v>#N/A</v>
      </c>
      <c r="AA12" s="155" t="e" cm="1">
        <f t="array" ref="AA12">+_xlfn.IFS($U$9="kWh",$T12*X12/1000,$U$9="MWh",$T12*X12)</f>
        <v>#N/A</v>
      </c>
      <c r="AB12" s="156">
        <f t="shared" si="1"/>
        <v>0</v>
      </c>
    </row>
    <row r="13" spans="1:28" x14ac:dyDescent="0.7">
      <c r="B13" s="152"/>
      <c r="C13" s="159"/>
      <c r="D13" s="159"/>
      <c r="E13" s="158"/>
      <c r="F13" s="159"/>
      <c r="G13" s="155" t="e" cm="1">
        <f t="array" ref="G13">+_xlfn.IFS($C13="Renewable",0,$C13="National grid",VLOOKUP($D13,'EF-S2'!$B$11:$C$169,2,))</f>
        <v>#N/A</v>
      </c>
      <c r="H13" s="155" t="e" cm="1">
        <f t="array" ref="H13">+_xlfn.IFS($C13="Renewable",0,$C13="National grid",VLOOKUP($D13,'EF-S2'!$E$11:$F$169,2,))</f>
        <v>#N/A</v>
      </c>
      <c r="I13" s="155" t="e" cm="1">
        <f t="array" ref="I13">+_xlfn.IFS($C13="Renewable",0,$C13="National grid",VLOOKUP($D13,'EF-S2'!$H$11:$I$169,2,))</f>
        <v>#N/A</v>
      </c>
      <c r="J13" s="155" t="e" cm="1">
        <f t="array" ref="J13">+_xlfn.IFS($F$9="kWh",$E13*G13/1000000,$F$9="MWh",$E13*G13/1000)</f>
        <v>#N/A</v>
      </c>
      <c r="K13" s="155" t="e" cm="1">
        <f t="array" ref="K13">+_xlfn.IFS($F$9="kWh",$E13*H13/1000000,$F$9="MWh",$E13*H13/1000)</f>
        <v>#N/A</v>
      </c>
      <c r="L13" s="155" t="e" cm="1">
        <f t="array" ref="L13">+_xlfn.IFS($F$9="kWh",$E13*I13/1000000,$F$9="MWh",$E13*I13/1000)</f>
        <v>#N/A</v>
      </c>
      <c r="M13" s="156">
        <f t="shared" si="0"/>
        <v>0</v>
      </c>
      <c r="S13" s="152"/>
      <c r="T13" s="158"/>
      <c r="U13" s="159"/>
      <c r="V13" s="167">
        <f>+'EF-S2'!L14</f>
        <v>0</v>
      </c>
      <c r="W13" s="167">
        <f>+'EF-S2'!L15</f>
        <v>0</v>
      </c>
      <c r="X13" s="167">
        <f>+'EF-S2'!L16</f>
        <v>0</v>
      </c>
      <c r="Y13" s="155" t="e" cm="1">
        <f t="array" ref="Y13">+_xlfn.IFS($U$9="kWh",$T13*V13/1000,$U$9="MWh",$T13*V13)</f>
        <v>#N/A</v>
      </c>
      <c r="Z13" s="155" t="e" cm="1">
        <f t="array" ref="Z13">+_xlfn.IFS($U$9="kWh",$T13*W13/1000,$U$9="MWh",$T13*W13)</f>
        <v>#N/A</v>
      </c>
      <c r="AA13" s="155" t="e" cm="1">
        <f t="array" ref="AA13">+_xlfn.IFS($U$9="kWh",$T13*X13/1000,$U$9="MWh",$T13*X13)</f>
        <v>#N/A</v>
      </c>
      <c r="AB13" s="156">
        <f t="shared" si="1"/>
        <v>0</v>
      </c>
    </row>
    <row r="14" spans="1:28" x14ac:dyDescent="0.7">
      <c r="B14" s="152"/>
      <c r="C14" s="159"/>
      <c r="D14" s="159"/>
      <c r="E14" s="158"/>
      <c r="F14" s="159"/>
      <c r="G14" s="155" t="e" cm="1">
        <f t="array" ref="G14">+_xlfn.IFS($C14="Renewable",0,$C14="National grid",VLOOKUP($D14,'EF-S2'!$B$11:$C$169,2,))</f>
        <v>#N/A</v>
      </c>
      <c r="H14" s="155" t="e" cm="1">
        <f t="array" ref="H14">+_xlfn.IFS($C14="Renewable",0,$C14="National grid",VLOOKUP($D14,'EF-S2'!$E$11:$F$169,2,))</f>
        <v>#N/A</v>
      </c>
      <c r="I14" s="155" t="e" cm="1">
        <f t="array" ref="I14">+_xlfn.IFS($C14="Renewable",0,$C14="National grid",VLOOKUP($D14,'EF-S2'!$H$11:$I$169,2,))</f>
        <v>#N/A</v>
      </c>
      <c r="J14" s="155" t="e" cm="1">
        <f t="array" ref="J14">+_xlfn.IFS($F$9="kWh",$E14*G14/1000000,$F$9="MWh",$E14*G14/1000)</f>
        <v>#N/A</v>
      </c>
      <c r="K14" s="155" t="e" cm="1">
        <f t="array" ref="K14">+_xlfn.IFS($F$9="kWh",$E14*H14/1000000,$F$9="MWh",$E14*H14/1000)</f>
        <v>#N/A</v>
      </c>
      <c r="L14" s="155" t="e" cm="1">
        <f t="array" ref="L14">+_xlfn.IFS($F$9="kWh",$E14*I14/1000000,$F$9="MWh",$E14*I14/1000)</f>
        <v>#N/A</v>
      </c>
      <c r="M14" s="156">
        <f t="shared" si="0"/>
        <v>0</v>
      </c>
      <c r="S14" s="152"/>
      <c r="T14" s="158"/>
      <c r="U14" s="159"/>
      <c r="V14" s="167">
        <f>+'EF-S2'!L15</f>
        <v>0</v>
      </c>
      <c r="W14" s="167">
        <f>+'EF-S2'!L16</f>
        <v>0</v>
      </c>
      <c r="X14" s="167">
        <f>+'EF-S2'!L17</f>
        <v>0</v>
      </c>
      <c r="Y14" s="155" t="e" cm="1">
        <f t="array" ref="Y14">+_xlfn.IFS($U$9="kWh",$T14*V14/1000,$U$9="MWh",$T14*V14)</f>
        <v>#N/A</v>
      </c>
      <c r="Z14" s="155" t="e" cm="1">
        <f t="array" ref="Z14">+_xlfn.IFS($U$9="kWh",$T14*W14/1000,$U$9="MWh",$T14*W14)</f>
        <v>#N/A</v>
      </c>
      <c r="AA14" s="155" t="e" cm="1">
        <f t="array" ref="AA14">+_xlfn.IFS($U$9="kWh",$T14*X14/1000,$U$9="MWh",$T14*X14)</f>
        <v>#N/A</v>
      </c>
      <c r="AB14" s="156">
        <f t="shared" si="1"/>
        <v>0</v>
      </c>
    </row>
    <row r="15" spans="1:28" x14ac:dyDescent="0.7">
      <c r="B15" s="152"/>
      <c r="C15" s="159"/>
      <c r="D15" s="159"/>
      <c r="E15" s="158"/>
      <c r="F15" s="159"/>
      <c r="G15" s="155" t="e" cm="1">
        <f t="array" ref="G15">+_xlfn.IFS($C15="Renewable",0,$C15="National grid",VLOOKUP($D15,'EF-S2'!$B$11:$C$169,2,))</f>
        <v>#N/A</v>
      </c>
      <c r="H15" s="155" t="e" cm="1">
        <f t="array" ref="H15">+_xlfn.IFS($C15="Renewable",0,$C15="National grid",VLOOKUP($D15,'EF-S2'!$E$11:$F$169,2,))</f>
        <v>#N/A</v>
      </c>
      <c r="I15" s="155" t="e" cm="1">
        <f t="array" ref="I15">+_xlfn.IFS($C15="Renewable",0,$C15="National grid",VLOOKUP($D15,'EF-S2'!$H$11:$I$169,2,))</f>
        <v>#N/A</v>
      </c>
      <c r="J15" s="155" t="e" cm="1">
        <f t="array" ref="J15">+_xlfn.IFS($F$9="kWh",$E15*G15/1000000,$F$9="MWh",$E15*G15/1000)</f>
        <v>#N/A</v>
      </c>
      <c r="K15" s="155" t="e" cm="1">
        <f t="array" ref="K15">+_xlfn.IFS($F$9="kWh",$E15*H15/1000000,$F$9="MWh",$E15*H15/1000)</f>
        <v>#N/A</v>
      </c>
      <c r="L15" s="155" t="e" cm="1">
        <f t="array" ref="L15">+_xlfn.IFS($F$9="kWh",$E15*I15/1000000,$F$9="MWh",$E15*I15/1000)</f>
        <v>#N/A</v>
      </c>
      <c r="M15" s="156">
        <f t="shared" si="0"/>
        <v>0</v>
      </c>
      <c r="S15" s="152"/>
      <c r="T15" s="158"/>
      <c r="U15" s="159"/>
      <c r="V15" s="167">
        <f>+'EF-S2'!L16</f>
        <v>0</v>
      </c>
      <c r="W15" s="167">
        <f>+'EF-S2'!L17</f>
        <v>0</v>
      </c>
      <c r="X15" s="167">
        <f>+'EF-S2'!L18</f>
        <v>0</v>
      </c>
      <c r="Y15" s="155" t="e" cm="1">
        <f t="array" ref="Y15">+_xlfn.IFS($U$9="kWh",$T15*V15/1000,$U$9="MWh",$T15*V15)</f>
        <v>#N/A</v>
      </c>
      <c r="Z15" s="155" t="e" cm="1">
        <f t="array" ref="Z15">+_xlfn.IFS($U$9="kWh",$T15*W15/1000,$U$9="MWh",$T15*W15)</f>
        <v>#N/A</v>
      </c>
      <c r="AA15" s="155" t="e" cm="1">
        <f t="array" ref="AA15">+_xlfn.IFS($U$9="kWh",$T15*X15/1000,$U$9="MWh",$T15*X15)</f>
        <v>#N/A</v>
      </c>
      <c r="AB15" s="156">
        <f t="shared" si="1"/>
        <v>0</v>
      </c>
    </row>
    <row r="16" spans="1:28" x14ac:dyDescent="0.7">
      <c r="B16" s="152"/>
      <c r="C16" s="159"/>
      <c r="D16" s="159"/>
      <c r="E16" s="158"/>
      <c r="F16" s="159"/>
      <c r="G16" s="155" t="e" cm="1">
        <f t="array" ref="G16">+_xlfn.IFS($C16="Renewable",0,$C16="National grid",VLOOKUP($D16,'EF-S2'!$B$11:$C$169,2,))</f>
        <v>#N/A</v>
      </c>
      <c r="H16" s="155" t="e" cm="1">
        <f t="array" ref="H16">+_xlfn.IFS($C16="Renewable",0,$C16="National grid",VLOOKUP($D16,'EF-S2'!$E$11:$F$169,2,))</f>
        <v>#N/A</v>
      </c>
      <c r="I16" s="155" t="e" cm="1">
        <f t="array" ref="I16">+_xlfn.IFS($C16="Renewable",0,$C16="National grid",VLOOKUP($D16,'EF-S2'!$H$11:$I$169,2,))</f>
        <v>#N/A</v>
      </c>
      <c r="J16" s="155" t="e" cm="1">
        <f t="array" ref="J16">+_xlfn.IFS($F$9="kWh",$E16*G16/1000000,$F$9="MWh",$E16*G16/1000)</f>
        <v>#N/A</v>
      </c>
      <c r="K16" s="155" t="e" cm="1">
        <f t="array" ref="K16">+_xlfn.IFS($F$9="kWh",$E16*H16/1000000,$F$9="MWh",$E16*H16/1000)</f>
        <v>#N/A</v>
      </c>
      <c r="L16" s="155" t="e" cm="1">
        <f t="array" ref="L16">+_xlfn.IFS($F$9="kWh",$E16*I16/1000000,$F$9="MWh",$E16*I16/1000)</f>
        <v>#N/A</v>
      </c>
      <c r="M16" s="156">
        <f t="shared" si="0"/>
        <v>0</v>
      </c>
      <c r="S16" s="152"/>
      <c r="T16" s="158"/>
      <c r="U16" s="159"/>
      <c r="V16" s="167">
        <f>+'EF-S2'!L17</f>
        <v>0</v>
      </c>
      <c r="W16" s="167">
        <f>+'EF-S2'!L18</f>
        <v>0</v>
      </c>
      <c r="X16" s="167">
        <f>+'EF-S2'!L19</f>
        <v>0</v>
      </c>
      <c r="Y16" s="155" t="e" cm="1">
        <f t="array" ref="Y16">+_xlfn.IFS($U$9="kWh",$T16*V16/1000,$U$9="MWh",$T16*V16)</f>
        <v>#N/A</v>
      </c>
      <c r="Z16" s="155" t="e" cm="1">
        <f t="array" ref="Z16">+_xlfn.IFS($U$9="kWh",$T16*W16/1000,$U$9="MWh",$T16*W16)</f>
        <v>#N/A</v>
      </c>
      <c r="AA16" s="155" t="e" cm="1">
        <f t="array" ref="AA16">+_xlfn.IFS($U$9="kWh",$T16*X16/1000,$U$9="MWh",$T16*X16)</f>
        <v>#N/A</v>
      </c>
      <c r="AB16" s="156">
        <f t="shared" si="1"/>
        <v>0</v>
      </c>
    </row>
    <row r="17" spans="2:28" x14ac:dyDescent="0.7">
      <c r="B17" s="152"/>
      <c r="C17" s="159"/>
      <c r="D17" s="159"/>
      <c r="E17" s="158"/>
      <c r="F17" s="159"/>
      <c r="G17" s="155" t="e" cm="1">
        <f t="array" ref="G17">+_xlfn.IFS($C17="Renewable",0,$C17="National grid",VLOOKUP($D17,'EF-S2'!$B$11:$C$169,2,))</f>
        <v>#N/A</v>
      </c>
      <c r="H17" s="155" t="e" cm="1">
        <f t="array" ref="H17">+_xlfn.IFS($C17="Renewable",0,$C17="National grid",VLOOKUP($D17,'EF-S2'!$E$11:$F$169,2,))</f>
        <v>#N/A</v>
      </c>
      <c r="I17" s="155" t="e" cm="1">
        <f t="array" ref="I17">+_xlfn.IFS($C17="Renewable",0,$C17="National grid",VLOOKUP($D17,'EF-S2'!$H$11:$I$169,2,))</f>
        <v>#N/A</v>
      </c>
      <c r="J17" s="155" t="e" cm="1">
        <f t="array" ref="J17">+_xlfn.IFS($F$9="kWh",$E17*G17/1000000,$F$9="MWh",$E17*G17/1000)</f>
        <v>#N/A</v>
      </c>
      <c r="K17" s="155" t="e" cm="1">
        <f t="array" ref="K17">+_xlfn.IFS($F$9="kWh",$E17*H17/1000000,$F$9="MWh",$E17*H17/1000)</f>
        <v>#N/A</v>
      </c>
      <c r="L17" s="155" t="e" cm="1">
        <f t="array" ref="L17">+_xlfn.IFS($F$9="kWh",$E17*I17/1000000,$F$9="MWh",$E17*I17/1000)</f>
        <v>#N/A</v>
      </c>
      <c r="M17" s="156">
        <f t="shared" si="0"/>
        <v>0</v>
      </c>
      <c r="S17" s="152"/>
      <c r="T17" s="158"/>
      <c r="U17" s="159"/>
      <c r="V17" s="167">
        <f>+'EF-S2'!L18</f>
        <v>0</v>
      </c>
      <c r="W17" s="167">
        <f>+'EF-S2'!L19</f>
        <v>0</v>
      </c>
      <c r="X17" s="167">
        <f>+'EF-S2'!L20</f>
        <v>0</v>
      </c>
      <c r="Y17" s="155" t="e" cm="1">
        <f t="array" ref="Y17">+_xlfn.IFS($U$9="kWh",$T17*V17/1000,$U$9="MWh",$T17*V17)</f>
        <v>#N/A</v>
      </c>
      <c r="Z17" s="155" t="e" cm="1">
        <f t="array" ref="Z17">+_xlfn.IFS($U$9="kWh",$T17*W17/1000,$U$9="MWh",$T17*W17)</f>
        <v>#N/A</v>
      </c>
      <c r="AA17" s="155" t="e" cm="1">
        <f t="array" ref="AA17">+_xlfn.IFS($U$9="kWh",$T17*X17/1000,$U$9="MWh",$T17*X17)</f>
        <v>#N/A</v>
      </c>
      <c r="AB17" s="156">
        <f t="shared" si="1"/>
        <v>0</v>
      </c>
    </row>
    <row r="18" spans="2:28" x14ac:dyDescent="0.7">
      <c r="B18" s="152"/>
      <c r="C18" s="159"/>
      <c r="D18" s="159"/>
      <c r="E18" s="158"/>
      <c r="F18" s="159"/>
      <c r="G18" s="155" t="e" cm="1">
        <f t="array" ref="G18">+_xlfn.IFS($C18="Renewable",0,$C18="National grid",VLOOKUP($D18,'EF-S2'!$B$11:$C$169,2,))</f>
        <v>#N/A</v>
      </c>
      <c r="H18" s="155" t="e" cm="1">
        <f t="array" ref="H18">+_xlfn.IFS($C18="Renewable",0,$C18="National grid",VLOOKUP($D18,'EF-S2'!$E$11:$F$169,2,))</f>
        <v>#N/A</v>
      </c>
      <c r="I18" s="155" t="e" cm="1">
        <f t="array" ref="I18">+_xlfn.IFS($C18="Renewable",0,$C18="National grid",VLOOKUP($D18,'EF-S2'!$H$11:$I$169,2,))</f>
        <v>#N/A</v>
      </c>
      <c r="J18" s="155" t="e" cm="1">
        <f t="array" ref="J18">+_xlfn.IFS($F$9="kWh",$E18*G18/1000000,$F$9="MWh",$E18*G18/1000)</f>
        <v>#N/A</v>
      </c>
      <c r="K18" s="155" t="e" cm="1">
        <f t="array" ref="K18">+_xlfn.IFS($F$9="kWh",$E18*H18/1000000,$F$9="MWh",$E18*H18/1000)</f>
        <v>#N/A</v>
      </c>
      <c r="L18" s="155" t="e" cm="1">
        <f t="array" ref="L18">+_xlfn.IFS($F$9="kWh",$E18*I18/1000000,$F$9="MWh",$E18*I18/1000)</f>
        <v>#N/A</v>
      </c>
      <c r="M18" s="156">
        <f t="shared" si="0"/>
        <v>0</v>
      </c>
      <c r="S18" s="152"/>
      <c r="T18" s="158"/>
      <c r="U18" s="159"/>
      <c r="V18" s="167">
        <f>+'EF-S2'!L19</f>
        <v>0</v>
      </c>
      <c r="W18" s="167">
        <f>+'EF-S2'!L20</f>
        <v>0</v>
      </c>
      <c r="X18" s="167">
        <f>+'EF-S2'!L21</f>
        <v>0</v>
      </c>
      <c r="Y18" s="155" t="e" cm="1">
        <f t="array" ref="Y18">+_xlfn.IFS($U$9="kWh",$T18*V18/1000,$U$9="MWh",$T18*V18)</f>
        <v>#N/A</v>
      </c>
      <c r="Z18" s="155" t="e" cm="1">
        <f t="array" ref="Z18">+_xlfn.IFS($U$9="kWh",$T18*W18/1000,$U$9="MWh",$T18*W18)</f>
        <v>#N/A</v>
      </c>
      <c r="AA18" s="155" t="e" cm="1">
        <f t="array" ref="AA18">+_xlfn.IFS($U$9="kWh",$T18*X18/1000,$U$9="MWh",$T18*X18)</f>
        <v>#N/A</v>
      </c>
      <c r="AB18" s="156">
        <f t="shared" si="1"/>
        <v>0</v>
      </c>
    </row>
    <row r="19" spans="2:28" x14ac:dyDescent="0.7">
      <c r="B19" s="152"/>
      <c r="C19" s="159"/>
      <c r="D19" s="159"/>
      <c r="E19" s="158"/>
      <c r="F19" s="159"/>
      <c r="G19" s="155" t="e" cm="1">
        <f t="array" ref="G19">+_xlfn.IFS($C19="Renewable",0,$C19="National grid",VLOOKUP($D19,'EF-S2'!$B$11:$C$169,2,))</f>
        <v>#N/A</v>
      </c>
      <c r="H19" s="155" t="e" cm="1">
        <f t="array" ref="H19">+_xlfn.IFS($C19="Renewable",0,$C19="National grid",VLOOKUP($D19,'EF-S2'!$E$11:$F$169,2,))</f>
        <v>#N/A</v>
      </c>
      <c r="I19" s="155" t="e" cm="1">
        <f t="array" ref="I19">+_xlfn.IFS($C19="Renewable",0,$C19="National grid",VLOOKUP($D19,'EF-S2'!$H$11:$I$169,2,))</f>
        <v>#N/A</v>
      </c>
      <c r="J19" s="155" t="e" cm="1">
        <f t="array" ref="J19">+_xlfn.IFS($F$9="kWh",$E19*G19/1000000,$F$9="MWh",$E19*G19/1000)</f>
        <v>#N/A</v>
      </c>
      <c r="K19" s="155" t="e" cm="1">
        <f t="array" ref="K19">+_xlfn.IFS($F$9="kWh",$E19*H19/1000000,$F$9="MWh",$E19*H19/1000)</f>
        <v>#N/A</v>
      </c>
      <c r="L19" s="155" t="e" cm="1">
        <f t="array" ref="L19">+_xlfn.IFS($F$9="kWh",$E19*I19/1000000,$F$9="MWh",$E19*I19/1000)</f>
        <v>#N/A</v>
      </c>
      <c r="M19" s="156">
        <f t="shared" si="0"/>
        <v>0</v>
      </c>
      <c r="S19" s="152"/>
      <c r="T19" s="158"/>
      <c r="U19" s="159"/>
      <c r="V19" s="167">
        <f>+'EF-S2'!L20</f>
        <v>0</v>
      </c>
      <c r="W19" s="167">
        <f>+'EF-S2'!L21</f>
        <v>0</v>
      </c>
      <c r="X19" s="167">
        <f>+'EF-S2'!L22</f>
        <v>0</v>
      </c>
      <c r="Y19" s="155" t="e" cm="1">
        <f t="array" ref="Y19">+_xlfn.IFS($U$9="kWh",$T19*V19/1000,$U$9="MWh",$T19*V19)</f>
        <v>#N/A</v>
      </c>
      <c r="Z19" s="155" t="e" cm="1">
        <f t="array" ref="Z19">+_xlfn.IFS($U$9="kWh",$T19*W19/1000,$U$9="MWh",$T19*W19)</f>
        <v>#N/A</v>
      </c>
      <c r="AA19" s="155" t="e" cm="1">
        <f t="array" ref="AA19">+_xlfn.IFS($U$9="kWh",$T19*X19/1000,$U$9="MWh",$T19*X19)</f>
        <v>#N/A</v>
      </c>
      <c r="AB19" s="156">
        <f t="shared" si="1"/>
        <v>0</v>
      </c>
    </row>
    <row r="20" spans="2:28" x14ac:dyDescent="0.7">
      <c r="B20" s="152"/>
      <c r="C20" s="159"/>
      <c r="D20" s="159"/>
      <c r="E20" s="158"/>
      <c r="F20" s="159"/>
      <c r="G20" s="155" t="e" cm="1">
        <f t="array" ref="G20">+_xlfn.IFS($C20="Renewable",0,$C20="National grid",VLOOKUP($D20,'EF-S2'!$B$11:$C$169,2,))</f>
        <v>#N/A</v>
      </c>
      <c r="H20" s="155" t="e" cm="1">
        <f t="array" ref="H20">+_xlfn.IFS($C20="Renewable",0,$C20="National grid",VLOOKUP($D20,'EF-S2'!$E$11:$F$169,2,))</f>
        <v>#N/A</v>
      </c>
      <c r="I20" s="155" t="e" cm="1">
        <f t="array" ref="I20">+_xlfn.IFS($C20="Renewable",0,$C20="National grid",VLOOKUP($D20,'EF-S2'!$H$11:$I$169,2,))</f>
        <v>#N/A</v>
      </c>
      <c r="J20" s="155" t="e" cm="1">
        <f t="array" ref="J20">+_xlfn.IFS($F$9="kWh",$E20*G20/1000000,$F$9="MWh",$E20*G20/1000)</f>
        <v>#N/A</v>
      </c>
      <c r="K20" s="155" t="e" cm="1">
        <f t="array" ref="K20">+_xlfn.IFS($F$9="kWh",$E20*H20/1000000,$F$9="MWh",$E20*H20/1000)</f>
        <v>#N/A</v>
      </c>
      <c r="L20" s="155" t="e" cm="1">
        <f t="array" ref="L20">+_xlfn.IFS($F$9="kWh",$E20*I20/1000000,$F$9="MWh",$E20*I20/1000)</f>
        <v>#N/A</v>
      </c>
      <c r="M20" s="156">
        <f t="shared" si="0"/>
        <v>0</v>
      </c>
      <c r="S20" s="152"/>
      <c r="T20" s="158"/>
      <c r="U20" s="159"/>
      <c r="V20" s="167">
        <f>+'EF-S2'!L21</f>
        <v>0</v>
      </c>
      <c r="W20" s="167">
        <f>+'EF-S2'!L22</f>
        <v>0</v>
      </c>
      <c r="X20" s="167">
        <f>+'EF-S2'!L23</f>
        <v>0</v>
      </c>
      <c r="Y20" s="155" t="e" cm="1">
        <f t="array" ref="Y20">+_xlfn.IFS($U$9="kWh",$T20*V20/1000,$U$9="MWh",$T20*V20)</f>
        <v>#N/A</v>
      </c>
      <c r="Z20" s="155" t="e" cm="1">
        <f t="array" ref="Z20">+_xlfn.IFS($U$9="kWh",$T20*W20/1000,$U$9="MWh",$T20*W20)</f>
        <v>#N/A</v>
      </c>
      <c r="AA20" s="155" t="e" cm="1">
        <f t="array" ref="AA20">+_xlfn.IFS($U$9="kWh",$T20*X20/1000,$U$9="MWh",$T20*X20)</f>
        <v>#N/A</v>
      </c>
      <c r="AB20" s="156">
        <f t="shared" si="1"/>
        <v>0</v>
      </c>
    </row>
    <row r="21" spans="2:28" x14ac:dyDescent="0.7">
      <c r="B21" s="152"/>
      <c r="C21" s="159"/>
      <c r="D21" s="159"/>
      <c r="E21" s="158"/>
      <c r="F21" s="159"/>
      <c r="G21" s="155" t="e" cm="1">
        <f t="array" ref="G21">+_xlfn.IFS($C21="Renewable",0,$C21="National grid",VLOOKUP($D21,'EF-S2'!$B$11:$C$169,2,))</f>
        <v>#N/A</v>
      </c>
      <c r="H21" s="155" t="e" cm="1">
        <f t="array" ref="H21">+_xlfn.IFS($C21="Renewable",0,$C21="National grid",VLOOKUP($D21,'EF-S2'!$E$11:$F$169,2,))</f>
        <v>#N/A</v>
      </c>
      <c r="I21" s="155" t="e" cm="1">
        <f t="array" ref="I21">+_xlfn.IFS($C21="Renewable",0,$C21="National grid",VLOOKUP($D21,'EF-S2'!$H$11:$I$169,2,))</f>
        <v>#N/A</v>
      </c>
      <c r="J21" s="155" t="e" cm="1">
        <f t="array" ref="J21">+_xlfn.IFS($F$9="kWh",$E21*G21/1000000,$F$9="MWh",$E21*G21/1000)</f>
        <v>#N/A</v>
      </c>
      <c r="K21" s="155" t="e" cm="1">
        <f t="array" ref="K21">+_xlfn.IFS($F$9="kWh",$E21*H21/1000000,$F$9="MWh",$E21*H21/1000)</f>
        <v>#N/A</v>
      </c>
      <c r="L21" s="155" t="e" cm="1">
        <f t="array" ref="L21">+_xlfn.IFS($F$9="kWh",$E21*I21/1000000,$F$9="MWh",$E21*I21/1000)</f>
        <v>#N/A</v>
      </c>
      <c r="M21" s="156">
        <f t="shared" si="0"/>
        <v>0</v>
      </c>
      <c r="S21" s="152"/>
      <c r="T21" s="158"/>
      <c r="U21" s="159"/>
      <c r="V21" s="167">
        <f>+'EF-S2'!L22</f>
        <v>0</v>
      </c>
      <c r="W21" s="167">
        <f>+'EF-S2'!L23</f>
        <v>0</v>
      </c>
      <c r="X21" s="167">
        <f>+'EF-S2'!L24</f>
        <v>0</v>
      </c>
      <c r="Y21" s="155" t="e" cm="1">
        <f t="array" ref="Y21">+_xlfn.IFS($U$9="kWh",$T21*V21/1000,$U$9="MWh",$T21*V21)</f>
        <v>#N/A</v>
      </c>
      <c r="Z21" s="155" t="e" cm="1">
        <f t="array" ref="Z21">+_xlfn.IFS($U$9="kWh",$T21*W21/1000,$U$9="MWh",$T21*W21)</f>
        <v>#N/A</v>
      </c>
      <c r="AA21" s="155" t="e" cm="1">
        <f t="array" ref="AA21">+_xlfn.IFS($U$9="kWh",$T21*X21/1000,$U$9="MWh",$T21*X21)</f>
        <v>#N/A</v>
      </c>
      <c r="AB21" s="156">
        <f t="shared" si="1"/>
        <v>0</v>
      </c>
    </row>
    <row r="22" spans="2:28" x14ac:dyDescent="0.7">
      <c r="B22" s="152"/>
      <c r="C22" s="159"/>
      <c r="D22" s="159"/>
      <c r="E22" s="158"/>
      <c r="F22" s="159"/>
      <c r="G22" s="155" t="e" cm="1">
        <f t="array" ref="G22">+_xlfn.IFS($C22="Renewable",0,$C22="National grid",VLOOKUP($D22,'EF-S2'!$B$11:$C$169,2,))</f>
        <v>#N/A</v>
      </c>
      <c r="H22" s="155" t="e" cm="1">
        <f t="array" ref="H22">+_xlfn.IFS($C22="Renewable",0,$C22="National grid",VLOOKUP($D22,'EF-S2'!$E$11:$F$169,2,))</f>
        <v>#N/A</v>
      </c>
      <c r="I22" s="155" t="e" cm="1">
        <f t="array" ref="I22">+_xlfn.IFS($C22="Renewable",0,$C22="National grid",VLOOKUP($D22,'EF-S2'!$H$11:$I$169,2,))</f>
        <v>#N/A</v>
      </c>
      <c r="J22" s="155" t="e" cm="1">
        <f t="array" ref="J22">+_xlfn.IFS($F$9="kWh",$E22*G22/1000000,$F$9="MWh",$E22*G22/1000)</f>
        <v>#N/A</v>
      </c>
      <c r="K22" s="155" t="e" cm="1">
        <f t="array" ref="K22">+_xlfn.IFS($F$9="kWh",$E22*H22/1000000,$F$9="MWh",$E22*H22/1000)</f>
        <v>#N/A</v>
      </c>
      <c r="L22" s="155" t="e" cm="1">
        <f t="array" ref="L22">+_xlfn.IFS($F$9="kWh",$E22*I22/1000000,$F$9="MWh",$E22*I22/1000)</f>
        <v>#N/A</v>
      </c>
      <c r="M22" s="156">
        <f t="shared" si="0"/>
        <v>0</v>
      </c>
      <c r="S22" s="152"/>
      <c r="T22" s="158"/>
      <c r="U22" s="159"/>
      <c r="V22" s="167">
        <f>+'EF-S2'!L23</f>
        <v>0</v>
      </c>
      <c r="W22" s="167">
        <f>+'EF-S2'!L24</f>
        <v>0</v>
      </c>
      <c r="X22" s="167">
        <f>+'EF-S2'!L25</f>
        <v>0</v>
      </c>
      <c r="Y22" s="155" t="e" cm="1">
        <f t="array" ref="Y22">+_xlfn.IFS($U$9="kWh",$T22*V22/1000,$U$9="MWh",$T22*V22)</f>
        <v>#N/A</v>
      </c>
      <c r="Z22" s="155" t="e" cm="1">
        <f t="array" ref="Z22">+_xlfn.IFS($U$9="kWh",$T22*W22/1000,$U$9="MWh",$T22*W22)</f>
        <v>#N/A</v>
      </c>
      <c r="AA22" s="155" t="e" cm="1">
        <f t="array" ref="AA22">+_xlfn.IFS($U$9="kWh",$T22*X22/1000,$U$9="MWh",$T22*X22)</f>
        <v>#N/A</v>
      </c>
      <c r="AB22" s="156">
        <f t="shared" si="1"/>
        <v>0</v>
      </c>
    </row>
    <row r="23" spans="2:28" x14ac:dyDescent="0.7">
      <c r="B23" s="152"/>
      <c r="C23" s="159"/>
      <c r="D23" s="159"/>
      <c r="E23" s="158"/>
      <c r="F23" s="159"/>
      <c r="G23" s="155" t="e" cm="1">
        <f t="array" ref="G23">+_xlfn.IFS($C23="Renewable",0,$C23="National grid",VLOOKUP($D23,'EF-S2'!$B$11:$C$169,2,))</f>
        <v>#N/A</v>
      </c>
      <c r="H23" s="155" t="e" cm="1">
        <f t="array" ref="H23">+_xlfn.IFS($C23="Renewable",0,$C23="National grid",VLOOKUP($D23,'EF-S2'!$E$11:$F$169,2,))</f>
        <v>#N/A</v>
      </c>
      <c r="I23" s="155" t="e" cm="1">
        <f t="array" ref="I23">+_xlfn.IFS($C23="Renewable",0,$C23="National grid",VLOOKUP($D23,'EF-S2'!$H$11:$I$169,2,))</f>
        <v>#N/A</v>
      </c>
      <c r="J23" s="155" t="e" cm="1">
        <f t="array" ref="J23">+_xlfn.IFS($F$9="kWh",$E23*G23/1000000,$F$9="MWh",$E23*G23/1000)</f>
        <v>#N/A</v>
      </c>
      <c r="K23" s="155" t="e" cm="1">
        <f t="array" ref="K23">+_xlfn.IFS($F$9="kWh",$E23*H23/1000000,$F$9="MWh",$E23*H23/1000)</f>
        <v>#N/A</v>
      </c>
      <c r="L23" s="155" t="e" cm="1">
        <f t="array" ref="L23">+_xlfn.IFS($F$9="kWh",$E23*I23/1000000,$F$9="MWh",$E23*I23/1000)</f>
        <v>#N/A</v>
      </c>
      <c r="M23" s="156">
        <f t="shared" si="0"/>
        <v>0</v>
      </c>
      <c r="S23" s="152"/>
      <c r="T23" s="158"/>
      <c r="U23" s="159"/>
      <c r="V23" s="167">
        <f>+'EF-S2'!L24</f>
        <v>0</v>
      </c>
      <c r="W23" s="167">
        <f>+'EF-S2'!L25</f>
        <v>0</v>
      </c>
      <c r="X23" s="167">
        <f>+'EF-S2'!L26</f>
        <v>0</v>
      </c>
      <c r="Y23" s="155" t="e" cm="1">
        <f t="array" ref="Y23">+_xlfn.IFS($U$9="kWh",$T23*V23/1000,$U$9="MWh",$T23*V23)</f>
        <v>#N/A</v>
      </c>
      <c r="Z23" s="155" t="e" cm="1">
        <f t="array" ref="Z23">+_xlfn.IFS($U$9="kWh",$T23*W23/1000,$U$9="MWh",$T23*W23)</f>
        <v>#N/A</v>
      </c>
      <c r="AA23" s="155" t="e" cm="1">
        <f t="array" ref="AA23">+_xlfn.IFS($U$9="kWh",$T23*X23/1000,$U$9="MWh",$T23*X23)</f>
        <v>#N/A</v>
      </c>
      <c r="AB23" s="156">
        <f t="shared" si="1"/>
        <v>0</v>
      </c>
    </row>
    <row r="24" spans="2:28" x14ac:dyDescent="0.7">
      <c r="B24" s="152"/>
      <c r="C24" s="159"/>
      <c r="D24" s="159"/>
      <c r="E24" s="158"/>
      <c r="F24" s="159"/>
      <c r="G24" s="155" t="e" cm="1">
        <f t="array" ref="G24">+_xlfn.IFS($C24="Renewable",0,$C24="National grid",VLOOKUP($D24,'EF-S2'!$B$11:$C$169,2,))</f>
        <v>#N/A</v>
      </c>
      <c r="H24" s="155" t="e" cm="1">
        <f t="array" ref="H24">+_xlfn.IFS($C24="Renewable",0,$C24="National grid",VLOOKUP($D24,'EF-S2'!$E$11:$F$169,2,))</f>
        <v>#N/A</v>
      </c>
      <c r="I24" s="155" t="e" cm="1">
        <f t="array" ref="I24">+_xlfn.IFS($C24="Renewable",0,$C24="National grid",VLOOKUP($D24,'EF-S2'!$H$11:$I$169,2,))</f>
        <v>#N/A</v>
      </c>
      <c r="J24" s="155" t="e" cm="1">
        <f t="array" ref="J24">+_xlfn.IFS($F$9="kWh",$E24*G24/1000000,$F$9="MWh",$E24*G24/1000)</f>
        <v>#N/A</v>
      </c>
      <c r="K24" s="155" t="e" cm="1">
        <f t="array" ref="K24">+_xlfn.IFS($F$9="kWh",$E24*H24/1000000,$F$9="MWh",$E24*H24/1000)</f>
        <v>#N/A</v>
      </c>
      <c r="L24" s="155" t="e" cm="1">
        <f t="array" ref="L24">+_xlfn.IFS($F$9="kWh",$E24*I24/1000000,$F$9="MWh",$E24*I24/1000)</f>
        <v>#N/A</v>
      </c>
      <c r="M24" s="156">
        <f t="shared" si="0"/>
        <v>0</v>
      </c>
      <c r="S24" s="152"/>
      <c r="T24" s="158"/>
      <c r="U24" s="159"/>
      <c r="V24" s="167">
        <f>+'EF-S2'!L25</f>
        <v>0</v>
      </c>
      <c r="W24" s="167">
        <f>+'EF-S2'!L26</f>
        <v>0</v>
      </c>
      <c r="X24" s="167">
        <f>+'EF-S2'!L27</f>
        <v>0</v>
      </c>
      <c r="Y24" s="155" t="e" cm="1">
        <f t="array" ref="Y24">+_xlfn.IFS($U$9="kWh",$T24*V24/1000,$U$9="MWh",$T24*V24)</f>
        <v>#N/A</v>
      </c>
      <c r="Z24" s="155" t="e" cm="1">
        <f t="array" ref="Z24">+_xlfn.IFS($U$9="kWh",$T24*W24/1000,$U$9="MWh",$T24*W24)</f>
        <v>#N/A</v>
      </c>
      <c r="AA24" s="155" t="e" cm="1">
        <f t="array" ref="AA24">+_xlfn.IFS($U$9="kWh",$T24*X24/1000,$U$9="MWh",$T24*X24)</f>
        <v>#N/A</v>
      </c>
      <c r="AB24" s="156">
        <f t="shared" si="1"/>
        <v>0</v>
      </c>
    </row>
    <row r="25" spans="2:28" x14ac:dyDescent="0.7">
      <c r="B25" s="152"/>
      <c r="C25" s="159"/>
      <c r="D25" s="159"/>
      <c r="E25" s="158"/>
      <c r="F25" s="159"/>
      <c r="G25" s="155" t="e" cm="1">
        <f t="array" ref="G25">+_xlfn.IFS($C25="Renewable",0,$C25="National grid",VLOOKUP($D25,'EF-S2'!$B$11:$C$169,2,))</f>
        <v>#N/A</v>
      </c>
      <c r="H25" s="155" t="e" cm="1">
        <f t="array" ref="H25">+_xlfn.IFS($C25="Renewable",0,$C25="National grid",VLOOKUP($D25,'EF-S2'!$E$11:$F$169,2,))</f>
        <v>#N/A</v>
      </c>
      <c r="I25" s="155" t="e" cm="1">
        <f t="array" ref="I25">+_xlfn.IFS($C25="Renewable",0,$C25="National grid",VLOOKUP($D25,'EF-S2'!$H$11:$I$169,2,))</f>
        <v>#N/A</v>
      </c>
      <c r="J25" s="155" t="e" cm="1">
        <f t="array" ref="J25">+_xlfn.IFS($F$9="kWh",$E25*G25/1000000,$F$9="MWh",$E25*G25/1000)</f>
        <v>#N/A</v>
      </c>
      <c r="K25" s="155" t="e" cm="1">
        <f t="array" ref="K25">+_xlfn.IFS($F$9="kWh",$E25*H25/1000000,$F$9="MWh",$E25*H25/1000)</f>
        <v>#N/A</v>
      </c>
      <c r="L25" s="155" t="e" cm="1">
        <f t="array" ref="L25">+_xlfn.IFS($F$9="kWh",$E25*I25/1000000,$F$9="MWh",$E25*I25/1000)</f>
        <v>#N/A</v>
      </c>
      <c r="M25" s="156">
        <f t="shared" si="0"/>
        <v>0</v>
      </c>
      <c r="S25" s="152"/>
      <c r="T25" s="158"/>
      <c r="U25" s="159"/>
      <c r="V25" s="167">
        <f>+'EF-S2'!L26</f>
        <v>0</v>
      </c>
      <c r="W25" s="167">
        <f>+'EF-S2'!L27</f>
        <v>0</v>
      </c>
      <c r="X25" s="167">
        <f>+'EF-S2'!L28</f>
        <v>0</v>
      </c>
      <c r="Y25" s="155" t="e" cm="1">
        <f t="array" ref="Y25">+_xlfn.IFS($U$9="kWh",$T25*V25/1000,$U$9="MWh",$T25*V25)</f>
        <v>#N/A</v>
      </c>
      <c r="Z25" s="155" t="e" cm="1">
        <f t="array" ref="Z25">+_xlfn.IFS($U$9="kWh",$T25*W25/1000,$U$9="MWh",$T25*W25)</f>
        <v>#N/A</v>
      </c>
      <c r="AA25" s="155" t="e" cm="1">
        <f t="array" ref="AA25">+_xlfn.IFS($U$9="kWh",$T25*X25/1000,$U$9="MWh",$T25*X25)</f>
        <v>#N/A</v>
      </c>
      <c r="AB25" s="156">
        <f t="shared" si="1"/>
        <v>0</v>
      </c>
    </row>
    <row r="26" spans="2:28" x14ac:dyDescent="0.7">
      <c r="B26" s="152"/>
      <c r="C26" s="159"/>
      <c r="D26" s="159"/>
      <c r="E26" s="158"/>
      <c r="F26" s="159"/>
      <c r="G26" s="155" t="e" cm="1">
        <f t="array" ref="G26">+_xlfn.IFS($C26="Renewable",0,$C26="National grid",VLOOKUP($D26,'EF-S2'!$B$11:$C$169,2,))</f>
        <v>#N/A</v>
      </c>
      <c r="H26" s="155" t="e" cm="1">
        <f t="array" ref="H26">+_xlfn.IFS($C26="Renewable",0,$C26="National grid",VLOOKUP($D26,'EF-S2'!$E$11:$F$169,2,))</f>
        <v>#N/A</v>
      </c>
      <c r="I26" s="155" t="e" cm="1">
        <f t="array" ref="I26">+_xlfn.IFS($C26="Renewable",0,$C26="National grid",VLOOKUP($D26,'EF-S2'!$H$11:$I$169,2,))</f>
        <v>#N/A</v>
      </c>
      <c r="J26" s="155" t="e" cm="1">
        <f t="array" ref="J26">+_xlfn.IFS($F$9="kWh",$E26*G26/1000000,$F$9="MWh",$E26*G26/1000)</f>
        <v>#N/A</v>
      </c>
      <c r="K26" s="155" t="e" cm="1">
        <f t="array" ref="K26">+_xlfn.IFS($F$9="kWh",$E26*H26/1000000,$F$9="MWh",$E26*H26/1000)</f>
        <v>#N/A</v>
      </c>
      <c r="L26" s="155" t="e" cm="1">
        <f t="array" ref="L26">+_xlfn.IFS($F$9="kWh",$E26*I26/1000000,$F$9="MWh",$E26*I26/1000)</f>
        <v>#N/A</v>
      </c>
      <c r="M26" s="156">
        <f t="shared" si="0"/>
        <v>0</v>
      </c>
      <c r="S26" s="152"/>
      <c r="T26" s="158"/>
      <c r="U26" s="159"/>
      <c r="V26" s="167">
        <f>+'EF-S2'!L27</f>
        <v>0</v>
      </c>
      <c r="W26" s="167">
        <f>+'EF-S2'!L28</f>
        <v>0</v>
      </c>
      <c r="X26" s="167">
        <f>+'EF-S2'!L29</f>
        <v>0</v>
      </c>
      <c r="Y26" s="155" t="e" cm="1">
        <f t="array" ref="Y26">+_xlfn.IFS($U$9="kWh",$T26*V26/1000,$U$9="MWh",$T26*V26)</f>
        <v>#N/A</v>
      </c>
      <c r="Z26" s="155" t="e" cm="1">
        <f t="array" ref="Z26">+_xlfn.IFS($U$9="kWh",$T26*W26/1000,$U$9="MWh",$T26*W26)</f>
        <v>#N/A</v>
      </c>
      <c r="AA26" s="155" t="e" cm="1">
        <f t="array" ref="AA26">+_xlfn.IFS($U$9="kWh",$T26*X26/1000,$U$9="MWh",$T26*X26)</f>
        <v>#N/A</v>
      </c>
      <c r="AB26" s="156">
        <f t="shared" si="1"/>
        <v>0</v>
      </c>
    </row>
    <row r="27" spans="2:28" x14ac:dyDescent="0.7">
      <c r="B27" s="152"/>
      <c r="C27" s="159"/>
      <c r="D27" s="159"/>
      <c r="E27" s="158"/>
      <c r="F27" s="159"/>
      <c r="G27" s="155" t="e" cm="1">
        <f t="array" ref="G27">+_xlfn.IFS($C27="Renewable",0,$C27="National grid",VLOOKUP($D27,'EF-S2'!$B$11:$C$169,2,))</f>
        <v>#N/A</v>
      </c>
      <c r="H27" s="155" t="e" cm="1">
        <f t="array" ref="H27">+_xlfn.IFS($C27="Renewable",0,$C27="National grid",VLOOKUP($D27,'EF-S2'!$E$11:$F$169,2,))</f>
        <v>#N/A</v>
      </c>
      <c r="I27" s="155" t="e" cm="1">
        <f t="array" ref="I27">+_xlfn.IFS($C27="Renewable",0,$C27="National grid",VLOOKUP($D27,'EF-S2'!$H$11:$I$169,2,))</f>
        <v>#N/A</v>
      </c>
      <c r="J27" s="155" t="e" cm="1">
        <f t="array" ref="J27">+_xlfn.IFS($F$9="kWh",$E27*G27/1000000,$F$9="MWh",$E27*G27/1000)</f>
        <v>#N/A</v>
      </c>
      <c r="K27" s="155" t="e" cm="1">
        <f t="array" ref="K27">+_xlfn.IFS($F$9="kWh",$E27*H27/1000000,$F$9="MWh",$E27*H27/1000)</f>
        <v>#N/A</v>
      </c>
      <c r="L27" s="155" t="e" cm="1">
        <f t="array" ref="L27">+_xlfn.IFS($F$9="kWh",$E27*I27/1000000,$F$9="MWh",$E27*I27/1000)</f>
        <v>#N/A</v>
      </c>
      <c r="M27" s="156">
        <f t="shared" si="0"/>
        <v>0</v>
      </c>
      <c r="S27" s="152"/>
      <c r="T27" s="158"/>
      <c r="U27" s="159"/>
      <c r="V27" s="167">
        <f>+'EF-S2'!L28</f>
        <v>0</v>
      </c>
      <c r="W27" s="167">
        <f>+'EF-S2'!L29</f>
        <v>0</v>
      </c>
      <c r="X27" s="167">
        <f>+'EF-S2'!L30</f>
        <v>0</v>
      </c>
      <c r="Y27" s="155" t="e" cm="1">
        <f t="array" ref="Y27">+_xlfn.IFS($U$9="kWh",$T27*V27/1000,$U$9="MWh",$T27*V27)</f>
        <v>#N/A</v>
      </c>
      <c r="Z27" s="155" t="e" cm="1">
        <f t="array" ref="Z27">+_xlfn.IFS($U$9="kWh",$T27*W27/1000,$U$9="MWh",$T27*W27)</f>
        <v>#N/A</v>
      </c>
      <c r="AA27" s="155" t="e" cm="1">
        <f t="array" ref="AA27">+_xlfn.IFS($U$9="kWh",$T27*X27/1000,$U$9="MWh",$T27*X27)</f>
        <v>#N/A</v>
      </c>
      <c r="AB27" s="156">
        <f t="shared" si="1"/>
        <v>0</v>
      </c>
    </row>
    <row r="28" spans="2:28" x14ac:dyDescent="0.7">
      <c r="B28" s="152"/>
      <c r="C28" s="159"/>
      <c r="D28" s="159"/>
      <c r="E28" s="158"/>
      <c r="F28" s="159"/>
      <c r="G28" s="155" t="e" cm="1">
        <f t="array" ref="G28">+_xlfn.IFS($C28="Renewable",0,$C28="National grid",VLOOKUP($D28,'EF-S2'!$B$11:$C$169,2,))</f>
        <v>#N/A</v>
      </c>
      <c r="H28" s="155" t="e" cm="1">
        <f t="array" ref="H28">+_xlfn.IFS($C28="Renewable",0,$C28="National grid",VLOOKUP($D28,'EF-S2'!$E$11:$F$169,2,))</f>
        <v>#N/A</v>
      </c>
      <c r="I28" s="155" t="e" cm="1">
        <f t="array" ref="I28">+_xlfn.IFS($C28="Renewable",0,$C28="National grid",VLOOKUP($D28,'EF-S2'!$H$11:$I$169,2,))</f>
        <v>#N/A</v>
      </c>
      <c r="J28" s="155" t="e" cm="1">
        <f t="array" ref="J28">+_xlfn.IFS($F$9="kWh",$E28*G28/1000000,$F$9="MWh",$E28*G28/1000)</f>
        <v>#N/A</v>
      </c>
      <c r="K28" s="155" t="e" cm="1">
        <f t="array" ref="K28">+_xlfn.IFS($F$9="kWh",$E28*H28/1000000,$F$9="MWh",$E28*H28/1000)</f>
        <v>#N/A</v>
      </c>
      <c r="L28" s="155" t="e" cm="1">
        <f t="array" ref="L28">+_xlfn.IFS($F$9="kWh",$E28*I28/1000000,$F$9="MWh",$E28*I28/1000)</f>
        <v>#N/A</v>
      </c>
      <c r="M28" s="156">
        <f t="shared" si="0"/>
        <v>0</v>
      </c>
      <c r="S28" s="152"/>
      <c r="T28" s="158"/>
      <c r="U28" s="159"/>
      <c r="V28" s="167">
        <f>+'EF-S2'!L29</f>
        <v>0</v>
      </c>
      <c r="W28" s="167">
        <f>+'EF-S2'!L30</f>
        <v>0</v>
      </c>
      <c r="X28" s="167">
        <f>+'EF-S2'!L31</f>
        <v>0</v>
      </c>
      <c r="Y28" s="155" t="e" cm="1">
        <f t="array" ref="Y28">+_xlfn.IFS($U$9="kWh",$T28*V28/1000,$U$9="MWh",$T28*V28)</f>
        <v>#N/A</v>
      </c>
      <c r="Z28" s="155" t="e" cm="1">
        <f t="array" ref="Z28">+_xlfn.IFS($U$9="kWh",$T28*W28/1000,$U$9="MWh",$T28*W28)</f>
        <v>#N/A</v>
      </c>
      <c r="AA28" s="155" t="e" cm="1">
        <f t="array" ref="AA28">+_xlfn.IFS($U$9="kWh",$T28*X28/1000,$U$9="MWh",$T28*X28)</f>
        <v>#N/A</v>
      </c>
      <c r="AB28" s="156">
        <f t="shared" si="1"/>
        <v>0</v>
      </c>
    </row>
    <row r="29" spans="2:28" x14ac:dyDescent="0.7">
      <c r="B29" s="152"/>
      <c r="C29" s="159"/>
      <c r="D29" s="159"/>
      <c r="E29" s="158"/>
      <c r="F29" s="159"/>
      <c r="G29" s="155" t="e" cm="1">
        <f t="array" ref="G29">+_xlfn.IFS($C29="Renewable",0,$C29="National grid",VLOOKUP($D29,'EF-S2'!$B$11:$C$169,2,))</f>
        <v>#N/A</v>
      </c>
      <c r="H29" s="155" t="e" cm="1">
        <f t="array" ref="H29">+_xlfn.IFS($C29="Renewable",0,$C29="National grid",VLOOKUP($D29,'EF-S2'!$E$11:$F$169,2,))</f>
        <v>#N/A</v>
      </c>
      <c r="I29" s="155" t="e" cm="1">
        <f t="array" ref="I29">+_xlfn.IFS($C29="Renewable",0,$C29="National grid",VLOOKUP($D29,'EF-S2'!$H$11:$I$169,2,))</f>
        <v>#N/A</v>
      </c>
      <c r="J29" s="155" t="e" cm="1">
        <f t="array" ref="J29">+_xlfn.IFS($F$9="kWh",$E29*G29/1000000,$F$9="MWh",$E29*G29/1000)</f>
        <v>#N/A</v>
      </c>
      <c r="K29" s="155" t="e" cm="1">
        <f t="array" ref="K29">+_xlfn.IFS($F$9="kWh",$E29*H29/1000000,$F$9="MWh",$E29*H29/1000)</f>
        <v>#N/A</v>
      </c>
      <c r="L29" s="155" t="e" cm="1">
        <f t="array" ref="L29">+_xlfn.IFS($F$9="kWh",$E29*I29/1000000,$F$9="MWh",$E29*I29/1000)</f>
        <v>#N/A</v>
      </c>
      <c r="M29" s="156">
        <f t="shared" si="0"/>
        <v>0</v>
      </c>
      <c r="S29" s="152"/>
      <c r="T29" s="158"/>
      <c r="U29" s="159"/>
      <c r="V29" s="167">
        <f>+'EF-S2'!L30</f>
        <v>0</v>
      </c>
      <c r="W29" s="167">
        <f>+'EF-S2'!L31</f>
        <v>0</v>
      </c>
      <c r="X29" s="167">
        <f>+'EF-S2'!L32</f>
        <v>0</v>
      </c>
      <c r="Y29" s="155" t="e" cm="1">
        <f t="array" ref="Y29">+_xlfn.IFS($U$9="kWh",$T29*V29/1000,$U$9="MWh",$T29*V29)</f>
        <v>#N/A</v>
      </c>
      <c r="Z29" s="155" t="e" cm="1">
        <f t="array" ref="Z29">+_xlfn.IFS($U$9="kWh",$T29*W29/1000,$U$9="MWh",$T29*W29)</f>
        <v>#N/A</v>
      </c>
      <c r="AA29" s="155" t="e" cm="1">
        <f t="array" ref="AA29">+_xlfn.IFS($U$9="kWh",$T29*X29/1000,$U$9="MWh",$T29*X29)</f>
        <v>#N/A</v>
      </c>
      <c r="AB29" s="156">
        <f t="shared" si="1"/>
        <v>0</v>
      </c>
    </row>
    <row r="30" spans="2:28" x14ac:dyDescent="0.7">
      <c r="B30" s="152"/>
      <c r="C30" s="159"/>
      <c r="D30" s="159"/>
      <c r="E30" s="158"/>
      <c r="F30" s="159"/>
      <c r="G30" s="155" t="e" cm="1">
        <f t="array" ref="G30">+_xlfn.IFS($C30="Renewable",0,$C30="National grid",VLOOKUP($D30,'EF-S2'!$B$11:$C$169,2,))</f>
        <v>#N/A</v>
      </c>
      <c r="H30" s="155" t="e" cm="1">
        <f t="array" ref="H30">+_xlfn.IFS($C30="Renewable",0,$C30="National grid",VLOOKUP($D30,'EF-S2'!$E$11:$F$169,2,))</f>
        <v>#N/A</v>
      </c>
      <c r="I30" s="155" t="e" cm="1">
        <f t="array" ref="I30">+_xlfn.IFS($C30="Renewable",0,$C30="National grid",VLOOKUP($D30,'EF-S2'!$H$11:$I$169,2,))</f>
        <v>#N/A</v>
      </c>
      <c r="J30" s="155" t="e" cm="1">
        <f t="array" ref="J30">+_xlfn.IFS($F$9="kWh",$E30*G30/1000000,$F$9="MWh",$E30*G30/1000)</f>
        <v>#N/A</v>
      </c>
      <c r="K30" s="155" t="e" cm="1">
        <f t="array" ref="K30">+_xlfn.IFS($F$9="kWh",$E30*H30/1000000,$F$9="MWh",$E30*H30/1000)</f>
        <v>#N/A</v>
      </c>
      <c r="L30" s="155" t="e" cm="1">
        <f t="array" ref="L30">+_xlfn.IFS($F$9="kWh",$E30*I30/1000000,$F$9="MWh",$E30*I30/1000)</f>
        <v>#N/A</v>
      </c>
      <c r="M30" s="156">
        <f t="shared" si="0"/>
        <v>0</v>
      </c>
      <c r="S30" s="152"/>
      <c r="T30" s="158"/>
      <c r="U30" s="159"/>
      <c r="V30" s="167">
        <f>+'EF-S2'!L31</f>
        <v>0</v>
      </c>
      <c r="W30" s="167">
        <f>+'EF-S2'!L32</f>
        <v>0</v>
      </c>
      <c r="X30" s="167">
        <f>+'EF-S2'!L33</f>
        <v>0</v>
      </c>
      <c r="Y30" s="155" t="e" cm="1">
        <f t="array" ref="Y30">+_xlfn.IFS($U$9="kWh",$T30*V30/1000,$U$9="MWh",$T30*V30)</f>
        <v>#N/A</v>
      </c>
      <c r="Z30" s="155" t="e" cm="1">
        <f t="array" ref="Z30">+_xlfn.IFS($U$9="kWh",$T30*W30/1000,$U$9="MWh",$T30*W30)</f>
        <v>#N/A</v>
      </c>
      <c r="AA30" s="155" t="e" cm="1">
        <f t="array" ref="AA30">+_xlfn.IFS($U$9="kWh",$T30*X30/1000,$U$9="MWh",$T30*X30)</f>
        <v>#N/A</v>
      </c>
      <c r="AB30" s="156">
        <f t="shared" si="1"/>
        <v>0</v>
      </c>
    </row>
    <row r="31" spans="2:28" x14ac:dyDescent="0.7">
      <c r="B31" s="152"/>
      <c r="C31" s="159"/>
      <c r="D31" s="159"/>
      <c r="E31" s="158"/>
      <c r="F31" s="159"/>
      <c r="G31" s="155" t="e" cm="1">
        <f t="array" ref="G31">+_xlfn.IFS($C31="Renewable",0,$C31="National grid",VLOOKUP($D31,'EF-S2'!$B$11:$C$169,2,))</f>
        <v>#N/A</v>
      </c>
      <c r="H31" s="155" t="e" cm="1">
        <f t="array" ref="H31">+_xlfn.IFS($C31="Renewable",0,$C31="National grid",VLOOKUP($D31,'EF-S2'!$E$11:$F$169,2,))</f>
        <v>#N/A</v>
      </c>
      <c r="I31" s="155" t="e" cm="1">
        <f t="array" ref="I31">+_xlfn.IFS($C31="Renewable",0,$C31="National grid",VLOOKUP($D31,'EF-S2'!$H$11:$I$169,2,))</f>
        <v>#N/A</v>
      </c>
      <c r="J31" s="155" t="e" cm="1">
        <f t="array" ref="J31">+_xlfn.IFS($F$9="kWh",$E31*G31/1000000,$F$9="MWh",$E31*G31/1000)</f>
        <v>#N/A</v>
      </c>
      <c r="K31" s="155" t="e" cm="1">
        <f t="array" ref="K31">+_xlfn.IFS($F$9="kWh",$E31*H31/1000000,$F$9="MWh",$E31*H31/1000)</f>
        <v>#N/A</v>
      </c>
      <c r="L31" s="155" t="e" cm="1">
        <f t="array" ref="L31">+_xlfn.IFS($F$9="kWh",$E31*I31/1000000,$F$9="MWh",$E31*I31/1000)</f>
        <v>#N/A</v>
      </c>
      <c r="M31" s="156">
        <f t="shared" si="0"/>
        <v>0</v>
      </c>
      <c r="S31" s="152"/>
      <c r="T31" s="158"/>
      <c r="U31" s="159"/>
      <c r="V31" s="167">
        <f>+'EF-S2'!L32</f>
        <v>0</v>
      </c>
      <c r="W31" s="167">
        <f>+'EF-S2'!L33</f>
        <v>0</v>
      </c>
      <c r="X31" s="167">
        <f>+'EF-S2'!L34</f>
        <v>0</v>
      </c>
      <c r="Y31" s="155" t="e" cm="1">
        <f t="array" ref="Y31">+_xlfn.IFS($U$9="kWh",$T31*V31/1000,$U$9="MWh",$T31*V31)</f>
        <v>#N/A</v>
      </c>
      <c r="Z31" s="155" t="e" cm="1">
        <f t="array" ref="Z31">+_xlfn.IFS($U$9="kWh",$T31*W31/1000,$U$9="MWh",$T31*W31)</f>
        <v>#N/A</v>
      </c>
      <c r="AA31" s="155" t="e" cm="1">
        <f t="array" ref="AA31">+_xlfn.IFS($U$9="kWh",$T31*X31/1000,$U$9="MWh",$T31*X31)</f>
        <v>#N/A</v>
      </c>
      <c r="AB31" s="156">
        <f t="shared" si="1"/>
        <v>0</v>
      </c>
    </row>
    <row r="32" spans="2:28" x14ac:dyDescent="0.7">
      <c r="B32" s="152"/>
      <c r="C32" s="159"/>
      <c r="D32" s="159"/>
      <c r="E32" s="158"/>
      <c r="F32" s="159"/>
      <c r="G32" s="155" t="e" cm="1">
        <f t="array" ref="G32">+_xlfn.IFS($C32="Renewable",0,$C32="National grid",VLOOKUP($D32,'EF-S2'!$B$11:$C$169,2,))</f>
        <v>#N/A</v>
      </c>
      <c r="H32" s="155" t="e" cm="1">
        <f t="array" ref="H32">+_xlfn.IFS($C32="Renewable",0,$C32="National grid",VLOOKUP($D32,'EF-S2'!$E$11:$F$169,2,))</f>
        <v>#N/A</v>
      </c>
      <c r="I32" s="155" t="e" cm="1">
        <f t="array" ref="I32">+_xlfn.IFS($C32="Renewable",0,$C32="National grid",VLOOKUP($D32,'EF-S2'!$H$11:$I$169,2,))</f>
        <v>#N/A</v>
      </c>
      <c r="J32" s="155" t="e" cm="1">
        <f t="array" ref="J32">+_xlfn.IFS($F$9="kWh",$E32*G32/1000000,$F$9="MWh",$E32*G32/1000)</f>
        <v>#N/A</v>
      </c>
      <c r="K32" s="155" t="e" cm="1">
        <f t="array" ref="K32">+_xlfn.IFS($F$9="kWh",$E32*H32/1000000,$F$9="MWh",$E32*H32/1000)</f>
        <v>#N/A</v>
      </c>
      <c r="L32" s="155" t="e" cm="1">
        <f t="array" ref="L32">+_xlfn.IFS($F$9="kWh",$E32*I32/1000000,$F$9="MWh",$E32*I32/1000)</f>
        <v>#N/A</v>
      </c>
      <c r="M32" s="156">
        <f t="shared" si="0"/>
        <v>0</v>
      </c>
      <c r="S32" s="152"/>
      <c r="T32" s="158"/>
      <c r="U32" s="159"/>
      <c r="V32" s="167">
        <f>+'EF-S2'!L33</f>
        <v>0</v>
      </c>
      <c r="W32" s="167">
        <f>+'EF-S2'!L34</f>
        <v>0</v>
      </c>
      <c r="X32" s="167">
        <f>+'EF-S2'!L35</f>
        <v>0</v>
      </c>
      <c r="Y32" s="155" t="e" cm="1">
        <f t="array" ref="Y32">+_xlfn.IFS($U$9="kWh",$T32*V32/1000,$U$9="MWh",$T32*V32)</f>
        <v>#N/A</v>
      </c>
      <c r="Z32" s="155" t="e" cm="1">
        <f t="array" ref="Z32">+_xlfn.IFS($U$9="kWh",$T32*W32/1000,$U$9="MWh",$T32*W32)</f>
        <v>#N/A</v>
      </c>
      <c r="AA32" s="155" t="e" cm="1">
        <f t="array" ref="AA32">+_xlfn.IFS($U$9="kWh",$T32*X32/1000,$U$9="MWh",$T32*X32)</f>
        <v>#N/A</v>
      </c>
      <c r="AB32" s="156">
        <f t="shared" si="1"/>
        <v>0</v>
      </c>
    </row>
    <row r="33" spans="2:28" x14ac:dyDescent="0.7">
      <c r="B33" s="152"/>
      <c r="C33" s="159"/>
      <c r="D33" s="159"/>
      <c r="E33" s="158"/>
      <c r="F33" s="159"/>
      <c r="G33" s="155" t="e" cm="1">
        <f t="array" ref="G33">+_xlfn.IFS($C33="Renewable",0,$C33="National grid",VLOOKUP($D33,'EF-S2'!$B$11:$C$169,2,))</f>
        <v>#N/A</v>
      </c>
      <c r="H33" s="155" t="e" cm="1">
        <f t="array" ref="H33">+_xlfn.IFS($C33="Renewable",0,$C33="National grid",VLOOKUP($D33,'EF-S2'!$E$11:$F$169,2,))</f>
        <v>#N/A</v>
      </c>
      <c r="I33" s="155" t="e" cm="1">
        <f t="array" ref="I33">+_xlfn.IFS($C33="Renewable",0,$C33="National grid",VLOOKUP($D33,'EF-S2'!$H$11:$I$169,2,))</f>
        <v>#N/A</v>
      </c>
      <c r="J33" s="155" t="e" cm="1">
        <f t="array" ref="J33">+_xlfn.IFS($F$9="kWh",$E33*G33/1000000,$F$9="MWh",$E33*G33/1000)</f>
        <v>#N/A</v>
      </c>
      <c r="K33" s="155" t="e" cm="1">
        <f t="array" ref="K33">+_xlfn.IFS($F$9="kWh",$E33*H33/1000000,$F$9="MWh",$E33*H33/1000)</f>
        <v>#N/A</v>
      </c>
      <c r="L33" s="155" t="e" cm="1">
        <f t="array" ref="L33">+_xlfn.IFS($F$9="kWh",$E33*I33/1000000,$F$9="MWh",$E33*I33/1000)</f>
        <v>#N/A</v>
      </c>
      <c r="M33" s="156">
        <f t="shared" si="0"/>
        <v>0</v>
      </c>
      <c r="S33" s="152"/>
      <c r="T33" s="158"/>
      <c r="U33" s="159"/>
      <c r="V33" s="167">
        <f>+'EF-S2'!L34</f>
        <v>0</v>
      </c>
      <c r="W33" s="167">
        <f>+'EF-S2'!L35</f>
        <v>0</v>
      </c>
      <c r="X33" s="167">
        <f>+'EF-S2'!L36</f>
        <v>0</v>
      </c>
      <c r="Y33" s="155" t="e" cm="1">
        <f t="array" ref="Y33">+_xlfn.IFS($U$9="kWh",$T33*V33/1000,$U$9="MWh",$T33*V33)</f>
        <v>#N/A</v>
      </c>
      <c r="Z33" s="155" t="e" cm="1">
        <f t="array" ref="Z33">+_xlfn.IFS($U$9="kWh",$T33*W33/1000,$U$9="MWh",$T33*W33)</f>
        <v>#N/A</v>
      </c>
      <c r="AA33" s="155" t="e" cm="1">
        <f t="array" ref="AA33">+_xlfn.IFS($U$9="kWh",$T33*X33/1000,$U$9="MWh",$T33*X33)</f>
        <v>#N/A</v>
      </c>
      <c r="AB33" s="156">
        <f t="shared" si="1"/>
        <v>0</v>
      </c>
    </row>
    <row r="34" spans="2:28" x14ac:dyDescent="0.7">
      <c r="B34" s="152"/>
      <c r="C34" s="159"/>
      <c r="D34" s="159"/>
      <c r="E34" s="158"/>
      <c r="F34" s="159"/>
      <c r="G34" s="155" t="e" cm="1">
        <f t="array" ref="G34">+_xlfn.IFS($C34="Renewable",0,$C34="National grid",VLOOKUP($D34,'EF-S2'!$B$11:$C$169,2,))</f>
        <v>#N/A</v>
      </c>
      <c r="H34" s="155" t="e" cm="1">
        <f t="array" ref="H34">+_xlfn.IFS($C34="Renewable",0,$C34="National grid",VLOOKUP($D34,'EF-S2'!$E$11:$F$169,2,))</f>
        <v>#N/A</v>
      </c>
      <c r="I34" s="155" t="e" cm="1">
        <f t="array" ref="I34">+_xlfn.IFS($C34="Renewable",0,$C34="National grid",VLOOKUP($D34,'EF-S2'!$H$11:$I$169,2,))</f>
        <v>#N/A</v>
      </c>
      <c r="J34" s="155" t="e" cm="1">
        <f t="array" ref="J34">+_xlfn.IFS($F$9="kWh",$E34*G34/1000000,$F$9="MWh",$E34*G34/1000)</f>
        <v>#N/A</v>
      </c>
      <c r="K34" s="155" t="e" cm="1">
        <f t="array" ref="K34">+_xlfn.IFS($F$9="kWh",$E34*H34/1000000,$F$9="MWh",$E34*H34/1000)</f>
        <v>#N/A</v>
      </c>
      <c r="L34" s="155" t="e" cm="1">
        <f t="array" ref="L34">+_xlfn.IFS($F$9="kWh",$E34*I34/1000000,$F$9="MWh",$E34*I34/1000)</f>
        <v>#N/A</v>
      </c>
      <c r="M34" s="156">
        <f t="shared" si="0"/>
        <v>0</v>
      </c>
      <c r="S34" s="152"/>
      <c r="T34" s="158"/>
      <c r="U34" s="159"/>
      <c r="V34" s="167">
        <f>+'EF-S2'!L35</f>
        <v>0</v>
      </c>
      <c r="W34" s="167">
        <f>+'EF-S2'!L36</f>
        <v>0</v>
      </c>
      <c r="X34" s="167">
        <f>+'EF-S2'!L37</f>
        <v>0</v>
      </c>
      <c r="Y34" s="155" t="e" cm="1">
        <f t="array" ref="Y34">+_xlfn.IFS($U$9="kWh",$T34*V34/1000,$U$9="MWh",$T34*V34)</f>
        <v>#N/A</v>
      </c>
      <c r="Z34" s="155" t="e" cm="1">
        <f t="array" ref="Z34">+_xlfn.IFS($U$9="kWh",$T34*W34/1000,$U$9="MWh",$T34*W34)</f>
        <v>#N/A</v>
      </c>
      <c r="AA34" s="155" t="e" cm="1">
        <f t="array" ref="AA34">+_xlfn.IFS($U$9="kWh",$T34*X34/1000,$U$9="MWh",$T34*X34)</f>
        <v>#N/A</v>
      </c>
      <c r="AB34" s="156">
        <f t="shared" si="1"/>
        <v>0</v>
      </c>
    </row>
    <row r="35" spans="2:28" x14ac:dyDescent="0.7">
      <c r="B35" s="152"/>
      <c r="C35" s="159"/>
      <c r="D35" s="159"/>
      <c r="E35" s="158"/>
      <c r="F35" s="159"/>
      <c r="G35" s="155" t="e" cm="1">
        <f t="array" ref="G35">+_xlfn.IFS($C35="Renewable",0,$C35="National grid",VLOOKUP($D35,'EF-S2'!$B$11:$C$169,2,))</f>
        <v>#N/A</v>
      </c>
      <c r="H35" s="155" t="e" cm="1">
        <f t="array" ref="H35">+_xlfn.IFS($C35="Renewable",0,$C35="National grid",VLOOKUP($D35,'EF-S2'!$E$11:$F$169,2,))</f>
        <v>#N/A</v>
      </c>
      <c r="I35" s="155" t="e" cm="1">
        <f t="array" ref="I35">+_xlfn.IFS($C35="Renewable",0,$C35="National grid",VLOOKUP($D35,'EF-S2'!$H$11:$I$169,2,))</f>
        <v>#N/A</v>
      </c>
      <c r="J35" s="155" t="e" cm="1">
        <f t="array" ref="J35">+_xlfn.IFS($F$9="kWh",$E35*G35/1000000,$F$9="MWh",$E35*G35/1000)</f>
        <v>#N/A</v>
      </c>
      <c r="K35" s="155" t="e" cm="1">
        <f t="array" ref="K35">+_xlfn.IFS($F$9="kWh",$E35*H35/1000000,$F$9="MWh",$E35*H35/1000)</f>
        <v>#N/A</v>
      </c>
      <c r="L35" s="155" t="e" cm="1">
        <f t="array" ref="L35">+_xlfn.IFS($F$9="kWh",$E35*I35/1000000,$F$9="MWh",$E35*I35/1000)</f>
        <v>#N/A</v>
      </c>
      <c r="M35" s="156">
        <f t="shared" si="0"/>
        <v>0</v>
      </c>
      <c r="S35" s="152"/>
      <c r="T35" s="158"/>
      <c r="U35" s="159"/>
      <c r="V35" s="167">
        <f>+'EF-S2'!L36</f>
        <v>0</v>
      </c>
      <c r="W35" s="167">
        <f>+'EF-S2'!L37</f>
        <v>0</v>
      </c>
      <c r="X35" s="167">
        <f>+'EF-S2'!L38</f>
        <v>0</v>
      </c>
      <c r="Y35" s="155" t="e" cm="1">
        <f t="array" ref="Y35">+_xlfn.IFS($U$9="kWh",$T35*V35/1000,$U$9="MWh",$T35*V35)</f>
        <v>#N/A</v>
      </c>
      <c r="Z35" s="155" t="e" cm="1">
        <f t="array" ref="Z35">+_xlfn.IFS($U$9="kWh",$T35*W35/1000,$U$9="MWh",$T35*W35)</f>
        <v>#N/A</v>
      </c>
      <c r="AA35" s="155" t="e" cm="1">
        <f t="array" ref="AA35">+_xlfn.IFS($U$9="kWh",$T35*X35/1000,$U$9="MWh",$T35*X35)</f>
        <v>#N/A</v>
      </c>
      <c r="AB35" s="156">
        <f t="shared" si="1"/>
        <v>0</v>
      </c>
    </row>
    <row r="36" spans="2:28" x14ac:dyDescent="0.7">
      <c r="B36" s="152"/>
      <c r="C36" s="159"/>
      <c r="D36" s="159"/>
      <c r="E36" s="158"/>
      <c r="F36" s="159"/>
      <c r="G36" s="155" t="e" cm="1">
        <f t="array" ref="G36">+_xlfn.IFS($C36="Renewable",0,$C36="National grid",VLOOKUP($D36,'EF-S2'!$B$11:$C$169,2,))</f>
        <v>#N/A</v>
      </c>
      <c r="H36" s="155" t="e" cm="1">
        <f t="array" ref="H36">+_xlfn.IFS($C36="Renewable",0,$C36="National grid",VLOOKUP($D36,'EF-S2'!$E$11:$F$169,2,))</f>
        <v>#N/A</v>
      </c>
      <c r="I36" s="155" t="e" cm="1">
        <f t="array" ref="I36">+_xlfn.IFS($C36="Renewable",0,$C36="National grid",VLOOKUP($D36,'EF-S2'!$H$11:$I$169,2,))</f>
        <v>#N/A</v>
      </c>
      <c r="J36" s="155" t="e" cm="1">
        <f t="array" ref="J36">+_xlfn.IFS($F$9="kWh",$E36*G36/1000000,$F$9="MWh",$E36*G36/1000)</f>
        <v>#N/A</v>
      </c>
      <c r="K36" s="155" t="e" cm="1">
        <f t="array" ref="K36">+_xlfn.IFS($F$9="kWh",$E36*H36/1000000,$F$9="MWh",$E36*H36/1000)</f>
        <v>#N/A</v>
      </c>
      <c r="L36" s="155" t="e" cm="1">
        <f t="array" ref="L36">+_xlfn.IFS($F$9="kWh",$E36*I36/1000000,$F$9="MWh",$E36*I36/1000)</f>
        <v>#N/A</v>
      </c>
      <c r="M36" s="156">
        <f t="shared" si="0"/>
        <v>0</v>
      </c>
      <c r="S36" s="152"/>
      <c r="T36" s="158"/>
      <c r="U36" s="159"/>
      <c r="V36" s="167">
        <f>+'EF-S2'!L37</f>
        <v>0</v>
      </c>
      <c r="W36" s="167">
        <f>+'EF-S2'!L38</f>
        <v>0</v>
      </c>
      <c r="X36" s="167">
        <f>+'EF-S2'!L39</f>
        <v>0</v>
      </c>
      <c r="Y36" s="155" t="e" cm="1">
        <f t="array" ref="Y36">+_xlfn.IFS($U$9="kWh",$T36*V36/1000,$U$9="MWh",$T36*V36)</f>
        <v>#N/A</v>
      </c>
      <c r="Z36" s="155" t="e" cm="1">
        <f t="array" ref="Z36">+_xlfn.IFS($U$9="kWh",$T36*W36/1000,$U$9="MWh",$T36*W36)</f>
        <v>#N/A</v>
      </c>
      <c r="AA36" s="155" t="e" cm="1">
        <f t="array" ref="AA36">+_xlfn.IFS($U$9="kWh",$T36*X36/1000,$U$9="MWh",$T36*X36)</f>
        <v>#N/A</v>
      </c>
      <c r="AB36" s="156">
        <f t="shared" si="1"/>
        <v>0</v>
      </c>
    </row>
    <row r="37" spans="2:28" x14ac:dyDescent="0.7">
      <c r="B37" s="152"/>
      <c r="C37" s="159"/>
      <c r="D37" s="159"/>
      <c r="E37" s="158"/>
      <c r="F37" s="159"/>
      <c r="G37" s="155" t="e" cm="1">
        <f t="array" ref="G37">+_xlfn.IFS($C37="Renewable",0,$C37="National grid",VLOOKUP($D37,'EF-S2'!$B$11:$C$169,2,))</f>
        <v>#N/A</v>
      </c>
      <c r="H37" s="155" t="e" cm="1">
        <f t="array" ref="H37">+_xlfn.IFS($C37="Renewable",0,$C37="National grid",VLOOKUP($D37,'EF-S2'!$E$11:$F$169,2,))</f>
        <v>#N/A</v>
      </c>
      <c r="I37" s="155" t="e" cm="1">
        <f t="array" ref="I37">+_xlfn.IFS($C37="Renewable",0,$C37="National grid",VLOOKUP($D37,'EF-S2'!$H$11:$I$169,2,))</f>
        <v>#N/A</v>
      </c>
      <c r="J37" s="155" t="e" cm="1">
        <f t="array" ref="J37">+_xlfn.IFS($F$9="kWh",$E37*G37/1000000,$F$9="MWh",$E37*G37/1000)</f>
        <v>#N/A</v>
      </c>
      <c r="K37" s="155" t="e" cm="1">
        <f t="array" ref="K37">+_xlfn.IFS($F$9="kWh",$E37*H37/1000000,$F$9="MWh",$E37*H37/1000)</f>
        <v>#N/A</v>
      </c>
      <c r="L37" s="155" t="e" cm="1">
        <f t="array" ref="L37">+_xlfn.IFS($F$9="kWh",$E37*I37/1000000,$F$9="MWh",$E37*I37/1000)</f>
        <v>#N/A</v>
      </c>
      <c r="M37" s="156">
        <f t="shared" si="0"/>
        <v>0</v>
      </c>
      <c r="S37" s="152"/>
      <c r="T37" s="158"/>
      <c r="U37" s="159"/>
      <c r="V37" s="167">
        <f>+'EF-S2'!L38</f>
        <v>0</v>
      </c>
      <c r="W37" s="167">
        <f>+'EF-S2'!L39</f>
        <v>0</v>
      </c>
      <c r="X37" s="167">
        <f>+'EF-S2'!L40</f>
        <v>0</v>
      </c>
      <c r="Y37" s="155" t="e" cm="1">
        <f t="array" ref="Y37">+_xlfn.IFS($U$9="kWh",$T37*V37/1000,$U$9="MWh",$T37*V37)</f>
        <v>#N/A</v>
      </c>
      <c r="Z37" s="155" t="e" cm="1">
        <f t="array" ref="Z37">+_xlfn.IFS($U$9="kWh",$T37*W37/1000,$U$9="MWh",$T37*W37)</f>
        <v>#N/A</v>
      </c>
      <c r="AA37" s="155" t="e" cm="1">
        <f t="array" ref="AA37">+_xlfn.IFS($U$9="kWh",$T37*X37/1000,$U$9="MWh",$T37*X37)</f>
        <v>#N/A</v>
      </c>
      <c r="AB37" s="156">
        <f t="shared" si="1"/>
        <v>0</v>
      </c>
    </row>
    <row r="38" spans="2:28" x14ac:dyDescent="0.7">
      <c r="B38" s="152"/>
      <c r="C38" s="159"/>
      <c r="D38" s="159"/>
      <c r="E38" s="158"/>
      <c r="F38" s="159"/>
      <c r="G38" s="155" t="e" cm="1">
        <f t="array" ref="G38">+_xlfn.IFS($C38="Renewable",0,$C38="National grid",VLOOKUP($D38,'EF-S2'!$B$11:$C$169,2,))</f>
        <v>#N/A</v>
      </c>
      <c r="H38" s="155" t="e" cm="1">
        <f t="array" ref="H38">+_xlfn.IFS($C38="Renewable",0,$C38="National grid",VLOOKUP($D38,'EF-S2'!$E$11:$F$169,2,))</f>
        <v>#N/A</v>
      </c>
      <c r="I38" s="155" t="e" cm="1">
        <f t="array" ref="I38">+_xlfn.IFS($C38="Renewable",0,$C38="National grid",VLOOKUP($D38,'EF-S2'!$H$11:$I$169,2,))</f>
        <v>#N/A</v>
      </c>
      <c r="J38" s="155" t="e" cm="1">
        <f t="array" ref="J38">+_xlfn.IFS($F$9="kWh",$E38*G38/1000000,$F$9="MWh",$E38*G38/1000)</f>
        <v>#N/A</v>
      </c>
      <c r="K38" s="155" t="e" cm="1">
        <f t="array" ref="K38">+_xlfn.IFS($F$9="kWh",$E38*H38/1000000,$F$9="MWh",$E38*H38/1000)</f>
        <v>#N/A</v>
      </c>
      <c r="L38" s="155" t="e" cm="1">
        <f t="array" ref="L38">+_xlfn.IFS($F$9="kWh",$E38*I38/1000000,$F$9="MWh",$E38*I38/1000)</f>
        <v>#N/A</v>
      </c>
      <c r="M38" s="156">
        <f t="shared" si="0"/>
        <v>0</v>
      </c>
      <c r="S38" s="152"/>
      <c r="T38" s="158"/>
      <c r="U38" s="159"/>
      <c r="V38" s="167">
        <f>+'EF-S2'!L39</f>
        <v>0</v>
      </c>
      <c r="W38" s="167">
        <f>+'EF-S2'!L40</f>
        <v>0</v>
      </c>
      <c r="X38" s="167">
        <f>+'EF-S2'!L41</f>
        <v>0</v>
      </c>
      <c r="Y38" s="155" t="e" cm="1">
        <f t="array" ref="Y38">+_xlfn.IFS($U$9="kWh",$T38*V38/1000,$U$9="MWh",$T38*V38)</f>
        <v>#N/A</v>
      </c>
      <c r="Z38" s="155" t="e" cm="1">
        <f t="array" ref="Z38">+_xlfn.IFS($U$9="kWh",$T38*W38/1000,$U$9="MWh",$T38*W38)</f>
        <v>#N/A</v>
      </c>
      <c r="AA38" s="155" t="e" cm="1">
        <f t="array" ref="AA38">+_xlfn.IFS($U$9="kWh",$T38*X38/1000,$U$9="MWh",$T38*X38)</f>
        <v>#N/A</v>
      </c>
      <c r="AB38" s="156">
        <f t="shared" si="1"/>
        <v>0</v>
      </c>
    </row>
    <row r="39" spans="2:28" x14ac:dyDescent="0.7">
      <c r="B39" s="152"/>
      <c r="C39" s="159"/>
      <c r="D39" s="159"/>
      <c r="E39" s="158"/>
      <c r="F39" s="159"/>
      <c r="G39" s="155" t="e" cm="1">
        <f t="array" ref="G39">+_xlfn.IFS($C39="Renewable",0,$C39="National grid",VLOOKUP($D39,'EF-S2'!$B$11:$C$169,2,))</f>
        <v>#N/A</v>
      </c>
      <c r="H39" s="155" t="e" cm="1">
        <f t="array" ref="H39">+_xlfn.IFS($C39="Renewable",0,$C39="National grid",VLOOKUP($D39,'EF-S2'!$E$11:$F$169,2,))</f>
        <v>#N/A</v>
      </c>
      <c r="I39" s="155" t="e" cm="1">
        <f t="array" ref="I39">+_xlfn.IFS($C39="Renewable",0,$C39="National grid",VLOOKUP($D39,'EF-S2'!$H$11:$I$169,2,))</f>
        <v>#N/A</v>
      </c>
      <c r="J39" s="155" t="e" cm="1">
        <f t="array" ref="J39">+_xlfn.IFS($F$9="kWh",$E39*G39/1000000,$F$9="MWh",$E39*G39/1000)</f>
        <v>#N/A</v>
      </c>
      <c r="K39" s="155" t="e" cm="1">
        <f t="array" ref="K39">+_xlfn.IFS($F$9="kWh",$E39*H39/1000000,$F$9="MWh",$E39*H39/1000)</f>
        <v>#N/A</v>
      </c>
      <c r="L39" s="155" t="e" cm="1">
        <f t="array" ref="L39">+_xlfn.IFS($F$9="kWh",$E39*I39/1000000,$F$9="MWh",$E39*I39/1000)</f>
        <v>#N/A</v>
      </c>
      <c r="M39" s="156">
        <f t="shared" si="0"/>
        <v>0</v>
      </c>
      <c r="S39" s="152"/>
      <c r="T39" s="158"/>
      <c r="U39" s="159"/>
      <c r="V39" s="167">
        <f>+'EF-S2'!L40</f>
        <v>0</v>
      </c>
      <c r="W39" s="167">
        <f>+'EF-S2'!L41</f>
        <v>0</v>
      </c>
      <c r="X39" s="167">
        <f>+'EF-S2'!L42</f>
        <v>0</v>
      </c>
      <c r="Y39" s="155" t="e" cm="1">
        <f t="array" ref="Y39">+_xlfn.IFS($U$9="kWh",$T39*V39/1000,$U$9="MWh",$T39*V39)</f>
        <v>#N/A</v>
      </c>
      <c r="Z39" s="155" t="e" cm="1">
        <f t="array" ref="Z39">+_xlfn.IFS($U$9="kWh",$T39*W39/1000,$U$9="MWh",$T39*W39)</f>
        <v>#N/A</v>
      </c>
      <c r="AA39" s="155" t="e" cm="1">
        <f t="array" ref="AA39">+_xlfn.IFS($U$9="kWh",$T39*X39/1000,$U$9="MWh",$T39*X39)</f>
        <v>#N/A</v>
      </c>
      <c r="AB39" s="156">
        <f t="shared" si="1"/>
        <v>0</v>
      </c>
    </row>
    <row r="40" spans="2:28" x14ac:dyDescent="0.7">
      <c r="B40" s="152"/>
      <c r="C40" s="159"/>
      <c r="D40" s="159"/>
      <c r="E40" s="158"/>
      <c r="F40" s="159"/>
      <c r="G40" s="155" t="e" cm="1">
        <f t="array" ref="G40">+_xlfn.IFS($C40="Renewable",0,$C40="National grid",VLOOKUP($D40,'EF-S2'!$B$11:$C$169,2,))</f>
        <v>#N/A</v>
      </c>
      <c r="H40" s="155" t="e" cm="1">
        <f t="array" ref="H40">+_xlfn.IFS($C40="Renewable",0,$C40="National grid",VLOOKUP($D40,'EF-S2'!$E$11:$F$169,2,))</f>
        <v>#N/A</v>
      </c>
      <c r="I40" s="155" t="e" cm="1">
        <f t="array" ref="I40">+_xlfn.IFS($C40="Renewable",0,$C40="National grid",VLOOKUP($D40,'EF-S2'!$H$11:$I$169,2,))</f>
        <v>#N/A</v>
      </c>
      <c r="J40" s="155" t="e" cm="1">
        <f t="array" ref="J40">+_xlfn.IFS($F$9="kWh",$E40*G40/1000000,$F$9="MWh",$E40*G40/1000)</f>
        <v>#N/A</v>
      </c>
      <c r="K40" s="155" t="e" cm="1">
        <f t="array" ref="K40">+_xlfn.IFS($F$9="kWh",$E40*H40/1000000,$F$9="MWh",$E40*H40/1000)</f>
        <v>#N/A</v>
      </c>
      <c r="L40" s="155" t="e" cm="1">
        <f t="array" ref="L40">+_xlfn.IFS($F$9="kWh",$E40*I40/1000000,$F$9="MWh",$E40*I40/1000)</f>
        <v>#N/A</v>
      </c>
      <c r="M40" s="156">
        <f t="shared" si="0"/>
        <v>0</v>
      </c>
      <c r="S40" s="152"/>
      <c r="T40" s="158"/>
      <c r="U40" s="159"/>
      <c r="V40" s="167">
        <f>+'EF-S2'!L41</f>
        <v>0</v>
      </c>
      <c r="W40" s="167">
        <f>+'EF-S2'!L42</f>
        <v>0</v>
      </c>
      <c r="X40" s="167">
        <f>+'EF-S2'!L43</f>
        <v>0</v>
      </c>
      <c r="Y40" s="155" t="e" cm="1">
        <f t="array" ref="Y40">+_xlfn.IFS($U$9="kWh",$T40*V40/1000,$U$9="MWh",$T40*V40)</f>
        <v>#N/A</v>
      </c>
      <c r="Z40" s="155" t="e" cm="1">
        <f t="array" ref="Z40">+_xlfn.IFS($U$9="kWh",$T40*W40/1000,$U$9="MWh",$T40*W40)</f>
        <v>#N/A</v>
      </c>
      <c r="AA40" s="155" t="e" cm="1">
        <f t="array" ref="AA40">+_xlfn.IFS($U$9="kWh",$T40*X40/1000,$U$9="MWh",$T40*X40)</f>
        <v>#N/A</v>
      </c>
      <c r="AB40" s="156">
        <f t="shared" si="1"/>
        <v>0</v>
      </c>
    </row>
    <row r="41" spans="2:28" x14ac:dyDescent="0.7">
      <c r="B41" s="152"/>
      <c r="C41" s="159"/>
      <c r="D41" s="159"/>
      <c r="E41" s="158"/>
      <c r="F41" s="159"/>
      <c r="G41" s="155" t="e" cm="1">
        <f t="array" ref="G41">+_xlfn.IFS($C41="Renewable",0,$C41="National grid",VLOOKUP($D41,'EF-S2'!$B$11:$C$169,2,))</f>
        <v>#N/A</v>
      </c>
      <c r="H41" s="155" t="e" cm="1">
        <f t="array" ref="H41">+_xlfn.IFS($C41="Renewable",0,$C41="National grid",VLOOKUP($D41,'EF-S2'!$E$11:$F$169,2,))</f>
        <v>#N/A</v>
      </c>
      <c r="I41" s="155" t="e" cm="1">
        <f t="array" ref="I41">+_xlfn.IFS($C41="Renewable",0,$C41="National grid",VLOOKUP($D41,'EF-S2'!$H$11:$I$169,2,))</f>
        <v>#N/A</v>
      </c>
      <c r="J41" s="155" t="e" cm="1">
        <f t="array" ref="J41">+_xlfn.IFS($F$9="kWh",$E41*G41/1000000,$F$9="MWh",$E41*G41/1000)</f>
        <v>#N/A</v>
      </c>
      <c r="K41" s="155" t="e" cm="1">
        <f t="array" ref="K41">+_xlfn.IFS($F$9="kWh",$E41*H41/1000000,$F$9="MWh",$E41*H41/1000)</f>
        <v>#N/A</v>
      </c>
      <c r="L41" s="155" t="e" cm="1">
        <f t="array" ref="L41">+_xlfn.IFS($F$9="kWh",$E41*I41/1000000,$F$9="MWh",$E41*I41/1000)</f>
        <v>#N/A</v>
      </c>
      <c r="M41" s="156">
        <f t="shared" si="0"/>
        <v>0</v>
      </c>
      <c r="S41" s="152"/>
      <c r="T41" s="158"/>
      <c r="U41" s="159"/>
      <c r="V41" s="167">
        <f>+'EF-S2'!L42</f>
        <v>0</v>
      </c>
      <c r="W41" s="167">
        <f>+'EF-S2'!L43</f>
        <v>0</v>
      </c>
      <c r="X41" s="167">
        <f>+'EF-S2'!L44</f>
        <v>0</v>
      </c>
      <c r="Y41" s="155" t="e" cm="1">
        <f t="array" ref="Y41">+_xlfn.IFS($U$9="kWh",$T41*V41/1000,$U$9="MWh",$T41*V41)</f>
        <v>#N/A</v>
      </c>
      <c r="Z41" s="155" t="e" cm="1">
        <f t="array" ref="Z41">+_xlfn.IFS($U$9="kWh",$T41*W41/1000,$U$9="MWh",$T41*W41)</f>
        <v>#N/A</v>
      </c>
      <c r="AA41" s="155" t="e" cm="1">
        <f t="array" ref="AA41">+_xlfn.IFS($U$9="kWh",$T41*X41/1000,$U$9="MWh",$T41*X41)</f>
        <v>#N/A</v>
      </c>
      <c r="AB41" s="156">
        <f t="shared" si="1"/>
        <v>0</v>
      </c>
    </row>
    <row r="42" spans="2:28" x14ac:dyDescent="0.7">
      <c r="B42" s="152"/>
      <c r="C42" s="159"/>
      <c r="D42" s="159"/>
      <c r="E42" s="158"/>
      <c r="F42" s="159"/>
      <c r="G42" s="155" t="e" cm="1">
        <f t="array" ref="G42">+_xlfn.IFS($C42="Renewable",0,$C42="National grid",VLOOKUP($D42,'EF-S2'!$B$11:$C$169,2,))</f>
        <v>#N/A</v>
      </c>
      <c r="H42" s="155" t="e" cm="1">
        <f t="array" ref="H42">+_xlfn.IFS($C42="Renewable",0,$C42="National grid",VLOOKUP($D42,'EF-S2'!$E$11:$F$169,2,))</f>
        <v>#N/A</v>
      </c>
      <c r="I42" s="155" t="e" cm="1">
        <f t="array" ref="I42">+_xlfn.IFS($C42="Renewable",0,$C42="National grid",VLOOKUP($D42,'EF-S2'!$H$11:$I$169,2,))</f>
        <v>#N/A</v>
      </c>
      <c r="J42" s="155" t="e" cm="1">
        <f t="array" ref="J42">+_xlfn.IFS($F$9="kWh",$E42*G42/1000000,$F$9="MWh",$E42*G42/1000)</f>
        <v>#N/A</v>
      </c>
      <c r="K42" s="155" t="e" cm="1">
        <f t="array" ref="K42">+_xlfn.IFS($F$9="kWh",$E42*H42/1000000,$F$9="MWh",$E42*H42/1000)</f>
        <v>#N/A</v>
      </c>
      <c r="L42" s="155" t="e" cm="1">
        <f t="array" ref="L42">+_xlfn.IFS($F$9="kWh",$E42*I42/1000000,$F$9="MWh",$E42*I42/1000)</f>
        <v>#N/A</v>
      </c>
      <c r="M42" s="156">
        <f t="shared" si="0"/>
        <v>0</v>
      </c>
      <c r="S42" s="152"/>
      <c r="T42" s="158"/>
      <c r="U42" s="159"/>
      <c r="V42" s="167">
        <f>+'EF-S2'!L43</f>
        <v>0</v>
      </c>
      <c r="W42" s="167">
        <f>+'EF-S2'!L44</f>
        <v>0</v>
      </c>
      <c r="X42" s="167">
        <f>+'EF-S2'!L45</f>
        <v>0</v>
      </c>
      <c r="Y42" s="155" t="e" cm="1">
        <f t="array" ref="Y42">+_xlfn.IFS($U$9="kWh",$T42*V42/1000,$U$9="MWh",$T42*V42)</f>
        <v>#N/A</v>
      </c>
      <c r="Z42" s="155" t="e" cm="1">
        <f t="array" ref="Z42">+_xlfn.IFS($U$9="kWh",$T42*W42/1000,$U$9="MWh",$T42*W42)</f>
        <v>#N/A</v>
      </c>
      <c r="AA42" s="155" t="e" cm="1">
        <f t="array" ref="AA42">+_xlfn.IFS($U$9="kWh",$T42*X42/1000,$U$9="MWh",$T42*X42)</f>
        <v>#N/A</v>
      </c>
      <c r="AB42" s="156">
        <f t="shared" si="1"/>
        <v>0</v>
      </c>
    </row>
    <row r="43" spans="2:28" x14ac:dyDescent="0.7">
      <c r="B43" s="152"/>
      <c r="C43" s="159"/>
      <c r="D43" s="159"/>
      <c r="E43" s="158"/>
      <c r="F43" s="159"/>
      <c r="G43" s="155" t="e" cm="1">
        <f t="array" ref="G43">+_xlfn.IFS($C43="Renewable",0,$C43="National grid",VLOOKUP($D43,'EF-S2'!$B$11:$C$169,2,))</f>
        <v>#N/A</v>
      </c>
      <c r="H43" s="155" t="e" cm="1">
        <f t="array" ref="H43">+_xlfn.IFS($C43="Renewable",0,$C43="National grid",VLOOKUP($D43,'EF-S2'!$E$11:$F$169,2,))</f>
        <v>#N/A</v>
      </c>
      <c r="I43" s="155" t="e" cm="1">
        <f t="array" ref="I43">+_xlfn.IFS($C43="Renewable",0,$C43="National grid",VLOOKUP($D43,'EF-S2'!$H$11:$I$169,2,))</f>
        <v>#N/A</v>
      </c>
      <c r="J43" s="155" t="e" cm="1">
        <f t="array" ref="J43">+_xlfn.IFS($F$9="kWh",$E43*G43/1000000,$F$9="MWh",$E43*G43/1000)</f>
        <v>#N/A</v>
      </c>
      <c r="K43" s="155" t="e" cm="1">
        <f t="array" ref="K43">+_xlfn.IFS($F$9="kWh",$E43*H43/1000000,$F$9="MWh",$E43*H43/1000)</f>
        <v>#N/A</v>
      </c>
      <c r="L43" s="155" t="e" cm="1">
        <f t="array" ref="L43">+_xlfn.IFS($F$9="kWh",$E43*I43/1000000,$F$9="MWh",$E43*I43/1000)</f>
        <v>#N/A</v>
      </c>
      <c r="M43" s="156">
        <f t="shared" si="0"/>
        <v>0</v>
      </c>
      <c r="S43" s="152"/>
      <c r="T43" s="158"/>
      <c r="U43" s="159"/>
      <c r="V43" s="167">
        <f>+'EF-S2'!L44</f>
        <v>0</v>
      </c>
      <c r="W43" s="167">
        <f>+'EF-S2'!L45</f>
        <v>0</v>
      </c>
      <c r="X43" s="167">
        <f>+'EF-S2'!L46</f>
        <v>0</v>
      </c>
      <c r="Y43" s="155" t="e" cm="1">
        <f t="array" ref="Y43">+_xlfn.IFS($U$9="kWh",$T43*V43/1000,$U$9="MWh",$T43*V43)</f>
        <v>#N/A</v>
      </c>
      <c r="Z43" s="155" t="e" cm="1">
        <f t="array" ref="Z43">+_xlfn.IFS($U$9="kWh",$T43*W43/1000,$U$9="MWh",$T43*W43)</f>
        <v>#N/A</v>
      </c>
      <c r="AA43" s="155" t="e" cm="1">
        <f t="array" ref="AA43">+_xlfn.IFS($U$9="kWh",$T43*X43/1000,$U$9="MWh",$T43*X43)</f>
        <v>#N/A</v>
      </c>
      <c r="AB43" s="156">
        <f t="shared" si="1"/>
        <v>0</v>
      </c>
    </row>
    <row r="44" spans="2:28" x14ac:dyDescent="0.7">
      <c r="B44" s="152"/>
      <c r="C44" s="159"/>
      <c r="D44" s="159"/>
      <c r="E44" s="158"/>
      <c r="F44" s="159"/>
      <c r="G44" s="155" t="e" cm="1">
        <f t="array" ref="G44">+_xlfn.IFS($C44="Renewable",0,$C44="National grid",VLOOKUP($D44,'EF-S2'!$B$11:$C$169,2,))</f>
        <v>#N/A</v>
      </c>
      <c r="H44" s="155" t="e" cm="1">
        <f t="array" ref="H44">+_xlfn.IFS($C44="Renewable",0,$C44="National grid",VLOOKUP($D44,'EF-S2'!$E$11:$F$169,2,))</f>
        <v>#N/A</v>
      </c>
      <c r="I44" s="155" t="e" cm="1">
        <f t="array" ref="I44">+_xlfn.IFS($C44="Renewable",0,$C44="National grid",VLOOKUP($D44,'EF-S2'!$H$11:$I$169,2,))</f>
        <v>#N/A</v>
      </c>
      <c r="J44" s="155" t="e" cm="1">
        <f t="array" ref="J44">+_xlfn.IFS($F$9="kWh",$E44*G44/1000000,$F$9="MWh",$E44*G44/1000)</f>
        <v>#N/A</v>
      </c>
      <c r="K44" s="155" t="e" cm="1">
        <f t="array" ref="K44">+_xlfn.IFS($F$9="kWh",$E44*H44/1000000,$F$9="MWh",$E44*H44/1000)</f>
        <v>#N/A</v>
      </c>
      <c r="L44" s="155" t="e" cm="1">
        <f t="array" ref="L44">+_xlfn.IFS($F$9="kWh",$E44*I44/1000000,$F$9="MWh",$E44*I44/1000)</f>
        <v>#N/A</v>
      </c>
      <c r="M44" s="156">
        <f t="shared" si="0"/>
        <v>0</v>
      </c>
      <c r="S44" s="152"/>
      <c r="T44" s="158"/>
      <c r="U44" s="159"/>
      <c r="V44" s="167">
        <f>+'EF-S2'!L45</f>
        <v>0</v>
      </c>
      <c r="W44" s="167">
        <f>+'EF-S2'!L46</f>
        <v>0</v>
      </c>
      <c r="X44" s="167">
        <f>+'EF-S2'!L47</f>
        <v>0</v>
      </c>
      <c r="Y44" s="155" t="e" cm="1">
        <f t="array" ref="Y44">+_xlfn.IFS($U$9="kWh",$T44*V44/1000,$U$9="MWh",$T44*V44)</f>
        <v>#N/A</v>
      </c>
      <c r="Z44" s="155" t="e" cm="1">
        <f t="array" ref="Z44">+_xlfn.IFS($U$9="kWh",$T44*W44/1000,$U$9="MWh",$T44*W44)</f>
        <v>#N/A</v>
      </c>
      <c r="AA44" s="155" t="e" cm="1">
        <f t="array" ref="AA44">+_xlfn.IFS($U$9="kWh",$T44*X44/1000,$U$9="MWh",$T44*X44)</f>
        <v>#N/A</v>
      </c>
      <c r="AB44" s="156">
        <f t="shared" si="1"/>
        <v>0</v>
      </c>
    </row>
    <row r="45" spans="2:28" x14ac:dyDescent="0.7">
      <c r="B45" s="152"/>
      <c r="C45" s="159"/>
      <c r="D45" s="159"/>
      <c r="E45" s="158"/>
      <c r="F45" s="159"/>
      <c r="G45" s="155" t="e" cm="1">
        <f t="array" ref="G45">+_xlfn.IFS($C45="Renewable",0,$C45="National grid",VLOOKUP($D45,'EF-S2'!$B$11:$C$169,2,))</f>
        <v>#N/A</v>
      </c>
      <c r="H45" s="155" t="e" cm="1">
        <f t="array" ref="H45">+_xlfn.IFS($C45="Renewable",0,$C45="National grid",VLOOKUP($D45,'EF-S2'!$E$11:$F$169,2,))</f>
        <v>#N/A</v>
      </c>
      <c r="I45" s="155" t="e" cm="1">
        <f t="array" ref="I45">+_xlfn.IFS($C45="Renewable",0,$C45="National grid",VLOOKUP($D45,'EF-S2'!$H$11:$I$169,2,))</f>
        <v>#N/A</v>
      </c>
      <c r="J45" s="155" t="e" cm="1">
        <f t="array" ref="J45">+_xlfn.IFS($F$9="kWh",$E45*G45/1000000,$F$9="MWh",$E45*G45/1000)</f>
        <v>#N/A</v>
      </c>
      <c r="K45" s="155" t="e" cm="1">
        <f t="array" ref="K45">+_xlfn.IFS($F$9="kWh",$E45*H45/1000000,$F$9="MWh",$E45*H45/1000)</f>
        <v>#N/A</v>
      </c>
      <c r="L45" s="155" t="e" cm="1">
        <f t="array" ref="L45">+_xlfn.IFS($F$9="kWh",$E45*I45/1000000,$F$9="MWh",$E45*I45/1000)</f>
        <v>#N/A</v>
      </c>
      <c r="M45" s="156">
        <f t="shared" si="0"/>
        <v>0</v>
      </c>
      <c r="S45" s="152"/>
      <c r="T45" s="158"/>
      <c r="U45" s="159"/>
      <c r="V45" s="167">
        <f>+'EF-S2'!L46</f>
        <v>0</v>
      </c>
      <c r="W45" s="167">
        <f>+'EF-S2'!L47</f>
        <v>0</v>
      </c>
      <c r="X45" s="167">
        <f>+'EF-S2'!L48</f>
        <v>0</v>
      </c>
      <c r="Y45" s="155" t="e" cm="1">
        <f t="array" ref="Y45">+_xlfn.IFS($U$9="kWh",$T45*V45/1000,$U$9="MWh",$T45*V45)</f>
        <v>#N/A</v>
      </c>
      <c r="Z45" s="155" t="e" cm="1">
        <f t="array" ref="Z45">+_xlfn.IFS($U$9="kWh",$T45*W45/1000,$U$9="MWh",$T45*W45)</f>
        <v>#N/A</v>
      </c>
      <c r="AA45" s="155" t="e" cm="1">
        <f t="array" ref="AA45">+_xlfn.IFS($U$9="kWh",$T45*X45/1000,$U$9="MWh",$T45*X45)</f>
        <v>#N/A</v>
      </c>
      <c r="AB45" s="156">
        <f t="shared" si="1"/>
        <v>0</v>
      </c>
    </row>
    <row r="46" spans="2:28" x14ac:dyDescent="0.7">
      <c r="B46" s="152"/>
      <c r="C46" s="159"/>
      <c r="D46" s="159"/>
      <c r="E46" s="158"/>
      <c r="F46" s="159"/>
      <c r="G46" s="155" t="e" cm="1">
        <f t="array" ref="G46">+_xlfn.IFS($C46="Renewable",0,$C46="National grid",VLOOKUP($D46,'EF-S2'!$B$11:$C$169,2,))</f>
        <v>#N/A</v>
      </c>
      <c r="H46" s="155" t="e" cm="1">
        <f t="array" ref="H46">+_xlfn.IFS($C46="Renewable",0,$C46="National grid",VLOOKUP($D46,'EF-S2'!$E$11:$F$169,2,))</f>
        <v>#N/A</v>
      </c>
      <c r="I46" s="155" t="e" cm="1">
        <f t="array" ref="I46">+_xlfn.IFS($C46="Renewable",0,$C46="National grid",VLOOKUP($D46,'EF-S2'!$H$11:$I$169,2,))</f>
        <v>#N/A</v>
      </c>
      <c r="J46" s="155" t="e" cm="1">
        <f t="array" ref="J46">+_xlfn.IFS($F$9="kWh",$E46*G46/1000000,$F$9="MWh",$E46*G46/1000)</f>
        <v>#N/A</v>
      </c>
      <c r="K46" s="155" t="e" cm="1">
        <f t="array" ref="K46">+_xlfn.IFS($F$9="kWh",$E46*H46/1000000,$F$9="MWh",$E46*H46/1000)</f>
        <v>#N/A</v>
      </c>
      <c r="L46" s="155" t="e" cm="1">
        <f t="array" ref="L46">+_xlfn.IFS($F$9="kWh",$E46*I46/1000000,$F$9="MWh",$E46*I46/1000)</f>
        <v>#N/A</v>
      </c>
      <c r="M46" s="156">
        <f t="shared" si="0"/>
        <v>0</v>
      </c>
      <c r="S46" s="152"/>
      <c r="T46" s="158"/>
      <c r="U46" s="159"/>
      <c r="V46" s="167">
        <f>+'EF-S2'!L47</f>
        <v>0</v>
      </c>
      <c r="W46" s="167">
        <f>+'EF-S2'!L48</f>
        <v>0</v>
      </c>
      <c r="X46" s="167">
        <f>+'EF-S2'!L49</f>
        <v>0</v>
      </c>
      <c r="Y46" s="155" t="e" cm="1">
        <f t="array" ref="Y46">+_xlfn.IFS($U$9="kWh",$T46*V46/1000,$U$9="MWh",$T46*V46)</f>
        <v>#N/A</v>
      </c>
      <c r="Z46" s="155" t="e" cm="1">
        <f t="array" ref="Z46">+_xlfn.IFS($U$9="kWh",$T46*W46/1000,$U$9="MWh",$T46*W46)</f>
        <v>#N/A</v>
      </c>
      <c r="AA46" s="155" t="e" cm="1">
        <f t="array" ref="AA46">+_xlfn.IFS($U$9="kWh",$T46*X46/1000,$U$9="MWh",$T46*X46)</f>
        <v>#N/A</v>
      </c>
      <c r="AB46" s="156">
        <f t="shared" si="1"/>
        <v>0</v>
      </c>
    </row>
    <row r="47" spans="2:28" x14ac:dyDescent="0.7">
      <c r="B47" s="152"/>
      <c r="C47" s="159"/>
      <c r="D47" s="159"/>
      <c r="E47" s="158"/>
      <c r="F47" s="159"/>
      <c r="G47" s="155" t="e" cm="1">
        <f t="array" ref="G47">+_xlfn.IFS($C47="Renewable",0,$C47="National grid",VLOOKUP($D47,'EF-S2'!$B$11:$C$169,2,))</f>
        <v>#N/A</v>
      </c>
      <c r="H47" s="155" t="e" cm="1">
        <f t="array" ref="H47">+_xlfn.IFS($C47="Renewable",0,$C47="National grid",VLOOKUP($D47,'EF-S2'!$E$11:$F$169,2,))</f>
        <v>#N/A</v>
      </c>
      <c r="I47" s="155" t="e" cm="1">
        <f t="array" ref="I47">+_xlfn.IFS($C47="Renewable",0,$C47="National grid",VLOOKUP($D47,'EF-S2'!$H$11:$I$169,2,))</f>
        <v>#N/A</v>
      </c>
      <c r="J47" s="155" t="e" cm="1">
        <f t="array" ref="J47">+_xlfn.IFS($F$9="kWh",$E47*G47/1000000,$F$9="MWh",$E47*G47/1000)</f>
        <v>#N/A</v>
      </c>
      <c r="K47" s="155" t="e" cm="1">
        <f t="array" ref="K47">+_xlfn.IFS($F$9="kWh",$E47*H47/1000000,$F$9="MWh",$E47*H47/1000)</f>
        <v>#N/A</v>
      </c>
      <c r="L47" s="155" t="e" cm="1">
        <f t="array" ref="L47">+_xlfn.IFS($F$9="kWh",$E47*I47/1000000,$F$9="MWh",$E47*I47/1000)</f>
        <v>#N/A</v>
      </c>
      <c r="M47" s="156">
        <f t="shared" si="0"/>
        <v>0</v>
      </c>
      <c r="S47" s="152"/>
      <c r="T47" s="158"/>
      <c r="U47" s="159"/>
      <c r="V47" s="167">
        <f>+'EF-S2'!L48</f>
        <v>0</v>
      </c>
      <c r="W47" s="167">
        <f>+'EF-S2'!L49</f>
        <v>0</v>
      </c>
      <c r="X47" s="167">
        <f>+'EF-S2'!L50</f>
        <v>0</v>
      </c>
      <c r="Y47" s="155" t="e" cm="1">
        <f t="array" ref="Y47">+_xlfn.IFS($U$9="kWh",$T47*V47/1000,$U$9="MWh",$T47*V47)</f>
        <v>#N/A</v>
      </c>
      <c r="Z47" s="155" t="e" cm="1">
        <f t="array" ref="Z47">+_xlfn.IFS($U$9="kWh",$T47*W47/1000,$U$9="MWh",$T47*W47)</f>
        <v>#N/A</v>
      </c>
      <c r="AA47" s="155" t="e" cm="1">
        <f t="array" ref="AA47">+_xlfn.IFS($U$9="kWh",$T47*X47/1000,$U$9="MWh",$T47*X47)</f>
        <v>#N/A</v>
      </c>
      <c r="AB47" s="156">
        <f t="shared" si="1"/>
        <v>0</v>
      </c>
    </row>
    <row r="48" spans="2:28" x14ac:dyDescent="0.7">
      <c r="B48" s="152"/>
      <c r="C48" s="159"/>
      <c r="D48" s="159"/>
      <c r="E48" s="158"/>
      <c r="F48" s="159"/>
      <c r="G48" s="155" t="e" cm="1">
        <f t="array" ref="G48">+_xlfn.IFS($C48="Renewable",0,$C48="National grid",VLOOKUP($D48,'EF-S2'!$B$11:$C$169,2,))</f>
        <v>#N/A</v>
      </c>
      <c r="H48" s="155" t="e" cm="1">
        <f t="array" ref="H48">+_xlfn.IFS($C48="Renewable",0,$C48="National grid",VLOOKUP($D48,'EF-S2'!$E$11:$F$169,2,))</f>
        <v>#N/A</v>
      </c>
      <c r="I48" s="155" t="e" cm="1">
        <f t="array" ref="I48">+_xlfn.IFS($C48="Renewable",0,$C48="National grid",VLOOKUP($D48,'EF-S2'!$H$11:$I$169,2,))</f>
        <v>#N/A</v>
      </c>
      <c r="J48" s="155" t="e" cm="1">
        <f t="array" ref="J48">+_xlfn.IFS($F$9="kWh",$E48*G48/1000000,$F$9="MWh",$E48*G48/1000)</f>
        <v>#N/A</v>
      </c>
      <c r="K48" s="155" t="e" cm="1">
        <f t="array" ref="K48">+_xlfn.IFS($F$9="kWh",$E48*H48/1000000,$F$9="MWh",$E48*H48/1000)</f>
        <v>#N/A</v>
      </c>
      <c r="L48" s="155" t="e" cm="1">
        <f t="array" ref="L48">+_xlfn.IFS($F$9="kWh",$E48*I48/1000000,$F$9="MWh",$E48*I48/1000)</f>
        <v>#N/A</v>
      </c>
      <c r="M48" s="156">
        <f t="shared" si="0"/>
        <v>0</v>
      </c>
      <c r="S48" s="152"/>
      <c r="T48" s="158"/>
      <c r="U48" s="159"/>
      <c r="V48" s="167">
        <f>+'EF-S2'!L49</f>
        <v>0</v>
      </c>
      <c r="W48" s="167">
        <f>+'EF-S2'!L50</f>
        <v>0</v>
      </c>
      <c r="X48" s="167">
        <f>+'EF-S2'!L51</f>
        <v>0</v>
      </c>
      <c r="Y48" s="155" t="e" cm="1">
        <f t="array" ref="Y48">+_xlfn.IFS($U$9="kWh",$T48*V48/1000,$U$9="MWh",$T48*V48)</f>
        <v>#N/A</v>
      </c>
      <c r="Z48" s="155" t="e" cm="1">
        <f t="array" ref="Z48">+_xlfn.IFS($U$9="kWh",$T48*W48/1000,$U$9="MWh",$T48*W48)</f>
        <v>#N/A</v>
      </c>
      <c r="AA48" s="155" t="e" cm="1">
        <f t="array" ref="AA48">+_xlfn.IFS($U$9="kWh",$T48*X48/1000,$U$9="MWh",$T48*X48)</f>
        <v>#N/A</v>
      </c>
      <c r="AB48" s="156">
        <f t="shared" si="1"/>
        <v>0</v>
      </c>
    </row>
    <row r="49" spans="2:28" x14ac:dyDescent="0.7">
      <c r="B49" s="152"/>
      <c r="C49" s="159"/>
      <c r="D49" s="159"/>
      <c r="E49" s="158"/>
      <c r="F49" s="159"/>
      <c r="G49" s="155" t="e" cm="1">
        <f t="array" ref="G49">+_xlfn.IFS($C49="Renewable",0,$C49="National grid",VLOOKUP($D49,'EF-S2'!$B$11:$C$169,2,))</f>
        <v>#N/A</v>
      </c>
      <c r="H49" s="155" t="e" cm="1">
        <f t="array" ref="H49">+_xlfn.IFS($C49="Renewable",0,$C49="National grid",VLOOKUP($D49,'EF-S2'!$E$11:$F$169,2,))</f>
        <v>#N/A</v>
      </c>
      <c r="I49" s="155" t="e" cm="1">
        <f t="array" ref="I49">+_xlfn.IFS($C49="Renewable",0,$C49="National grid",VLOOKUP($D49,'EF-S2'!$H$11:$I$169,2,))</f>
        <v>#N/A</v>
      </c>
      <c r="J49" s="155" t="e" cm="1">
        <f t="array" ref="J49">+_xlfn.IFS($F$9="kWh",$E49*G49/1000000,$F$9="MWh",$E49*G49/1000)</f>
        <v>#N/A</v>
      </c>
      <c r="K49" s="155" t="e" cm="1">
        <f t="array" ref="K49">+_xlfn.IFS($F$9="kWh",$E49*H49/1000000,$F$9="MWh",$E49*H49/1000)</f>
        <v>#N/A</v>
      </c>
      <c r="L49" s="155" t="e" cm="1">
        <f t="array" ref="L49">+_xlfn.IFS($F$9="kWh",$E49*I49/1000000,$F$9="MWh",$E49*I49/1000)</f>
        <v>#N/A</v>
      </c>
      <c r="M49" s="156">
        <f t="shared" si="0"/>
        <v>0</v>
      </c>
      <c r="S49" s="152"/>
      <c r="T49" s="158"/>
      <c r="U49" s="159"/>
      <c r="V49" s="167">
        <f>+'EF-S2'!L50</f>
        <v>0</v>
      </c>
      <c r="W49" s="167">
        <f>+'EF-S2'!L51</f>
        <v>0</v>
      </c>
      <c r="X49" s="167">
        <f>+'EF-S2'!L52</f>
        <v>0</v>
      </c>
      <c r="Y49" s="155" t="e" cm="1">
        <f t="array" ref="Y49">+_xlfn.IFS($U$9="kWh",$T49*V49/1000,$U$9="MWh",$T49*V49)</f>
        <v>#N/A</v>
      </c>
      <c r="Z49" s="155" t="e" cm="1">
        <f t="array" ref="Z49">+_xlfn.IFS($U$9="kWh",$T49*W49/1000,$U$9="MWh",$T49*W49)</f>
        <v>#N/A</v>
      </c>
      <c r="AA49" s="155" t="e" cm="1">
        <f t="array" ref="AA49">+_xlfn.IFS($U$9="kWh",$T49*X49/1000,$U$9="MWh",$T49*X49)</f>
        <v>#N/A</v>
      </c>
      <c r="AB49" s="156">
        <f t="shared" si="1"/>
        <v>0</v>
      </c>
    </row>
    <row r="50" spans="2:28" x14ac:dyDescent="0.7">
      <c r="B50" s="152"/>
      <c r="C50" s="159"/>
      <c r="D50" s="159"/>
      <c r="E50" s="158"/>
      <c r="F50" s="159"/>
      <c r="G50" s="155" t="e" cm="1">
        <f t="array" ref="G50">+_xlfn.IFS($C50="Renewable",0,$C50="National grid",VLOOKUP($D50,'EF-S2'!$B$11:$C$169,2,))</f>
        <v>#N/A</v>
      </c>
      <c r="H50" s="155" t="e" cm="1">
        <f t="array" ref="H50">+_xlfn.IFS($C50="Renewable",0,$C50="National grid",VLOOKUP($D50,'EF-S2'!$E$11:$F$169,2,))</f>
        <v>#N/A</v>
      </c>
      <c r="I50" s="155" t="e" cm="1">
        <f t="array" ref="I50">+_xlfn.IFS($C50="Renewable",0,$C50="National grid",VLOOKUP($D50,'EF-S2'!$H$11:$I$169,2,))</f>
        <v>#N/A</v>
      </c>
      <c r="J50" s="155" t="e" cm="1">
        <f t="array" ref="J50">+_xlfn.IFS($F$9="kWh",$E50*G50/1000000,$F$9="MWh",$E50*G50/1000)</f>
        <v>#N/A</v>
      </c>
      <c r="K50" s="155" t="e" cm="1">
        <f t="array" ref="K50">+_xlfn.IFS($F$9="kWh",$E50*H50/1000000,$F$9="MWh",$E50*H50/1000)</f>
        <v>#N/A</v>
      </c>
      <c r="L50" s="155" t="e" cm="1">
        <f t="array" ref="L50">+_xlfn.IFS($F$9="kWh",$E50*I50/1000000,$F$9="MWh",$E50*I50/1000)</f>
        <v>#N/A</v>
      </c>
      <c r="M50" s="156">
        <f t="shared" si="0"/>
        <v>0</v>
      </c>
      <c r="S50" s="152"/>
      <c r="T50" s="158"/>
      <c r="U50" s="159"/>
      <c r="V50" s="167">
        <f>+'EF-S2'!L51</f>
        <v>0</v>
      </c>
      <c r="W50" s="167">
        <f>+'EF-S2'!L52</f>
        <v>0</v>
      </c>
      <c r="X50" s="167">
        <f>+'EF-S2'!L53</f>
        <v>0</v>
      </c>
      <c r="Y50" s="155" t="e" cm="1">
        <f t="array" ref="Y50">+_xlfn.IFS($U$9="kWh",$T50*V50/1000,$U$9="MWh",$T50*V50)</f>
        <v>#N/A</v>
      </c>
      <c r="Z50" s="155" t="e" cm="1">
        <f t="array" ref="Z50">+_xlfn.IFS($U$9="kWh",$T50*W50/1000,$U$9="MWh",$T50*W50)</f>
        <v>#N/A</v>
      </c>
      <c r="AA50" s="155" t="e" cm="1">
        <f t="array" ref="AA50">+_xlfn.IFS($U$9="kWh",$T50*X50/1000,$U$9="MWh",$T50*X50)</f>
        <v>#N/A</v>
      </c>
      <c r="AB50" s="156">
        <f t="shared" si="1"/>
        <v>0</v>
      </c>
    </row>
    <row r="51" spans="2:28" x14ac:dyDescent="0.7">
      <c r="B51" s="152"/>
      <c r="C51" s="159"/>
      <c r="D51" s="159"/>
      <c r="E51" s="158"/>
      <c r="F51" s="159"/>
      <c r="G51" s="155" t="e" cm="1">
        <f t="array" ref="G51">+_xlfn.IFS($C51="Renewable",0,$C51="National grid",VLOOKUP($D51,'EF-S2'!$B$11:$C$169,2,))</f>
        <v>#N/A</v>
      </c>
      <c r="H51" s="155" t="e" cm="1">
        <f t="array" ref="H51">+_xlfn.IFS($C51="Renewable",0,$C51="National grid",VLOOKUP($D51,'EF-S2'!$E$11:$F$169,2,))</f>
        <v>#N/A</v>
      </c>
      <c r="I51" s="155" t="e" cm="1">
        <f t="array" ref="I51">+_xlfn.IFS($C51="Renewable",0,$C51="National grid",VLOOKUP($D51,'EF-S2'!$H$11:$I$169,2,))</f>
        <v>#N/A</v>
      </c>
      <c r="J51" s="155" t="e" cm="1">
        <f t="array" ref="J51">+_xlfn.IFS($F$9="kWh",$E51*G51/1000000,$F$9="MWh",$E51*G51/1000)</f>
        <v>#N/A</v>
      </c>
      <c r="K51" s="155" t="e" cm="1">
        <f t="array" ref="K51">+_xlfn.IFS($F$9="kWh",$E51*H51/1000000,$F$9="MWh",$E51*H51/1000)</f>
        <v>#N/A</v>
      </c>
      <c r="L51" s="155" t="e" cm="1">
        <f t="array" ref="L51">+_xlfn.IFS($F$9="kWh",$E51*I51/1000000,$F$9="MWh",$E51*I51/1000)</f>
        <v>#N/A</v>
      </c>
      <c r="M51" s="156">
        <f t="shared" si="0"/>
        <v>0</v>
      </c>
      <c r="S51" s="152"/>
      <c r="T51" s="158"/>
      <c r="U51" s="159"/>
      <c r="V51" s="167">
        <f>+'EF-S2'!L52</f>
        <v>0</v>
      </c>
      <c r="W51" s="167">
        <f>+'EF-S2'!L53</f>
        <v>0</v>
      </c>
      <c r="X51" s="167">
        <f>+'EF-S2'!L54</f>
        <v>0</v>
      </c>
      <c r="Y51" s="155" t="e" cm="1">
        <f t="array" ref="Y51">+_xlfn.IFS($U$9="kWh",$T51*V51/1000,$U$9="MWh",$T51*V51)</f>
        <v>#N/A</v>
      </c>
      <c r="Z51" s="155" t="e" cm="1">
        <f t="array" ref="Z51">+_xlfn.IFS($U$9="kWh",$T51*W51/1000,$U$9="MWh",$T51*W51)</f>
        <v>#N/A</v>
      </c>
      <c r="AA51" s="155" t="e" cm="1">
        <f t="array" ref="AA51">+_xlfn.IFS($U$9="kWh",$T51*X51/1000,$U$9="MWh",$T51*X51)</f>
        <v>#N/A</v>
      </c>
      <c r="AB51" s="156">
        <f t="shared" si="1"/>
        <v>0</v>
      </c>
    </row>
    <row r="52" spans="2:28" x14ac:dyDescent="0.7">
      <c r="B52" s="152"/>
      <c r="C52" s="159"/>
      <c r="D52" s="159"/>
      <c r="E52" s="158"/>
      <c r="F52" s="159"/>
      <c r="G52" s="155" t="e" cm="1">
        <f t="array" ref="G52">+_xlfn.IFS($C52="Renewable",0,$C52="National grid",VLOOKUP($D52,'EF-S2'!$B$11:$C$169,2,))</f>
        <v>#N/A</v>
      </c>
      <c r="H52" s="155" t="e" cm="1">
        <f t="array" ref="H52">+_xlfn.IFS($C52="Renewable",0,$C52="National grid",VLOOKUP($D52,'EF-S2'!$E$11:$F$169,2,))</f>
        <v>#N/A</v>
      </c>
      <c r="I52" s="155" t="e" cm="1">
        <f t="array" ref="I52">+_xlfn.IFS($C52="Renewable",0,$C52="National grid",VLOOKUP($D52,'EF-S2'!$H$11:$I$169,2,))</f>
        <v>#N/A</v>
      </c>
      <c r="J52" s="155" t="e" cm="1">
        <f t="array" ref="J52">+_xlfn.IFS($F$9="kWh",$E52*G52/1000000,$F$9="MWh",$E52*G52/1000)</f>
        <v>#N/A</v>
      </c>
      <c r="K52" s="155" t="e" cm="1">
        <f t="array" ref="K52">+_xlfn.IFS($F$9="kWh",$E52*H52/1000000,$F$9="MWh",$E52*H52/1000)</f>
        <v>#N/A</v>
      </c>
      <c r="L52" s="155" t="e" cm="1">
        <f t="array" ref="L52">+_xlfn.IFS($F$9="kWh",$E52*I52/1000000,$F$9="MWh",$E52*I52/1000)</f>
        <v>#N/A</v>
      </c>
      <c r="M52" s="156">
        <f t="shared" si="0"/>
        <v>0</v>
      </c>
      <c r="S52" s="152"/>
      <c r="T52" s="158"/>
      <c r="U52" s="159"/>
      <c r="V52" s="167">
        <f>+'EF-S2'!L53</f>
        <v>0</v>
      </c>
      <c r="W52" s="167">
        <f>+'EF-S2'!L54</f>
        <v>0</v>
      </c>
      <c r="X52" s="167">
        <f>+'EF-S2'!L55</f>
        <v>0</v>
      </c>
      <c r="Y52" s="155" t="e" cm="1">
        <f t="array" ref="Y52">+_xlfn.IFS($U$9="kWh",$T52*V52/1000,$U$9="MWh",$T52*V52)</f>
        <v>#N/A</v>
      </c>
      <c r="Z52" s="155" t="e" cm="1">
        <f t="array" ref="Z52">+_xlfn.IFS($U$9="kWh",$T52*W52/1000,$U$9="MWh",$T52*W52)</f>
        <v>#N/A</v>
      </c>
      <c r="AA52" s="155" t="e" cm="1">
        <f t="array" ref="AA52">+_xlfn.IFS($U$9="kWh",$T52*X52/1000,$U$9="MWh",$T52*X52)</f>
        <v>#N/A</v>
      </c>
      <c r="AB52" s="156">
        <f t="shared" si="1"/>
        <v>0</v>
      </c>
    </row>
    <row r="53" spans="2:28" x14ac:dyDescent="0.7">
      <c r="B53" s="152"/>
      <c r="C53" s="159"/>
      <c r="D53" s="159"/>
      <c r="E53" s="158"/>
      <c r="F53" s="159"/>
      <c r="G53" s="155" t="e" cm="1">
        <f t="array" ref="G53">+_xlfn.IFS($C53="Renewable",0,$C53="National grid",VLOOKUP($D53,'EF-S2'!$B$11:$C$169,2,))</f>
        <v>#N/A</v>
      </c>
      <c r="H53" s="155" t="e" cm="1">
        <f t="array" ref="H53">+_xlfn.IFS($C53="Renewable",0,$C53="National grid",VLOOKUP($D53,'EF-S2'!$E$11:$F$169,2,))</f>
        <v>#N/A</v>
      </c>
      <c r="I53" s="155" t="e" cm="1">
        <f t="array" ref="I53">+_xlfn.IFS($C53="Renewable",0,$C53="National grid",VLOOKUP($D53,'EF-S2'!$H$11:$I$169,2,))</f>
        <v>#N/A</v>
      </c>
      <c r="J53" s="155" t="e" cm="1">
        <f t="array" ref="J53">+_xlfn.IFS($F$9="kWh",$E53*G53/1000000,$F$9="MWh",$E53*G53/1000)</f>
        <v>#N/A</v>
      </c>
      <c r="K53" s="155" t="e" cm="1">
        <f t="array" ref="K53">+_xlfn.IFS($F$9="kWh",$E53*H53/1000000,$F$9="MWh",$E53*H53/1000)</f>
        <v>#N/A</v>
      </c>
      <c r="L53" s="155" t="e" cm="1">
        <f t="array" ref="L53">+_xlfn.IFS($F$9="kWh",$E53*I53/1000000,$F$9="MWh",$E53*I53/1000)</f>
        <v>#N/A</v>
      </c>
      <c r="M53" s="156">
        <f t="shared" si="0"/>
        <v>0</v>
      </c>
      <c r="S53" s="152"/>
      <c r="T53" s="158"/>
      <c r="U53" s="159"/>
      <c r="V53" s="167">
        <f>+'EF-S2'!L54</f>
        <v>0</v>
      </c>
      <c r="W53" s="167">
        <f>+'EF-S2'!L55</f>
        <v>0</v>
      </c>
      <c r="X53" s="167">
        <f>+'EF-S2'!L56</f>
        <v>0</v>
      </c>
      <c r="Y53" s="155" t="e" cm="1">
        <f t="array" ref="Y53">+_xlfn.IFS($U$9="kWh",$T53*V53/1000,$U$9="MWh",$T53*V53)</f>
        <v>#N/A</v>
      </c>
      <c r="Z53" s="155" t="e" cm="1">
        <f t="array" ref="Z53">+_xlfn.IFS($U$9="kWh",$T53*W53/1000,$U$9="MWh",$T53*W53)</f>
        <v>#N/A</v>
      </c>
      <c r="AA53" s="155" t="e" cm="1">
        <f t="array" ref="AA53">+_xlfn.IFS($U$9="kWh",$T53*X53/1000,$U$9="MWh",$T53*X53)</f>
        <v>#N/A</v>
      </c>
      <c r="AB53" s="156">
        <f t="shared" si="1"/>
        <v>0</v>
      </c>
    </row>
    <row r="54" spans="2:28" x14ac:dyDescent="0.7">
      <c r="B54" s="152"/>
      <c r="C54" s="159"/>
      <c r="D54" s="159"/>
      <c r="E54" s="158"/>
      <c r="F54" s="159"/>
      <c r="G54" s="155" t="e" cm="1">
        <f t="array" ref="G54">+_xlfn.IFS($C54="Renewable",0,$C54="National grid",VLOOKUP($D54,'EF-S2'!$B$11:$C$169,2,))</f>
        <v>#N/A</v>
      </c>
      <c r="H54" s="155" t="e" cm="1">
        <f t="array" ref="H54">+_xlfn.IFS($C54="Renewable",0,$C54="National grid",VLOOKUP($D54,'EF-S2'!$E$11:$F$169,2,))</f>
        <v>#N/A</v>
      </c>
      <c r="I54" s="155" t="e" cm="1">
        <f t="array" ref="I54">+_xlfn.IFS($C54="Renewable",0,$C54="National grid",VLOOKUP($D54,'EF-S2'!$H$11:$I$169,2,))</f>
        <v>#N/A</v>
      </c>
      <c r="J54" s="155" t="e" cm="1">
        <f t="array" ref="J54">+_xlfn.IFS($F$9="kWh",$E54*G54/1000000,$F$9="MWh",$E54*G54/1000)</f>
        <v>#N/A</v>
      </c>
      <c r="K54" s="155" t="e" cm="1">
        <f t="array" ref="K54">+_xlfn.IFS($F$9="kWh",$E54*H54/1000000,$F$9="MWh",$E54*H54/1000)</f>
        <v>#N/A</v>
      </c>
      <c r="L54" s="155" t="e" cm="1">
        <f t="array" ref="L54">+_xlfn.IFS($F$9="kWh",$E54*I54/1000000,$F$9="MWh",$E54*I54/1000)</f>
        <v>#N/A</v>
      </c>
      <c r="M54" s="156">
        <f t="shared" si="0"/>
        <v>0</v>
      </c>
      <c r="S54" s="152"/>
      <c r="T54" s="158"/>
      <c r="U54" s="159"/>
      <c r="V54" s="167">
        <f>+'EF-S2'!L55</f>
        <v>0</v>
      </c>
      <c r="W54" s="167">
        <f>+'EF-S2'!L56</f>
        <v>0</v>
      </c>
      <c r="X54" s="167">
        <f>+'EF-S2'!L57</f>
        <v>0</v>
      </c>
      <c r="Y54" s="155" t="e" cm="1">
        <f t="array" ref="Y54">+_xlfn.IFS($U$9="kWh",$T54*V54/1000,$U$9="MWh",$T54*V54)</f>
        <v>#N/A</v>
      </c>
      <c r="Z54" s="155" t="e" cm="1">
        <f t="array" ref="Z54">+_xlfn.IFS($U$9="kWh",$T54*W54/1000,$U$9="MWh",$T54*W54)</f>
        <v>#N/A</v>
      </c>
      <c r="AA54" s="155" t="e" cm="1">
        <f t="array" ref="AA54">+_xlfn.IFS($U$9="kWh",$T54*X54/1000,$U$9="MWh",$T54*X54)</f>
        <v>#N/A</v>
      </c>
      <c r="AB54" s="156">
        <f t="shared" si="1"/>
        <v>0</v>
      </c>
    </row>
    <row r="55" spans="2:28" x14ac:dyDescent="0.7">
      <c r="B55" s="152"/>
      <c r="C55" s="159"/>
      <c r="D55" s="159"/>
      <c r="E55" s="158"/>
      <c r="F55" s="159"/>
      <c r="G55" s="155" t="e" cm="1">
        <f t="array" ref="G55">+_xlfn.IFS($C55="Renewable",0,$C55="National grid",VLOOKUP($D55,'EF-S2'!$B$11:$C$169,2,))</f>
        <v>#N/A</v>
      </c>
      <c r="H55" s="155" t="e" cm="1">
        <f t="array" ref="H55">+_xlfn.IFS($C55="Renewable",0,$C55="National grid",VLOOKUP($D55,'EF-S2'!$E$11:$F$169,2,))</f>
        <v>#N/A</v>
      </c>
      <c r="I55" s="155" t="e" cm="1">
        <f t="array" ref="I55">+_xlfn.IFS($C55="Renewable",0,$C55="National grid",VLOOKUP($D55,'EF-S2'!$H$11:$I$169,2,))</f>
        <v>#N/A</v>
      </c>
      <c r="J55" s="155" t="e" cm="1">
        <f t="array" ref="J55">+_xlfn.IFS($F$9="kWh",$E55*G55/1000000,$F$9="MWh",$E55*G55/1000)</f>
        <v>#N/A</v>
      </c>
      <c r="K55" s="155" t="e" cm="1">
        <f t="array" ref="K55">+_xlfn.IFS($F$9="kWh",$E55*H55/1000000,$F$9="MWh",$E55*H55/1000)</f>
        <v>#N/A</v>
      </c>
      <c r="L55" s="155" t="e" cm="1">
        <f t="array" ref="L55">+_xlfn.IFS($F$9="kWh",$E55*I55/1000000,$F$9="MWh",$E55*I55/1000)</f>
        <v>#N/A</v>
      </c>
      <c r="M55" s="156">
        <f t="shared" si="0"/>
        <v>0</v>
      </c>
      <c r="S55" s="152"/>
      <c r="T55" s="158"/>
      <c r="U55" s="159"/>
      <c r="V55" s="167">
        <f>+'EF-S2'!L56</f>
        <v>0</v>
      </c>
      <c r="W55" s="167">
        <f>+'EF-S2'!L57</f>
        <v>0</v>
      </c>
      <c r="X55" s="167">
        <f>+'EF-S2'!L58</f>
        <v>0</v>
      </c>
      <c r="Y55" s="155" t="e" cm="1">
        <f t="array" ref="Y55">+_xlfn.IFS($U$9="kWh",$T55*V55/1000,$U$9="MWh",$T55*V55)</f>
        <v>#N/A</v>
      </c>
      <c r="Z55" s="155" t="e" cm="1">
        <f t="array" ref="Z55">+_xlfn.IFS($U$9="kWh",$T55*W55/1000,$U$9="MWh",$T55*W55)</f>
        <v>#N/A</v>
      </c>
      <c r="AA55" s="155" t="e" cm="1">
        <f t="array" ref="AA55">+_xlfn.IFS($U$9="kWh",$T55*X55/1000,$U$9="MWh",$T55*X55)</f>
        <v>#N/A</v>
      </c>
      <c r="AB55" s="156">
        <f t="shared" si="1"/>
        <v>0</v>
      </c>
    </row>
    <row r="56" spans="2:28" x14ac:dyDescent="0.7">
      <c r="B56" s="152"/>
      <c r="C56" s="159"/>
      <c r="D56" s="159"/>
      <c r="E56" s="158"/>
      <c r="F56" s="159"/>
      <c r="G56" s="155" t="e" cm="1">
        <f t="array" ref="G56">+_xlfn.IFS($C56="Renewable",0,$C56="National grid",VLOOKUP($D56,'EF-S2'!$B$11:$C$169,2,))</f>
        <v>#N/A</v>
      </c>
      <c r="H56" s="155" t="e" cm="1">
        <f t="array" ref="H56">+_xlfn.IFS($C56="Renewable",0,$C56="National grid",VLOOKUP($D56,'EF-S2'!$E$11:$F$169,2,))</f>
        <v>#N/A</v>
      </c>
      <c r="I56" s="155" t="e" cm="1">
        <f t="array" ref="I56">+_xlfn.IFS($C56="Renewable",0,$C56="National grid",VLOOKUP($D56,'EF-S2'!$H$11:$I$169,2,))</f>
        <v>#N/A</v>
      </c>
      <c r="J56" s="155" t="e" cm="1">
        <f t="array" ref="J56">+_xlfn.IFS($F$9="kWh",$E56*G56/1000000,$F$9="MWh",$E56*G56/1000)</f>
        <v>#N/A</v>
      </c>
      <c r="K56" s="155" t="e" cm="1">
        <f t="array" ref="K56">+_xlfn.IFS($F$9="kWh",$E56*H56/1000000,$F$9="MWh",$E56*H56/1000)</f>
        <v>#N/A</v>
      </c>
      <c r="L56" s="155" t="e" cm="1">
        <f t="array" ref="L56">+_xlfn.IFS($F$9="kWh",$E56*I56/1000000,$F$9="MWh",$E56*I56/1000)</f>
        <v>#N/A</v>
      </c>
      <c r="M56" s="156">
        <f t="shared" si="0"/>
        <v>0</v>
      </c>
      <c r="S56" s="152"/>
      <c r="T56" s="158"/>
      <c r="U56" s="159"/>
      <c r="V56" s="167">
        <f>+'EF-S2'!L57</f>
        <v>0</v>
      </c>
      <c r="W56" s="167">
        <f>+'EF-S2'!L58</f>
        <v>0</v>
      </c>
      <c r="X56" s="167">
        <f>+'EF-S2'!L59</f>
        <v>0</v>
      </c>
      <c r="Y56" s="155" t="e" cm="1">
        <f t="array" ref="Y56">+_xlfn.IFS($U$9="kWh",$T56*V56/1000,$U$9="MWh",$T56*V56)</f>
        <v>#N/A</v>
      </c>
      <c r="Z56" s="155" t="e" cm="1">
        <f t="array" ref="Z56">+_xlfn.IFS($U$9="kWh",$T56*W56/1000,$U$9="MWh",$T56*W56)</f>
        <v>#N/A</v>
      </c>
      <c r="AA56" s="155" t="e" cm="1">
        <f t="array" ref="AA56">+_xlfn.IFS($U$9="kWh",$T56*X56/1000,$U$9="MWh",$T56*X56)</f>
        <v>#N/A</v>
      </c>
      <c r="AB56" s="156">
        <f t="shared" si="1"/>
        <v>0</v>
      </c>
    </row>
    <row r="57" spans="2:28" x14ac:dyDescent="0.7">
      <c r="B57" s="152"/>
      <c r="C57" s="159"/>
      <c r="D57" s="159"/>
      <c r="E57" s="158"/>
      <c r="F57" s="159"/>
      <c r="G57" s="155" t="e" cm="1">
        <f t="array" ref="G57">+_xlfn.IFS($C57="Renewable",0,$C57="National grid",VLOOKUP($D57,'EF-S2'!$B$11:$C$169,2,))</f>
        <v>#N/A</v>
      </c>
      <c r="H57" s="155" t="e" cm="1">
        <f t="array" ref="H57">+_xlfn.IFS($C57="Renewable",0,$C57="National grid",VLOOKUP($D57,'EF-S2'!$E$11:$F$169,2,))</f>
        <v>#N/A</v>
      </c>
      <c r="I57" s="155" t="e" cm="1">
        <f t="array" ref="I57">+_xlfn.IFS($C57="Renewable",0,$C57="National grid",VLOOKUP($D57,'EF-S2'!$H$11:$I$169,2,))</f>
        <v>#N/A</v>
      </c>
      <c r="J57" s="155" t="e" cm="1">
        <f t="array" ref="J57">+_xlfn.IFS($F$9="kWh",$E57*G57/1000000,$F$9="MWh",$E57*G57/1000)</f>
        <v>#N/A</v>
      </c>
      <c r="K57" s="155" t="e" cm="1">
        <f t="array" ref="K57">+_xlfn.IFS($F$9="kWh",$E57*H57/1000000,$F$9="MWh",$E57*H57/1000)</f>
        <v>#N/A</v>
      </c>
      <c r="L57" s="155" t="e" cm="1">
        <f t="array" ref="L57">+_xlfn.IFS($F$9="kWh",$E57*I57/1000000,$F$9="MWh",$E57*I57/1000)</f>
        <v>#N/A</v>
      </c>
      <c r="M57" s="156">
        <f t="shared" si="0"/>
        <v>0</v>
      </c>
      <c r="S57" s="152"/>
      <c r="T57" s="158"/>
      <c r="U57" s="159"/>
      <c r="V57" s="167">
        <f>+'EF-S2'!L58</f>
        <v>0</v>
      </c>
      <c r="W57" s="167">
        <f>+'EF-S2'!L59</f>
        <v>0</v>
      </c>
      <c r="X57" s="167">
        <f>+'EF-S2'!L60</f>
        <v>0</v>
      </c>
      <c r="Y57" s="155" t="e" cm="1">
        <f t="array" ref="Y57">+_xlfn.IFS($U$9="kWh",$T57*V57/1000,$U$9="MWh",$T57*V57)</f>
        <v>#N/A</v>
      </c>
      <c r="Z57" s="155" t="e" cm="1">
        <f t="array" ref="Z57">+_xlfn.IFS($U$9="kWh",$T57*W57/1000,$U$9="MWh",$T57*W57)</f>
        <v>#N/A</v>
      </c>
      <c r="AA57" s="155" t="e" cm="1">
        <f t="array" ref="AA57">+_xlfn.IFS($U$9="kWh",$T57*X57/1000,$U$9="MWh",$T57*X57)</f>
        <v>#N/A</v>
      </c>
      <c r="AB57" s="156">
        <f t="shared" si="1"/>
        <v>0</v>
      </c>
    </row>
    <row r="58" spans="2:28" x14ac:dyDescent="0.7">
      <c r="B58" s="152"/>
      <c r="C58" s="159"/>
      <c r="D58" s="159"/>
      <c r="E58" s="158"/>
      <c r="F58" s="159"/>
      <c r="G58" s="155" t="e" cm="1">
        <f t="array" ref="G58">+_xlfn.IFS($C58="Renewable",0,$C58="National grid",VLOOKUP($D58,'EF-S2'!$B$11:$C$169,2,))</f>
        <v>#N/A</v>
      </c>
      <c r="H58" s="155" t="e" cm="1">
        <f t="array" ref="H58">+_xlfn.IFS($C58="Renewable",0,$C58="National grid",VLOOKUP($D58,'EF-S2'!$E$11:$F$169,2,))</f>
        <v>#N/A</v>
      </c>
      <c r="I58" s="155" t="e" cm="1">
        <f t="array" ref="I58">+_xlfn.IFS($C58="Renewable",0,$C58="National grid",VLOOKUP($D58,'EF-S2'!$H$11:$I$169,2,))</f>
        <v>#N/A</v>
      </c>
      <c r="J58" s="155" t="e" cm="1">
        <f t="array" ref="J58">+_xlfn.IFS($F$9="kWh",$E58*G58/1000000,$F$9="MWh",$E58*G58/1000)</f>
        <v>#N/A</v>
      </c>
      <c r="K58" s="155" t="e" cm="1">
        <f t="array" ref="K58">+_xlfn.IFS($F$9="kWh",$E58*H58/1000000,$F$9="MWh",$E58*H58/1000)</f>
        <v>#N/A</v>
      </c>
      <c r="L58" s="155" t="e" cm="1">
        <f t="array" ref="L58">+_xlfn.IFS($F$9="kWh",$E58*I58/1000000,$F$9="MWh",$E58*I58/1000)</f>
        <v>#N/A</v>
      </c>
      <c r="M58" s="156">
        <f t="shared" si="0"/>
        <v>0</v>
      </c>
      <c r="S58" s="152"/>
      <c r="T58" s="158"/>
      <c r="U58" s="159"/>
      <c r="V58" s="167">
        <f>+'EF-S2'!L59</f>
        <v>0</v>
      </c>
      <c r="W58" s="167">
        <f>+'EF-S2'!L60</f>
        <v>0</v>
      </c>
      <c r="X58" s="167">
        <f>+'EF-S2'!L61</f>
        <v>0</v>
      </c>
      <c r="Y58" s="155" t="e" cm="1">
        <f t="array" ref="Y58">+_xlfn.IFS($U$9="kWh",$T58*V58/1000,$U$9="MWh",$T58*V58)</f>
        <v>#N/A</v>
      </c>
      <c r="Z58" s="155" t="e" cm="1">
        <f t="array" ref="Z58">+_xlfn.IFS($U$9="kWh",$T58*W58/1000,$U$9="MWh",$T58*W58)</f>
        <v>#N/A</v>
      </c>
      <c r="AA58" s="155" t="e" cm="1">
        <f t="array" ref="AA58">+_xlfn.IFS($U$9="kWh",$T58*X58/1000,$U$9="MWh",$T58*X58)</f>
        <v>#N/A</v>
      </c>
      <c r="AB58" s="156">
        <f t="shared" si="1"/>
        <v>0</v>
      </c>
    </row>
    <row r="59" spans="2:28" x14ac:dyDescent="0.7">
      <c r="B59" s="152"/>
      <c r="C59" s="159"/>
      <c r="D59" s="159"/>
      <c r="E59" s="158"/>
      <c r="F59" s="159"/>
      <c r="G59" s="155" t="e" cm="1">
        <f t="array" ref="G59">+_xlfn.IFS($C59="Renewable",0,$C59="National grid",VLOOKUP($D59,'EF-S2'!$B$11:$C$169,2,))</f>
        <v>#N/A</v>
      </c>
      <c r="H59" s="155" t="e" cm="1">
        <f t="array" ref="H59">+_xlfn.IFS($C59="Renewable",0,$C59="National grid",VLOOKUP($D59,'EF-S2'!$E$11:$F$169,2,))</f>
        <v>#N/A</v>
      </c>
      <c r="I59" s="155" t="e" cm="1">
        <f t="array" ref="I59">+_xlfn.IFS($C59="Renewable",0,$C59="National grid",VLOOKUP($D59,'EF-S2'!$H$11:$I$169,2,))</f>
        <v>#N/A</v>
      </c>
      <c r="J59" s="155" t="e" cm="1">
        <f t="array" ref="J59">+_xlfn.IFS($F$9="kWh",$E59*G59/1000000,$F$9="MWh",$E59*G59/1000)</f>
        <v>#N/A</v>
      </c>
      <c r="K59" s="155" t="e" cm="1">
        <f t="array" ref="K59">+_xlfn.IFS($F$9="kWh",$E59*H59/1000000,$F$9="MWh",$E59*H59/1000)</f>
        <v>#N/A</v>
      </c>
      <c r="L59" s="155" t="e" cm="1">
        <f t="array" ref="L59">+_xlfn.IFS($F$9="kWh",$E59*I59/1000000,$F$9="MWh",$E59*I59/1000)</f>
        <v>#N/A</v>
      </c>
      <c r="M59" s="156">
        <f t="shared" si="0"/>
        <v>0</v>
      </c>
      <c r="S59" s="152"/>
      <c r="T59" s="158"/>
      <c r="U59" s="159"/>
      <c r="V59" s="167">
        <f>+'EF-S2'!L60</f>
        <v>0</v>
      </c>
      <c r="W59" s="167">
        <f>+'EF-S2'!L61</f>
        <v>0</v>
      </c>
      <c r="X59" s="167">
        <f>+'EF-S2'!L62</f>
        <v>0</v>
      </c>
      <c r="Y59" s="155" t="e" cm="1">
        <f t="array" ref="Y59">+_xlfn.IFS($U$9="kWh",$T59*V59/1000,$U$9="MWh",$T59*V59)</f>
        <v>#N/A</v>
      </c>
      <c r="Z59" s="155" t="e" cm="1">
        <f t="array" ref="Z59">+_xlfn.IFS($U$9="kWh",$T59*W59/1000,$U$9="MWh",$T59*W59)</f>
        <v>#N/A</v>
      </c>
      <c r="AA59" s="155" t="e" cm="1">
        <f t="array" ref="AA59">+_xlfn.IFS($U$9="kWh",$T59*X59/1000,$U$9="MWh",$T59*X59)</f>
        <v>#N/A</v>
      </c>
      <c r="AB59" s="156">
        <f t="shared" si="1"/>
        <v>0</v>
      </c>
    </row>
    <row r="60" spans="2:28" x14ac:dyDescent="0.7">
      <c r="B60" s="152"/>
      <c r="C60" s="159"/>
      <c r="D60" s="159"/>
      <c r="E60" s="158"/>
      <c r="F60" s="159"/>
      <c r="G60" s="155" t="e" cm="1">
        <f t="array" ref="G60">+_xlfn.IFS($C60="Renewable",0,$C60="National grid",VLOOKUP($D60,'EF-S2'!$B$11:$C$169,2,))</f>
        <v>#N/A</v>
      </c>
      <c r="H60" s="155" t="e" cm="1">
        <f t="array" ref="H60">+_xlfn.IFS($C60="Renewable",0,$C60="National grid",VLOOKUP($D60,'EF-S2'!$E$11:$F$169,2,))</f>
        <v>#N/A</v>
      </c>
      <c r="I60" s="155" t="e" cm="1">
        <f t="array" ref="I60">+_xlfn.IFS($C60="Renewable",0,$C60="National grid",VLOOKUP($D60,'EF-S2'!$H$11:$I$169,2,))</f>
        <v>#N/A</v>
      </c>
      <c r="J60" s="155" t="e" cm="1">
        <f t="array" ref="J60">+_xlfn.IFS($F$9="kWh",$E60*G60/1000000,$F$9="MWh",$E60*G60/1000)</f>
        <v>#N/A</v>
      </c>
      <c r="K60" s="155" t="e" cm="1">
        <f t="array" ref="K60">+_xlfn.IFS($F$9="kWh",$E60*H60/1000000,$F$9="MWh",$E60*H60/1000)</f>
        <v>#N/A</v>
      </c>
      <c r="L60" s="155" t="e" cm="1">
        <f t="array" ref="L60">+_xlfn.IFS($F$9="kWh",$E60*I60/1000000,$F$9="MWh",$E60*I60/1000)</f>
        <v>#N/A</v>
      </c>
      <c r="M60" s="156">
        <f t="shared" si="0"/>
        <v>0</v>
      </c>
      <c r="S60" s="152"/>
      <c r="T60" s="158"/>
      <c r="U60" s="159"/>
      <c r="V60" s="167">
        <f>+'EF-S2'!L61</f>
        <v>0</v>
      </c>
      <c r="W60" s="167">
        <f>+'EF-S2'!L62</f>
        <v>0</v>
      </c>
      <c r="X60" s="167">
        <f>+'EF-S2'!L63</f>
        <v>0</v>
      </c>
      <c r="Y60" s="155" t="e" cm="1">
        <f t="array" ref="Y60">+_xlfn.IFS($U$9="kWh",$T60*V60/1000,$U$9="MWh",$T60*V60)</f>
        <v>#N/A</v>
      </c>
      <c r="Z60" s="155" t="e" cm="1">
        <f t="array" ref="Z60">+_xlfn.IFS($U$9="kWh",$T60*W60/1000,$U$9="MWh",$T60*W60)</f>
        <v>#N/A</v>
      </c>
      <c r="AA60" s="155" t="e" cm="1">
        <f t="array" ref="AA60">+_xlfn.IFS($U$9="kWh",$T60*X60/1000,$U$9="MWh",$T60*X60)</f>
        <v>#N/A</v>
      </c>
      <c r="AB60" s="156">
        <f t="shared" si="1"/>
        <v>0</v>
      </c>
    </row>
    <row r="61" spans="2:28" x14ac:dyDescent="0.7">
      <c r="B61" s="152"/>
      <c r="C61" s="159"/>
      <c r="D61" s="159"/>
      <c r="E61" s="158"/>
      <c r="F61" s="159"/>
      <c r="G61" s="155" t="e" cm="1">
        <f t="array" ref="G61">+_xlfn.IFS($C61="Renewable",0,$C61="National grid",VLOOKUP($D61,'EF-S2'!$B$11:$C$169,2,))</f>
        <v>#N/A</v>
      </c>
      <c r="H61" s="155" t="e" cm="1">
        <f t="array" ref="H61">+_xlfn.IFS($C61="Renewable",0,$C61="National grid",VLOOKUP($D61,'EF-S2'!$E$11:$F$169,2,))</f>
        <v>#N/A</v>
      </c>
      <c r="I61" s="155" t="e" cm="1">
        <f t="array" ref="I61">+_xlfn.IFS($C61="Renewable",0,$C61="National grid",VLOOKUP($D61,'EF-S2'!$H$11:$I$169,2,))</f>
        <v>#N/A</v>
      </c>
      <c r="J61" s="155" t="e" cm="1">
        <f t="array" ref="J61">+_xlfn.IFS($F$9="kWh",$E61*G61/1000000,$F$9="MWh",$E61*G61/1000)</f>
        <v>#N/A</v>
      </c>
      <c r="K61" s="155" t="e" cm="1">
        <f t="array" ref="K61">+_xlfn.IFS($F$9="kWh",$E61*H61/1000000,$F$9="MWh",$E61*H61/1000)</f>
        <v>#N/A</v>
      </c>
      <c r="L61" s="155" t="e" cm="1">
        <f t="array" ref="L61">+_xlfn.IFS($F$9="kWh",$E61*I61/1000000,$F$9="MWh",$E61*I61/1000)</f>
        <v>#N/A</v>
      </c>
      <c r="M61" s="156">
        <f t="shared" si="0"/>
        <v>0</v>
      </c>
      <c r="S61" s="152"/>
      <c r="T61" s="158"/>
      <c r="U61" s="159"/>
      <c r="V61" s="167">
        <f>+'EF-S2'!L62</f>
        <v>0</v>
      </c>
      <c r="W61" s="167">
        <f>+'EF-S2'!L63</f>
        <v>0</v>
      </c>
      <c r="X61" s="167">
        <f>+'EF-S2'!L64</f>
        <v>0</v>
      </c>
      <c r="Y61" s="155" t="e" cm="1">
        <f t="array" ref="Y61">+_xlfn.IFS($U$9="kWh",$T61*V61/1000,$U$9="MWh",$T61*V61)</f>
        <v>#N/A</v>
      </c>
      <c r="Z61" s="155" t="e" cm="1">
        <f t="array" ref="Z61">+_xlfn.IFS($U$9="kWh",$T61*W61/1000,$U$9="MWh",$T61*W61)</f>
        <v>#N/A</v>
      </c>
      <c r="AA61" s="155" t="e" cm="1">
        <f t="array" ref="AA61">+_xlfn.IFS($U$9="kWh",$T61*X61/1000,$U$9="MWh",$T61*X61)</f>
        <v>#N/A</v>
      </c>
      <c r="AB61" s="156">
        <f t="shared" si="1"/>
        <v>0</v>
      </c>
    </row>
    <row r="62" spans="2:28" x14ac:dyDescent="0.7">
      <c r="B62" s="152"/>
      <c r="C62" s="159"/>
      <c r="D62" s="159"/>
      <c r="E62" s="158"/>
      <c r="F62" s="159"/>
      <c r="G62" s="155" t="e" cm="1">
        <f t="array" ref="G62">+_xlfn.IFS($C62="Renewable",0,$C62="National grid",VLOOKUP($D62,'EF-S2'!$B$11:$C$169,2,))</f>
        <v>#N/A</v>
      </c>
      <c r="H62" s="155" t="e" cm="1">
        <f t="array" ref="H62">+_xlfn.IFS($C62="Renewable",0,$C62="National grid",VLOOKUP($D62,'EF-S2'!$E$11:$F$169,2,))</f>
        <v>#N/A</v>
      </c>
      <c r="I62" s="155" t="e" cm="1">
        <f t="array" ref="I62">+_xlfn.IFS($C62="Renewable",0,$C62="National grid",VLOOKUP($D62,'EF-S2'!$H$11:$I$169,2,))</f>
        <v>#N/A</v>
      </c>
      <c r="J62" s="155" t="e" cm="1">
        <f t="array" ref="J62">+_xlfn.IFS($F$9="kWh",$E62*G62/1000000,$F$9="MWh",$E62*G62/1000)</f>
        <v>#N/A</v>
      </c>
      <c r="K62" s="155" t="e" cm="1">
        <f t="array" ref="K62">+_xlfn.IFS($F$9="kWh",$E62*H62/1000000,$F$9="MWh",$E62*H62/1000)</f>
        <v>#N/A</v>
      </c>
      <c r="L62" s="155" t="e" cm="1">
        <f t="array" ref="L62">+_xlfn.IFS($F$9="kWh",$E62*I62/1000000,$F$9="MWh",$E62*I62/1000)</f>
        <v>#N/A</v>
      </c>
      <c r="M62" s="156">
        <f t="shared" si="0"/>
        <v>0</v>
      </c>
      <c r="S62" s="152"/>
      <c r="T62" s="158"/>
      <c r="U62" s="159"/>
      <c r="V62" s="167">
        <f>+'EF-S2'!L63</f>
        <v>0</v>
      </c>
      <c r="W62" s="167">
        <f>+'EF-S2'!L64</f>
        <v>0</v>
      </c>
      <c r="X62" s="167">
        <f>+'EF-S2'!L65</f>
        <v>0</v>
      </c>
      <c r="Y62" s="155" t="e" cm="1">
        <f t="array" ref="Y62">+_xlfn.IFS($U$9="kWh",$T62*V62/1000,$U$9="MWh",$T62*V62)</f>
        <v>#N/A</v>
      </c>
      <c r="Z62" s="155" t="e" cm="1">
        <f t="array" ref="Z62">+_xlfn.IFS($U$9="kWh",$T62*W62/1000,$U$9="MWh",$T62*W62)</f>
        <v>#N/A</v>
      </c>
      <c r="AA62" s="155" t="e" cm="1">
        <f t="array" ref="AA62">+_xlfn.IFS($U$9="kWh",$T62*X62/1000,$U$9="MWh",$T62*X62)</f>
        <v>#N/A</v>
      </c>
      <c r="AB62" s="156">
        <f t="shared" si="1"/>
        <v>0</v>
      </c>
    </row>
    <row r="63" spans="2:28" x14ac:dyDescent="0.7">
      <c r="B63" s="152"/>
      <c r="C63" s="159"/>
      <c r="D63" s="159"/>
      <c r="E63" s="158"/>
      <c r="F63" s="159"/>
      <c r="G63" s="155" t="e" cm="1">
        <f t="array" ref="G63">+_xlfn.IFS($C63="Renewable",0,$C63="National grid",VLOOKUP($D63,'EF-S2'!$B$11:$C$169,2,))</f>
        <v>#N/A</v>
      </c>
      <c r="H63" s="155" t="e" cm="1">
        <f t="array" ref="H63">+_xlfn.IFS($C63="Renewable",0,$C63="National grid",VLOOKUP($D63,'EF-S2'!$E$11:$F$169,2,))</f>
        <v>#N/A</v>
      </c>
      <c r="I63" s="155" t="e" cm="1">
        <f t="array" ref="I63">+_xlfn.IFS($C63="Renewable",0,$C63="National grid",VLOOKUP($D63,'EF-S2'!$H$11:$I$169,2,))</f>
        <v>#N/A</v>
      </c>
      <c r="J63" s="155" t="e" cm="1">
        <f t="array" ref="J63">+_xlfn.IFS($F$9="kWh",$E63*G63/1000000,$F$9="MWh",$E63*G63/1000)</f>
        <v>#N/A</v>
      </c>
      <c r="K63" s="155" t="e" cm="1">
        <f t="array" ref="K63">+_xlfn.IFS($F$9="kWh",$E63*H63/1000000,$F$9="MWh",$E63*H63/1000)</f>
        <v>#N/A</v>
      </c>
      <c r="L63" s="155" t="e" cm="1">
        <f t="array" ref="L63">+_xlfn.IFS($F$9="kWh",$E63*I63/1000000,$F$9="MWh",$E63*I63/1000)</f>
        <v>#N/A</v>
      </c>
      <c r="M63" s="156">
        <f t="shared" si="0"/>
        <v>0</v>
      </c>
      <c r="S63" s="152"/>
      <c r="T63" s="158"/>
      <c r="U63" s="159"/>
      <c r="V63" s="167">
        <f>+'EF-S2'!L64</f>
        <v>0</v>
      </c>
      <c r="W63" s="167">
        <f>+'EF-S2'!L65</f>
        <v>0</v>
      </c>
      <c r="X63" s="167">
        <f>+'EF-S2'!L66</f>
        <v>0</v>
      </c>
      <c r="Y63" s="155" t="e" cm="1">
        <f t="array" ref="Y63">+_xlfn.IFS($U$9="kWh",$T63*V63/1000,$U$9="MWh",$T63*V63)</f>
        <v>#N/A</v>
      </c>
      <c r="Z63" s="155" t="e" cm="1">
        <f t="array" ref="Z63">+_xlfn.IFS($U$9="kWh",$T63*W63/1000,$U$9="MWh",$T63*W63)</f>
        <v>#N/A</v>
      </c>
      <c r="AA63" s="155" t="e" cm="1">
        <f t="array" ref="AA63">+_xlfn.IFS($U$9="kWh",$T63*X63/1000,$U$9="MWh",$T63*X63)</f>
        <v>#N/A</v>
      </c>
      <c r="AB63" s="156">
        <f t="shared" si="1"/>
        <v>0</v>
      </c>
    </row>
    <row r="64" spans="2:28" x14ac:dyDescent="0.7">
      <c r="B64" s="152"/>
      <c r="C64" s="159"/>
      <c r="D64" s="159"/>
      <c r="E64" s="158"/>
      <c r="F64" s="159"/>
      <c r="G64" s="155" t="e" cm="1">
        <f t="array" ref="G64">+_xlfn.IFS($C64="Renewable",0,$C64="National grid",VLOOKUP($D64,'EF-S2'!$B$11:$C$169,2,))</f>
        <v>#N/A</v>
      </c>
      <c r="H64" s="155" t="e" cm="1">
        <f t="array" ref="H64">+_xlfn.IFS($C64="Renewable",0,$C64="National grid",VLOOKUP($D64,'EF-S2'!$E$11:$F$169,2,))</f>
        <v>#N/A</v>
      </c>
      <c r="I64" s="155" t="e" cm="1">
        <f t="array" ref="I64">+_xlfn.IFS($C64="Renewable",0,$C64="National grid",VLOOKUP($D64,'EF-S2'!$H$11:$I$169,2,))</f>
        <v>#N/A</v>
      </c>
      <c r="J64" s="155" t="e" cm="1">
        <f t="array" ref="J64">+_xlfn.IFS($F$9="kWh",$E64*G64/1000000,$F$9="MWh",$E64*G64/1000)</f>
        <v>#N/A</v>
      </c>
      <c r="K64" s="155" t="e" cm="1">
        <f t="array" ref="K64">+_xlfn.IFS($F$9="kWh",$E64*H64/1000000,$F$9="MWh",$E64*H64/1000)</f>
        <v>#N/A</v>
      </c>
      <c r="L64" s="155" t="e" cm="1">
        <f t="array" ref="L64">+_xlfn.IFS($F$9="kWh",$E64*I64/1000000,$F$9="MWh",$E64*I64/1000)</f>
        <v>#N/A</v>
      </c>
      <c r="M64" s="156">
        <f t="shared" si="0"/>
        <v>0</v>
      </c>
      <c r="S64" s="152"/>
      <c r="T64" s="158"/>
      <c r="U64" s="159"/>
      <c r="V64" s="167">
        <f>+'EF-S2'!L65</f>
        <v>0</v>
      </c>
      <c r="W64" s="167">
        <f>+'EF-S2'!L66</f>
        <v>0</v>
      </c>
      <c r="X64" s="167">
        <f>+'EF-S2'!L67</f>
        <v>0</v>
      </c>
      <c r="Y64" s="155" t="e" cm="1">
        <f t="array" ref="Y64">+_xlfn.IFS($U$9="kWh",$T64*V64/1000,$U$9="MWh",$T64*V64)</f>
        <v>#N/A</v>
      </c>
      <c r="Z64" s="155" t="e" cm="1">
        <f t="array" ref="Z64">+_xlfn.IFS($U$9="kWh",$T64*W64/1000,$U$9="MWh",$T64*W64)</f>
        <v>#N/A</v>
      </c>
      <c r="AA64" s="155" t="e" cm="1">
        <f t="array" ref="AA64">+_xlfn.IFS($U$9="kWh",$T64*X64/1000,$U$9="MWh",$T64*X64)</f>
        <v>#N/A</v>
      </c>
      <c r="AB64" s="156">
        <f t="shared" si="1"/>
        <v>0</v>
      </c>
    </row>
    <row r="65" spans="2:28" x14ac:dyDescent="0.7">
      <c r="B65" s="152"/>
      <c r="C65" s="159"/>
      <c r="D65" s="159"/>
      <c r="E65" s="158"/>
      <c r="F65" s="159"/>
      <c r="G65" s="155" t="e" cm="1">
        <f t="array" ref="G65">+_xlfn.IFS($C65="Renewable",0,$C65="National grid",VLOOKUP($D65,'EF-S2'!$B$11:$C$169,2,))</f>
        <v>#N/A</v>
      </c>
      <c r="H65" s="155" t="e" cm="1">
        <f t="array" ref="H65">+_xlfn.IFS($C65="Renewable",0,$C65="National grid",VLOOKUP($D65,'EF-S2'!$E$11:$F$169,2,))</f>
        <v>#N/A</v>
      </c>
      <c r="I65" s="155" t="e" cm="1">
        <f t="array" ref="I65">+_xlfn.IFS($C65="Renewable",0,$C65="National grid",VLOOKUP($D65,'EF-S2'!$H$11:$I$169,2,))</f>
        <v>#N/A</v>
      </c>
      <c r="J65" s="155" t="e" cm="1">
        <f t="array" ref="J65">+_xlfn.IFS($F$9="kWh",$E65*G65/1000000,$F$9="MWh",$E65*G65/1000)</f>
        <v>#N/A</v>
      </c>
      <c r="K65" s="155" t="e" cm="1">
        <f t="array" ref="K65">+_xlfn.IFS($F$9="kWh",$E65*H65/1000000,$F$9="MWh",$E65*H65/1000)</f>
        <v>#N/A</v>
      </c>
      <c r="L65" s="155" t="e" cm="1">
        <f t="array" ref="L65">+_xlfn.IFS($F$9="kWh",$E65*I65/1000000,$F$9="MWh",$E65*I65/1000)</f>
        <v>#N/A</v>
      </c>
      <c r="M65" s="156">
        <f t="shared" si="0"/>
        <v>0</v>
      </c>
      <c r="S65" s="152"/>
      <c r="T65" s="158"/>
      <c r="U65" s="159"/>
      <c r="V65" s="167">
        <f>+'EF-S2'!L66</f>
        <v>0</v>
      </c>
      <c r="W65" s="167">
        <f>+'EF-S2'!L67</f>
        <v>0</v>
      </c>
      <c r="X65" s="167">
        <f>+'EF-S2'!L68</f>
        <v>0</v>
      </c>
      <c r="Y65" s="155" t="e" cm="1">
        <f t="array" ref="Y65">+_xlfn.IFS($U$9="kWh",$T65*V65/1000,$U$9="MWh",$T65*V65)</f>
        <v>#N/A</v>
      </c>
      <c r="Z65" s="155" t="e" cm="1">
        <f t="array" ref="Z65">+_xlfn.IFS($U$9="kWh",$T65*W65/1000,$U$9="MWh",$T65*W65)</f>
        <v>#N/A</v>
      </c>
      <c r="AA65" s="155" t="e" cm="1">
        <f t="array" ref="AA65">+_xlfn.IFS($U$9="kWh",$T65*X65/1000,$U$9="MWh",$T65*X65)</f>
        <v>#N/A</v>
      </c>
      <c r="AB65" s="156">
        <f t="shared" si="1"/>
        <v>0</v>
      </c>
    </row>
    <row r="66" spans="2:28" x14ac:dyDescent="0.7">
      <c r="B66" s="152"/>
      <c r="C66" s="159"/>
      <c r="D66" s="159"/>
      <c r="E66" s="158"/>
      <c r="F66" s="159"/>
      <c r="G66" s="155" t="e" cm="1">
        <f t="array" ref="G66">+_xlfn.IFS($C66="Renewable",0,$C66="National grid",VLOOKUP($D66,'EF-S2'!$B$11:$C$169,2,))</f>
        <v>#N/A</v>
      </c>
      <c r="H66" s="155" t="e" cm="1">
        <f t="array" ref="H66">+_xlfn.IFS($C66="Renewable",0,$C66="National grid",VLOOKUP($D66,'EF-S2'!$E$11:$F$169,2,))</f>
        <v>#N/A</v>
      </c>
      <c r="I66" s="155" t="e" cm="1">
        <f t="array" ref="I66">+_xlfn.IFS($C66="Renewable",0,$C66="National grid",VLOOKUP($D66,'EF-S2'!$H$11:$I$169,2,))</f>
        <v>#N/A</v>
      </c>
      <c r="J66" s="155" t="e" cm="1">
        <f t="array" ref="J66">+_xlfn.IFS($F$9="kWh",$E66*G66/1000000,$F$9="MWh",$E66*G66/1000)</f>
        <v>#N/A</v>
      </c>
      <c r="K66" s="155" t="e" cm="1">
        <f t="array" ref="K66">+_xlfn.IFS($F$9="kWh",$E66*H66/1000000,$F$9="MWh",$E66*H66/1000)</f>
        <v>#N/A</v>
      </c>
      <c r="L66" s="155" t="e" cm="1">
        <f t="array" ref="L66">+_xlfn.IFS($F$9="kWh",$E66*I66/1000000,$F$9="MWh",$E66*I66/1000)</f>
        <v>#N/A</v>
      </c>
      <c r="M66" s="156">
        <f t="shared" si="0"/>
        <v>0</v>
      </c>
      <c r="S66" s="152"/>
      <c r="T66" s="158"/>
      <c r="U66" s="159"/>
      <c r="V66" s="167">
        <f>+'EF-S2'!L67</f>
        <v>0</v>
      </c>
      <c r="W66" s="167">
        <f>+'EF-S2'!L68</f>
        <v>0</v>
      </c>
      <c r="X66" s="167">
        <f>+'EF-S2'!L69</f>
        <v>0</v>
      </c>
      <c r="Y66" s="155" t="e" cm="1">
        <f t="array" ref="Y66">+_xlfn.IFS($U$9="kWh",$T66*V66/1000,$U$9="MWh",$T66*V66)</f>
        <v>#N/A</v>
      </c>
      <c r="Z66" s="155" t="e" cm="1">
        <f t="array" ref="Z66">+_xlfn.IFS($U$9="kWh",$T66*W66/1000,$U$9="MWh",$T66*W66)</f>
        <v>#N/A</v>
      </c>
      <c r="AA66" s="155" t="e" cm="1">
        <f t="array" ref="AA66">+_xlfn.IFS($U$9="kWh",$T66*X66/1000,$U$9="MWh",$T66*X66)</f>
        <v>#N/A</v>
      </c>
      <c r="AB66" s="156">
        <f t="shared" si="1"/>
        <v>0</v>
      </c>
    </row>
    <row r="67" spans="2:28" x14ac:dyDescent="0.7">
      <c r="B67" s="152"/>
      <c r="C67" s="159"/>
      <c r="D67" s="159"/>
      <c r="E67" s="158"/>
      <c r="F67" s="159"/>
      <c r="G67" s="155" t="e" cm="1">
        <f t="array" ref="G67">+_xlfn.IFS($C67="Renewable",0,$C67="National grid",VLOOKUP($D67,'EF-S2'!$B$11:$C$169,2,))</f>
        <v>#N/A</v>
      </c>
      <c r="H67" s="155" t="e" cm="1">
        <f t="array" ref="H67">+_xlfn.IFS($C67="Renewable",0,$C67="National grid",VLOOKUP($D67,'EF-S2'!$E$11:$F$169,2,))</f>
        <v>#N/A</v>
      </c>
      <c r="I67" s="155" t="e" cm="1">
        <f t="array" ref="I67">+_xlfn.IFS($C67="Renewable",0,$C67="National grid",VLOOKUP($D67,'EF-S2'!$H$11:$I$169,2,))</f>
        <v>#N/A</v>
      </c>
      <c r="J67" s="155" t="e" cm="1">
        <f t="array" ref="J67">+_xlfn.IFS($F$9="kWh",$E67*G67/1000000,$F$9="MWh",$E67*G67/1000)</f>
        <v>#N/A</v>
      </c>
      <c r="K67" s="155" t="e" cm="1">
        <f t="array" ref="K67">+_xlfn.IFS($F$9="kWh",$E67*H67/1000000,$F$9="MWh",$E67*H67/1000)</f>
        <v>#N/A</v>
      </c>
      <c r="L67" s="155" t="e" cm="1">
        <f t="array" ref="L67">+_xlfn.IFS($F$9="kWh",$E67*I67/1000000,$F$9="MWh",$E67*I67/1000)</f>
        <v>#N/A</v>
      </c>
      <c r="M67" s="156">
        <f t="shared" si="0"/>
        <v>0</v>
      </c>
      <c r="S67" s="152"/>
      <c r="T67" s="158"/>
      <c r="U67" s="159"/>
      <c r="V67" s="167">
        <f>+'EF-S2'!L68</f>
        <v>0</v>
      </c>
      <c r="W67" s="167">
        <f>+'EF-S2'!L69</f>
        <v>0</v>
      </c>
      <c r="X67" s="167">
        <f>+'EF-S2'!L70</f>
        <v>0</v>
      </c>
      <c r="Y67" s="155" t="e" cm="1">
        <f t="array" ref="Y67">+_xlfn.IFS($U$9="kWh",$T67*V67/1000,$U$9="MWh",$T67*V67)</f>
        <v>#N/A</v>
      </c>
      <c r="Z67" s="155" t="e" cm="1">
        <f t="array" ref="Z67">+_xlfn.IFS($U$9="kWh",$T67*W67/1000,$U$9="MWh",$T67*W67)</f>
        <v>#N/A</v>
      </c>
      <c r="AA67" s="155" t="e" cm="1">
        <f t="array" ref="AA67">+_xlfn.IFS($U$9="kWh",$T67*X67/1000,$U$9="MWh",$T67*X67)</f>
        <v>#N/A</v>
      </c>
      <c r="AB67" s="156">
        <f t="shared" si="1"/>
        <v>0</v>
      </c>
    </row>
    <row r="68" spans="2:28" x14ac:dyDescent="0.7">
      <c r="B68" s="152"/>
      <c r="C68" s="159"/>
      <c r="D68" s="159"/>
      <c r="E68" s="158"/>
      <c r="F68" s="159"/>
      <c r="G68" s="155" t="e" cm="1">
        <f t="array" ref="G68">+_xlfn.IFS($C68="Renewable",0,$C68="National grid",VLOOKUP($D68,'EF-S2'!$B$11:$C$169,2,))</f>
        <v>#N/A</v>
      </c>
      <c r="H68" s="155" t="e" cm="1">
        <f t="array" ref="H68">+_xlfn.IFS($C68="Renewable",0,$C68="National grid",VLOOKUP($D68,'EF-S2'!$E$11:$F$169,2,))</f>
        <v>#N/A</v>
      </c>
      <c r="I68" s="155" t="e" cm="1">
        <f t="array" ref="I68">+_xlfn.IFS($C68="Renewable",0,$C68="National grid",VLOOKUP($D68,'EF-S2'!$H$11:$I$169,2,))</f>
        <v>#N/A</v>
      </c>
      <c r="J68" s="155" t="e" cm="1">
        <f t="array" ref="J68">+_xlfn.IFS($F$9="kWh",$E68*G68/1000000,$F$9="MWh",$E68*G68/1000)</f>
        <v>#N/A</v>
      </c>
      <c r="K68" s="155" t="e" cm="1">
        <f t="array" ref="K68">+_xlfn.IFS($F$9="kWh",$E68*H68/1000000,$F$9="MWh",$E68*H68/1000)</f>
        <v>#N/A</v>
      </c>
      <c r="L68" s="155" t="e" cm="1">
        <f t="array" ref="L68">+_xlfn.IFS($F$9="kWh",$E68*I68/1000000,$F$9="MWh",$E68*I68/1000)</f>
        <v>#N/A</v>
      </c>
      <c r="M68" s="156">
        <f t="shared" si="0"/>
        <v>0</v>
      </c>
      <c r="S68" s="152"/>
      <c r="T68" s="158"/>
      <c r="U68" s="159"/>
      <c r="V68" s="167">
        <f>+'EF-S2'!L69</f>
        <v>0</v>
      </c>
      <c r="W68" s="167">
        <f>+'EF-S2'!L70</f>
        <v>0</v>
      </c>
      <c r="X68" s="167">
        <f>+'EF-S2'!L71</f>
        <v>0</v>
      </c>
      <c r="Y68" s="155" t="e" cm="1">
        <f t="array" ref="Y68">+_xlfn.IFS($U$9="kWh",$T68*V68/1000,$U$9="MWh",$T68*V68)</f>
        <v>#N/A</v>
      </c>
      <c r="Z68" s="155" t="e" cm="1">
        <f t="array" ref="Z68">+_xlfn.IFS($U$9="kWh",$T68*W68/1000,$U$9="MWh",$T68*W68)</f>
        <v>#N/A</v>
      </c>
      <c r="AA68" s="155" t="e" cm="1">
        <f t="array" ref="AA68">+_xlfn.IFS($U$9="kWh",$T68*X68/1000,$U$9="MWh",$T68*X68)</f>
        <v>#N/A</v>
      </c>
      <c r="AB68" s="156">
        <f t="shared" si="1"/>
        <v>0</v>
      </c>
    </row>
    <row r="69" spans="2:28" x14ac:dyDescent="0.7">
      <c r="B69" s="152"/>
      <c r="C69" s="159"/>
      <c r="D69" s="159"/>
      <c r="E69" s="158"/>
      <c r="F69" s="159"/>
      <c r="G69" s="155" t="e" cm="1">
        <f t="array" ref="G69">+_xlfn.IFS($C69="Renewable",0,$C69="National grid",VLOOKUP($D69,'EF-S2'!$B$11:$C$169,2,))</f>
        <v>#N/A</v>
      </c>
      <c r="H69" s="155" t="e" cm="1">
        <f t="array" ref="H69">+_xlfn.IFS($C69="Renewable",0,$C69="National grid",VLOOKUP($D69,'EF-S2'!$E$11:$F$169,2,))</f>
        <v>#N/A</v>
      </c>
      <c r="I69" s="155" t="e" cm="1">
        <f t="array" ref="I69">+_xlfn.IFS($C69="Renewable",0,$C69="National grid",VLOOKUP($D69,'EF-S2'!$H$11:$I$169,2,))</f>
        <v>#N/A</v>
      </c>
      <c r="J69" s="155" t="e" cm="1">
        <f t="array" ref="J69">+_xlfn.IFS($F$9="kWh",$E69*G69/1000000,$F$9="MWh",$E69*G69/1000)</f>
        <v>#N/A</v>
      </c>
      <c r="K69" s="155" t="e" cm="1">
        <f t="array" ref="K69">+_xlfn.IFS($F$9="kWh",$E69*H69/1000000,$F$9="MWh",$E69*H69/1000)</f>
        <v>#N/A</v>
      </c>
      <c r="L69" s="155" t="e" cm="1">
        <f t="array" ref="L69">+_xlfn.IFS($F$9="kWh",$E69*I69/1000000,$F$9="MWh",$E69*I69/1000)</f>
        <v>#N/A</v>
      </c>
      <c r="M69" s="156">
        <f t="shared" si="0"/>
        <v>0</v>
      </c>
      <c r="S69" s="152"/>
      <c r="T69" s="158"/>
      <c r="U69" s="159"/>
      <c r="V69" s="167">
        <f>+'EF-S2'!L70</f>
        <v>0</v>
      </c>
      <c r="W69" s="167">
        <f>+'EF-S2'!L71</f>
        <v>0</v>
      </c>
      <c r="X69" s="167">
        <f>+'EF-S2'!L72</f>
        <v>0</v>
      </c>
      <c r="Y69" s="155" t="e" cm="1">
        <f t="array" ref="Y69">+_xlfn.IFS($U$9="kWh",$T69*V69/1000,$U$9="MWh",$T69*V69)</f>
        <v>#N/A</v>
      </c>
      <c r="Z69" s="155" t="e" cm="1">
        <f t="array" ref="Z69">+_xlfn.IFS($U$9="kWh",$T69*W69/1000,$U$9="MWh",$T69*W69)</f>
        <v>#N/A</v>
      </c>
      <c r="AA69" s="155" t="e" cm="1">
        <f t="array" ref="AA69">+_xlfn.IFS($U$9="kWh",$T69*X69/1000,$U$9="MWh",$T69*X69)</f>
        <v>#N/A</v>
      </c>
      <c r="AB69" s="156">
        <f t="shared" si="1"/>
        <v>0</v>
      </c>
    </row>
    <row r="70" spans="2:28" x14ac:dyDescent="0.7">
      <c r="B70" s="152"/>
      <c r="C70" s="159"/>
      <c r="D70" s="159"/>
      <c r="E70" s="158"/>
      <c r="F70" s="159"/>
      <c r="G70" s="155" t="e" cm="1">
        <f t="array" ref="G70">+_xlfn.IFS($C70="Renewable",0,$C70="National grid",VLOOKUP($D70,'EF-S2'!$B$11:$C$169,2,))</f>
        <v>#N/A</v>
      </c>
      <c r="H70" s="155" t="e" cm="1">
        <f t="array" ref="H70">+_xlfn.IFS($C70="Renewable",0,$C70="National grid",VLOOKUP($D70,'EF-S2'!$E$11:$F$169,2,))</f>
        <v>#N/A</v>
      </c>
      <c r="I70" s="155" t="e" cm="1">
        <f t="array" ref="I70">+_xlfn.IFS($C70="Renewable",0,$C70="National grid",VLOOKUP($D70,'EF-S2'!$H$11:$I$169,2,))</f>
        <v>#N/A</v>
      </c>
      <c r="J70" s="155" t="e" cm="1">
        <f t="array" ref="J70">+_xlfn.IFS($F$9="kWh",$E70*G70/1000000,$F$9="MWh",$E70*G70/1000)</f>
        <v>#N/A</v>
      </c>
      <c r="K70" s="155" t="e" cm="1">
        <f t="array" ref="K70">+_xlfn.IFS($F$9="kWh",$E70*H70/1000000,$F$9="MWh",$E70*H70/1000)</f>
        <v>#N/A</v>
      </c>
      <c r="L70" s="155" t="e" cm="1">
        <f t="array" ref="L70">+_xlfn.IFS($F$9="kWh",$E70*I70/1000000,$F$9="MWh",$E70*I70/1000)</f>
        <v>#N/A</v>
      </c>
      <c r="M70" s="156">
        <f t="shared" si="0"/>
        <v>0</v>
      </c>
      <c r="S70" s="152"/>
      <c r="T70" s="158"/>
      <c r="U70" s="159"/>
      <c r="V70" s="167">
        <f>+'EF-S2'!L71</f>
        <v>0</v>
      </c>
      <c r="W70" s="167">
        <f>+'EF-S2'!L72</f>
        <v>0</v>
      </c>
      <c r="X70" s="167">
        <f>+'EF-S2'!L73</f>
        <v>0</v>
      </c>
      <c r="Y70" s="155" t="e" cm="1">
        <f t="array" ref="Y70">+_xlfn.IFS($U$9="kWh",$T70*V70/1000,$U$9="MWh",$T70*V70)</f>
        <v>#N/A</v>
      </c>
      <c r="Z70" s="155" t="e" cm="1">
        <f t="array" ref="Z70">+_xlfn.IFS($U$9="kWh",$T70*W70/1000,$U$9="MWh",$T70*W70)</f>
        <v>#N/A</v>
      </c>
      <c r="AA70" s="155" t="e" cm="1">
        <f t="array" ref="AA70">+_xlfn.IFS($U$9="kWh",$T70*X70/1000,$U$9="MWh",$T70*X70)</f>
        <v>#N/A</v>
      </c>
      <c r="AB70" s="156">
        <f t="shared" si="1"/>
        <v>0</v>
      </c>
    </row>
    <row r="71" spans="2:28" x14ac:dyDescent="0.7">
      <c r="B71" s="152"/>
      <c r="C71" s="159"/>
      <c r="D71" s="159"/>
      <c r="E71" s="158"/>
      <c r="F71" s="159"/>
      <c r="G71" s="155" t="e" cm="1">
        <f t="array" ref="G71">+_xlfn.IFS($C71="Renewable",0,$C71="National grid",VLOOKUP($D71,'EF-S2'!$B$11:$C$169,2,))</f>
        <v>#N/A</v>
      </c>
      <c r="H71" s="155" t="e" cm="1">
        <f t="array" ref="H71">+_xlfn.IFS($C71="Renewable",0,$C71="National grid",VLOOKUP($D71,'EF-S2'!$E$11:$F$169,2,))</f>
        <v>#N/A</v>
      </c>
      <c r="I71" s="155" t="e" cm="1">
        <f t="array" ref="I71">+_xlfn.IFS($C71="Renewable",0,$C71="National grid",VLOOKUP($D71,'EF-S2'!$H$11:$I$169,2,))</f>
        <v>#N/A</v>
      </c>
      <c r="J71" s="155" t="e" cm="1">
        <f t="array" ref="J71">+_xlfn.IFS($F$9="kWh",$E71*G71/1000000,$F$9="MWh",$E71*G71/1000)</f>
        <v>#N/A</v>
      </c>
      <c r="K71" s="155" t="e" cm="1">
        <f t="array" ref="K71">+_xlfn.IFS($F$9="kWh",$E71*H71/1000000,$F$9="MWh",$E71*H71/1000)</f>
        <v>#N/A</v>
      </c>
      <c r="L71" s="155" t="e" cm="1">
        <f t="array" ref="L71">+_xlfn.IFS($F$9="kWh",$E71*I71/1000000,$F$9="MWh",$E71*I71/1000)</f>
        <v>#N/A</v>
      </c>
      <c r="M71" s="156">
        <f t="shared" si="0"/>
        <v>0</v>
      </c>
      <c r="S71" s="152"/>
      <c r="T71" s="158"/>
      <c r="U71" s="159"/>
      <c r="V71" s="167">
        <f>+'EF-S2'!L72</f>
        <v>0</v>
      </c>
      <c r="W71" s="167">
        <f>+'EF-S2'!L73</f>
        <v>0</v>
      </c>
      <c r="X71" s="167">
        <f>+'EF-S2'!L74</f>
        <v>0</v>
      </c>
      <c r="Y71" s="155" t="e" cm="1">
        <f t="array" ref="Y71">+_xlfn.IFS($U$9="kWh",$T71*V71/1000,$U$9="MWh",$T71*V71)</f>
        <v>#N/A</v>
      </c>
      <c r="Z71" s="155" t="e" cm="1">
        <f t="array" ref="Z71">+_xlfn.IFS($U$9="kWh",$T71*W71/1000,$U$9="MWh",$T71*W71)</f>
        <v>#N/A</v>
      </c>
      <c r="AA71" s="155" t="e" cm="1">
        <f t="array" ref="AA71">+_xlfn.IFS($U$9="kWh",$T71*X71/1000,$U$9="MWh",$T71*X71)</f>
        <v>#N/A</v>
      </c>
      <c r="AB71" s="156">
        <f t="shared" si="1"/>
        <v>0</v>
      </c>
    </row>
    <row r="72" spans="2:28" x14ac:dyDescent="0.7">
      <c r="B72" s="152"/>
      <c r="C72" s="159"/>
      <c r="D72" s="159"/>
      <c r="E72" s="158"/>
      <c r="F72" s="159"/>
      <c r="G72" s="155" t="e" cm="1">
        <f t="array" ref="G72">+_xlfn.IFS($C72="Renewable",0,$C72="National grid",VLOOKUP($D72,'EF-S2'!$B$11:$C$169,2,))</f>
        <v>#N/A</v>
      </c>
      <c r="H72" s="155" t="e" cm="1">
        <f t="array" ref="H72">+_xlfn.IFS($C72="Renewable",0,$C72="National grid",VLOOKUP($D72,'EF-S2'!$E$11:$F$169,2,))</f>
        <v>#N/A</v>
      </c>
      <c r="I72" s="155" t="e" cm="1">
        <f t="array" ref="I72">+_xlfn.IFS($C72="Renewable",0,$C72="National grid",VLOOKUP($D72,'EF-S2'!$H$11:$I$169,2,))</f>
        <v>#N/A</v>
      </c>
      <c r="J72" s="155" t="e" cm="1">
        <f t="array" ref="J72">+_xlfn.IFS($F$9="kWh",$E72*G72/1000000,$F$9="MWh",$E72*G72/1000)</f>
        <v>#N/A</v>
      </c>
      <c r="K72" s="155" t="e" cm="1">
        <f t="array" ref="K72">+_xlfn.IFS($F$9="kWh",$E72*H72/1000000,$F$9="MWh",$E72*H72/1000)</f>
        <v>#N/A</v>
      </c>
      <c r="L72" s="155" t="e" cm="1">
        <f t="array" ref="L72">+_xlfn.IFS($F$9="kWh",$E72*I72/1000000,$F$9="MWh",$E72*I72/1000)</f>
        <v>#N/A</v>
      </c>
      <c r="M72" s="156">
        <f t="shared" si="0"/>
        <v>0</v>
      </c>
      <c r="S72" s="152"/>
      <c r="T72" s="158"/>
      <c r="U72" s="159"/>
      <c r="V72" s="167">
        <f>+'EF-S2'!L73</f>
        <v>0</v>
      </c>
      <c r="W72" s="167">
        <f>+'EF-S2'!L74</f>
        <v>0</v>
      </c>
      <c r="X72" s="167">
        <f>+'EF-S2'!L75</f>
        <v>0</v>
      </c>
      <c r="Y72" s="155" t="e" cm="1">
        <f t="array" ref="Y72">+_xlfn.IFS($U$9="kWh",$T72*V72/1000,$U$9="MWh",$T72*V72)</f>
        <v>#N/A</v>
      </c>
      <c r="Z72" s="155" t="e" cm="1">
        <f t="array" ref="Z72">+_xlfn.IFS($U$9="kWh",$T72*W72/1000,$U$9="MWh",$T72*W72)</f>
        <v>#N/A</v>
      </c>
      <c r="AA72" s="155" t="e" cm="1">
        <f t="array" ref="AA72">+_xlfn.IFS($U$9="kWh",$T72*X72/1000,$U$9="MWh",$T72*X72)</f>
        <v>#N/A</v>
      </c>
      <c r="AB72" s="156">
        <f t="shared" si="1"/>
        <v>0</v>
      </c>
    </row>
    <row r="73" spans="2:28" x14ac:dyDescent="0.7">
      <c r="B73" s="152"/>
      <c r="C73" s="159"/>
      <c r="D73" s="159"/>
      <c r="E73" s="158"/>
      <c r="F73" s="159"/>
      <c r="G73" s="155" t="e" cm="1">
        <f t="array" ref="G73">+_xlfn.IFS($C73="Renewable",0,$C73="National grid",VLOOKUP($D73,'EF-S2'!$B$11:$C$169,2,))</f>
        <v>#N/A</v>
      </c>
      <c r="H73" s="155" t="e" cm="1">
        <f t="array" ref="H73">+_xlfn.IFS($C73="Renewable",0,$C73="National grid",VLOOKUP($D73,'EF-S2'!$E$11:$F$169,2,))</f>
        <v>#N/A</v>
      </c>
      <c r="I73" s="155" t="e" cm="1">
        <f t="array" ref="I73">+_xlfn.IFS($C73="Renewable",0,$C73="National grid",VLOOKUP($D73,'EF-S2'!$H$11:$I$169,2,))</f>
        <v>#N/A</v>
      </c>
      <c r="J73" s="155" t="e" cm="1">
        <f t="array" ref="J73">+_xlfn.IFS($F$9="kWh",$E73*G73/1000000,$F$9="MWh",$E73*G73/1000)</f>
        <v>#N/A</v>
      </c>
      <c r="K73" s="155" t="e" cm="1">
        <f t="array" ref="K73">+_xlfn.IFS($F$9="kWh",$E73*H73/1000000,$F$9="MWh",$E73*H73/1000)</f>
        <v>#N/A</v>
      </c>
      <c r="L73" s="155" t="e" cm="1">
        <f t="array" ref="L73">+_xlfn.IFS($F$9="kWh",$E73*I73/1000000,$F$9="MWh",$E73*I73/1000)</f>
        <v>#N/A</v>
      </c>
      <c r="M73" s="156">
        <f t="shared" si="0"/>
        <v>0</v>
      </c>
      <c r="S73" s="152"/>
      <c r="T73" s="158"/>
      <c r="U73" s="159"/>
      <c r="V73" s="167">
        <f>+'EF-S2'!L74</f>
        <v>0</v>
      </c>
      <c r="W73" s="167">
        <f>+'EF-S2'!L75</f>
        <v>0</v>
      </c>
      <c r="X73" s="167">
        <f>+'EF-S2'!L76</f>
        <v>0</v>
      </c>
      <c r="Y73" s="155" t="e" cm="1">
        <f t="array" ref="Y73">+_xlfn.IFS($U$9="kWh",$T73*V73/1000,$U$9="MWh",$T73*V73)</f>
        <v>#N/A</v>
      </c>
      <c r="Z73" s="155" t="e" cm="1">
        <f t="array" ref="Z73">+_xlfn.IFS($U$9="kWh",$T73*W73/1000,$U$9="MWh",$T73*W73)</f>
        <v>#N/A</v>
      </c>
      <c r="AA73" s="155" t="e" cm="1">
        <f t="array" ref="AA73">+_xlfn.IFS($U$9="kWh",$T73*X73/1000,$U$9="MWh",$T73*X73)</f>
        <v>#N/A</v>
      </c>
      <c r="AB73" s="156">
        <f t="shared" si="1"/>
        <v>0</v>
      </c>
    </row>
    <row r="74" spans="2:28" x14ac:dyDescent="0.7">
      <c r="B74" s="152"/>
      <c r="C74" s="159"/>
      <c r="D74" s="159"/>
      <c r="E74" s="158"/>
      <c r="F74" s="159"/>
      <c r="G74" s="155" t="e" cm="1">
        <f t="array" ref="G74">+_xlfn.IFS($C74="Renewable",0,$C74="National grid",VLOOKUP($D74,'EF-S2'!$B$11:$C$169,2,))</f>
        <v>#N/A</v>
      </c>
      <c r="H74" s="155" t="e" cm="1">
        <f t="array" ref="H74">+_xlfn.IFS($C74="Renewable",0,$C74="National grid",VLOOKUP($D74,'EF-S2'!$E$11:$F$169,2,))</f>
        <v>#N/A</v>
      </c>
      <c r="I74" s="155" t="e" cm="1">
        <f t="array" ref="I74">+_xlfn.IFS($C74="Renewable",0,$C74="National grid",VLOOKUP($D74,'EF-S2'!$H$11:$I$169,2,))</f>
        <v>#N/A</v>
      </c>
      <c r="J74" s="155" t="e" cm="1">
        <f t="array" ref="J74">+_xlfn.IFS($F$9="kWh",$E74*G74/1000000,$F$9="MWh",$E74*G74/1000)</f>
        <v>#N/A</v>
      </c>
      <c r="K74" s="155" t="e" cm="1">
        <f t="array" ref="K74">+_xlfn.IFS($F$9="kWh",$E74*H74/1000000,$F$9="MWh",$E74*H74/1000)</f>
        <v>#N/A</v>
      </c>
      <c r="L74" s="155" t="e" cm="1">
        <f t="array" ref="L74">+_xlfn.IFS($F$9="kWh",$E74*I74/1000000,$F$9="MWh",$E74*I74/1000)</f>
        <v>#N/A</v>
      </c>
      <c r="M74" s="156">
        <f t="shared" ref="M74:M103" si="2">+IFERROR(SUM(J74:L74),0)</f>
        <v>0</v>
      </c>
      <c r="S74" s="152"/>
      <c r="T74" s="158"/>
      <c r="U74" s="159"/>
      <c r="V74" s="167">
        <f>+'EF-S2'!L75</f>
        <v>0</v>
      </c>
      <c r="W74" s="167">
        <f>+'EF-S2'!L76</f>
        <v>0</v>
      </c>
      <c r="X74" s="167">
        <f>+'EF-S2'!L77</f>
        <v>0</v>
      </c>
      <c r="Y74" s="155" t="e" cm="1">
        <f t="array" ref="Y74">+_xlfn.IFS($U$9="kWh",$T74*V74/1000,$U$9="MWh",$T74*V74)</f>
        <v>#N/A</v>
      </c>
      <c r="Z74" s="155" t="e" cm="1">
        <f t="array" ref="Z74">+_xlfn.IFS($U$9="kWh",$T74*W74/1000,$U$9="MWh",$T74*W74)</f>
        <v>#N/A</v>
      </c>
      <c r="AA74" s="155" t="e" cm="1">
        <f t="array" ref="AA74">+_xlfn.IFS($U$9="kWh",$T74*X74/1000,$U$9="MWh",$T74*X74)</f>
        <v>#N/A</v>
      </c>
      <c r="AB74" s="156">
        <f t="shared" ref="AB74:AB103" si="3">+IFERROR(SUM(Y74:AA74),0)</f>
        <v>0</v>
      </c>
    </row>
    <row r="75" spans="2:28" x14ac:dyDescent="0.7">
      <c r="B75" s="152"/>
      <c r="C75" s="159"/>
      <c r="D75" s="159"/>
      <c r="E75" s="158"/>
      <c r="F75" s="159"/>
      <c r="G75" s="155" t="e" cm="1">
        <f t="array" ref="G75">+_xlfn.IFS($C75="Renewable",0,$C75="National grid",VLOOKUP($D75,'EF-S2'!$B$11:$C$169,2,))</f>
        <v>#N/A</v>
      </c>
      <c r="H75" s="155" t="e" cm="1">
        <f t="array" ref="H75">+_xlfn.IFS($C75="Renewable",0,$C75="National grid",VLOOKUP($D75,'EF-S2'!$E$11:$F$169,2,))</f>
        <v>#N/A</v>
      </c>
      <c r="I75" s="155" t="e" cm="1">
        <f t="array" ref="I75">+_xlfn.IFS($C75="Renewable",0,$C75="National grid",VLOOKUP($D75,'EF-S2'!$H$11:$I$169,2,))</f>
        <v>#N/A</v>
      </c>
      <c r="J75" s="155" t="e" cm="1">
        <f t="array" ref="J75">+_xlfn.IFS($F$9="kWh",$E75*G75/1000000,$F$9="MWh",$E75*G75/1000)</f>
        <v>#N/A</v>
      </c>
      <c r="K75" s="155" t="e" cm="1">
        <f t="array" ref="K75">+_xlfn.IFS($F$9="kWh",$E75*H75/1000000,$F$9="MWh",$E75*H75/1000)</f>
        <v>#N/A</v>
      </c>
      <c r="L75" s="155" t="e" cm="1">
        <f t="array" ref="L75">+_xlfn.IFS($F$9="kWh",$E75*I75/1000000,$F$9="MWh",$E75*I75/1000)</f>
        <v>#N/A</v>
      </c>
      <c r="M75" s="156">
        <f t="shared" si="2"/>
        <v>0</v>
      </c>
      <c r="S75" s="152"/>
      <c r="T75" s="158"/>
      <c r="U75" s="159"/>
      <c r="V75" s="167">
        <f>+'EF-S2'!L76</f>
        <v>0</v>
      </c>
      <c r="W75" s="167">
        <f>+'EF-S2'!L77</f>
        <v>0</v>
      </c>
      <c r="X75" s="167">
        <f>+'EF-S2'!L78</f>
        <v>0</v>
      </c>
      <c r="Y75" s="155" t="e" cm="1">
        <f t="array" ref="Y75">+_xlfn.IFS($U$9="kWh",$T75*V75/1000,$U$9="MWh",$T75*V75)</f>
        <v>#N/A</v>
      </c>
      <c r="Z75" s="155" t="e" cm="1">
        <f t="array" ref="Z75">+_xlfn.IFS($U$9="kWh",$T75*W75/1000,$U$9="MWh",$T75*W75)</f>
        <v>#N/A</v>
      </c>
      <c r="AA75" s="155" t="e" cm="1">
        <f t="array" ref="AA75">+_xlfn.IFS($U$9="kWh",$T75*X75/1000,$U$9="MWh",$T75*X75)</f>
        <v>#N/A</v>
      </c>
      <c r="AB75" s="156">
        <f t="shared" si="3"/>
        <v>0</v>
      </c>
    </row>
    <row r="76" spans="2:28" x14ac:dyDescent="0.7">
      <c r="B76" s="152"/>
      <c r="C76" s="159"/>
      <c r="D76" s="159"/>
      <c r="E76" s="158"/>
      <c r="F76" s="159"/>
      <c r="G76" s="155" t="e" cm="1">
        <f t="array" ref="G76">+_xlfn.IFS($C76="Renewable",0,$C76="National grid",VLOOKUP($D76,'EF-S2'!$B$11:$C$169,2,))</f>
        <v>#N/A</v>
      </c>
      <c r="H76" s="155" t="e" cm="1">
        <f t="array" ref="H76">+_xlfn.IFS($C76="Renewable",0,$C76="National grid",VLOOKUP($D76,'EF-S2'!$E$11:$F$169,2,))</f>
        <v>#N/A</v>
      </c>
      <c r="I76" s="155" t="e" cm="1">
        <f t="array" ref="I76">+_xlfn.IFS($C76="Renewable",0,$C76="National grid",VLOOKUP($D76,'EF-S2'!$H$11:$I$169,2,))</f>
        <v>#N/A</v>
      </c>
      <c r="J76" s="155" t="e" cm="1">
        <f t="array" ref="J76">+_xlfn.IFS($F$9="kWh",$E76*G76/1000000,$F$9="MWh",$E76*G76/1000)</f>
        <v>#N/A</v>
      </c>
      <c r="K76" s="155" t="e" cm="1">
        <f t="array" ref="K76">+_xlfn.IFS($F$9="kWh",$E76*H76/1000000,$F$9="MWh",$E76*H76/1000)</f>
        <v>#N/A</v>
      </c>
      <c r="L76" s="155" t="e" cm="1">
        <f t="array" ref="L76">+_xlfn.IFS($F$9="kWh",$E76*I76/1000000,$F$9="MWh",$E76*I76/1000)</f>
        <v>#N/A</v>
      </c>
      <c r="M76" s="156">
        <f t="shared" si="2"/>
        <v>0</v>
      </c>
      <c r="S76" s="152"/>
      <c r="T76" s="158"/>
      <c r="U76" s="159"/>
      <c r="V76" s="167">
        <f>+'EF-S2'!L77</f>
        <v>0</v>
      </c>
      <c r="W76" s="167">
        <f>+'EF-S2'!L78</f>
        <v>0</v>
      </c>
      <c r="X76" s="167">
        <f>+'EF-S2'!L79</f>
        <v>0</v>
      </c>
      <c r="Y76" s="155" t="e" cm="1">
        <f t="array" ref="Y76">+_xlfn.IFS($U$9="kWh",$T76*V76/1000,$U$9="MWh",$T76*V76)</f>
        <v>#N/A</v>
      </c>
      <c r="Z76" s="155" t="e" cm="1">
        <f t="array" ref="Z76">+_xlfn.IFS($U$9="kWh",$T76*W76/1000,$U$9="MWh",$T76*W76)</f>
        <v>#N/A</v>
      </c>
      <c r="AA76" s="155" t="e" cm="1">
        <f t="array" ref="AA76">+_xlfn.IFS($U$9="kWh",$T76*X76/1000,$U$9="MWh",$T76*X76)</f>
        <v>#N/A</v>
      </c>
      <c r="AB76" s="156">
        <f t="shared" si="3"/>
        <v>0</v>
      </c>
    </row>
    <row r="77" spans="2:28" x14ac:dyDescent="0.7">
      <c r="B77" s="152"/>
      <c r="C77" s="159"/>
      <c r="D77" s="159"/>
      <c r="E77" s="158"/>
      <c r="F77" s="159"/>
      <c r="G77" s="155" t="e" cm="1">
        <f t="array" ref="G77">+_xlfn.IFS($C77="Renewable",0,$C77="National grid",VLOOKUP($D77,'EF-S2'!$B$11:$C$169,2,))</f>
        <v>#N/A</v>
      </c>
      <c r="H77" s="155" t="e" cm="1">
        <f t="array" ref="H77">+_xlfn.IFS($C77="Renewable",0,$C77="National grid",VLOOKUP($D77,'EF-S2'!$E$11:$F$169,2,))</f>
        <v>#N/A</v>
      </c>
      <c r="I77" s="155" t="e" cm="1">
        <f t="array" ref="I77">+_xlfn.IFS($C77="Renewable",0,$C77="National grid",VLOOKUP($D77,'EF-S2'!$H$11:$I$169,2,))</f>
        <v>#N/A</v>
      </c>
      <c r="J77" s="155" t="e" cm="1">
        <f t="array" ref="J77">+_xlfn.IFS($F$9="kWh",$E77*G77/1000000,$F$9="MWh",$E77*G77/1000)</f>
        <v>#N/A</v>
      </c>
      <c r="K77" s="155" t="e" cm="1">
        <f t="array" ref="K77">+_xlfn.IFS($F$9="kWh",$E77*H77/1000000,$F$9="MWh",$E77*H77/1000)</f>
        <v>#N/A</v>
      </c>
      <c r="L77" s="155" t="e" cm="1">
        <f t="array" ref="L77">+_xlfn.IFS($F$9="kWh",$E77*I77/1000000,$F$9="MWh",$E77*I77/1000)</f>
        <v>#N/A</v>
      </c>
      <c r="M77" s="156">
        <f t="shared" si="2"/>
        <v>0</v>
      </c>
      <c r="S77" s="152"/>
      <c r="T77" s="158"/>
      <c r="U77" s="159"/>
      <c r="V77" s="167">
        <f>+'EF-S2'!L78</f>
        <v>0</v>
      </c>
      <c r="W77" s="167">
        <f>+'EF-S2'!L79</f>
        <v>0</v>
      </c>
      <c r="X77" s="167">
        <f>+'EF-S2'!L80</f>
        <v>0</v>
      </c>
      <c r="Y77" s="155" t="e" cm="1">
        <f t="array" ref="Y77">+_xlfn.IFS($U$9="kWh",$T77*V77/1000,$U$9="MWh",$T77*V77)</f>
        <v>#N/A</v>
      </c>
      <c r="Z77" s="155" t="e" cm="1">
        <f t="array" ref="Z77">+_xlfn.IFS($U$9="kWh",$T77*W77/1000,$U$9="MWh",$T77*W77)</f>
        <v>#N/A</v>
      </c>
      <c r="AA77" s="155" t="e" cm="1">
        <f t="array" ref="AA77">+_xlfn.IFS($U$9="kWh",$T77*X77/1000,$U$9="MWh",$T77*X77)</f>
        <v>#N/A</v>
      </c>
      <c r="AB77" s="156">
        <f t="shared" si="3"/>
        <v>0</v>
      </c>
    </row>
    <row r="78" spans="2:28" x14ac:dyDescent="0.7">
      <c r="B78" s="152"/>
      <c r="C78" s="159"/>
      <c r="D78" s="159"/>
      <c r="E78" s="158"/>
      <c r="F78" s="159"/>
      <c r="G78" s="155" t="e" cm="1">
        <f t="array" ref="G78">+_xlfn.IFS($C78="Renewable",0,$C78="National grid",VLOOKUP($D78,'EF-S2'!$B$11:$C$169,2,))</f>
        <v>#N/A</v>
      </c>
      <c r="H78" s="155" t="e" cm="1">
        <f t="array" ref="H78">+_xlfn.IFS($C78="Renewable",0,$C78="National grid",VLOOKUP($D78,'EF-S2'!$E$11:$F$169,2,))</f>
        <v>#N/A</v>
      </c>
      <c r="I78" s="155" t="e" cm="1">
        <f t="array" ref="I78">+_xlfn.IFS($C78="Renewable",0,$C78="National grid",VLOOKUP($D78,'EF-S2'!$H$11:$I$169,2,))</f>
        <v>#N/A</v>
      </c>
      <c r="J78" s="155" t="e" cm="1">
        <f t="array" ref="J78">+_xlfn.IFS($F$9="kWh",$E78*G78/1000000,$F$9="MWh",$E78*G78/1000)</f>
        <v>#N/A</v>
      </c>
      <c r="K78" s="155" t="e" cm="1">
        <f t="array" ref="K78">+_xlfn.IFS($F$9="kWh",$E78*H78/1000000,$F$9="MWh",$E78*H78/1000)</f>
        <v>#N/A</v>
      </c>
      <c r="L78" s="155" t="e" cm="1">
        <f t="array" ref="L78">+_xlfn.IFS($F$9="kWh",$E78*I78/1000000,$F$9="MWh",$E78*I78/1000)</f>
        <v>#N/A</v>
      </c>
      <c r="M78" s="156">
        <f t="shared" si="2"/>
        <v>0</v>
      </c>
      <c r="S78" s="152"/>
      <c r="T78" s="158"/>
      <c r="U78" s="159"/>
      <c r="V78" s="167">
        <f>+'EF-S2'!L79</f>
        <v>0</v>
      </c>
      <c r="W78" s="167">
        <f>+'EF-S2'!L80</f>
        <v>0</v>
      </c>
      <c r="X78" s="167">
        <f>+'EF-S2'!L81</f>
        <v>0</v>
      </c>
      <c r="Y78" s="155" t="e" cm="1">
        <f t="array" ref="Y78">+_xlfn.IFS($U$9="kWh",$T78*V78/1000,$U$9="MWh",$T78*V78)</f>
        <v>#N/A</v>
      </c>
      <c r="Z78" s="155" t="e" cm="1">
        <f t="array" ref="Z78">+_xlfn.IFS($U$9="kWh",$T78*W78/1000,$U$9="MWh",$T78*W78)</f>
        <v>#N/A</v>
      </c>
      <c r="AA78" s="155" t="e" cm="1">
        <f t="array" ref="AA78">+_xlfn.IFS($U$9="kWh",$T78*X78/1000,$U$9="MWh",$T78*X78)</f>
        <v>#N/A</v>
      </c>
      <c r="AB78" s="156">
        <f t="shared" si="3"/>
        <v>0</v>
      </c>
    </row>
    <row r="79" spans="2:28" x14ac:dyDescent="0.7">
      <c r="B79" s="152"/>
      <c r="C79" s="159"/>
      <c r="D79" s="159"/>
      <c r="E79" s="158"/>
      <c r="F79" s="159"/>
      <c r="G79" s="155" t="e" cm="1">
        <f t="array" ref="G79">+_xlfn.IFS($C79="Renewable",0,$C79="National grid",VLOOKUP($D79,'EF-S2'!$B$11:$C$169,2,))</f>
        <v>#N/A</v>
      </c>
      <c r="H79" s="155" t="e" cm="1">
        <f t="array" ref="H79">+_xlfn.IFS($C79="Renewable",0,$C79="National grid",VLOOKUP($D79,'EF-S2'!$E$11:$F$169,2,))</f>
        <v>#N/A</v>
      </c>
      <c r="I79" s="155" t="e" cm="1">
        <f t="array" ref="I79">+_xlfn.IFS($C79="Renewable",0,$C79="National grid",VLOOKUP($D79,'EF-S2'!$H$11:$I$169,2,))</f>
        <v>#N/A</v>
      </c>
      <c r="J79" s="155" t="e" cm="1">
        <f t="array" ref="J79">+_xlfn.IFS($F$9="kWh",$E79*G79/1000000,$F$9="MWh",$E79*G79/1000)</f>
        <v>#N/A</v>
      </c>
      <c r="K79" s="155" t="e" cm="1">
        <f t="array" ref="K79">+_xlfn.IFS($F$9="kWh",$E79*H79/1000000,$F$9="MWh",$E79*H79/1000)</f>
        <v>#N/A</v>
      </c>
      <c r="L79" s="155" t="e" cm="1">
        <f t="array" ref="L79">+_xlfn.IFS($F$9="kWh",$E79*I79/1000000,$F$9="MWh",$E79*I79/1000)</f>
        <v>#N/A</v>
      </c>
      <c r="M79" s="156">
        <f t="shared" si="2"/>
        <v>0</v>
      </c>
      <c r="S79" s="152"/>
      <c r="T79" s="158"/>
      <c r="U79" s="159"/>
      <c r="V79" s="167">
        <f>+'EF-S2'!L80</f>
        <v>0</v>
      </c>
      <c r="W79" s="167">
        <f>+'EF-S2'!L81</f>
        <v>0</v>
      </c>
      <c r="X79" s="167">
        <f>+'EF-S2'!L82</f>
        <v>0</v>
      </c>
      <c r="Y79" s="155" t="e" cm="1">
        <f t="array" ref="Y79">+_xlfn.IFS($U$9="kWh",$T79*V79/1000,$U$9="MWh",$T79*V79)</f>
        <v>#N/A</v>
      </c>
      <c r="Z79" s="155" t="e" cm="1">
        <f t="array" ref="Z79">+_xlfn.IFS($U$9="kWh",$T79*W79/1000,$U$9="MWh",$T79*W79)</f>
        <v>#N/A</v>
      </c>
      <c r="AA79" s="155" t="e" cm="1">
        <f t="array" ref="AA79">+_xlfn.IFS($U$9="kWh",$T79*X79/1000,$U$9="MWh",$T79*X79)</f>
        <v>#N/A</v>
      </c>
      <c r="AB79" s="156">
        <f t="shared" si="3"/>
        <v>0</v>
      </c>
    </row>
    <row r="80" spans="2:28" x14ac:dyDescent="0.7">
      <c r="B80" s="152"/>
      <c r="C80" s="159"/>
      <c r="D80" s="159"/>
      <c r="E80" s="158"/>
      <c r="F80" s="159"/>
      <c r="G80" s="155" t="e" cm="1">
        <f t="array" ref="G80">+_xlfn.IFS($C80="Renewable",0,$C80="National grid",VLOOKUP($D80,'EF-S2'!$B$11:$C$169,2,))</f>
        <v>#N/A</v>
      </c>
      <c r="H80" s="155" t="e" cm="1">
        <f t="array" ref="H80">+_xlfn.IFS($C80="Renewable",0,$C80="National grid",VLOOKUP($D80,'EF-S2'!$E$11:$F$169,2,))</f>
        <v>#N/A</v>
      </c>
      <c r="I80" s="155" t="e" cm="1">
        <f t="array" ref="I80">+_xlfn.IFS($C80="Renewable",0,$C80="National grid",VLOOKUP($D80,'EF-S2'!$H$11:$I$169,2,))</f>
        <v>#N/A</v>
      </c>
      <c r="J80" s="155" t="e" cm="1">
        <f t="array" ref="J80">+_xlfn.IFS($F$9="kWh",$E80*G80/1000000,$F$9="MWh",$E80*G80/1000)</f>
        <v>#N/A</v>
      </c>
      <c r="K80" s="155" t="e" cm="1">
        <f t="array" ref="K80">+_xlfn.IFS($F$9="kWh",$E80*H80/1000000,$F$9="MWh",$E80*H80/1000)</f>
        <v>#N/A</v>
      </c>
      <c r="L80" s="155" t="e" cm="1">
        <f t="array" ref="L80">+_xlfn.IFS($F$9="kWh",$E80*I80/1000000,$F$9="MWh",$E80*I80/1000)</f>
        <v>#N/A</v>
      </c>
      <c r="M80" s="156">
        <f t="shared" si="2"/>
        <v>0</v>
      </c>
      <c r="S80" s="152"/>
      <c r="T80" s="158"/>
      <c r="U80" s="159"/>
      <c r="V80" s="167">
        <f>+'EF-S2'!L81</f>
        <v>0</v>
      </c>
      <c r="W80" s="167">
        <f>+'EF-S2'!L82</f>
        <v>0</v>
      </c>
      <c r="X80" s="167">
        <f>+'EF-S2'!L83</f>
        <v>0</v>
      </c>
      <c r="Y80" s="155" t="e" cm="1">
        <f t="array" ref="Y80">+_xlfn.IFS($U$9="kWh",$T80*V80/1000,$U$9="MWh",$T80*V80)</f>
        <v>#N/A</v>
      </c>
      <c r="Z80" s="155" t="e" cm="1">
        <f t="array" ref="Z80">+_xlfn.IFS($U$9="kWh",$T80*W80/1000,$U$9="MWh",$T80*W80)</f>
        <v>#N/A</v>
      </c>
      <c r="AA80" s="155" t="e" cm="1">
        <f t="array" ref="AA80">+_xlfn.IFS($U$9="kWh",$T80*X80/1000,$U$9="MWh",$T80*X80)</f>
        <v>#N/A</v>
      </c>
      <c r="AB80" s="156">
        <f t="shared" si="3"/>
        <v>0</v>
      </c>
    </row>
    <row r="81" spans="2:28" x14ac:dyDescent="0.7">
      <c r="B81" s="152"/>
      <c r="C81" s="159"/>
      <c r="D81" s="159"/>
      <c r="E81" s="158"/>
      <c r="F81" s="159"/>
      <c r="G81" s="155" t="e" cm="1">
        <f t="array" ref="G81">+_xlfn.IFS($C81="Renewable",0,$C81="National grid",VLOOKUP($D81,'EF-S2'!$B$11:$C$169,2,))</f>
        <v>#N/A</v>
      </c>
      <c r="H81" s="155" t="e" cm="1">
        <f t="array" ref="H81">+_xlfn.IFS($C81="Renewable",0,$C81="National grid",VLOOKUP($D81,'EF-S2'!$E$11:$F$169,2,))</f>
        <v>#N/A</v>
      </c>
      <c r="I81" s="155" t="e" cm="1">
        <f t="array" ref="I81">+_xlfn.IFS($C81="Renewable",0,$C81="National grid",VLOOKUP($D81,'EF-S2'!$H$11:$I$169,2,))</f>
        <v>#N/A</v>
      </c>
      <c r="J81" s="155" t="e" cm="1">
        <f t="array" ref="J81">+_xlfn.IFS($F$9="kWh",$E81*G81/1000000,$F$9="MWh",$E81*G81/1000)</f>
        <v>#N/A</v>
      </c>
      <c r="K81" s="155" t="e" cm="1">
        <f t="array" ref="K81">+_xlfn.IFS($F$9="kWh",$E81*H81/1000000,$F$9="MWh",$E81*H81/1000)</f>
        <v>#N/A</v>
      </c>
      <c r="L81" s="155" t="e" cm="1">
        <f t="array" ref="L81">+_xlfn.IFS($F$9="kWh",$E81*I81/1000000,$F$9="MWh",$E81*I81/1000)</f>
        <v>#N/A</v>
      </c>
      <c r="M81" s="156">
        <f t="shared" si="2"/>
        <v>0</v>
      </c>
      <c r="S81" s="152"/>
      <c r="T81" s="158"/>
      <c r="U81" s="159"/>
      <c r="V81" s="167">
        <f>+'EF-S2'!L82</f>
        <v>0</v>
      </c>
      <c r="W81" s="167">
        <f>+'EF-S2'!L83</f>
        <v>0</v>
      </c>
      <c r="X81" s="167">
        <f>+'EF-S2'!L84</f>
        <v>0</v>
      </c>
      <c r="Y81" s="155" t="e" cm="1">
        <f t="array" ref="Y81">+_xlfn.IFS($U$9="kWh",$T81*V81/1000,$U$9="MWh",$T81*V81)</f>
        <v>#N/A</v>
      </c>
      <c r="Z81" s="155" t="e" cm="1">
        <f t="array" ref="Z81">+_xlfn.IFS($U$9="kWh",$T81*W81/1000,$U$9="MWh",$T81*W81)</f>
        <v>#N/A</v>
      </c>
      <c r="AA81" s="155" t="e" cm="1">
        <f t="array" ref="AA81">+_xlfn.IFS($U$9="kWh",$T81*X81/1000,$U$9="MWh",$T81*X81)</f>
        <v>#N/A</v>
      </c>
      <c r="AB81" s="156">
        <f t="shared" si="3"/>
        <v>0</v>
      </c>
    </row>
    <row r="82" spans="2:28" x14ac:dyDescent="0.7">
      <c r="B82" s="152"/>
      <c r="C82" s="159"/>
      <c r="D82" s="159"/>
      <c r="E82" s="158"/>
      <c r="F82" s="159"/>
      <c r="G82" s="155" t="e" cm="1">
        <f t="array" ref="G82">+_xlfn.IFS($C82="Renewable",0,$C82="National grid",VLOOKUP($D82,'EF-S2'!$B$11:$C$169,2,))</f>
        <v>#N/A</v>
      </c>
      <c r="H82" s="155" t="e" cm="1">
        <f t="array" ref="H82">+_xlfn.IFS($C82="Renewable",0,$C82="National grid",VLOOKUP($D82,'EF-S2'!$E$11:$F$169,2,))</f>
        <v>#N/A</v>
      </c>
      <c r="I82" s="155" t="e" cm="1">
        <f t="array" ref="I82">+_xlfn.IFS($C82="Renewable",0,$C82="National grid",VLOOKUP($D82,'EF-S2'!$H$11:$I$169,2,))</f>
        <v>#N/A</v>
      </c>
      <c r="J82" s="155" t="e" cm="1">
        <f t="array" ref="J82">+_xlfn.IFS($F$9="kWh",$E82*G82/1000000,$F$9="MWh",$E82*G82/1000)</f>
        <v>#N/A</v>
      </c>
      <c r="K82" s="155" t="e" cm="1">
        <f t="array" ref="K82">+_xlfn.IFS($F$9="kWh",$E82*H82/1000000,$F$9="MWh",$E82*H82/1000)</f>
        <v>#N/A</v>
      </c>
      <c r="L82" s="155" t="e" cm="1">
        <f t="array" ref="L82">+_xlfn.IFS($F$9="kWh",$E82*I82/1000000,$F$9="MWh",$E82*I82/1000)</f>
        <v>#N/A</v>
      </c>
      <c r="M82" s="156">
        <f t="shared" si="2"/>
        <v>0</v>
      </c>
      <c r="S82" s="152"/>
      <c r="T82" s="158"/>
      <c r="U82" s="159"/>
      <c r="V82" s="167">
        <f>+'EF-S2'!L83</f>
        <v>0</v>
      </c>
      <c r="W82" s="167">
        <f>+'EF-S2'!L84</f>
        <v>0</v>
      </c>
      <c r="X82" s="167">
        <f>+'EF-S2'!L85</f>
        <v>0</v>
      </c>
      <c r="Y82" s="155" t="e" cm="1">
        <f t="array" ref="Y82">+_xlfn.IFS($U$9="kWh",$T82*V82/1000,$U$9="MWh",$T82*V82)</f>
        <v>#N/A</v>
      </c>
      <c r="Z82" s="155" t="e" cm="1">
        <f t="array" ref="Z82">+_xlfn.IFS($U$9="kWh",$T82*W82/1000,$U$9="MWh",$T82*W82)</f>
        <v>#N/A</v>
      </c>
      <c r="AA82" s="155" t="e" cm="1">
        <f t="array" ref="AA82">+_xlfn.IFS($U$9="kWh",$T82*X82/1000,$U$9="MWh",$T82*X82)</f>
        <v>#N/A</v>
      </c>
      <c r="AB82" s="156">
        <f t="shared" si="3"/>
        <v>0</v>
      </c>
    </row>
    <row r="83" spans="2:28" x14ac:dyDescent="0.7">
      <c r="B83" s="152"/>
      <c r="C83" s="159"/>
      <c r="D83" s="159"/>
      <c r="E83" s="158"/>
      <c r="F83" s="159"/>
      <c r="G83" s="155" t="e" cm="1">
        <f t="array" ref="G83">+_xlfn.IFS($C83="Renewable",0,$C83="National grid",VLOOKUP($D83,'EF-S2'!$B$11:$C$169,2,))</f>
        <v>#N/A</v>
      </c>
      <c r="H83" s="155" t="e" cm="1">
        <f t="array" ref="H83">+_xlfn.IFS($C83="Renewable",0,$C83="National grid",VLOOKUP($D83,'EF-S2'!$E$11:$F$169,2,))</f>
        <v>#N/A</v>
      </c>
      <c r="I83" s="155" t="e" cm="1">
        <f t="array" ref="I83">+_xlfn.IFS($C83="Renewable",0,$C83="National grid",VLOOKUP($D83,'EF-S2'!$H$11:$I$169,2,))</f>
        <v>#N/A</v>
      </c>
      <c r="J83" s="155" t="e" cm="1">
        <f t="array" ref="J83">+_xlfn.IFS($F$9="kWh",$E83*G83/1000000,$F$9="MWh",$E83*G83/1000)</f>
        <v>#N/A</v>
      </c>
      <c r="K83" s="155" t="e" cm="1">
        <f t="array" ref="K83">+_xlfn.IFS($F$9="kWh",$E83*H83/1000000,$F$9="MWh",$E83*H83/1000)</f>
        <v>#N/A</v>
      </c>
      <c r="L83" s="155" t="e" cm="1">
        <f t="array" ref="L83">+_xlfn.IFS($F$9="kWh",$E83*I83/1000000,$F$9="MWh",$E83*I83/1000)</f>
        <v>#N/A</v>
      </c>
      <c r="M83" s="156">
        <f t="shared" si="2"/>
        <v>0</v>
      </c>
      <c r="S83" s="152"/>
      <c r="T83" s="158"/>
      <c r="U83" s="159"/>
      <c r="V83" s="167">
        <f>+'EF-S2'!L84</f>
        <v>0</v>
      </c>
      <c r="W83" s="167">
        <f>+'EF-S2'!L85</f>
        <v>0</v>
      </c>
      <c r="X83" s="167">
        <f>+'EF-S2'!L86</f>
        <v>0</v>
      </c>
      <c r="Y83" s="155" t="e" cm="1">
        <f t="array" ref="Y83">+_xlfn.IFS($U$9="kWh",$T83*V83/1000,$U$9="MWh",$T83*V83)</f>
        <v>#N/A</v>
      </c>
      <c r="Z83" s="155" t="e" cm="1">
        <f t="array" ref="Z83">+_xlfn.IFS($U$9="kWh",$T83*W83/1000,$U$9="MWh",$T83*W83)</f>
        <v>#N/A</v>
      </c>
      <c r="AA83" s="155" t="e" cm="1">
        <f t="array" ref="AA83">+_xlfn.IFS($U$9="kWh",$T83*X83/1000,$U$9="MWh",$T83*X83)</f>
        <v>#N/A</v>
      </c>
      <c r="AB83" s="156">
        <f t="shared" si="3"/>
        <v>0</v>
      </c>
    </row>
    <row r="84" spans="2:28" x14ac:dyDescent="0.7">
      <c r="B84" s="152"/>
      <c r="C84" s="159"/>
      <c r="D84" s="159"/>
      <c r="E84" s="158"/>
      <c r="F84" s="159"/>
      <c r="G84" s="155" t="e" cm="1">
        <f t="array" ref="G84">+_xlfn.IFS($C84="Renewable",0,$C84="National grid",VLOOKUP($D84,'EF-S2'!$B$11:$C$169,2,))</f>
        <v>#N/A</v>
      </c>
      <c r="H84" s="155" t="e" cm="1">
        <f t="array" ref="H84">+_xlfn.IFS($C84="Renewable",0,$C84="National grid",VLOOKUP($D84,'EF-S2'!$E$11:$F$169,2,))</f>
        <v>#N/A</v>
      </c>
      <c r="I84" s="155" t="e" cm="1">
        <f t="array" ref="I84">+_xlfn.IFS($C84="Renewable",0,$C84="National grid",VLOOKUP($D84,'EF-S2'!$H$11:$I$169,2,))</f>
        <v>#N/A</v>
      </c>
      <c r="J84" s="155" t="e" cm="1">
        <f t="array" ref="J84">+_xlfn.IFS($F$9="kWh",$E84*G84/1000000,$F$9="MWh",$E84*G84/1000)</f>
        <v>#N/A</v>
      </c>
      <c r="K84" s="155" t="e" cm="1">
        <f t="array" ref="K84">+_xlfn.IFS($F$9="kWh",$E84*H84/1000000,$F$9="MWh",$E84*H84/1000)</f>
        <v>#N/A</v>
      </c>
      <c r="L84" s="155" t="e" cm="1">
        <f t="array" ref="L84">+_xlfn.IFS($F$9="kWh",$E84*I84/1000000,$F$9="MWh",$E84*I84/1000)</f>
        <v>#N/A</v>
      </c>
      <c r="M84" s="156">
        <f t="shared" si="2"/>
        <v>0</v>
      </c>
      <c r="S84" s="152"/>
      <c r="T84" s="158"/>
      <c r="U84" s="159"/>
      <c r="V84" s="167">
        <f>+'EF-S2'!L85</f>
        <v>0</v>
      </c>
      <c r="W84" s="167">
        <f>+'EF-S2'!L86</f>
        <v>0</v>
      </c>
      <c r="X84" s="167">
        <f>+'EF-S2'!L87</f>
        <v>0</v>
      </c>
      <c r="Y84" s="155" t="e" cm="1">
        <f t="array" ref="Y84">+_xlfn.IFS($U$9="kWh",$T84*V84/1000,$U$9="MWh",$T84*V84)</f>
        <v>#N/A</v>
      </c>
      <c r="Z84" s="155" t="e" cm="1">
        <f t="array" ref="Z84">+_xlfn.IFS($U$9="kWh",$T84*W84/1000,$U$9="MWh",$T84*W84)</f>
        <v>#N/A</v>
      </c>
      <c r="AA84" s="155" t="e" cm="1">
        <f t="array" ref="AA84">+_xlfn.IFS($U$9="kWh",$T84*X84/1000,$U$9="MWh",$T84*X84)</f>
        <v>#N/A</v>
      </c>
      <c r="AB84" s="156">
        <f t="shared" si="3"/>
        <v>0</v>
      </c>
    </row>
    <row r="85" spans="2:28" x14ac:dyDescent="0.7">
      <c r="B85" s="152"/>
      <c r="C85" s="159"/>
      <c r="D85" s="159"/>
      <c r="E85" s="158"/>
      <c r="F85" s="159"/>
      <c r="G85" s="155" t="e" cm="1">
        <f t="array" ref="G85">+_xlfn.IFS($C85="Renewable",0,$C85="National grid",VLOOKUP($D85,'EF-S2'!$B$11:$C$169,2,))</f>
        <v>#N/A</v>
      </c>
      <c r="H85" s="155" t="e" cm="1">
        <f t="array" ref="H85">+_xlfn.IFS($C85="Renewable",0,$C85="National grid",VLOOKUP($D85,'EF-S2'!$E$11:$F$169,2,))</f>
        <v>#N/A</v>
      </c>
      <c r="I85" s="155" t="e" cm="1">
        <f t="array" ref="I85">+_xlfn.IFS($C85="Renewable",0,$C85="National grid",VLOOKUP($D85,'EF-S2'!$H$11:$I$169,2,))</f>
        <v>#N/A</v>
      </c>
      <c r="J85" s="155" t="e" cm="1">
        <f t="array" ref="J85">+_xlfn.IFS($F$9="kWh",$E85*G85/1000000,$F$9="MWh",$E85*G85/1000)</f>
        <v>#N/A</v>
      </c>
      <c r="K85" s="155" t="e" cm="1">
        <f t="array" ref="K85">+_xlfn.IFS($F$9="kWh",$E85*H85/1000000,$F$9="MWh",$E85*H85/1000)</f>
        <v>#N/A</v>
      </c>
      <c r="L85" s="155" t="e" cm="1">
        <f t="array" ref="L85">+_xlfn.IFS($F$9="kWh",$E85*I85/1000000,$F$9="MWh",$E85*I85/1000)</f>
        <v>#N/A</v>
      </c>
      <c r="M85" s="156">
        <f t="shared" si="2"/>
        <v>0</v>
      </c>
      <c r="S85" s="152"/>
      <c r="T85" s="158"/>
      <c r="U85" s="159"/>
      <c r="V85" s="167">
        <f>+'EF-S2'!L86</f>
        <v>0</v>
      </c>
      <c r="W85" s="167">
        <f>+'EF-S2'!L87</f>
        <v>0</v>
      </c>
      <c r="X85" s="167">
        <f>+'EF-S2'!L88</f>
        <v>0</v>
      </c>
      <c r="Y85" s="155" t="e" cm="1">
        <f t="array" ref="Y85">+_xlfn.IFS($U$9="kWh",$T85*V85/1000,$U$9="MWh",$T85*V85)</f>
        <v>#N/A</v>
      </c>
      <c r="Z85" s="155" t="e" cm="1">
        <f t="array" ref="Z85">+_xlfn.IFS($U$9="kWh",$T85*W85/1000,$U$9="MWh",$T85*W85)</f>
        <v>#N/A</v>
      </c>
      <c r="AA85" s="155" t="e" cm="1">
        <f t="array" ref="AA85">+_xlfn.IFS($U$9="kWh",$T85*X85/1000,$U$9="MWh",$T85*X85)</f>
        <v>#N/A</v>
      </c>
      <c r="AB85" s="156">
        <f t="shared" si="3"/>
        <v>0</v>
      </c>
    </row>
    <row r="86" spans="2:28" x14ac:dyDescent="0.7">
      <c r="B86" s="152"/>
      <c r="C86" s="159"/>
      <c r="D86" s="159"/>
      <c r="E86" s="158"/>
      <c r="F86" s="159"/>
      <c r="G86" s="155" t="e" cm="1">
        <f t="array" ref="G86">+_xlfn.IFS($C86="Renewable",0,$C86="National grid",VLOOKUP($D86,'EF-S2'!$B$11:$C$169,2,))</f>
        <v>#N/A</v>
      </c>
      <c r="H86" s="155" t="e" cm="1">
        <f t="array" ref="H86">+_xlfn.IFS($C86="Renewable",0,$C86="National grid",VLOOKUP($D86,'EF-S2'!$E$11:$F$169,2,))</f>
        <v>#N/A</v>
      </c>
      <c r="I86" s="155" t="e" cm="1">
        <f t="array" ref="I86">+_xlfn.IFS($C86="Renewable",0,$C86="National grid",VLOOKUP($D86,'EF-S2'!$H$11:$I$169,2,))</f>
        <v>#N/A</v>
      </c>
      <c r="J86" s="155" t="e" cm="1">
        <f t="array" ref="J86">+_xlfn.IFS($F$9="kWh",$E86*G86/1000000,$F$9="MWh",$E86*G86/1000)</f>
        <v>#N/A</v>
      </c>
      <c r="K86" s="155" t="e" cm="1">
        <f t="array" ref="K86">+_xlfn.IFS($F$9="kWh",$E86*H86/1000000,$F$9="MWh",$E86*H86/1000)</f>
        <v>#N/A</v>
      </c>
      <c r="L86" s="155" t="e" cm="1">
        <f t="array" ref="L86">+_xlfn.IFS($F$9="kWh",$E86*I86/1000000,$F$9="MWh",$E86*I86/1000)</f>
        <v>#N/A</v>
      </c>
      <c r="M86" s="156">
        <f t="shared" si="2"/>
        <v>0</v>
      </c>
      <c r="S86" s="152"/>
      <c r="T86" s="158"/>
      <c r="U86" s="159"/>
      <c r="V86" s="167">
        <f>+'EF-S2'!L87</f>
        <v>0</v>
      </c>
      <c r="W86" s="167">
        <f>+'EF-S2'!L88</f>
        <v>0</v>
      </c>
      <c r="X86" s="167">
        <f>+'EF-S2'!L89</f>
        <v>0</v>
      </c>
      <c r="Y86" s="155" t="e" cm="1">
        <f t="array" ref="Y86">+_xlfn.IFS($U$9="kWh",$T86*V86/1000,$U$9="MWh",$T86*V86)</f>
        <v>#N/A</v>
      </c>
      <c r="Z86" s="155" t="e" cm="1">
        <f t="array" ref="Z86">+_xlfn.IFS($U$9="kWh",$T86*W86/1000,$U$9="MWh",$T86*W86)</f>
        <v>#N/A</v>
      </c>
      <c r="AA86" s="155" t="e" cm="1">
        <f t="array" ref="AA86">+_xlfn.IFS($U$9="kWh",$T86*X86/1000,$U$9="MWh",$T86*X86)</f>
        <v>#N/A</v>
      </c>
      <c r="AB86" s="156">
        <f t="shared" si="3"/>
        <v>0</v>
      </c>
    </row>
    <row r="87" spans="2:28" x14ac:dyDescent="0.7">
      <c r="B87" s="152"/>
      <c r="C87" s="159"/>
      <c r="D87" s="159"/>
      <c r="E87" s="158"/>
      <c r="F87" s="159"/>
      <c r="G87" s="155" t="e" cm="1">
        <f t="array" ref="G87">+_xlfn.IFS($C87="Renewable",0,$C87="National grid",VLOOKUP($D87,'EF-S2'!$B$11:$C$169,2,))</f>
        <v>#N/A</v>
      </c>
      <c r="H87" s="155" t="e" cm="1">
        <f t="array" ref="H87">+_xlfn.IFS($C87="Renewable",0,$C87="National grid",VLOOKUP($D87,'EF-S2'!$E$11:$F$169,2,))</f>
        <v>#N/A</v>
      </c>
      <c r="I87" s="155" t="e" cm="1">
        <f t="array" ref="I87">+_xlfn.IFS($C87="Renewable",0,$C87="National grid",VLOOKUP($D87,'EF-S2'!$H$11:$I$169,2,))</f>
        <v>#N/A</v>
      </c>
      <c r="J87" s="155" t="e" cm="1">
        <f t="array" ref="J87">+_xlfn.IFS($F$9="kWh",$E87*G87/1000000,$F$9="MWh",$E87*G87/1000)</f>
        <v>#N/A</v>
      </c>
      <c r="K87" s="155" t="e" cm="1">
        <f t="array" ref="K87">+_xlfn.IFS($F$9="kWh",$E87*H87/1000000,$F$9="MWh",$E87*H87/1000)</f>
        <v>#N/A</v>
      </c>
      <c r="L87" s="155" t="e" cm="1">
        <f t="array" ref="L87">+_xlfn.IFS($F$9="kWh",$E87*I87/1000000,$F$9="MWh",$E87*I87/1000)</f>
        <v>#N/A</v>
      </c>
      <c r="M87" s="156">
        <f t="shared" si="2"/>
        <v>0</v>
      </c>
      <c r="S87" s="152"/>
      <c r="T87" s="158"/>
      <c r="U87" s="159"/>
      <c r="V87" s="167">
        <f>+'EF-S2'!L88</f>
        <v>0</v>
      </c>
      <c r="W87" s="167">
        <f>+'EF-S2'!L89</f>
        <v>0</v>
      </c>
      <c r="X87" s="167">
        <f>+'EF-S2'!L90</f>
        <v>0</v>
      </c>
      <c r="Y87" s="155" t="e" cm="1">
        <f t="array" ref="Y87">+_xlfn.IFS($U$9="kWh",$T87*V87/1000,$U$9="MWh",$T87*V87)</f>
        <v>#N/A</v>
      </c>
      <c r="Z87" s="155" t="e" cm="1">
        <f t="array" ref="Z87">+_xlfn.IFS($U$9="kWh",$T87*W87/1000,$U$9="MWh",$T87*W87)</f>
        <v>#N/A</v>
      </c>
      <c r="AA87" s="155" t="e" cm="1">
        <f t="array" ref="AA87">+_xlfn.IFS($U$9="kWh",$T87*X87/1000,$U$9="MWh",$T87*X87)</f>
        <v>#N/A</v>
      </c>
      <c r="AB87" s="156">
        <f t="shared" si="3"/>
        <v>0</v>
      </c>
    </row>
    <row r="88" spans="2:28" x14ac:dyDescent="0.7">
      <c r="B88" s="152"/>
      <c r="C88" s="159"/>
      <c r="D88" s="159"/>
      <c r="E88" s="158"/>
      <c r="F88" s="159"/>
      <c r="G88" s="155" t="e" cm="1">
        <f t="array" ref="G88">+_xlfn.IFS($C88="Renewable",0,$C88="National grid",VLOOKUP($D88,'EF-S2'!$B$11:$C$169,2,))</f>
        <v>#N/A</v>
      </c>
      <c r="H88" s="155" t="e" cm="1">
        <f t="array" ref="H88">+_xlfn.IFS($C88="Renewable",0,$C88="National grid",VLOOKUP($D88,'EF-S2'!$E$11:$F$169,2,))</f>
        <v>#N/A</v>
      </c>
      <c r="I88" s="155" t="e" cm="1">
        <f t="array" ref="I88">+_xlfn.IFS($C88="Renewable",0,$C88="National grid",VLOOKUP($D88,'EF-S2'!$H$11:$I$169,2,))</f>
        <v>#N/A</v>
      </c>
      <c r="J88" s="155" t="e" cm="1">
        <f t="array" ref="J88">+_xlfn.IFS($F$9="kWh",$E88*G88/1000000,$F$9="MWh",$E88*G88/1000)</f>
        <v>#N/A</v>
      </c>
      <c r="K88" s="155" t="e" cm="1">
        <f t="array" ref="K88">+_xlfn.IFS($F$9="kWh",$E88*H88/1000000,$F$9="MWh",$E88*H88/1000)</f>
        <v>#N/A</v>
      </c>
      <c r="L88" s="155" t="e" cm="1">
        <f t="array" ref="L88">+_xlfn.IFS($F$9="kWh",$E88*I88/1000000,$F$9="MWh",$E88*I88/1000)</f>
        <v>#N/A</v>
      </c>
      <c r="M88" s="156">
        <f t="shared" si="2"/>
        <v>0</v>
      </c>
      <c r="S88" s="152"/>
      <c r="T88" s="158"/>
      <c r="U88" s="159"/>
      <c r="V88" s="167">
        <f>+'EF-S2'!L89</f>
        <v>0</v>
      </c>
      <c r="W88" s="167">
        <f>+'EF-S2'!L90</f>
        <v>0</v>
      </c>
      <c r="X88" s="167">
        <f>+'EF-S2'!L91</f>
        <v>0</v>
      </c>
      <c r="Y88" s="155" t="e" cm="1">
        <f t="array" ref="Y88">+_xlfn.IFS($U$9="kWh",$T88*V88/1000,$U$9="MWh",$T88*V88)</f>
        <v>#N/A</v>
      </c>
      <c r="Z88" s="155" t="e" cm="1">
        <f t="array" ref="Z88">+_xlfn.IFS($U$9="kWh",$T88*W88/1000,$U$9="MWh",$T88*W88)</f>
        <v>#N/A</v>
      </c>
      <c r="AA88" s="155" t="e" cm="1">
        <f t="array" ref="AA88">+_xlfn.IFS($U$9="kWh",$T88*X88/1000,$U$9="MWh",$T88*X88)</f>
        <v>#N/A</v>
      </c>
      <c r="AB88" s="156">
        <f t="shared" si="3"/>
        <v>0</v>
      </c>
    </row>
    <row r="89" spans="2:28" x14ac:dyDescent="0.7">
      <c r="B89" s="152"/>
      <c r="C89" s="159"/>
      <c r="D89" s="159"/>
      <c r="E89" s="158"/>
      <c r="F89" s="159"/>
      <c r="G89" s="155" t="e" cm="1">
        <f t="array" ref="G89">+_xlfn.IFS($C89="Renewable",0,$C89="National grid",VLOOKUP($D89,'EF-S2'!$B$11:$C$169,2,))</f>
        <v>#N/A</v>
      </c>
      <c r="H89" s="155" t="e" cm="1">
        <f t="array" ref="H89">+_xlfn.IFS($C89="Renewable",0,$C89="National grid",VLOOKUP($D89,'EF-S2'!$E$11:$F$169,2,))</f>
        <v>#N/A</v>
      </c>
      <c r="I89" s="155" t="e" cm="1">
        <f t="array" ref="I89">+_xlfn.IFS($C89="Renewable",0,$C89="National grid",VLOOKUP($D89,'EF-S2'!$H$11:$I$169,2,))</f>
        <v>#N/A</v>
      </c>
      <c r="J89" s="155" t="e" cm="1">
        <f t="array" ref="J89">+_xlfn.IFS($F$9="kWh",$E89*G89/1000000,$F$9="MWh",$E89*G89/1000)</f>
        <v>#N/A</v>
      </c>
      <c r="K89" s="155" t="e" cm="1">
        <f t="array" ref="K89">+_xlfn.IFS($F$9="kWh",$E89*H89/1000000,$F$9="MWh",$E89*H89/1000)</f>
        <v>#N/A</v>
      </c>
      <c r="L89" s="155" t="e" cm="1">
        <f t="array" ref="L89">+_xlfn.IFS($F$9="kWh",$E89*I89/1000000,$F$9="MWh",$E89*I89/1000)</f>
        <v>#N/A</v>
      </c>
      <c r="M89" s="156">
        <f t="shared" si="2"/>
        <v>0</v>
      </c>
      <c r="S89" s="152"/>
      <c r="T89" s="158"/>
      <c r="U89" s="159"/>
      <c r="V89" s="167">
        <f>+'EF-S2'!L90</f>
        <v>0</v>
      </c>
      <c r="W89" s="167">
        <f>+'EF-S2'!L91</f>
        <v>0</v>
      </c>
      <c r="X89" s="167">
        <f>+'EF-S2'!L92</f>
        <v>0</v>
      </c>
      <c r="Y89" s="155" t="e" cm="1">
        <f t="array" ref="Y89">+_xlfn.IFS($U$9="kWh",$T89*V89/1000,$U$9="MWh",$T89*V89)</f>
        <v>#N/A</v>
      </c>
      <c r="Z89" s="155" t="e" cm="1">
        <f t="array" ref="Z89">+_xlfn.IFS($U$9="kWh",$T89*W89/1000,$U$9="MWh",$T89*W89)</f>
        <v>#N/A</v>
      </c>
      <c r="AA89" s="155" t="e" cm="1">
        <f t="array" ref="AA89">+_xlfn.IFS($U$9="kWh",$T89*X89/1000,$U$9="MWh",$T89*X89)</f>
        <v>#N/A</v>
      </c>
      <c r="AB89" s="156">
        <f t="shared" si="3"/>
        <v>0</v>
      </c>
    </row>
    <row r="90" spans="2:28" x14ac:dyDescent="0.7">
      <c r="B90" s="152"/>
      <c r="C90" s="159"/>
      <c r="D90" s="159"/>
      <c r="E90" s="158"/>
      <c r="F90" s="159"/>
      <c r="G90" s="155" t="e" cm="1">
        <f t="array" ref="G90">+_xlfn.IFS($C90="Renewable",0,$C90="National grid",VLOOKUP($D90,'EF-S2'!$B$11:$C$169,2,))</f>
        <v>#N/A</v>
      </c>
      <c r="H90" s="155" t="e" cm="1">
        <f t="array" ref="H90">+_xlfn.IFS($C90="Renewable",0,$C90="National grid",VLOOKUP($D90,'EF-S2'!$E$11:$F$169,2,))</f>
        <v>#N/A</v>
      </c>
      <c r="I90" s="155" t="e" cm="1">
        <f t="array" ref="I90">+_xlfn.IFS($C90="Renewable",0,$C90="National grid",VLOOKUP($D90,'EF-S2'!$H$11:$I$169,2,))</f>
        <v>#N/A</v>
      </c>
      <c r="J90" s="155" t="e" cm="1">
        <f t="array" ref="J90">+_xlfn.IFS($F$9="kWh",$E90*G90/1000000,$F$9="MWh",$E90*G90/1000)</f>
        <v>#N/A</v>
      </c>
      <c r="K90" s="155" t="e" cm="1">
        <f t="array" ref="K90">+_xlfn.IFS($F$9="kWh",$E90*H90/1000000,$F$9="MWh",$E90*H90/1000)</f>
        <v>#N/A</v>
      </c>
      <c r="L90" s="155" t="e" cm="1">
        <f t="array" ref="L90">+_xlfn.IFS($F$9="kWh",$E90*I90/1000000,$F$9="MWh",$E90*I90/1000)</f>
        <v>#N/A</v>
      </c>
      <c r="M90" s="156">
        <f t="shared" si="2"/>
        <v>0</v>
      </c>
      <c r="S90" s="152"/>
      <c r="T90" s="158"/>
      <c r="U90" s="159"/>
      <c r="V90" s="167">
        <f>+'EF-S2'!L91</f>
        <v>0</v>
      </c>
      <c r="W90" s="167">
        <f>+'EF-S2'!L92</f>
        <v>0</v>
      </c>
      <c r="X90" s="167">
        <f>+'EF-S2'!L93</f>
        <v>0</v>
      </c>
      <c r="Y90" s="155" t="e" cm="1">
        <f t="array" ref="Y90">+_xlfn.IFS($U$9="kWh",$T90*V90/1000,$U$9="MWh",$T90*V90)</f>
        <v>#N/A</v>
      </c>
      <c r="Z90" s="155" t="e" cm="1">
        <f t="array" ref="Z90">+_xlfn.IFS($U$9="kWh",$T90*W90/1000,$U$9="MWh",$T90*W90)</f>
        <v>#N/A</v>
      </c>
      <c r="AA90" s="155" t="e" cm="1">
        <f t="array" ref="AA90">+_xlfn.IFS($U$9="kWh",$T90*X90/1000,$U$9="MWh",$T90*X90)</f>
        <v>#N/A</v>
      </c>
      <c r="AB90" s="156">
        <f t="shared" si="3"/>
        <v>0</v>
      </c>
    </row>
    <row r="91" spans="2:28" x14ac:dyDescent="0.7">
      <c r="B91" s="152"/>
      <c r="C91" s="159"/>
      <c r="D91" s="159"/>
      <c r="E91" s="158"/>
      <c r="F91" s="159"/>
      <c r="G91" s="155" t="e" cm="1">
        <f t="array" ref="G91">+_xlfn.IFS($C91="Renewable",0,$C91="National grid",VLOOKUP($D91,'EF-S2'!$B$11:$C$169,2,))</f>
        <v>#N/A</v>
      </c>
      <c r="H91" s="155" t="e" cm="1">
        <f t="array" ref="H91">+_xlfn.IFS($C91="Renewable",0,$C91="National grid",VLOOKUP($D91,'EF-S2'!$E$11:$F$169,2,))</f>
        <v>#N/A</v>
      </c>
      <c r="I91" s="155" t="e" cm="1">
        <f t="array" ref="I91">+_xlfn.IFS($C91="Renewable",0,$C91="National grid",VLOOKUP($D91,'EF-S2'!$H$11:$I$169,2,))</f>
        <v>#N/A</v>
      </c>
      <c r="J91" s="155" t="e" cm="1">
        <f t="array" ref="J91">+_xlfn.IFS($F$9="kWh",$E91*G91/1000000,$F$9="MWh",$E91*G91/1000)</f>
        <v>#N/A</v>
      </c>
      <c r="K91" s="155" t="e" cm="1">
        <f t="array" ref="K91">+_xlfn.IFS($F$9="kWh",$E91*H91/1000000,$F$9="MWh",$E91*H91/1000)</f>
        <v>#N/A</v>
      </c>
      <c r="L91" s="155" t="e" cm="1">
        <f t="array" ref="L91">+_xlfn.IFS($F$9="kWh",$E91*I91/1000000,$F$9="MWh",$E91*I91/1000)</f>
        <v>#N/A</v>
      </c>
      <c r="M91" s="156">
        <f t="shared" si="2"/>
        <v>0</v>
      </c>
      <c r="S91" s="152"/>
      <c r="T91" s="158"/>
      <c r="U91" s="159"/>
      <c r="V91" s="167">
        <f>+'EF-S2'!L92</f>
        <v>0</v>
      </c>
      <c r="W91" s="167">
        <f>+'EF-S2'!L93</f>
        <v>0</v>
      </c>
      <c r="X91" s="167">
        <f>+'EF-S2'!L94</f>
        <v>0</v>
      </c>
      <c r="Y91" s="155" t="e" cm="1">
        <f t="array" ref="Y91">+_xlfn.IFS($U$9="kWh",$T91*V91/1000,$U$9="MWh",$T91*V91)</f>
        <v>#N/A</v>
      </c>
      <c r="Z91" s="155" t="e" cm="1">
        <f t="array" ref="Z91">+_xlfn.IFS($U$9="kWh",$T91*W91/1000,$U$9="MWh",$T91*W91)</f>
        <v>#N/A</v>
      </c>
      <c r="AA91" s="155" t="e" cm="1">
        <f t="array" ref="AA91">+_xlfn.IFS($U$9="kWh",$T91*X91/1000,$U$9="MWh",$T91*X91)</f>
        <v>#N/A</v>
      </c>
      <c r="AB91" s="156">
        <f t="shared" si="3"/>
        <v>0</v>
      </c>
    </row>
    <row r="92" spans="2:28" x14ac:dyDescent="0.7">
      <c r="B92" s="152"/>
      <c r="C92" s="159"/>
      <c r="D92" s="159"/>
      <c r="E92" s="158"/>
      <c r="F92" s="159"/>
      <c r="G92" s="155" t="e" cm="1">
        <f t="array" ref="G92">+_xlfn.IFS($C92="Renewable",0,$C92="National grid",VLOOKUP($D92,'EF-S2'!$B$11:$C$169,2,))</f>
        <v>#N/A</v>
      </c>
      <c r="H92" s="155" t="e" cm="1">
        <f t="array" ref="H92">+_xlfn.IFS($C92="Renewable",0,$C92="National grid",VLOOKUP($D92,'EF-S2'!$E$11:$F$169,2,))</f>
        <v>#N/A</v>
      </c>
      <c r="I92" s="155" t="e" cm="1">
        <f t="array" ref="I92">+_xlfn.IFS($C92="Renewable",0,$C92="National grid",VLOOKUP($D92,'EF-S2'!$H$11:$I$169,2,))</f>
        <v>#N/A</v>
      </c>
      <c r="J92" s="155" t="e" cm="1">
        <f t="array" ref="J92">+_xlfn.IFS($F$9="kWh",$E92*G92/1000000,$F$9="MWh",$E92*G92/1000)</f>
        <v>#N/A</v>
      </c>
      <c r="K92" s="155" t="e" cm="1">
        <f t="array" ref="K92">+_xlfn.IFS($F$9="kWh",$E92*H92/1000000,$F$9="MWh",$E92*H92/1000)</f>
        <v>#N/A</v>
      </c>
      <c r="L92" s="155" t="e" cm="1">
        <f t="array" ref="L92">+_xlfn.IFS($F$9="kWh",$E92*I92/1000000,$F$9="MWh",$E92*I92/1000)</f>
        <v>#N/A</v>
      </c>
      <c r="M92" s="156">
        <f t="shared" si="2"/>
        <v>0</v>
      </c>
      <c r="S92" s="152"/>
      <c r="T92" s="158"/>
      <c r="U92" s="159"/>
      <c r="V92" s="167">
        <f>+'EF-S2'!L93</f>
        <v>0</v>
      </c>
      <c r="W92" s="167">
        <f>+'EF-S2'!L94</f>
        <v>0</v>
      </c>
      <c r="X92" s="167">
        <f>+'EF-S2'!L95</f>
        <v>0</v>
      </c>
      <c r="Y92" s="155" t="e" cm="1">
        <f t="array" ref="Y92">+_xlfn.IFS($U$9="kWh",$T92*V92/1000,$U$9="MWh",$T92*V92)</f>
        <v>#N/A</v>
      </c>
      <c r="Z92" s="155" t="e" cm="1">
        <f t="array" ref="Z92">+_xlfn.IFS($U$9="kWh",$T92*W92/1000,$U$9="MWh",$T92*W92)</f>
        <v>#N/A</v>
      </c>
      <c r="AA92" s="155" t="e" cm="1">
        <f t="array" ref="AA92">+_xlfn.IFS($U$9="kWh",$T92*X92/1000,$U$9="MWh",$T92*X92)</f>
        <v>#N/A</v>
      </c>
      <c r="AB92" s="156">
        <f t="shared" si="3"/>
        <v>0</v>
      </c>
    </row>
    <row r="93" spans="2:28" x14ac:dyDescent="0.7">
      <c r="B93" s="152"/>
      <c r="C93" s="159"/>
      <c r="D93" s="159"/>
      <c r="E93" s="158"/>
      <c r="F93" s="159"/>
      <c r="G93" s="155" t="e" cm="1">
        <f t="array" ref="G93">+_xlfn.IFS($C93="Renewable",0,$C93="National grid",VLOOKUP($D93,'EF-S2'!$B$11:$C$169,2,))</f>
        <v>#N/A</v>
      </c>
      <c r="H93" s="155" t="e" cm="1">
        <f t="array" ref="H93">+_xlfn.IFS($C93="Renewable",0,$C93="National grid",VLOOKUP($D93,'EF-S2'!$E$11:$F$169,2,))</f>
        <v>#N/A</v>
      </c>
      <c r="I93" s="155" t="e" cm="1">
        <f t="array" ref="I93">+_xlfn.IFS($C93="Renewable",0,$C93="National grid",VLOOKUP($D93,'EF-S2'!$H$11:$I$169,2,))</f>
        <v>#N/A</v>
      </c>
      <c r="J93" s="155" t="e" cm="1">
        <f t="array" ref="J93">+_xlfn.IFS($F$9="kWh",$E93*G93/1000000,$F$9="MWh",$E93*G93/1000)</f>
        <v>#N/A</v>
      </c>
      <c r="K93" s="155" t="e" cm="1">
        <f t="array" ref="K93">+_xlfn.IFS($F$9="kWh",$E93*H93/1000000,$F$9="MWh",$E93*H93/1000)</f>
        <v>#N/A</v>
      </c>
      <c r="L93" s="155" t="e" cm="1">
        <f t="array" ref="L93">+_xlfn.IFS($F$9="kWh",$E93*I93/1000000,$F$9="MWh",$E93*I93/1000)</f>
        <v>#N/A</v>
      </c>
      <c r="M93" s="156">
        <f t="shared" si="2"/>
        <v>0</v>
      </c>
      <c r="S93" s="152"/>
      <c r="T93" s="158"/>
      <c r="U93" s="159"/>
      <c r="V93" s="167">
        <f>+'EF-S2'!L94</f>
        <v>0</v>
      </c>
      <c r="W93" s="167">
        <f>+'EF-S2'!L95</f>
        <v>0</v>
      </c>
      <c r="X93" s="167">
        <f>+'EF-S2'!L96</f>
        <v>0</v>
      </c>
      <c r="Y93" s="155" t="e" cm="1">
        <f t="array" ref="Y93">+_xlfn.IFS($U$9="kWh",$T93*V93/1000,$U$9="MWh",$T93*V93)</f>
        <v>#N/A</v>
      </c>
      <c r="Z93" s="155" t="e" cm="1">
        <f t="array" ref="Z93">+_xlfn.IFS($U$9="kWh",$T93*W93/1000,$U$9="MWh",$T93*W93)</f>
        <v>#N/A</v>
      </c>
      <c r="AA93" s="155" t="e" cm="1">
        <f t="array" ref="AA93">+_xlfn.IFS($U$9="kWh",$T93*X93/1000,$U$9="MWh",$T93*X93)</f>
        <v>#N/A</v>
      </c>
      <c r="AB93" s="156">
        <f t="shared" si="3"/>
        <v>0</v>
      </c>
    </row>
    <row r="94" spans="2:28" x14ac:dyDescent="0.7">
      <c r="B94" s="152"/>
      <c r="C94" s="159"/>
      <c r="D94" s="159"/>
      <c r="E94" s="158"/>
      <c r="F94" s="159"/>
      <c r="G94" s="155" t="e" cm="1">
        <f t="array" ref="G94">+_xlfn.IFS($C94="Renewable",0,$C94="National grid",VLOOKUP($D94,'EF-S2'!$B$11:$C$169,2,))</f>
        <v>#N/A</v>
      </c>
      <c r="H94" s="155" t="e" cm="1">
        <f t="array" ref="H94">+_xlfn.IFS($C94="Renewable",0,$C94="National grid",VLOOKUP($D94,'EF-S2'!$E$11:$F$169,2,))</f>
        <v>#N/A</v>
      </c>
      <c r="I94" s="155" t="e" cm="1">
        <f t="array" ref="I94">+_xlfn.IFS($C94="Renewable",0,$C94="National grid",VLOOKUP($D94,'EF-S2'!$H$11:$I$169,2,))</f>
        <v>#N/A</v>
      </c>
      <c r="J94" s="155" t="e" cm="1">
        <f t="array" ref="J94">+_xlfn.IFS($F$9="kWh",$E94*G94/1000000,$F$9="MWh",$E94*G94/1000)</f>
        <v>#N/A</v>
      </c>
      <c r="K94" s="155" t="e" cm="1">
        <f t="array" ref="K94">+_xlfn.IFS($F$9="kWh",$E94*H94/1000000,$F$9="MWh",$E94*H94/1000)</f>
        <v>#N/A</v>
      </c>
      <c r="L94" s="155" t="e" cm="1">
        <f t="array" ref="L94">+_xlfn.IFS($F$9="kWh",$E94*I94/1000000,$F$9="MWh",$E94*I94/1000)</f>
        <v>#N/A</v>
      </c>
      <c r="M94" s="156">
        <f t="shared" si="2"/>
        <v>0</v>
      </c>
      <c r="S94" s="152"/>
      <c r="T94" s="158"/>
      <c r="U94" s="159"/>
      <c r="V94" s="167">
        <f>+'EF-S2'!L95</f>
        <v>0</v>
      </c>
      <c r="W94" s="167">
        <f>+'EF-S2'!L96</f>
        <v>0</v>
      </c>
      <c r="X94" s="167">
        <f>+'EF-S2'!L97</f>
        <v>0</v>
      </c>
      <c r="Y94" s="155" t="e" cm="1">
        <f t="array" ref="Y94">+_xlfn.IFS($U$9="kWh",$T94*V94/1000,$U$9="MWh",$T94*V94)</f>
        <v>#N/A</v>
      </c>
      <c r="Z94" s="155" t="e" cm="1">
        <f t="array" ref="Z94">+_xlfn.IFS($U$9="kWh",$T94*W94/1000,$U$9="MWh",$T94*W94)</f>
        <v>#N/A</v>
      </c>
      <c r="AA94" s="155" t="e" cm="1">
        <f t="array" ref="AA94">+_xlfn.IFS($U$9="kWh",$T94*X94/1000,$U$9="MWh",$T94*X94)</f>
        <v>#N/A</v>
      </c>
      <c r="AB94" s="156">
        <f t="shared" si="3"/>
        <v>0</v>
      </c>
    </row>
    <row r="95" spans="2:28" x14ac:dyDescent="0.7">
      <c r="B95" s="152"/>
      <c r="C95" s="159"/>
      <c r="D95" s="159"/>
      <c r="E95" s="158"/>
      <c r="F95" s="159"/>
      <c r="G95" s="155" t="e" cm="1">
        <f t="array" ref="G95">+_xlfn.IFS($C95="Renewable",0,$C95="National grid",VLOOKUP($D95,'EF-S2'!$B$11:$C$169,2,))</f>
        <v>#N/A</v>
      </c>
      <c r="H95" s="155" t="e" cm="1">
        <f t="array" ref="H95">+_xlfn.IFS($C95="Renewable",0,$C95="National grid",VLOOKUP($D95,'EF-S2'!$E$11:$F$169,2,))</f>
        <v>#N/A</v>
      </c>
      <c r="I95" s="155" t="e" cm="1">
        <f t="array" ref="I95">+_xlfn.IFS($C95="Renewable",0,$C95="National grid",VLOOKUP($D95,'EF-S2'!$H$11:$I$169,2,))</f>
        <v>#N/A</v>
      </c>
      <c r="J95" s="155" t="e" cm="1">
        <f t="array" ref="J95">+_xlfn.IFS($F$9="kWh",$E95*G95/1000000,$F$9="MWh",$E95*G95/1000)</f>
        <v>#N/A</v>
      </c>
      <c r="K95" s="155" t="e" cm="1">
        <f t="array" ref="K95">+_xlfn.IFS($F$9="kWh",$E95*H95/1000000,$F$9="MWh",$E95*H95/1000)</f>
        <v>#N/A</v>
      </c>
      <c r="L95" s="155" t="e" cm="1">
        <f t="array" ref="L95">+_xlfn.IFS($F$9="kWh",$E95*I95/1000000,$F$9="MWh",$E95*I95/1000)</f>
        <v>#N/A</v>
      </c>
      <c r="M95" s="156">
        <f t="shared" si="2"/>
        <v>0</v>
      </c>
      <c r="S95" s="152"/>
      <c r="T95" s="158"/>
      <c r="U95" s="159"/>
      <c r="V95" s="167">
        <f>+'EF-S2'!L96</f>
        <v>0</v>
      </c>
      <c r="W95" s="167">
        <f>+'EF-S2'!L97</f>
        <v>0</v>
      </c>
      <c r="X95" s="167">
        <f>+'EF-S2'!L98</f>
        <v>0</v>
      </c>
      <c r="Y95" s="155" t="e" cm="1">
        <f t="array" ref="Y95">+_xlfn.IFS($U$9="kWh",$T95*V95/1000,$U$9="MWh",$T95*V95)</f>
        <v>#N/A</v>
      </c>
      <c r="Z95" s="155" t="e" cm="1">
        <f t="array" ref="Z95">+_xlfn.IFS($U$9="kWh",$T95*W95/1000,$U$9="MWh",$T95*W95)</f>
        <v>#N/A</v>
      </c>
      <c r="AA95" s="155" t="e" cm="1">
        <f t="array" ref="AA95">+_xlfn.IFS($U$9="kWh",$T95*X95/1000,$U$9="MWh",$T95*X95)</f>
        <v>#N/A</v>
      </c>
      <c r="AB95" s="156">
        <f t="shared" si="3"/>
        <v>0</v>
      </c>
    </row>
    <row r="96" spans="2:28" x14ac:dyDescent="0.7">
      <c r="B96" s="152"/>
      <c r="C96" s="159"/>
      <c r="D96" s="159"/>
      <c r="E96" s="158"/>
      <c r="F96" s="159"/>
      <c r="G96" s="155" t="e" cm="1">
        <f t="array" ref="G96">+_xlfn.IFS($C96="Renewable",0,$C96="National grid",VLOOKUP($D96,'EF-S2'!$B$11:$C$169,2,))</f>
        <v>#N/A</v>
      </c>
      <c r="H96" s="155" t="e" cm="1">
        <f t="array" ref="H96">+_xlfn.IFS($C96="Renewable",0,$C96="National grid",VLOOKUP($D96,'EF-S2'!$E$11:$F$169,2,))</f>
        <v>#N/A</v>
      </c>
      <c r="I96" s="155" t="e" cm="1">
        <f t="array" ref="I96">+_xlfn.IFS($C96="Renewable",0,$C96="National grid",VLOOKUP($D96,'EF-S2'!$H$11:$I$169,2,))</f>
        <v>#N/A</v>
      </c>
      <c r="J96" s="155" t="e" cm="1">
        <f t="array" ref="J96">+_xlfn.IFS($F$9="kWh",$E96*G96/1000000,$F$9="MWh",$E96*G96/1000)</f>
        <v>#N/A</v>
      </c>
      <c r="K96" s="155" t="e" cm="1">
        <f t="array" ref="K96">+_xlfn.IFS($F$9="kWh",$E96*H96/1000000,$F$9="MWh",$E96*H96/1000)</f>
        <v>#N/A</v>
      </c>
      <c r="L96" s="155" t="e" cm="1">
        <f t="array" ref="L96">+_xlfn.IFS($F$9="kWh",$E96*I96/1000000,$F$9="MWh",$E96*I96/1000)</f>
        <v>#N/A</v>
      </c>
      <c r="M96" s="156">
        <f t="shared" si="2"/>
        <v>0</v>
      </c>
      <c r="S96" s="152"/>
      <c r="T96" s="158"/>
      <c r="U96" s="159"/>
      <c r="V96" s="167">
        <f>+'EF-S2'!L97</f>
        <v>0</v>
      </c>
      <c r="W96" s="167">
        <f>+'EF-S2'!L98</f>
        <v>0</v>
      </c>
      <c r="X96" s="167">
        <f>+'EF-S2'!L99</f>
        <v>0</v>
      </c>
      <c r="Y96" s="155" t="e" cm="1">
        <f t="array" ref="Y96">+_xlfn.IFS($U$9="kWh",$T96*V96/1000,$U$9="MWh",$T96*V96)</f>
        <v>#N/A</v>
      </c>
      <c r="Z96" s="155" t="e" cm="1">
        <f t="array" ref="Z96">+_xlfn.IFS($U$9="kWh",$T96*W96/1000,$U$9="MWh",$T96*W96)</f>
        <v>#N/A</v>
      </c>
      <c r="AA96" s="155" t="e" cm="1">
        <f t="array" ref="AA96">+_xlfn.IFS($U$9="kWh",$T96*X96/1000,$U$9="MWh",$T96*X96)</f>
        <v>#N/A</v>
      </c>
      <c r="AB96" s="156">
        <f t="shared" si="3"/>
        <v>0</v>
      </c>
    </row>
    <row r="97" spans="2:28" x14ac:dyDescent="0.7">
      <c r="B97" s="152"/>
      <c r="C97" s="159"/>
      <c r="D97" s="159"/>
      <c r="E97" s="158"/>
      <c r="F97" s="159"/>
      <c r="G97" s="155" t="e" cm="1">
        <f t="array" ref="G97">+_xlfn.IFS($C97="Renewable",0,$C97="National grid",VLOOKUP($D97,'EF-S2'!$B$11:$C$169,2,))</f>
        <v>#N/A</v>
      </c>
      <c r="H97" s="155" t="e" cm="1">
        <f t="array" ref="H97">+_xlfn.IFS($C97="Renewable",0,$C97="National grid",VLOOKUP($D97,'EF-S2'!$E$11:$F$169,2,))</f>
        <v>#N/A</v>
      </c>
      <c r="I97" s="155" t="e" cm="1">
        <f t="array" ref="I97">+_xlfn.IFS($C97="Renewable",0,$C97="National grid",VLOOKUP($D97,'EF-S2'!$H$11:$I$169,2,))</f>
        <v>#N/A</v>
      </c>
      <c r="J97" s="155" t="e" cm="1">
        <f t="array" ref="J97">+_xlfn.IFS($F$9="kWh",$E97*G97/1000000,$F$9="MWh",$E97*G97/1000)</f>
        <v>#N/A</v>
      </c>
      <c r="K97" s="155" t="e" cm="1">
        <f t="array" ref="K97">+_xlfn.IFS($F$9="kWh",$E97*H97/1000000,$F$9="MWh",$E97*H97/1000)</f>
        <v>#N/A</v>
      </c>
      <c r="L97" s="155" t="e" cm="1">
        <f t="array" ref="L97">+_xlfn.IFS($F$9="kWh",$E97*I97/1000000,$F$9="MWh",$E97*I97/1000)</f>
        <v>#N/A</v>
      </c>
      <c r="M97" s="156">
        <f t="shared" si="2"/>
        <v>0</v>
      </c>
      <c r="S97" s="152"/>
      <c r="T97" s="158"/>
      <c r="U97" s="159"/>
      <c r="V97" s="167">
        <f>+'EF-S2'!L98</f>
        <v>0</v>
      </c>
      <c r="W97" s="167">
        <f>+'EF-S2'!L99</f>
        <v>0</v>
      </c>
      <c r="X97" s="167">
        <f>+'EF-S2'!L100</f>
        <v>0</v>
      </c>
      <c r="Y97" s="155" t="e" cm="1">
        <f t="array" ref="Y97">+_xlfn.IFS($U$9="kWh",$T97*V97/1000,$U$9="MWh",$T97*V97)</f>
        <v>#N/A</v>
      </c>
      <c r="Z97" s="155" t="e" cm="1">
        <f t="array" ref="Z97">+_xlfn.IFS($U$9="kWh",$T97*W97/1000,$U$9="MWh",$T97*W97)</f>
        <v>#N/A</v>
      </c>
      <c r="AA97" s="155" t="e" cm="1">
        <f t="array" ref="AA97">+_xlfn.IFS($U$9="kWh",$T97*X97/1000,$U$9="MWh",$T97*X97)</f>
        <v>#N/A</v>
      </c>
      <c r="AB97" s="156">
        <f t="shared" si="3"/>
        <v>0</v>
      </c>
    </row>
    <row r="98" spans="2:28" x14ac:dyDescent="0.7">
      <c r="B98" s="152"/>
      <c r="C98" s="159"/>
      <c r="D98" s="159"/>
      <c r="E98" s="158"/>
      <c r="F98" s="159"/>
      <c r="G98" s="155" t="e" cm="1">
        <f t="array" ref="G98">+_xlfn.IFS($C98="Renewable",0,$C98="National grid",VLOOKUP($D98,'EF-S2'!$B$11:$C$169,2,))</f>
        <v>#N/A</v>
      </c>
      <c r="H98" s="155" t="e" cm="1">
        <f t="array" ref="H98">+_xlfn.IFS($C98="Renewable",0,$C98="National grid",VLOOKUP($D98,'EF-S2'!$E$11:$F$169,2,))</f>
        <v>#N/A</v>
      </c>
      <c r="I98" s="155" t="e" cm="1">
        <f t="array" ref="I98">+_xlfn.IFS($C98="Renewable",0,$C98="National grid",VLOOKUP($D98,'EF-S2'!$H$11:$I$169,2,))</f>
        <v>#N/A</v>
      </c>
      <c r="J98" s="155" t="e" cm="1">
        <f t="array" ref="J98">+_xlfn.IFS($F$9="kWh",$E98*G98/1000000,$F$9="MWh",$E98*G98/1000)</f>
        <v>#N/A</v>
      </c>
      <c r="K98" s="155" t="e" cm="1">
        <f t="array" ref="K98">+_xlfn.IFS($F$9="kWh",$E98*H98/1000000,$F$9="MWh",$E98*H98/1000)</f>
        <v>#N/A</v>
      </c>
      <c r="L98" s="155" t="e" cm="1">
        <f t="array" ref="L98">+_xlfn.IFS($F$9="kWh",$E98*I98/1000000,$F$9="MWh",$E98*I98/1000)</f>
        <v>#N/A</v>
      </c>
      <c r="M98" s="156">
        <f t="shared" si="2"/>
        <v>0</v>
      </c>
      <c r="S98" s="152"/>
      <c r="T98" s="158"/>
      <c r="U98" s="159"/>
      <c r="V98" s="167">
        <f>+'EF-S2'!L99</f>
        <v>0</v>
      </c>
      <c r="W98" s="167">
        <f>+'EF-S2'!L100</f>
        <v>0</v>
      </c>
      <c r="X98" s="167">
        <f>+'EF-S2'!L101</f>
        <v>0</v>
      </c>
      <c r="Y98" s="155" t="e" cm="1">
        <f t="array" ref="Y98">+_xlfn.IFS($U$9="kWh",$T98*V98/1000,$U$9="MWh",$T98*V98)</f>
        <v>#N/A</v>
      </c>
      <c r="Z98" s="155" t="e" cm="1">
        <f t="array" ref="Z98">+_xlfn.IFS($U$9="kWh",$T98*W98/1000,$U$9="MWh",$T98*W98)</f>
        <v>#N/A</v>
      </c>
      <c r="AA98" s="155" t="e" cm="1">
        <f t="array" ref="AA98">+_xlfn.IFS($U$9="kWh",$T98*X98/1000,$U$9="MWh",$T98*X98)</f>
        <v>#N/A</v>
      </c>
      <c r="AB98" s="156">
        <f t="shared" si="3"/>
        <v>0</v>
      </c>
    </row>
    <row r="99" spans="2:28" x14ac:dyDescent="0.7">
      <c r="B99" s="152"/>
      <c r="C99" s="159"/>
      <c r="D99" s="159"/>
      <c r="E99" s="158"/>
      <c r="F99" s="159"/>
      <c r="G99" s="155" t="e" cm="1">
        <f t="array" ref="G99">+_xlfn.IFS($C99="Renewable",0,$C99="National grid",VLOOKUP($D99,'EF-S2'!$B$11:$C$169,2,))</f>
        <v>#N/A</v>
      </c>
      <c r="H99" s="155" t="e" cm="1">
        <f t="array" ref="H99">+_xlfn.IFS($C99="Renewable",0,$C99="National grid",VLOOKUP($D99,'EF-S2'!$E$11:$F$169,2,))</f>
        <v>#N/A</v>
      </c>
      <c r="I99" s="155" t="e" cm="1">
        <f t="array" ref="I99">+_xlfn.IFS($C99="Renewable",0,$C99="National grid",VLOOKUP($D99,'EF-S2'!$H$11:$I$169,2,))</f>
        <v>#N/A</v>
      </c>
      <c r="J99" s="155" t="e" cm="1">
        <f t="array" ref="J99">+_xlfn.IFS($F$9="kWh",$E99*G99/1000000,$F$9="MWh",$E99*G99/1000)</f>
        <v>#N/A</v>
      </c>
      <c r="K99" s="155" t="e" cm="1">
        <f t="array" ref="K99">+_xlfn.IFS($F$9="kWh",$E99*H99/1000000,$F$9="MWh",$E99*H99/1000)</f>
        <v>#N/A</v>
      </c>
      <c r="L99" s="155" t="e" cm="1">
        <f t="array" ref="L99">+_xlfn.IFS($F$9="kWh",$E99*I99/1000000,$F$9="MWh",$E99*I99/1000)</f>
        <v>#N/A</v>
      </c>
      <c r="M99" s="156">
        <f t="shared" si="2"/>
        <v>0</v>
      </c>
      <c r="S99" s="152"/>
      <c r="T99" s="158"/>
      <c r="U99" s="159"/>
      <c r="V99" s="167">
        <f>+'EF-S2'!L100</f>
        <v>0</v>
      </c>
      <c r="W99" s="167">
        <f>+'EF-S2'!L101</f>
        <v>0</v>
      </c>
      <c r="X99" s="167">
        <f>+'EF-S2'!L102</f>
        <v>0</v>
      </c>
      <c r="Y99" s="155" t="e" cm="1">
        <f t="array" ref="Y99">+_xlfn.IFS($U$9="kWh",$T99*V99/1000,$U$9="MWh",$T99*V99)</f>
        <v>#N/A</v>
      </c>
      <c r="Z99" s="155" t="e" cm="1">
        <f t="array" ref="Z99">+_xlfn.IFS($U$9="kWh",$T99*W99/1000,$U$9="MWh",$T99*W99)</f>
        <v>#N/A</v>
      </c>
      <c r="AA99" s="155" t="e" cm="1">
        <f t="array" ref="AA99">+_xlfn.IFS($U$9="kWh",$T99*X99/1000,$U$9="MWh",$T99*X99)</f>
        <v>#N/A</v>
      </c>
      <c r="AB99" s="156">
        <f t="shared" si="3"/>
        <v>0</v>
      </c>
    </row>
    <row r="100" spans="2:28" x14ac:dyDescent="0.7">
      <c r="B100" s="152"/>
      <c r="C100" s="159"/>
      <c r="D100" s="159"/>
      <c r="E100" s="158"/>
      <c r="F100" s="159"/>
      <c r="G100" s="155" t="e" cm="1">
        <f t="array" ref="G100">+_xlfn.IFS($C100="Renewable",0,$C100="National grid",VLOOKUP($D100,'EF-S2'!$B$11:$C$169,2,))</f>
        <v>#N/A</v>
      </c>
      <c r="H100" s="155" t="e" cm="1">
        <f t="array" ref="H100">+_xlfn.IFS($C100="Renewable",0,$C100="National grid",VLOOKUP($D100,'EF-S2'!$E$11:$F$169,2,))</f>
        <v>#N/A</v>
      </c>
      <c r="I100" s="155" t="e" cm="1">
        <f t="array" ref="I100">+_xlfn.IFS($C100="Renewable",0,$C100="National grid",VLOOKUP($D100,'EF-S2'!$H$11:$I$169,2,))</f>
        <v>#N/A</v>
      </c>
      <c r="J100" s="155" t="e" cm="1">
        <f t="array" ref="J100">+_xlfn.IFS($F$9="kWh",$E100*G100/1000000,$F$9="MWh",$E100*G100/1000)</f>
        <v>#N/A</v>
      </c>
      <c r="K100" s="155" t="e" cm="1">
        <f t="array" ref="K100">+_xlfn.IFS($F$9="kWh",$E100*H100/1000000,$F$9="MWh",$E100*H100/1000)</f>
        <v>#N/A</v>
      </c>
      <c r="L100" s="155" t="e" cm="1">
        <f t="array" ref="L100">+_xlfn.IFS($F$9="kWh",$E100*I100/1000000,$F$9="MWh",$E100*I100/1000)</f>
        <v>#N/A</v>
      </c>
      <c r="M100" s="156">
        <f t="shared" si="2"/>
        <v>0</v>
      </c>
      <c r="S100" s="152"/>
      <c r="T100" s="158"/>
      <c r="U100" s="159"/>
      <c r="V100" s="167">
        <f>+'EF-S2'!L101</f>
        <v>0</v>
      </c>
      <c r="W100" s="167">
        <f>+'EF-S2'!L102</f>
        <v>0</v>
      </c>
      <c r="X100" s="167">
        <f>+'EF-S2'!L103</f>
        <v>0</v>
      </c>
      <c r="Y100" s="155" t="e" cm="1">
        <f t="array" ref="Y100">+_xlfn.IFS($U$9="kWh",$T100*V100/1000,$U$9="MWh",$T100*V100)</f>
        <v>#N/A</v>
      </c>
      <c r="Z100" s="155" t="e" cm="1">
        <f t="array" ref="Z100">+_xlfn.IFS($U$9="kWh",$T100*W100/1000,$U$9="MWh",$T100*W100)</f>
        <v>#N/A</v>
      </c>
      <c r="AA100" s="155" t="e" cm="1">
        <f t="array" ref="AA100">+_xlfn.IFS($U$9="kWh",$T100*X100/1000,$U$9="MWh",$T100*X100)</f>
        <v>#N/A</v>
      </c>
      <c r="AB100" s="156">
        <f t="shared" si="3"/>
        <v>0</v>
      </c>
    </row>
    <row r="101" spans="2:28" x14ac:dyDescent="0.7">
      <c r="B101" s="152"/>
      <c r="C101" s="159"/>
      <c r="D101" s="159"/>
      <c r="E101" s="158"/>
      <c r="F101" s="159"/>
      <c r="G101" s="155" t="e" cm="1">
        <f t="array" ref="G101">+_xlfn.IFS($C101="Renewable",0,$C101="National grid",VLOOKUP($D101,'EF-S2'!$B$11:$C$169,2,))</f>
        <v>#N/A</v>
      </c>
      <c r="H101" s="155" t="e" cm="1">
        <f t="array" ref="H101">+_xlfn.IFS($C101="Renewable",0,$C101="National grid",VLOOKUP($D101,'EF-S2'!$E$11:$F$169,2,))</f>
        <v>#N/A</v>
      </c>
      <c r="I101" s="155" t="e" cm="1">
        <f t="array" ref="I101">+_xlfn.IFS($C101="Renewable",0,$C101="National grid",VLOOKUP($D101,'EF-S2'!$H$11:$I$169,2,))</f>
        <v>#N/A</v>
      </c>
      <c r="J101" s="155" t="e" cm="1">
        <f t="array" ref="J101">+_xlfn.IFS($F$9="kWh",$E101*G101/1000000,$F$9="MWh",$E101*G101/1000)</f>
        <v>#N/A</v>
      </c>
      <c r="K101" s="155" t="e" cm="1">
        <f t="array" ref="K101">+_xlfn.IFS($F$9="kWh",$E101*H101/1000000,$F$9="MWh",$E101*H101/1000)</f>
        <v>#N/A</v>
      </c>
      <c r="L101" s="155" t="e" cm="1">
        <f t="array" ref="L101">+_xlfn.IFS($F$9="kWh",$E101*I101/1000000,$F$9="MWh",$E101*I101/1000)</f>
        <v>#N/A</v>
      </c>
      <c r="M101" s="156">
        <f t="shared" si="2"/>
        <v>0</v>
      </c>
      <c r="S101" s="152"/>
      <c r="T101" s="158"/>
      <c r="U101" s="159"/>
      <c r="V101" s="167">
        <f>+'EF-S2'!L102</f>
        <v>0</v>
      </c>
      <c r="W101" s="167">
        <f>+'EF-S2'!L103</f>
        <v>0</v>
      </c>
      <c r="X101" s="167">
        <f>+'EF-S2'!L104</f>
        <v>0</v>
      </c>
      <c r="Y101" s="155" t="e" cm="1">
        <f t="array" ref="Y101">+_xlfn.IFS($U$9="kWh",$T101*V101/1000,$U$9="MWh",$T101*V101)</f>
        <v>#N/A</v>
      </c>
      <c r="Z101" s="155" t="e" cm="1">
        <f t="array" ref="Z101">+_xlfn.IFS($U$9="kWh",$T101*W101/1000,$U$9="MWh",$T101*W101)</f>
        <v>#N/A</v>
      </c>
      <c r="AA101" s="155" t="e" cm="1">
        <f t="array" ref="AA101">+_xlfn.IFS($U$9="kWh",$T101*X101/1000,$U$9="MWh",$T101*X101)</f>
        <v>#N/A</v>
      </c>
      <c r="AB101" s="156">
        <f t="shared" si="3"/>
        <v>0</v>
      </c>
    </row>
    <row r="102" spans="2:28" x14ac:dyDescent="0.7">
      <c r="B102" s="152"/>
      <c r="C102" s="159"/>
      <c r="D102" s="159"/>
      <c r="E102" s="158"/>
      <c r="F102" s="159"/>
      <c r="G102" s="155" t="e" cm="1">
        <f t="array" ref="G102">+_xlfn.IFS($C102="Renewable",0,$C102="National grid",VLOOKUP($D102,'EF-S2'!$B$11:$C$169,2,))</f>
        <v>#N/A</v>
      </c>
      <c r="H102" s="155" t="e" cm="1">
        <f t="array" ref="H102">+_xlfn.IFS($C102="Renewable",0,$C102="National grid",VLOOKUP($D102,'EF-S2'!$E$11:$F$169,2,))</f>
        <v>#N/A</v>
      </c>
      <c r="I102" s="155" t="e" cm="1">
        <f t="array" ref="I102">+_xlfn.IFS($C102="Renewable",0,$C102="National grid",VLOOKUP($D102,'EF-S2'!$H$11:$I$169,2,))</f>
        <v>#N/A</v>
      </c>
      <c r="J102" s="155" t="e" cm="1">
        <f t="array" ref="J102">+_xlfn.IFS($F$9="kWh",$E102*G102/1000000,$F$9="MWh",$E102*G102/1000)</f>
        <v>#N/A</v>
      </c>
      <c r="K102" s="155" t="e" cm="1">
        <f t="array" ref="K102">+_xlfn.IFS($F$9="kWh",$E102*H102/1000000,$F$9="MWh",$E102*H102/1000)</f>
        <v>#N/A</v>
      </c>
      <c r="L102" s="155" t="e" cm="1">
        <f t="array" ref="L102">+_xlfn.IFS($F$9="kWh",$E102*I102/1000000,$F$9="MWh",$E102*I102/1000)</f>
        <v>#N/A</v>
      </c>
      <c r="M102" s="156">
        <f t="shared" si="2"/>
        <v>0</v>
      </c>
      <c r="S102" s="152"/>
      <c r="T102" s="158"/>
      <c r="U102" s="159"/>
      <c r="V102" s="167">
        <f>+'EF-S2'!L103</f>
        <v>0</v>
      </c>
      <c r="W102" s="167">
        <f>+'EF-S2'!L104</f>
        <v>0</v>
      </c>
      <c r="X102" s="167">
        <f>+'EF-S2'!L105</f>
        <v>0</v>
      </c>
      <c r="Y102" s="155" t="e" cm="1">
        <f t="array" ref="Y102">+_xlfn.IFS($U$9="kWh",$T102*V102/1000,$U$9="MWh",$T102*V102)</f>
        <v>#N/A</v>
      </c>
      <c r="Z102" s="155" t="e" cm="1">
        <f t="array" ref="Z102">+_xlfn.IFS($U$9="kWh",$T102*W102/1000,$U$9="MWh",$T102*W102)</f>
        <v>#N/A</v>
      </c>
      <c r="AA102" s="155" t="e" cm="1">
        <f t="array" ref="AA102">+_xlfn.IFS($U$9="kWh",$T102*X102/1000,$U$9="MWh",$T102*X102)</f>
        <v>#N/A</v>
      </c>
      <c r="AB102" s="156">
        <f t="shared" si="3"/>
        <v>0</v>
      </c>
    </row>
    <row r="103" spans="2:28" x14ac:dyDescent="0.7">
      <c r="B103" s="152"/>
      <c r="C103" s="159"/>
      <c r="D103" s="159"/>
      <c r="E103" s="158"/>
      <c r="F103" s="159"/>
      <c r="G103" s="155" t="e" cm="1">
        <f t="array" ref="G103">+_xlfn.IFS($C103="Renewable",0,$C103="National grid",VLOOKUP($D103,'EF-S2'!$B$11:$C$169,2,))</f>
        <v>#N/A</v>
      </c>
      <c r="H103" s="155" t="e" cm="1">
        <f t="array" ref="H103">+_xlfn.IFS($C103="Renewable",0,$C103="National grid",VLOOKUP($D103,'EF-S2'!$E$11:$F$169,2,))</f>
        <v>#N/A</v>
      </c>
      <c r="I103" s="155" t="e" cm="1">
        <f t="array" ref="I103">+_xlfn.IFS($C103="Renewable",0,$C103="National grid",VLOOKUP($D103,'EF-S2'!$H$11:$I$169,2,))</f>
        <v>#N/A</v>
      </c>
      <c r="J103" s="155" t="e" cm="1">
        <f t="array" ref="J103">+_xlfn.IFS($F$9="kWh",$E103*G103/1000000,$F$9="MWh",$E103*G103/1000)</f>
        <v>#N/A</v>
      </c>
      <c r="K103" s="155" t="e" cm="1">
        <f t="array" ref="K103">+_xlfn.IFS($F$9="kWh",$E103*H103/1000000,$F$9="MWh",$E103*H103/1000)</f>
        <v>#N/A</v>
      </c>
      <c r="L103" s="155" t="e" cm="1">
        <f t="array" ref="L103">+_xlfn.IFS($F$9="kWh",$E103*I103/1000000,$F$9="MWh",$E103*I103/1000)</f>
        <v>#N/A</v>
      </c>
      <c r="M103" s="156">
        <f t="shared" si="2"/>
        <v>0</v>
      </c>
      <c r="S103" s="152"/>
      <c r="T103" s="158"/>
      <c r="U103" s="159"/>
      <c r="V103" s="167">
        <f>+'EF-S2'!L104</f>
        <v>0</v>
      </c>
      <c r="W103" s="167">
        <f>+'EF-S2'!L105</f>
        <v>0</v>
      </c>
      <c r="X103" s="167">
        <f>+'EF-S2'!L106</f>
        <v>0</v>
      </c>
      <c r="Y103" s="155" t="e" cm="1">
        <f t="array" ref="Y103">+_xlfn.IFS($U$9="kWh",$T103*V103/1000,$U$9="MWh",$T103*V103)</f>
        <v>#N/A</v>
      </c>
      <c r="Z103" s="155" t="e" cm="1">
        <f t="array" ref="Z103">+_xlfn.IFS($U$9="kWh",$T103*W103/1000,$U$9="MWh",$T103*W103)</f>
        <v>#N/A</v>
      </c>
      <c r="AA103" s="155" t="e" cm="1">
        <f t="array" ref="AA103">+_xlfn.IFS($U$9="kWh",$T103*X103/1000,$U$9="MWh",$T103*X103)</f>
        <v>#N/A</v>
      </c>
      <c r="AB103" s="156">
        <f t="shared" si="3"/>
        <v>0</v>
      </c>
    </row>
  </sheetData>
  <sheetProtection algorithmName="SHA-512" hashValue="6Xfl288/JKXneZyOhZANopWjVWlRZJ4rzP9xxbRm134E7Vry3EIBrGZhrNloPnFd5C2i8aHcHBl+H+XWiDIC8A==" saltValue="vxfQ/ytBAq8mda8ugdw4jA==" spinCount="100000" sheet="1" objects="1" scenarios="1"/>
  <protectedRanges>
    <protectedRange sqref="B9:F103 S9:U103" name="Rango1"/>
  </protectedRanges>
  <mergeCells count="8">
    <mergeCell ref="Y7:AB7"/>
    <mergeCell ref="S5:AB5"/>
    <mergeCell ref="S7:U7"/>
    <mergeCell ref="A5:Q5"/>
    <mergeCell ref="J7:M7"/>
    <mergeCell ref="G7:I7"/>
    <mergeCell ref="B7:F7"/>
    <mergeCell ref="V7:X7"/>
  </mergeCells>
  <dataValidations count="3">
    <dataValidation type="list" allowBlank="1" showInputMessage="1" showErrorMessage="1" sqref="C9:C103" xr:uid="{471DF644-3154-4633-9237-F1B1F9DB4D02}">
      <formula1>Electricity</formula1>
    </dataValidation>
    <dataValidation type="list" allowBlank="1" showInputMessage="1" showErrorMessage="1" sqref="F9:F103 U9:U103" xr:uid="{81884618-6265-4EDA-8363-12D39C0C613B}">
      <formula1>Electric_unit</formula1>
    </dataValidation>
    <dataValidation type="decimal" allowBlank="1" showInputMessage="1" showErrorMessage="1" sqref="E9:E103 T9:T103" xr:uid="{BC2E5645-7A6F-4785-8E6E-6E8AD43A9986}">
      <formula1>0</formula1>
      <formula2>9999999</formula2>
    </dataValidation>
  </dataValidations>
  <pageMargins left="0.7" right="0.7" top="0.75" bottom="0.75" header="0.3" footer="0.3"/>
  <pageSetup paperSize="9" orientation="portrait" r:id="rId1"/>
  <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57699FE3-B01C-461D-9B1E-D9F82A824B5F}">
          <x14:formula1>
            <xm:f>'EF-S2'!$B$11:$B$169</xm:f>
          </x14:formula1>
          <xm:sqref>D9:D103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77262-8D86-44ED-8D0A-359AD2183299}">
  <sheetPr>
    <tabColor rgb="FF083C12"/>
  </sheetPr>
  <dimension ref="A4:H102"/>
  <sheetViews>
    <sheetView zoomScale="69" zoomScaleNormal="69" workbookViewId="0">
      <selection activeCell="C8" sqref="C8"/>
    </sheetView>
  </sheetViews>
  <sheetFormatPr baseColWidth="10" defaultColWidth="10.88671875" defaultRowHeight="36.6" x14ac:dyDescent="0.7"/>
  <cols>
    <col min="1" max="1" width="3.33203125" style="143" customWidth="1"/>
    <col min="2" max="2" width="127.88671875" style="143" customWidth="1"/>
    <col min="3" max="3" width="63.33203125" style="143" customWidth="1"/>
    <col min="4" max="4" width="42.6640625" style="143" customWidth="1"/>
    <col min="5" max="5" width="49.44140625" style="143" customWidth="1"/>
    <col min="6" max="6" width="50.109375" style="143" customWidth="1"/>
    <col min="7" max="7" width="18.88671875" style="143" customWidth="1"/>
    <col min="8" max="8" width="61.109375" style="143" hidden="1" customWidth="1"/>
    <col min="9" max="16384" width="10.88671875" style="143"/>
  </cols>
  <sheetData>
    <row r="4" spans="1:8" x14ac:dyDescent="0.7">
      <c r="A4" s="267" t="s">
        <v>102</v>
      </c>
      <c r="B4" s="268"/>
      <c r="C4" s="268"/>
      <c r="D4" s="268"/>
      <c r="E4" s="268"/>
      <c r="H4" s="168" t="s">
        <v>30</v>
      </c>
    </row>
    <row r="5" spans="1:8" x14ac:dyDescent="0.7">
      <c r="H5" s="169" t="s">
        <v>103</v>
      </c>
    </row>
    <row r="6" spans="1:8" x14ac:dyDescent="0.7">
      <c r="A6" s="135"/>
      <c r="B6" s="273" t="s">
        <v>59</v>
      </c>
      <c r="C6" s="274"/>
      <c r="D6" s="275"/>
      <c r="E6" s="235" t="s">
        <v>60</v>
      </c>
      <c r="F6" s="239" t="s">
        <v>61</v>
      </c>
      <c r="H6" s="170" t="s">
        <v>104</v>
      </c>
    </row>
    <row r="7" spans="1:8" x14ac:dyDescent="0.7">
      <c r="A7" s="135"/>
      <c r="B7" s="175" t="s">
        <v>105</v>
      </c>
      <c r="C7" s="175" t="s">
        <v>64</v>
      </c>
      <c r="D7" s="175" t="s">
        <v>32</v>
      </c>
      <c r="E7" s="238" t="s">
        <v>106</v>
      </c>
      <c r="F7" s="237" t="s">
        <v>74</v>
      </c>
      <c r="H7" s="170" t="s">
        <v>107</v>
      </c>
    </row>
    <row r="8" spans="1:8" x14ac:dyDescent="0.7">
      <c r="B8" s="171" t="s">
        <v>103</v>
      </c>
      <c r="C8" s="172">
        <v>600</v>
      </c>
      <c r="D8" s="159" t="s">
        <v>37</v>
      </c>
      <c r="E8" s="167">
        <f>+VLOOKUP(B8,'EF-S3'!$B$10:$C$13,2,)</f>
        <v>0.14899999999999999</v>
      </c>
      <c r="F8" s="173">
        <f>+IFERROR(C8*E8/1000,0)</f>
        <v>8.9399999999999993E-2</v>
      </c>
      <c r="H8" s="174" t="s">
        <v>108</v>
      </c>
    </row>
    <row r="9" spans="1:8" x14ac:dyDescent="0.7">
      <c r="B9" s="171"/>
      <c r="C9" s="172"/>
      <c r="D9" s="159" t="s">
        <v>37</v>
      </c>
      <c r="E9" s="167" t="e">
        <f>+VLOOKUP(B9,'EF-S3'!$B$10:$C$13,2,)</f>
        <v>#N/A</v>
      </c>
      <c r="F9" s="173">
        <f t="shared" ref="F9:F72" si="0">+IFERROR(C9*E9/1000,0)</f>
        <v>0</v>
      </c>
    </row>
    <row r="10" spans="1:8" x14ac:dyDescent="0.7">
      <c r="A10" s="135"/>
      <c r="B10" s="171"/>
      <c r="C10" s="172"/>
      <c r="D10" s="159" t="s">
        <v>37</v>
      </c>
      <c r="E10" s="167" t="e">
        <f>+VLOOKUP(B10,'EF-S3'!$B$10:$C$13,2,)</f>
        <v>#N/A</v>
      </c>
      <c r="F10" s="173">
        <f t="shared" si="0"/>
        <v>0</v>
      </c>
    </row>
    <row r="11" spans="1:8" x14ac:dyDescent="0.7">
      <c r="A11" s="135"/>
      <c r="B11" s="171"/>
      <c r="C11" s="172"/>
      <c r="D11" s="159" t="s">
        <v>37</v>
      </c>
      <c r="E11" s="167" t="e">
        <f>+VLOOKUP(B11,'EF-S3'!$B$10:$C$13,2,)</f>
        <v>#N/A</v>
      </c>
      <c r="F11" s="173">
        <f t="shared" si="0"/>
        <v>0</v>
      </c>
    </row>
    <row r="12" spans="1:8" x14ac:dyDescent="0.7">
      <c r="B12" s="171"/>
      <c r="C12" s="172"/>
      <c r="D12" s="159" t="s">
        <v>37</v>
      </c>
      <c r="E12" s="167" t="e">
        <f>+VLOOKUP(B12,'EF-S3'!$B$10:$C$13,2,)</f>
        <v>#N/A</v>
      </c>
      <c r="F12" s="173">
        <f t="shared" si="0"/>
        <v>0</v>
      </c>
    </row>
    <row r="13" spans="1:8" x14ac:dyDescent="0.7">
      <c r="B13" s="171"/>
      <c r="C13" s="172"/>
      <c r="D13" s="159" t="s">
        <v>37</v>
      </c>
      <c r="E13" s="167" t="e">
        <f>+VLOOKUP(B13,'EF-S3'!$B$10:$C$13,2,)</f>
        <v>#N/A</v>
      </c>
      <c r="F13" s="173">
        <f t="shared" si="0"/>
        <v>0</v>
      </c>
    </row>
    <row r="14" spans="1:8" x14ac:dyDescent="0.7">
      <c r="B14" s="171"/>
      <c r="C14" s="172"/>
      <c r="D14" s="159" t="s">
        <v>37</v>
      </c>
      <c r="E14" s="167" t="e">
        <f>+VLOOKUP(B14,'EF-S3'!$B$10:$C$13,2,)</f>
        <v>#N/A</v>
      </c>
      <c r="F14" s="173">
        <f t="shared" si="0"/>
        <v>0</v>
      </c>
    </row>
    <row r="15" spans="1:8" x14ac:dyDescent="0.7">
      <c r="B15" s="171"/>
      <c r="C15" s="172"/>
      <c r="D15" s="159" t="s">
        <v>37</v>
      </c>
      <c r="E15" s="167" t="e">
        <f>+VLOOKUP(B15,'EF-S3'!$B$10:$C$13,2,)</f>
        <v>#N/A</v>
      </c>
      <c r="F15" s="173">
        <f t="shared" si="0"/>
        <v>0</v>
      </c>
    </row>
    <row r="16" spans="1:8" x14ac:dyDescent="0.7">
      <c r="B16" s="171"/>
      <c r="C16" s="172"/>
      <c r="D16" s="159" t="s">
        <v>37</v>
      </c>
      <c r="E16" s="167" t="e">
        <f>+VLOOKUP(B16,'EF-S3'!$B$10:$C$13,2,)</f>
        <v>#N/A</v>
      </c>
      <c r="F16" s="173">
        <f t="shared" si="0"/>
        <v>0</v>
      </c>
    </row>
    <row r="17" spans="2:6" x14ac:dyDescent="0.7">
      <c r="B17" s="171"/>
      <c r="C17" s="172"/>
      <c r="D17" s="159" t="s">
        <v>37</v>
      </c>
      <c r="E17" s="167" t="e">
        <f>+VLOOKUP(B17,'EF-S3'!$B$10:$C$13,2,)</f>
        <v>#N/A</v>
      </c>
      <c r="F17" s="173">
        <f t="shared" si="0"/>
        <v>0</v>
      </c>
    </row>
    <row r="18" spans="2:6" x14ac:dyDescent="0.7">
      <c r="B18" s="171"/>
      <c r="C18" s="172"/>
      <c r="D18" s="159" t="s">
        <v>37</v>
      </c>
      <c r="E18" s="167" t="e">
        <f>+VLOOKUP(B18,'EF-S3'!$B$10:$C$13,2,)</f>
        <v>#N/A</v>
      </c>
      <c r="F18" s="173">
        <f t="shared" si="0"/>
        <v>0</v>
      </c>
    </row>
    <row r="19" spans="2:6" x14ac:dyDescent="0.7">
      <c r="B19" s="171"/>
      <c r="C19" s="172"/>
      <c r="D19" s="159" t="s">
        <v>37</v>
      </c>
      <c r="E19" s="167" t="e">
        <f>+VLOOKUP(B19,'EF-S3'!$B$10:$C$13,2,)</f>
        <v>#N/A</v>
      </c>
      <c r="F19" s="173">
        <f t="shared" si="0"/>
        <v>0</v>
      </c>
    </row>
    <row r="20" spans="2:6" x14ac:dyDescent="0.7">
      <c r="B20" s="171"/>
      <c r="C20" s="172"/>
      <c r="D20" s="159" t="s">
        <v>37</v>
      </c>
      <c r="E20" s="167" t="e">
        <f>+VLOOKUP(B20,'EF-S3'!$B$10:$C$13,2,)</f>
        <v>#N/A</v>
      </c>
      <c r="F20" s="173">
        <f t="shared" si="0"/>
        <v>0</v>
      </c>
    </row>
    <row r="21" spans="2:6" x14ac:dyDescent="0.7">
      <c r="B21" s="171"/>
      <c r="C21" s="172"/>
      <c r="D21" s="159" t="s">
        <v>37</v>
      </c>
      <c r="E21" s="167" t="e">
        <f>+VLOOKUP(B21,'EF-S3'!$B$10:$C$13,2,)</f>
        <v>#N/A</v>
      </c>
      <c r="F21" s="173">
        <f t="shared" si="0"/>
        <v>0</v>
      </c>
    </row>
    <row r="22" spans="2:6" x14ac:dyDescent="0.7">
      <c r="B22" s="171"/>
      <c r="C22" s="172"/>
      <c r="D22" s="159" t="s">
        <v>37</v>
      </c>
      <c r="E22" s="167" t="e">
        <f>+VLOOKUP(B22,'EF-S3'!$B$10:$C$13,2,)</f>
        <v>#N/A</v>
      </c>
      <c r="F22" s="173">
        <f t="shared" si="0"/>
        <v>0</v>
      </c>
    </row>
    <row r="23" spans="2:6" x14ac:dyDescent="0.7">
      <c r="B23" s="171"/>
      <c r="C23" s="172"/>
      <c r="D23" s="159" t="s">
        <v>37</v>
      </c>
      <c r="E23" s="167" t="e">
        <f>+VLOOKUP(B23,'EF-S3'!$B$10:$C$13,2,)</f>
        <v>#N/A</v>
      </c>
      <c r="F23" s="173">
        <f t="shared" si="0"/>
        <v>0</v>
      </c>
    </row>
    <row r="24" spans="2:6" x14ac:dyDescent="0.7">
      <c r="B24" s="171"/>
      <c r="C24" s="172"/>
      <c r="D24" s="159" t="s">
        <v>37</v>
      </c>
      <c r="E24" s="167" t="e">
        <f>+VLOOKUP(B24,'EF-S3'!$B$10:$C$13,2,)</f>
        <v>#N/A</v>
      </c>
      <c r="F24" s="173">
        <f t="shared" si="0"/>
        <v>0</v>
      </c>
    </row>
    <row r="25" spans="2:6" x14ac:dyDescent="0.7">
      <c r="B25" s="171"/>
      <c r="C25" s="172"/>
      <c r="D25" s="159" t="s">
        <v>37</v>
      </c>
      <c r="E25" s="167" t="e">
        <f>+VLOOKUP(B25,'EF-S3'!$B$10:$C$13,2,)</f>
        <v>#N/A</v>
      </c>
      <c r="F25" s="173">
        <f t="shared" si="0"/>
        <v>0</v>
      </c>
    </row>
    <row r="26" spans="2:6" x14ac:dyDescent="0.7">
      <c r="B26" s="171"/>
      <c r="C26" s="172"/>
      <c r="D26" s="159" t="s">
        <v>37</v>
      </c>
      <c r="E26" s="167" t="e">
        <f>+VLOOKUP(B26,'EF-S3'!$B$10:$C$13,2,)</f>
        <v>#N/A</v>
      </c>
      <c r="F26" s="173">
        <f t="shared" si="0"/>
        <v>0</v>
      </c>
    </row>
    <row r="27" spans="2:6" x14ac:dyDescent="0.7">
      <c r="B27" s="171"/>
      <c r="C27" s="172"/>
      <c r="D27" s="159" t="s">
        <v>37</v>
      </c>
      <c r="E27" s="167" t="e">
        <f>+VLOOKUP(B27,'EF-S3'!$B$10:$C$13,2,)</f>
        <v>#N/A</v>
      </c>
      <c r="F27" s="173">
        <f t="shared" si="0"/>
        <v>0</v>
      </c>
    </row>
    <row r="28" spans="2:6" x14ac:dyDescent="0.7">
      <c r="B28" s="171"/>
      <c r="C28" s="172"/>
      <c r="D28" s="159" t="s">
        <v>37</v>
      </c>
      <c r="E28" s="167" t="e">
        <f>+VLOOKUP(B28,'EF-S3'!$B$10:$C$13,2,)</f>
        <v>#N/A</v>
      </c>
      <c r="F28" s="173">
        <f t="shared" si="0"/>
        <v>0</v>
      </c>
    </row>
    <row r="29" spans="2:6" x14ac:dyDescent="0.7">
      <c r="B29" s="171"/>
      <c r="C29" s="172"/>
      <c r="D29" s="159" t="s">
        <v>37</v>
      </c>
      <c r="E29" s="167" t="e">
        <f>+VLOOKUP(B29,'EF-S3'!$B$10:$C$13,2,)</f>
        <v>#N/A</v>
      </c>
      <c r="F29" s="173">
        <f t="shared" si="0"/>
        <v>0</v>
      </c>
    </row>
    <row r="30" spans="2:6" x14ac:dyDescent="0.7">
      <c r="B30" s="171"/>
      <c r="C30" s="172"/>
      <c r="D30" s="159" t="s">
        <v>37</v>
      </c>
      <c r="E30" s="167" t="e">
        <f>+VLOOKUP(B30,'EF-S3'!$B$10:$C$13,2,)</f>
        <v>#N/A</v>
      </c>
      <c r="F30" s="173">
        <f t="shared" si="0"/>
        <v>0</v>
      </c>
    </row>
    <row r="31" spans="2:6" x14ac:dyDescent="0.7">
      <c r="B31" s="171"/>
      <c r="C31" s="172"/>
      <c r="D31" s="159" t="s">
        <v>37</v>
      </c>
      <c r="E31" s="167" t="e">
        <f>+VLOOKUP(B31,'EF-S3'!$B$10:$C$13,2,)</f>
        <v>#N/A</v>
      </c>
      <c r="F31" s="173">
        <f t="shared" si="0"/>
        <v>0</v>
      </c>
    </row>
    <row r="32" spans="2:6" x14ac:dyDescent="0.7">
      <c r="B32" s="171"/>
      <c r="C32" s="172"/>
      <c r="D32" s="159" t="s">
        <v>37</v>
      </c>
      <c r="E32" s="167" t="e">
        <f>+VLOOKUP(B32,'EF-S3'!$B$10:$C$13,2,)</f>
        <v>#N/A</v>
      </c>
      <c r="F32" s="173">
        <f t="shared" si="0"/>
        <v>0</v>
      </c>
    </row>
    <row r="33" spans="2:6" x14ac:dyDescent="0.7">
      <c r="B33" s="171"/>
      <c r="C33" s="172"/>
      <c r="D33" s="159" t="s">
        <v>37</v>
      </c>
      <c r="E33" s="167" t="e">
        <f>+VLOOKUP(B33,'EF-S3'!$B$10:$C$13,2,)</f>
        <v>#N/A</v>
      </c>
      <c r="F33" s="173">
        <f t="shared" si="0"/>
        <v>0</v>
      </c>
    </row>
    <row r="34" spans="2:6" x14ac:dyDescent="0.7">
      <c r="B34" s="171"/>
      <c r="C34" s="172"/>
      <c r="D34" s="159" t="s">
        <v>37</v>
      </c>
      <c r="E34" s="167" t="e">
        <f>+VLOOKUP(B34,'EF-S3'!$B$10:$C$13,2,)</f>
        <v>#N/A</v>
      </c>
      <c r="F34" s="173">
        <f t="shared" si="0"/>
        <v>0</v>
      </c>
    </row>
    <row r="35" spans="2:6" x14ac:dyDescent="0.7">
      <c r="B35" s="171"/>
      <c r="C35" s="172"/>
      <c r="D35" s="159" t="s">
        <v>37</v>
      </c>
      <c r="E35" s="167" t="e">
        <f>+VLOOKUP(B35,'EF-S3'!$B$10:$C$13,2,)</f>
        <v>#N/A</v>
      </c>
      <c r="F35" s="173">
        <f t="shared" si="0"/>
        <v>0</v>
      </c>
    </row>
    <row r="36" spans="2:6" x14ac:dyDescent="0.7">
      <c r="B36" s="171"/>
      <c r="C36" s="172"/>
      <c r="D36" s="159" t="s">
        <v>37</v>
      </c>
      <c r="E36" s="167" t="e">
        <f>+VLOOKUP(B36,'EF-S3'!$B$10:$C$13,2,)</f>
        <v>#N/A</v>
      </c>
      <c r="F36" s="173">
        <f t="shared" si="0"/>
        <v>0</v>
      </c>
    </row>
    <row r="37" spans="2:6" x14ac:dyDescent="0.7">
      <c r="B37" s="171"/>
      <c r="C37" s="172"/>
      <c r="D37" s="159" t="s">
        <v>37</v>
      </c>
      <c r="E37" s="167" t="e">
        <f>+VLOOKUP(B37,'EF-S3'!$B$10:$C$13,2,)</f>
        <v>#N/A</v>
      </c>
      <c r="F37" s="173">
        <f t="shared" si="0"/>
        <v>0</v>
      </c>
    </row>
    <row r="38" spans="2:6" x14ac:dyDescent="0.7">
      <c r="B38" s="171"/>
      <c r="C38" s="172"/>
      <c r="D38" s="159" t="s">
        <v>37</v>
      </c>
      <c r="E38" s="167" t="e">
        <f>+VLOOKUP(B38,'EF-S3'!$B$10:$C$13,2,)</f>
        <v>#N/A</v>
      </c>
      <c r="F38" s="173">
        <f t="shared" si="0"/>
        <v>0</v>
      </c>
    </row>
    <row r="39" spans="2:6" x14ac:dyDescent="0.7">
      <c r="B39" s="171"/>
      <c r="C39" s="172"/>
      <c r="D39" s="159" t="s">
        <v>37</v>
      </c>
      <c r="E39" s="167" t="e">
        <f>+VLOOKUP(B39,'EF-S3'!$B$10:$C$13,2,)</f>
        <v>#N/A</v>
      </c>
      <c r="F39" s="173">
        <f t="shared" si="0"/>
        <v>0</v>
      </c>
    </row>
    <row r="40" spans="2:6" x14ac:dyDescent="0.7">
      <c r="B40" s="171"/>
      <c r="C40" s="172"/>
      <c r="D40" s="159" t="s">
        <v>37</v>
      </c>
      <c r="E40" s="167" t="e">
        <f>+VLOOKUP(B40,'EF-S3'!$B$10:$C$13,2,)</f>
        <v>#N/A</v>
      </c>
      <c r="F40" s="173">
        <f t="shared" si="0"/>
        <v>0</v>
      </c>
    </row>
    <row r="41" spans="2:6" x14ac:dyDescent="0.7">
      <c r="B41" s="171"/>
      <c r="C41" s="172"/>
      <c r="D41" s="159" t="s">
        <v>37</v>
      </c>
      <c r="E41" s="167" t="e">
        <f>+VLOOKUP(B41,'EF-S3'!$B$10:$C$13,2,)</f>
        <v>#N/A</v>
      </c>
      <c r="F41" s="173">
        <f t="shared" si="0"/>
        <v>0</v>
      </c>
    </row>
    <row r="42" spans="2:6" x14ac:dyDescent="0.7">
      <c r="B42" s="171"/>
      <c r="C42" s="172"/>
      <c r="D42" s="159" t="s">
        <v>37</v>
      </c>
      <c r="E42" s="167" t="e">
        <f>+VLOOKUP(B42,'EF-S3'!$B$10:$C$13,2,)</f>
        <v>#N/A</v>
      </c>
      <c r="F42" s="173">
        <f t="shared" si="0"/>
        <v>0</v>
      </c>
    </row>
    <row r="43" spans="2:6" x14ac:dyDescent="0.7">
      <c r="B43" s="171"/>
      <c r="C43" s="172"/>
      <c r="D43" s="159" t="s">
        <v>37</v>
      </c>
      <c r="E43" s="167" t="e">
        <f>+VLOOKUP(B43,'EF-S3'!$B$10:$C$13,2,)</f>
        <v>#N/A</v>
      </c>
      <c r="F43" s="173">
        <f t="shared" si="0"/>
        <v>0</v>
      </c>
    </row>
    <row r="44" spans="2:6" x14ac:dyDescent="0.7">
      <c r="B44" s="171"/>
      <c r="C44" s="172"/>
      <c r="D44" s="159" t="s">
        <v>37</v>
      </c>
      <c r="E44" s="167" t="e">
        <f>+VLOOKUP(B44,'EF-S3'!$B$10:$C$13,2,)</f>
        <v>#N/A</v>
      </c>
      <c r="F44" s="173">
        <f t="shared" si="0"/>
        <v>0</v>
      </c>
    </row>
    <row r="45" spans="2:6" x14ac:dyDescent="0.7">
      <c r="B45" s="171"/>
      <c r="C45" s="172"/>
      <c r="D45" s="159" t="s">
        <v>37</v>
      </c>
      <c r="E45" s="167" t="e">
        <f>+VLOOKUP(B45,'EF-S3'!$B$10:$C$13,2,)</f>
        <v>#N/A</v>
      </c>
      <c r="F45" s="173">
        <f t="shared" si="0"/>
        <v>0</v>
      </c>
    </row>
    <row r="46" spans="2:6" x14ac:dyDescent="0.7">
      <c r="B46" s="171"/>
      <c r="C46" s="172"/>
      <c r="D46" s="159" t="s">
        <v>37</v>
      </c>
      <c r="E46" s="167" t="e">
        <f>+VLOOKUP(B46,'EF-S3'!$B$10:$C$13,2,)</f>
        <v>#N/A</v>
      </c>
      <c r="F46" s="173">
        <f t="shared" si="0"/>
        <v>0</v>
      </c>
    </row>
    <row r="47" spans="2:6" x14ac:dyDescent="0.7">
      <c r="B47" s="171"/>
      <c r="C47" s="172"/>
      <c r="D47" s="159" t="s">
        <v>37</v>
      </c>
      <c r="E47" s="167" t="e">
        <f>+VLOOKUP(B47,'EF-S3'!$B$10:$C$13,2,)</f>
        <v>#N/A</v>
      </c>
      <c r="F47" s="173">
        <f t="shared" si="0"/>
        <v>0</v>
      </c>
    </row>
    <row r="48" spans="2:6" x14ac:dyDescent="0.7">
      <c r="B48" s="171"/>
      <c r="C48" s="172"/>
      <c r="D48" s="159" t="s">
        <v>37</v>
      </c>
      <c r="E48" s="167" t="e">
        <f>+VLOOKUP(B48,'EF-S3'!$B$10:$C$13,2,)</f>
        <v>#N/A</v>
      </c>
      <c r="F48" s="173">
        <f t="shared" si="0"/>
        <v>0</v>
      </c>
    </row>
    <row r="49" spans="2:6" x14ac:dyDescent="0.7">
      <c r="B49" s="171"/>
      <c r="C49" s="172"/>
      <c r="D49" s="159" t="s">
        <v>37</v>
      </c>
      <c r="E49" s="167" t="e">
        <f>+VLOOKUP(B49,'EF-S3'!$B$10:$C$13,2,)</f>
        <v>#N/A</v>
      </c>
      <c r="F49" s="173">
        <f t="shared" si="0"/>
        <v>0</v>
      </c>
    </row>
    <row r="50" spans="2:6" x14ac:dyDescent="0.7">
      <c r="B50" s="171"/>
      <c r="C50" s="172"/>
      <c r="D50" s="159" t="s">
        <v>37</v>
      </c>
      <c r="E50" s="167" t="e">
        <f>+VLOOKUP(B50,'EF-S3'!$B$10:$C$13,2,)</f>
        <v>#N/A</v>
      </c>
      <c r="F50" s="173">
        <f t="shared" si="0"/>
        <v>0</v>
      </c>
    </row>
    <row r="51" spans="2:6" x14ac:dyDescent="0.7">
      <c r="B51" s="171"/>
      <c r="C51" s="172"/>
      <c r="D51" s="159" t="s">
        <v>37</v>
      </c>
      <c r="E51" s="167" t="e">
        <f>+VLOOKUP(B51,'EF-S3'!$B$10:$C$13,2,)</f>
        <v>#N/A</v>
      </c>
      <c r="F51" s="173">
        <f t="shared" si="0"/>
        <v>0</v>
      </c>
    </row>
    <row r="52" spans="2:6" x14ac:dyDescent="0.7">
      <c r="B52" s="171"/>
      <c r="C52" s="172"/>
      <c r="D52" s="159" t="s">
        <v>37</v>
      </c>
      <c r="E52" s="167" t="e">
        <f>+VLOOKUP(B52,'EF-S3'!$B$10:$C$13,2,)</f>
        <v>#N/A</v>
      </c>
      <c r="F52" s="173">
        <f t="shared" si="0"/>
        <v>0</v>
      </c>
    </row>
    <row r="53" spans="2:6" x14ac:dyDescent="0.7">
      <c r="B53" s="171"/>
      <c r="C53" s="172"/>
      <c r="D53" s="159" t="s">
        <v>37</v>
      </c>
      <c r="E53" s="167" t="e">
        <f>+VLOOKUP(B53,'EF-S3'!$B$10:$C$13,2,)</f>
        <v>#N/A</v>
      </c>
      <c r="F53" s="173">
        <f t="shared" si="0"/>
        <v>0</v>
      </c>
    </row>
    <row r="54" spans="2:6" x14ac:dyDescent="0.7">
      <c r="B54" s="171"/>
      <c r="C54" s="172"/>
      <c r="D54" s="159" t="s">
        <v>37</v>
      </c>
      <c r="E54" s="167" t="e">
        <f>+VLOOKUP(B54,'EF-S3'!$B$10:$C$13,2,)</f>
        <v>#N/A</v>
      </c>
      <c r="F54" s="173">
        <f t="shared" si="0"/>
        <v>0</v>
      </c>
    </row>
    <row r="55" spans="2:6" x14ac:dyDescent="0.7">
      <c r="B55" s="171"/>
      <c r="C55" s="172"/>
      <c r="D55" s="159" t="s">
        <v>37</v>
      </c>
      <c r="E55" s="167" t="e">
        <f>+VLOOKUP(B55,'EF-S3'!$B$10:$C$13,2,)</f>
        <v>#N/A</v>
      </c>
      <c r="F55" s="173">
        <f t="shared" si="0"/>
        <v>0</v>
      </c>
    </row>
    <row r="56" spans="2:6" x14ac:dyDescent="0.7">
      <c r="B56" s="171"/>
      <c r="C56" s="172"/>
      <c r="D56" s="159" t="s">
        <v>37</v>
      </c>
      <c r="E56" s="167" t="e">
        <f>+VLOOKUP(B56,'EF-S3'!$B$10:$C$13,2,)</f>
        <v>#N/A</v>
      </c>
      <c r="F56" s="173">
        <f t="shared" si="0"/>
        <v>0</v>
      </c>
    </row>
    <row r="57" spans="2:6" x14ac:dyDescent="0.7">
      <c r="B57" s="171"/>
      <c r="C57" s="172"/>
      <c r="D57" s="159" t="s">
        <v>37</v>
      </c>
      <c r="E57" s="167" t="e">
        <f>+VLOOKUP(B57,'EF-S3'!$B$10:$C$13,2,)</f>
        <v>#N/A</v>
      </c>
      <c r="F57" s="173">
        <f t="shared" si="0"/>
        <v>0</v>
      </c>
    </row>
    <row r="58" spans="2:6" x14ac:dyDescent="0.7">
      <c r="B58" s="171"/>
      <c r="C58" s="172"/>
      <c r="D58" s="159" t="s">
        <v>37</v>
      </c>
      <c r="E58" s="167" t="e">
        <f>+VLOOKUP(B58,'EF-S3'!$B$10:$C$13,2,)</f>
        <v>#N/A</v>
      </c>
      <c r="F58" s="173">
        <f t="shared" si="0"/>
        <v>0</v>
      </c>
    </row>
    <row r="59" spans="2:6" x14ac:dyDescent="0.7">
      <c r="B59" s="171"/>
      <c r="C59" s="172"/>
      <c r="D59" s="159" t="s">
        <v>37</v>
      </c>
      <c r="E59" s="167" t="e">
        <f>+VLOOKUP(B59,'EF-S3'!$B$10:$C$13,2,)</f>
        <v>#N/A</v>
      </c>
      <c r="F59" s="173">
        <f t="shared" si="0"/>
        <v>0</v>
      </c>
    </row>
    <row r="60" spans="2:6" x14ac:dyDescent="0.7">
      <c r="B60" s="171"/>
      <c r="C60" s="172"/>
      <c r="D60" s="159" t="s">
        <v>37</v>
      </c>
      <c r="E60" s="167" t="e">
        <f>+VLOOKUP(B60,'EF-S3'!$B$10:$C$13,2,)</f>
        <v>#N/A</v>
      </c>
      <c r="F60" s="173">
        <f t="shared" si="0"/>
        <v>0</v>
      </c>
    </row>
    <row r="61" spans="2:6" x14ac:dyDescent="0.7">
      <c r="B61" s="171"/>
      <c r="C61" s="172"/>
      <c r="D61" s="159" t="s">
        <v>37</v>
      </c>
      <c r="E61" s="167" t="e">
        <f>+VLOOKUP(B61,'EF-S3'!$B$10:$C$13,2,)</f>
        <v>#N/A</v>
      </c>
      <c r="F61" s="173">
        <f t="shared" si="0"/>
        <v>0</v>
      </c>
    </row>
    <row r="62" spans="2:6" x14ac:dyDescent="0.7">
      <c r="B62" s="171"/>
      <c r="C62" s="172"/>
      <c r="D62" s="159" t="s">
        <v>37</v>
      </c>
      <c r="E62" s="167" t="e">
        <f>+VLOOKUP(B62,'EF-S3'!$B$10:$C$13,2,)</f>
        <v>#N/A</v>
      </c>
      <c r="F62" s="173">
        <f t="shared" si="0"/>
        <v>0</v>
      </c>
    </row>
    <row r="63" spans="2:6" x14ac:dyDescent="0.7">
      <c r="B63" s="171"/>
      <c r="C63" s="172"/>
      <c r="D63" s="159" t="s">
        <v>37</v>
      </c>
      <c r="E63" s="167" t="e">
        <f>+VLOOKUP(B63,'EF-S3'!$B$10:$C$13,2,)</f>
        <v>#N/A</v>
      </c>
      <c r="F63" s="173">
        <f t="shared" si="0"/>
        <v>0</v>
      </c>
    </row>
    <row r="64" spans="2:6" x14ac:dyDescent="0.7">
      <c r="B64" s="171"/>
      <c r="C64" s="172"/>
      <c r="D64" s="159" t="s">
        <v>37</v>
      </c>
      <c r="E64" s="167" t="e">
        <f>+VLOOKUP(B64,'EF-S3'!$B$10:$C$13,2,)</f>
        <v>#N/A</v>
      </c>
      <c r="F64" s="173">
        <f t="shared" si="0"/>
        <v>0</v>
      </c>
    </row>
    <row r="65" spans="2:6" x14ac:dyDescent="0.7">
      <c r="B65" s="171"/>
      <c r="C65" s="172"/>
      <c r="D65" s="159" t="s">
        <v>37</v>
      </c>
      <c r="E65" s="167" t="e">
        <f>+VLOOKUP(B65,'EF-S3'!$B$10:$C$13,2,)</f>
        <v>#N/A</v>
      </c>
      <c r="F65" s="173">
        <f t="shared" si="0"/>
        <v>0</v>
      </c>
    </row>
    <row r="66" spans="2:6" x14ac:dyDescent="0.7">
      <c r="B66" s="171"/>
      <c r="C66" s="172"/>
      <c r="D66" s="159" t="s">
        <v>37</v>
      </c>
      <c r="E66" s="167" t="e">
        <f>+VLOOKUP(B66,'EF-S3'!$B$10:$C$13,2,)</f>
        <v>#N/A</v>
      </c>
      <c r="F66" s="173">
        <f t="shared" si="0"/>
        <v>0</v>
      </c>
    </row>
    <row r="67" spans="2:6" x14ac:dyDescent="0.7">
      <c r="B67" s="171"/>
      <c r="C67" s="172"/>
      <c r="D67" s="159" t="s">
        <v>37</v>
      </c>
      <c r="E67" s="167" t="e">
        <f>+VLOOKUP(B67,'EF-S3'!$B$10:$C$13,2,)</f>
        <v>#N/A</v>
      </c>
      <c r="F67" s="173">
        <f t="shared" si="0"/>
        <v>0</v>
      </c>
    </row>
    <row r="68" spans="2:6" x14ac:dyDescent="0.7">
      <c r="B68" s="171"/>
      <c r="C68" s="172"/>
      <c r="D68" s="159" t="s">
        <v>37</v>
      </c>
      <c r="E68" s="167" t="e">
        <f>+VLOOKUP(B68,'EF-S3'!$B$10:$C$13,2,)</f>
        <v>#N/A</v>
      </c>
      <c r="F68" s="173">
        <f t="shared" si="0"/>
        <v>0</v>
      </c>
    </row>
    <row r="69" spans="2:6" x14ac:dyDescent="0.7">
      <c r="B69" s="171"/>
      <c r="C69" s="172"/>
      <c r="D69" s="159" t="s">
        <v>37</v>
      </c>
      <c r="E69" s="167" t="e">
        <f>+VLOOKUP(B69,'EF-S3'!$B$10:$C$13,2,)</f>
        <v>#N/A</v>
      </c>
      <c r="F69" s="173">
        <f t="shared" si="0"/>
        <v>0</v>
      </c>
    </row>
    <row r="70" spans="2:6" x14ac:dyDescent="0.7">
      <c r="B70" s="171"/>
      <c r="C70" s="172"/>
      <c r="D70" s="159" t="s">
        <v>37</v>
      </c>
      <c r="E70" s="167" t="e">
        <f>+VLOOKUP(B70,'EF-S3'!$B$10:$C$13,2,)</f>
        <v>#N/A</v>
      </c>
      <c r="F70" s="173">
        <f t="shared" si="0"/>
        <v>0</v>
      </c>
    </row>
    <row r="71" spans="2:6" x14ac:dyDescent="0.7">
      <c r="B71" s="171"/>
      <c r="C71" s="172"/>
      <c r="D71" s="159" t="s">
        <v>37</v>
      </c>
      <c r="E71" s="167" t="e">
        <f>+VLOOKUP(B71,'EF-S3'!$B$10:$C$13,2,)</f>
        <v>#N/A</v>
      </c>
      <c r="F71" s="173">
        <f t="shared" si="0"/>
        <v>0</v>
      </c>
    </row>
    <row r="72" spans="2:6" x14ac:dyDescent="0.7">
      <c r="B72" s="171"/>
      <c r="C72" s="172"/>
      <c r="D72" s="159" t="s">
        <v>37</v>
      </c>
      <c r="E72" s="167" t="e">
        <f>+VLOOKUP(B72,'EF-S3'!$B$10:$C$13,2,)</f>
        <v>#N/A</v>
      </c>
      <c r="F72" s="173">
        <f t="shared" si="0"/>
        <v>0</v>
      </c>
    </row>
    <row r="73" spans="2:6" x14ac:dyDescent="0.7">
      <c r="B73" s="171"/>
      <c r="C73" s="172"/>
      <c r="D73" s="159" t="s">
        <v>37</v>
      </c>
      <c r="E73" s="167" t="e">
        <f>+VLOOKUP(B73,'EF-S3'!$B$10:$C$13,2,)</f>
        <v>#N/A</v>
      </c>
      <c r="F73" s="173">
        <f t="shared" ref="F73:F102" si="1">+IFERROR(C73*E73/1000,0)</f>
        <v>0</v>
      </c>
    </row>
    <row r="74" spans="2:6" x14ac:dyDescent="0.7">
      <c r="B74" s="171"/>
      <c r="C74" s="172"/>
      <c r="D74" s="159" t="s">
        <v>37</v>
      </c>
      <c r="E74" s="167" t="e">
        <f>+VLOOKUP(B74,'EF-S3'!$B$10:$C$13,2,)</f>
        <v>#N/A</v>
      </c>
      <c r="F74" s="173">
        <f t="shared" si="1"/>
        <v>0</v>
      </c>
    </row>
    <row r="75" spans="2:6" x14ac:dyDescent="0.7">
      <c r="B75" s="171"/>
      <c r="C75" s="172"/>
      <c r="D75" s="159" t="s">
        <v>37</v>
      </c>
      <c r="E75" s="167" t="e">
        <f>+VLOOKUP(B75,'EF-S3'!$B$10:$C$13,2,)</f>
        <v>#N/A</v>
      </c>
      <c r="F75" s="173">
        <f t="shared" si="1"/>
        <v>0</v>
      </c>
    </row>
    <row r="76" spans="2:6" x14ac:dyDescent="0.7">
      <c r="B76" s="171"/>
      <c r="C76" s="172"/>
      <c r="D76" s="159" t="s">
        <v>37</v>
      </c>
      <c r="E76" s="167" t="e">
        <f>+VLOOKUP(B76,'EF-S3'!$B$10:$C$13,2,)</f>
        <v>#N/A</v>
      </c>
      <c r="F76" s="173">
        <f t="shared" si="1"/>
        <v>0</v>
      </c>
    </row>
    <row r="77" spans="2:6" x14ac:dyDescent="0.7">
      <c r="B77" s="171"/>
      <c r="C77" s="172"/>
      <c r="D77" s="159" t="s">
        <v>37</v>
      </c>
      <c r="E77" s="167" t="e">
        <f>+VLOOKUP(B77,'EF-S3'!$B$10:$C$13,2,)</f>
        <v>#N/A</v>
      </c>
      <c r="F77" s="173">
        <f t="shared" si="1"/>
        <v>0</v>
      </c>
    </row>
    <row r="78" spans="2:6" x14ac:dyDescent="0.7">
      <c r="B78" s="171"/>
      <c r="C78" s="172"/>
      <c r="D78" s="159" t="s">
        <v>37</v>
      </c>
      <c r="E78" s="167" t="e">
        <f>+VLOOKUP(B78,'EF-S3'!$B$10:$C$13,2,)</f>
        <v>#N/A</v>
      </c>
      <c r="F78" s="173">
        <f t="shared" si="1"/>
        <v>0</v>
      </c>
    </row>
    <row r="79" spans="2:6" x14ac:dyDescent="0.7">
      <c r="B79" s="171"/>
      <c r="C79" s="172"/>
      <c r="D79" s="159" t="s">
        <v>37</v>
      </c>
      <c r="E79" s="167" t="e">
        <f>+VLOOKUP(B79,'EF-S3'!$B$10:$C$13,2,)</f>
        <v>#N/A</v>
      </c>
      <c r="F79" s="173">
        <f t="shared" si="1"/>
        <v>0</v>
      </c>
    </row>
    <row r="80" spans="2:6" x14ac:dyDescent="0.7">
      <c r="B80" s="171"/>
      <c r="C80" s="172"/>
      <c r="D80" s="159" t="s">
        <v>37</v>
      </c>
      <c r="E80" s="167" t="e">
        <f>+VLOOKUP(B80,'EF-S3'!$B$10:$C$13,2,)</f>
        <v>#N/A</v>
      </c>
      <c r="F80" s="173">
        <f t="shared" si="1"/>
        <v>0</v>
      </c>
    </row>
    <row r="81" spans="2:6" x14ac:dyDescent="0.7">
      <c r="B81" s="171"/>
      <c r="C81" s="172"/>
      <c r="D81" s="159" t="s">
        <v>37</v>
      </c>
      <c r="E81" s="167" t="e">
        <f>+VLOOKUP(B81,'EF-S3'!$B$10:$C$13,2,)</f>
        <v>#N/A</v>
      </c>
      <c r="F81" s="173">
        <f t="shared" si="1"/>
        <v>0</v>
      </c>
    </row>
    <row r="82" spans="2:6" x14ac:dyDescent="0.7">
      <c r="B82" s="171"/>
      <c r="C82" s="172"/>
      <c r="D82" s="159" t="s">
        <v>37</v>
      </c>
      <c r="E82" s="167" t="e">
        <f>+VLOOKUP(B82,'EF-S3'!$B$10:$C$13,2,)</f>
        <v>#N/A</v>
      </c>
      <c r="F82" s="173">
        <f t="shared" si="1"/>
        <v>0</v>
      </c>
    </row>
    <row r="83" spans="2:6" x14ac:dyDescent="0.7">
      <c r="B83" s="171"/>
      <c r="C83" s="172"/>
      <c r="D83" s="159" t="s">
        <v>37</v>
      </c>
      <c r="E83" s="167" t="e">
        <f>+VLOOKUP(B83,'EF-S3'!$B$10:$C$13,2,)</f>
        <v>#N/A</v>
      </c>
      <c r="F83" s="173">
        <f t="shared" si="1"/>
        <v>0</v>
      </c>
    </row>
    <row r="84" spans="2:6" x14ac:dyDescent="0.7">
      <c r="B84" s="171"/>
      <c r="C84" s="172"/>
      <c r="D84" s="159" t="s">
        <v>37</v>
      </c>
      <c r="E84" s="167" t="e">
        <f>+VLOOKUP(B84,'EF-S3'!$B$10:$C$13,2,)</f>
        <v>#N/A</v>
      </c>
      <c r="F84" s="173">
        <f t="shared" si="1"/>
        <v>0</v>
      </c>
    </row>
    <row r="85" spans="2:6" x14ac:dyDescent="0.7">
      <c r="B85" s="171"/>
      <c r="C85" s="172"/>
      <c r="D85" s="159" t="s">
        <v>37</v>
      </c>
      <c r="E85" s="167" t="e">
        <f>+VLOOKUP(B85,'EF-S3'!$B$10:$C$13,2,)</f>
        <v>#N/A</v>
      </c>
      <c r="F85" s="173">
        <f t="shared" si="1"/>
        <v>0</v>
      </c>
    </row>
    <row r="86" spans="2:6" x14ac:dyDescent="0.7">
      <c r="B86" s="171"/>
      <c r="C86" s="172"/>
      <c r="D86" s="159" t="s">
        <v>37</v>
      </c>
      <c r="E86" s="167" t="e">
        <f>+VLOOKUP(B86,'EF-S3'!$B$10:$C$13,2,)</f>
        <v>#N/A</v>
      </c>
      <c r="F86" s="173">
        <f t="shared" si="1"/>
        <v>0</v>
      </c>
    </row>
    <row r="87" spans="2:6" x14ac:dyDescent="0.7">
      <c r="B87" s="171"/>
      <c r="C87" s="172"/>
      <c r="D87" s="159" t="s">
        <v>37</v>
      </c>
      <c r="E87" s="167" t="e">
        <f>+VLOOKUP(B87,'EF-S3'!$B$10:$C$13,2,)</f>
        <v>#N/A</v>
      </c>
      <c r="F87" s="173">
        <f t="shared" si="1"/>
        <v>0</v>
      </c>
    </row>
    <row r="88" spans="2:6" x14ac:dyDescent="0.7">
      <c r="B88" s="171"/>
      <c r="C88" s="172"/>
      <c r="D88" s="159" t="s">
        <v>37</v>
      </c>
      <c r="E88" s="167" t="e">
        <f>+VLOOKUP(B88,'EF-S3'!$B$10:$C$13,2,)</f>
        <v>#N/A</v>
      </c>
      <c r="F88" s="173">
        <f t="shared" si="1"/>
        <v>0</v>
      </c>
    </row>
    <row r="89" spans="2:6" x14ac:dyDescent="0.7">
      <c r="B89" s="171"/>
      <c r="C89" s="172"/>
      <c r="D89" s="159" t="s">
        <v>37</v>
      </c>
      <c r="E89" s="167" t="e">
        <f>+VLOOKUP(B89,'EF-S3'!$B$10:$C$13,2,)</f>
        <v>#N/A</v>
      </c>
      <c r="F89" s="173">
        <f t="shared" si="1"/>
        <v>0</v>
      </c>
    </row>
    <row r="90" spans="2:6" x14ac:dyDescent="0.7">
      <c r="B90" s="171"/>
      <c r="C90" s="172"/>
      <c r="D90" s="159" t="s">
        <v>37</v>
      </c>
      <c r="E90" s="167" t="e">
        <f>+VLOOKUP(B90,'EF-S3'!$B$10:$C$13,2,)</f>
        <v>#N/A</v>
      </c>
      <c r="F90" s="173">
        <f t="shared" si="1"/>
        <v>0</v>
      </c>
    </row>
    <row r="91" spans="2:6" x14ac:dyDescent="0.7">
      <c r="B91" s="171"/>
      <c r="C91" s="172"/>
      <c r="D91" s="159" t="s">
        <v>37</v>
      </c>
      <c r="E91" s="167" t="e">
        <f>+VLOOKUP(B91,'EF-S3'!$B$10:$C$13,2,)</f>
        <v>#N/A</v>
      </c>
      <c r="F91" s="173">
        <f t="shared" si="1"/>
        <v>0</v>
      </c>
    </row>
    <row r="92" spans="2:6" x14ac:dyDescent="0.7">
      <c r="B92" s="171"/>
      <c r="C92" s="172"/>
      <c r="D92" s="159" t="s">
        <v>37</v>
      </c>
      <c r="E92" s="167" t="e">
        <f>+VLOOKUP(B92,'EF-S3'!$B$10:$C$13,2,)</f>
        <v>#N/A</v>
      </c>
      <c r="F92" s="173">
        <f t="shared" si="1"/>
        <v>0</v>
      </c>
    </row>
    <row r="93" spans="2:6" x14ac:dyDescent="0.7">
      <c r="B93" s="171"/>
      <c r="C93" s="172"/>
      <c r="D93" s="159" t="s">
        <v>37</v>
      </c>
      <c r="E93" s="167" t="e">
        <f>+VLOOKUP(B93,'EF-S3'!$B$10:$C$13,2,)</f>
        <v>#N/A</v>
      </c>
      <c r="F93" s="173">
        <f t="shared" si="1"/>
        <v>0</v>
      </c>
    </row>
    <row r="94" spans="2:6" x14ac:dyDescent="0.7">
      <c r="B94" s="171"/>
      <c r="C94" s="172"/>
      <c r="D94" s="159" t="s">
        <v>37</v>
      </c>
      <c r="E94" s="167" t="e">
        <f>+VLOOKUP(B94,'EF-S3'!$B$10:$C$13,2,)</f>
        <v>#N/A</v>
      </c>
      <c r="F94" s="173">
        <f t="shared" si="1"/>
        <v>0</v>
      </c>
    </row>
    <row r="95" spans="2:6" x14ac:dyDescent="0.7">
      <c r="B95" s="171"/>
      <c r="C95" s="172"/>
      <c r="D95" s="159" t="s">
        <v>37</v>
      </c>
      <c r="E95" s="167" t="e">
        <f>+VLOOKUP(B95,'EF-S3'!$B$10:$C$13,2,)</f>
        <v>#N/A</v>
      </c>
      <c r="F95" s="173">
        <f t="shared" si="1"/>
        <v>0</v>
      </c>
    </row>
    <row r="96" spans="2:6" x14ac:dyDescent="0.7">
      <c r="B96" s="171"/>
      <c r="C96" s="172"/>
      <c r="D96" s="159" t="s">
        <v>37</v>
      </c>
      <c r="E96" s="167" t="e">
        <f>+VLOOKUP(B96,'EF-S3'!$B$10:$C$13,2,)</f>
        <v>#N/A</v>
      </c>
      <c r="F96" s="173">
        <f t="shared" si="1"/>
        <v>0</v>
      </c>
    </row>
    <row r="97" spans="2:6" x14ac:dyDescent="0.7">
      <c r="B97" s="171"/>
      <c r="C97" s="172"/>
      <c r="D97" s="159" t="s">
        <v>37</v>
      </c>
      <c r="E97" s="167" t="e">
        <f>+VLOOKUP(B97,'EF-S3'!$B$10:$C$13,2,)</f>
        <v>#N/A</v>
      </c>
      <c r="F97" s="173">
        <f t="shared" si="1"/>
        <v>0</v>
      </c>
    </row>
    <row r="98" spans="2:6" x14ac:dyDescent="0.7">
      <c r="B98" s="171"/>
      <c r="C98" s="172"/>
      <c r="D98" s="159" t="s">
        <v>37</v>
      </c>
      <c r="E98" s="167" t="e">
        <f>+VLOOKUP(B98,'EF-S3'!$B$10:$C$13,2,)</f>
        <v>#N/A</v>
      </c>
      <c r="F98" s="173">
        <f t="shared" si="1"/>
        <v>0</v>
      </c>
    </row>
    <row r="99" spans="2:6" x14ac:dyDescent="0.7">
      <c r="B99" s="171"/>
      <c r="C99" s="172"/>
      <c r="D99" s="159" t="s">
        <v>37</v>
      </c>
      <c r="E99" s="167" t="e">
        <f>+VLOOKUP(B99,'EF-S3'!$B$10:$C$13,2,)</f>
        <v>#N/A</v>
      </c>
      <c r="F99" s="173">
        <f t="shared" si="1"/>
        <v>0</v>
      </c>
    </row>
    <row r="100" spans="2:6" x14ac:dyDescent="0.7">
      <c r="B100" s="171"/>
      <c r="C100" s="172"/>
      <c r="D100" s="159" t="s">
        <v>37</v>
      </c>
      <c r="E100" s="167" t="e">
        <f>+VLOOKUP(B100,'EF-S3'!$B$10:$C$13,2,)</f>
        <v>#N/A</v>
      </c>
      <c r="F100" s="173">
        <f t="shared" si="1"/>
        <v>0</v>
      </c>
    </row>
    <row r="101" spans="2:6" x14ac:dyDescent="0.7">
      <c r="B101" s="171"/>
      <c r="C101" s="172"/>
      <c r="D101" s="159" t="s">
        <v>37</v>
      </c>
      <c r="E101" s="167" t="e">
        <f>+VLOOKUP(B101,'EF-S3'!$B$10:$C$13,2,)</f>
        <v>#N/A</v>
      </c>
      <c r="F101" s="173">
        <f t="shared" si="1"/>
        <v>0</v>
      </c>
    </row>
    <row r="102" spans="2:6" x14ac:dyDescent="0.7">
      <c r="B102" s="171"/>
      <c r="C102" s="172"/>
      <c r="D102" s="159" t="s">
        <v>37</v>
      </c>
      <c r="E102" s="167" t="e">
        <f>+VLOOKUP(B102,'EF-S3'!$B$10:$C$13,2,)</f>
        <v>#N/A</v>
      </c>
      <c r="F102" s="173">
        <f t="shared" si="1"/>
        <v>0</v>
      </c>
    </row>
  </sheetData>
  <sheetProtection algorithmName="SHA-512" hashValue="c2QEPvI29GlC3kLo6XWXk4PcMi0h6IahfPW9Waqxnks/MPp5uv+zo5vddL/ihilN3T2NTuIJt33IFyfBtVaDOA==" saltValue="7U4JJrC0XDOTyfvbtp31/w==" spinCount="100000" sheet="1" objects="1" scenarios="1"/>
  <protectedRanges>
    <protectedRange sqref="B8:C102" name="Rango1"/>
  </protectedRanges>
  <mergeCells count="2">
    <mergeCell ref="B6:D6"/>
    <mergeCell ref="A4:E4"/>
  </mergeCells>
  <phoneticPr fontId="29" type="noConversion"/>
  <dataValidations count="2">
    <dataValidation type="list" allowBlank="1" showInputMessage="1" showErrorMessage="1" sqref="B8:B102" xr:uid="{5355FC5C-6AD2-41A5-B6CF-13D01C2DC50B}">
      <formula1>Type_of_sources</formula1>
    </dataValidation>
    <dataValidation type="decimal" allowBlank="1" showInputMessage="1" showErrorMessage="1" sqref="C8:C102" xr:uid="{E3853674-AAB2-4DE6-82DE-9204BC96EAF6}">
      <formula1>0</formula1>
      <formula2>9999999</formula2>
    </dataValidation>
  </dataValidations>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4EA8C-A87C-41D7-8187-1326AAB2D306}">
  <sheetPr>
    <tabColor rgb="FF083C12"/>
  </sheetPr>
  <dimension ref="A4:I102"/>
  <sheetViews>
    <sheetView zoomScale="70" zoomScaleNormal="70" workbookViewId="0">
      <selection activeCell="D10" sqref="D10"/>
    </sheetView>
  </sheetViews>
  <sheetFormatPr baseColWidth="10" defaultColWidth="10.88671875" defaultRowHeight="36.6" x14ac:dyDescent="0.7"/>
  <cols>
    <col min="1" max="1" width="3.6640625" style="143" customWidth="1"/>
    <col min="2" max="2" width="65.109375" style="143" customWidth="1"/>
    <col min="3" max="3" width="46.109375" style="143" customWidth="1"/>
    <col min="4" max="4" width="41.109375" style="143" customWidth="1"/>
    <col min="5" max="5" width="39.33203125" style="143" customWidth="1"/>
    <col min="6" max="6" width="42.44140625" style="143" customWidth="1"/>
    <col min="7" max="7" width="63" style="143" customWidth="1"/>
    <col min="8" max="8" width="10.88671875" style="143"/>
    <col min="9" max="9" width="0" style="143" hidden="1" customWidth="1"/>
    <col min="10" max="16384" width="10.88671875" style="143"/>
  </cols>
  <sheetData>
    <row r="4" spans="1:9" x14ac:dyDescent="0.7">
      <c r="A4" s="267" t="s">
        <v>109</v>
      </c>
      <c r="B4" s="268"/>
      <c r="C4" s="268"/>
      <c r="D4" s="268"/>
      <c r="E4" s="268"/>
      <c r="F4" s="269"/>
      <c r="I4" s="169" t="s">
        <v>32</v>
      </c>
    </row>
    <row r="5" spans="1:9" x14ac:dyDescent="0.7">
      <c r="I5" s="170" t="s">
        <v>49</v>
      </c>
    </row>
    <row r="6" spans="1:9" hidden="1" x14ac:dyDescent="0.7">
      <c r="A6" s="135"/>
      <c r="I6" s="174" t="s">
        <v>110</v>
      </c>
    </row>
    <row r="7" spans="1:9" x14ac:dyDescent="0.7">
      <c r="A7" s="135"/>
    </row>
    <row r="8" spans="1:9" x14ac:dyDescent="0.7">
      <c r="A8" s="135"/>
      <c r="B8" s="273" t="s">
        <v>59</v>
      </c>
      <c r="C8" s="274"/>
      <c r="D8" s="275"/>
      <c r="E8" s="270" t="s">
        <v>60</v>
      </c>
      <c r="F8" s="271"/>
      <c r="G8" s="240" t="s">
        <v>61</v>
      </c>
    </row>
    <row r="9" spans="1:9" ht="32.1" customHeight="1" x14ac:dyDescent="0.7">
      <c r="A9" s="135"/>
      <c r="B9" s="152" t="s">
        <v>85</v>
      </c>
      <c r="C9" s="152" t="s">
        <v>64</v>
      </c>
      <c r="D9" s="152" t="s">
        <v>32</v>
      </c>
      <c r="E9" s="238" t="s">
        <v>111</v>
      </c>
      <c r="F9" s="238" t="s">
        <v>32</v>
      </c>
      <c r="G9" s="237" t="s">
        <v>74</v>
      </c>
    </row>
    <row r="10" spans="1:9" x14ac:dyDescent="0.7">
      <c r="A10" s="135"/>
      <c r="B10" s="159" t="s">
        <v>112</v>
      </c>
      <c r="C10" s="158">
        <v>1</v>
      </c>
      <c r="D10" s="160" t="s">
        <v>49</v>
      </c>
      <c r="E10" s="167">
        <f>+VLOOKUP(B10,Tabla16[[Type]:[Unit]],2,)</f>
        <v>4633.478260869565</v>
      </c>
      <c r="F10" s="155" t="str">
        <f>+VLOOKUP(B10,Tabla16[[Type]:[Unit]],3,)</f>
        <v>kgCO2e/t</v>
      </c>
      <c r="G10" s="199" cm="1">
        <f t="array" ref="G10">+IFERROR(_xlfn.IFS(F10="kgCO2e/t",IF(D10="kg",C10*E10/1000000,C10*E10/1000),F10="kgCO2e/kg",IF(D10="kg",C10*E10/1000,C10*E10)),0)</f>
        <v>4.6334782608695654E-3</v>
      </c>
    </row>
    <row r="11" spans="1:9" x14ac:dyDescent="0.7">
      <c r="B11" s="159"/>
      <c r="C11" s="158"/>
      <c r="D11" s="160"/>
      <c r="E11" s="167" t="e">
        <f>+VLOOKUP(B11,Tabla16[[Type]:[Unit]],2,)</f>
        <v>#N/A</v>
      </c>
      <c r="F11" s="155" t="e">
        <f>+VLOOKUP(B11,Tabla16[[Type]:[Unit]],3,)</f>
        <v>#N/A</v>
      </c>
      <c r="G11" s="199" cm="1">
        <f t="array" ref="G11">+IFERROR(_xlfn.IFS(F11="kgCO2e/t",IF(D11="kg",C11*E11/1000000,C11*E11/1000),F11="kgCO2e/kg",IF(D11="kg",C11*E11/1000,C11*E11)),0)</f>
        <v>0</v>
      </c>
    </row>
    <row r="12" spans="1:9" x14ac:dyDescent="0.7">
      <c r="B12" s="159"/>
      <c r="C12" s="158"/>
      <c r="D12" s="160"/>
      <c r="E12" s="167" t="e">
        <f>+VLOOKUP(B12,Tabla16[[Type]:[Unit]],2,)</f>
        <v>#N/A</v>
      </c>
      <c r="F12" s="155" t="e">
        <f>+VLOOKUP(B12,Tabla16[[Type]:[Unit]],3,)</f>
        <v>#N/A</v>
      </c>
      <c r="G12" s="199" cm="1">
        <f t="array" ref="G12">+IFERROR(_xlfn.IFS(F12="kgCO2e/t",IF(D12="kg",C12*E12/1000000,C12*E12/1000),F12="kgCO2e/kg",IF(D12="kg",C12*E12/1000,C12*E12)),0)</f>
        <v>0</v>
      </c>
    </row>
    <row r="13" spans="1:9" x14ac:dyDescent="0.7">
      <c r="B13" s="159"/>
      <c r="C13" s="158"/>
      <c r="D13" s="160"/>
      <c r="E13" s="167" t="e">
        <f>+VLOOKUP(B13,Tabla16[[Type]:[Unit]],2,)</f>
        <v>#N/A</v>
      </c>
      <c r="F13" s="155" t="e">
        <f>+VLOOKUP(B13,Tabla16[[Type]:[Unit]],3,)</f>
        <v>#N/A</v>
      </c>
      <c r="G13" s="199" cm="1">
        <f t="array" ref="G13">+IFERROR(_xlfn.IFS(F13="kgCO2e/t",IF(D13="kg",C13*E13/1000000,C13*E13/1000),F13="kgCO2e/kg",IF(D13="kg",C13*E13/1000,C13*E13)),0)</f>
        <v>0</v>
      </c>
    </row>
    <row r="14" spans="1:9" x14ac:dyDescent="0.7">
      <c r="B14" s="159"/>
      <c r="C14" s="158"/>
      <c r="D14" s="160"/>
      <c r="E14" s="167" t="e">
        <f>+VLOOKUP(B14,Tabla16[[Type]:[Unit]],2,)</f>
        <v>#N/A</v>
      </c>
      <c r="F14" s="155" t="e">
        <f>+VLOOKUP(B14,Tabla16[[Type]:[Unit]],3,)</f>
        <v>#N/A</v>
      </c>
      <c r="G14" s="199" cm="1">
        <f t="array" ref="G14">+IFERROR(_xlfn.IFS(F14="kgCO2e/t",IF(D14="kg",C14*E14/1000000,C14*E14/1000),F14="kgCO2e/kg",IF(D14="kg",C14*E14/1000,C14*E14)),0)</f>
        <v>0</v>
      </c>
    </row>
    <row r="15" spans="1:9" x14ac:dyDescent="0.7">
      <c r="B15" s="159"/>
      <c r="C15" s="158"/>
      <c r="D15" s="160"/>
      <c r="E15" s="167" t="e">
        <f>+VLOOKUP(B15,Tabla16[[Type]:[Unit]],2,)</f>
        <v>#N/A</v>
      </c>
      <c r="F15" s="155" t="e">
        <f>+VLOOKUP(B15,Tabla16[[Type]:[Unit]],3,)</f>
        <v>#N/A</v>
      </c>
      <c r="G15" s="199" cm="1">
        <f t="array" ref="G15">+IFERROR(_xlfn.IFS(F15="kgCO2e/t",IF(D15="kg",C15*E15/1000000,C15*E15/1000),F15="kgCO2e/kg",IF(D15="kg",C15*E15/1000,C15*E15)),0)</f>
        <v>0</v>
      </c>
    </row>
    <row r="16" spans="1:9" x14ac:dyDescent="0.7">
      <c r="B16" s="159"/>
      <c r="C16" s="158"/>
      <c r="D16" s="160"/>
      <c r="E16" s="167" t="e">
        <f>+VLOOKUP(B16,Tabla16[[Type]:[Unit]],2,)</f>
        <v>#N/A</v>
      </c>
      <c r="F16" s="155" t="e">
        <f>+VLOOKUP(B16,Tabla16[[Type]:[Unit]],3,)</f>
        <v>#N/A</v>
      </c>
      <c r="G16" s="199" cm="1">
        <f t="array" ref="G16">+IFERROR(_xlfn.IFS(F16="kgCO2e/t",IF(D16="kg",C16*E16/1000000,C16*E16/1000),F16="kgCO2e/kg",IF(D16="kg",C16*E16/1000,C16*E16)),0)</f>
        <v>0</v>
      </c>
    </row>
    <row r="17" spans="2:7" x14ac:dyDescent="0.7">
      <c r="B17" s="159"/>
      <c r="C17" s="158"/>
      <c r="D17" s="160"/>
      <c r="E17" s="167" t="e">
        <f>+VLOOKUP(B17,Tabla16[[Type]:[Unit]],2,)</f>
        <v>#N/A</v>
      </c>
      <c r="F17" s="155" t="e">
        <f>+VLOOKUP(B17,Tabla16[[Type]:[Unit]],3,)</f>
        <v>#N/A</v>
      </c>
      <c r="G17" s="199" cm="1">
        <f t="array" ref="G17">+IFERROR(_xlfn.IFS(F17="kgCO2e/t",IF(D17="kg",C17*E17/1000000,C17*E17/1000),F17="kgCO2e/kg",IF(D17="kg",C17*E17/1000,C17*E17)),0)</f>
        <v>0</v>
      </c>
    </row>
    <row r="18" spans="2:7" x14ac:dyDescent="0.7">
      <c r="B18" s="159"/>
      <c r="C18" s="158"/>
      <c r="D18" s="160"/>
      <c r="E18" s="167" t="e">
        <f>+VLOOKUP(B18,Tabla16[[Type]:[Unit]],2,)</f>
        <v>#N/A</v>
      </c>
      <c r="F18" s="155" t="e">
        <f>+VLOOKUP(B18,Tabla16[[Type]:[Unit]],3,)</f>
        <v>#N/A</v>
      </c>
      <c r="G18" s="199" cm="1">
        <f t="array" ref="G18">+IFERROR(_xlfn.IFS(F18="kgCO2e/t",IF(D18="kg",C18*E18/1000000,C18*E18/1000),F18="kgCO2e/kg",IF(D18="kg",C18*E18/1000,C18*E18)),0)</f>
        <v>0</v>
      </c>
    </row>
    <row r="19" spans="2:7" x14ac:dyDescent="0.7">
      <c r="B19" s="159"/>
      <c r="C19" s="158"/>
      <c r="D19" s="160"/>
      <c r="E19" s="167" t="e">
        <f>+VLOOKUP(B19,Tabla16[[Type]:[Unit]],2,)</f>
        <v>#N/A</v>
      </c>
      <c r="F19" s="155" t="e">
        <f>+VLOOKUP(B19,Tabla16[[Type]:[Unit]],3,)</f>
        <v>#N/A</v>
      </c>
      <c r="G19" s="199" cm="1">
        <f t="array" ref="G19">+IFERROR(_xlfn.IFS(F19="kgCO2e/t",IF(D19="kg",C19*E19/1000000,C19*E19/1000),F19="kgCO2e/kg",IF(D19="kg",C19*E19/1000,C19*E19)),0)</f>
        <v>0</v>
      </c>
    </row>
    <row r="20" spans="2:7" x14ac:dyDescent="0.7">
      <c r="B20" s="159"/>
      <c r="C20" s="158"/>
      <c r="D20" s="160"/>
      <c r="E20" s="167" t="e">
        <f>+VLOOKUP(B20,Tabla16[[Type]:[Unit]],2,)</f>
        <v>#N/A</v>
      </c>
      <c r="F20" s="155" t="e">
        <f>+VLOOKUP(B20,Tabla16[[Type]:[Unit]],3,)</f>
        <v>#N/A</v>
      </c>
      <c r="G20" s="199" cm="1">
        <f t="array" ref="G20">+IFERROR(_xlfn.IFS(F20="kgCO2e/t",IF(D20="kg",C20*E20/1000000,C20*E20/1000),F20="kgCO2e/kg",IF(D20="kg",C20*E20/1000,C20*E20)),0)</f>
        <v>0</v>
      </c>
    </row>
    <row r="21" spans="2:7" x14ac:dyDescent="0.7">
      <c r="B21" s="159"/>
      <c r="C21" s="158"/>
      <c r="D21" s="160"/>
      <c r="E21" s="167" t="e">
        <f>+VLOOKUP(B21,Tabla16[[Type]:[Unit]],2,)</f>
        <v>#N/A</v>
      </c>
      <c r="F21" s="155" t="e">
        <f>+VLOOKUP(B21,Tabla16[[Type]:[Unit]],3,)</f>
        <v>#N/A</v>
      </c>
      <c r="G21" s="199" cm="1">
        <f t="array" ref="G21">+IFERROR(_xlfn.IFS(F21="kgCO2e/t",IF(D21="kg",C21*E21/1000000,C21*E21/1000),F21="kgCO2e/kg",IF(D21="kg",C21*E21/1000,C21*E21)),0)</f>
        <v>0</v>
      </c>
    </row>
    <row r="22" spans="2:7" x14ac:dyDescent="0.7">
      <c r="B22" s="159"/>
      <c r="C22" s="158"/>
      <c r="D22" s="160"/>
      <c r="E22" s="167" t="e">
        <f>+VLOOKUP(B22,Tabla16[[Type]:[Unit]],2,)</f>
        <v>#N/A</v>
      </c>
      <c r="F22" s="155" t="e">
        <f>+VLOOKUP(B22,Tabla16[[Type]:[Unit]],3,)</f>
        <v>#N/A</v>
      </c>
      <c r="G22" s="199" cm="1">
        <f t="array" ref="G22">+IFERROR(_xlfn.IFS(F22="kgCO2e/t",IF(D22="kg",C22*E22/1000000,C22*E22/1000),F22="kgCO2e/kg",IF(D22="kg",C22*E22/1000,C22*E22)),0)</f>
        <v>0</v>
      </c>
    </row>
    <row r="23" spans="2:7" x14ac:dyDescent="0.7">
      <c r="B23" s="159"/>
      <c r="C23" s="158"/>
      <c r="D23" s="160"/>
      <c r="E23" s="167" t="e">
        <f>+VLOOKUP(B23,Tabla16[[Type]:[Unit]],2,)</f>
        <v>#N/A</v>
      </c>
      <c r="F23" s="155" t="e">
        <f>+VLOOKUP(B23,Tabla16[[Type]:[Unit]],3,)</f>
        <v>#N/A</v>
      </c>
      <c r="G23" s="199" cm="1">
        <f t="array" ref="G23">+IFERROR(_xlfn.IFS(F23="kgCO2e/t",IF(D23="kg",C23*E23/1000000,C23*E23/1000),F23="kgCO2e/kg",IF(D23="kg",C23*E23/1000,C23*E23)),0)</f>
        <v>0</v>
      </c>
    </row>
    <row r="24" spans="2:7" x14ac:dyDescent="0.7">
      <c r="B24" s="159"/>
      <c r="C24" s="158"/>
      <c r="D24" s="160"/>
      <c r="E24" s="167" t="e">
        <f>+VLOOKUP(B24,Tabla16[[Type]:[Unit]],2,)</f>
        <v>#N/A</v>
      </c>
      <c r="F24" s="155" t="e">
        <f>+VLOOKUP(B24,Tabla16[[Type]:[Unit]],3,)</f>
        <v>#N/A</v>
      </c>
      <c r="G24" s="199" cm="1">
        <f t="array" ref="G24">+IFERROR(_xlfn.IFS(F24="kgCO2e/t",IF(D24="kg",C24*E24/1000000,C24*E24/1000),F24="kgCO2e/kg",IF(D24="kg",C24*E24/1000,C24*E24)),0)</f>
        <v>0</v>
      </c>
    </row>
    <row r="25" spans="2:7" x14ac:dyDescent="0.7">
      <c r="B25" s="159"/>
      <c r="C25" s="158"/>
      <c r="D25" s="160"/>
      <c r="E25" s="167" t="e">
        <f>+VLOOKUP(B25,Tabla16[[Type]:[Unit]],2,)</f>
        <v>#N/A</v>
      </c>
      <c r="F25" s="155" t="e">
        <f>+VLOOKUP(B25,Tabla16[[Type]:[Unit]],3,)</f>
        <v>#N/A</v>
      </c>
      <c r="G25" s="199" cm="1">
        <f t="array" ref="G25">+IFERROR(_xlfn.IFS(F25="kgCO2e/t",IF(D25="kg",C25*E25/1000000,C25*E25/1000),F25="kgCO2e/kg",IF(D25="kg",C25*E25/1000,C25*E25)),0)</f>
        <v>0</v>
      </c>
    </row>
    <row r="26" spans="2:7" x14ac:dyDescent="0.7">
      <c r="B26" s="159"/>
      <c r="C26" s="158"/>
      <c r="D26" s="160"/>
      <c r="E26" s="167" t="e">
        <f>+VLOOKUP(B26,Tabla16[[Type]:[Unit]],2,)</f>
        <v>#N/A</v>
      </c>
      <c r="F26" s="155" t="e">
        <f>+VLOOKUP(B26,Tabla16[[Type]:[Unit]],3,)</f>
        <v>#N/A</v>
      </c>
      <c r="G26" s="199" cm="1">
        <f t="array" ref="G26">+IFERROR(_xlfn.IFS(F26="kgCO2e/t",IF(D26="kg",C26*E26/1000000,C26*E26/1000),F26="kgCO2e/kg",IF(D26="kg",C26*E26/1000,C26*E26)),0)</f>
        <v>0</v>
      </c>
    </row>
    <row r="27" spans="2:7" x14ac:dyDescent="0.7">
      <c r="B27" s="159"/>
      <c r="C27" s="158"/>
      <c r="D27" s="160"/>
      <c r="E27" s="167" t="e">
        <f>+VLOOKUP(B27,Tabla16[[Type]:[Unit]],2,)</f>
        <v>#N/A</v>
      </c>
      <c r="F27" s="155" t="e">
        <f>+VLOOKUP(B27,Tabla16[[Type]:[Unit]],3,)</f>
        <v>#N/A</v>
      </c>
      <c r="G27" s="199" cm="1">
        <f t="array" ref="G27">+IFERROR(_xlfn.IFS(F27="kgCO2e/t",IF(D27="kg",C27*E27/1000000,C27*E27/1000),F27="kgCO2e/kg",IF(D27="kg",C27*E27/1000,C27*E27)),0)</f>
        <v>0</v>
      </c>
    </row>
    <row r="28" spans="2:7" x14ac:dyDescent="0.7">
      <c r="B28" s="159"/>
      <c r="C28" s="158"/>
      <c r="D28" s="160"/>
      <c r="E28" s="167" t="e">
        <f>+VLOOKUP(B28,Tabla16[[Type]:[Unit]],2,)</f>
        <v>#N/A</v>
      </c>
      <c r="F28" s="155" t="e">
        <f>+VLOOKUP(B28,Tabla16[[Type]:[Unit]],3,)</f>
        <v>#N/A</v>
      </c>
      <c r="G28" s="199" cm="1">
        <f t="array" ref="G28">+IFERROR(_xlfn.IFS(F28="kgCO2e/t",IF(D28="kg",C28*E28/1000000,C28*E28/1000),F28="kgCO2e/kg",IF(D28="kg",C28*E28/1000,C28*E28)),0)</f>
        <v>0</v>
      </c>
    </row>
    <row r="29" spans="2:7" x14ac:dyDescent="0.7">
      <c r="B29" s="159"/>
      <c r="C29" s="158"/>
      <c r="D29" s="160"/>
      <c r="E29" s="167" t="e">
        <f>+VLOOKUP(B29,Tabla16[[Type]:[Unit]],2,)</f>
        <v>#N/A</v>
      </c>
      <c r="F29" s="155" t="e">
        <f>+VLOOKUP(B29,Tabla16[[Type]:[Unit]],3,)</f>
        <v>#N/A</v>
      </c>
      <c r="G29" s="199" cm="1">
        <f t="array" ref="G29">+IFERROR(_xlfn.IFS(F29="kgCO2e/t",IF(D29="kg",C29*E29/1000000,C29*E29/1000),F29="kgCO2e/kg",IF(D29="kg",C29*E29/1000,C29*E29)),0)</f>
        <v>0</v>
      </c>
    </row>
    <row r="30" spans="2:7" x14ac:dyDescent="0.7">
      <c r="B30" s="159"/>
      <c r="C30" s="158"/>
      <c r="D30" s="160"/>
      <c r="E30" s="167" t="e">
        <f>+VLOOKUP(B30,Tabla16[[Type]:[Unit]],2,)</f>
        <v>#N/A</v>
      </c>
      <c r="F30" s="155" t="e">
        <f>+VLOOKUP(B30,Tabla16[[Type]:[Unit]],3,)</f>
        <v>#N/A</v>
      </c>
      <c r="G30" s="199" cm="1">
        <f t="array" ref="G30">+IFERROR(_xlfn.IFS(F30="kgCO2e/t",IF(D30="kg",C30*E30/1000000,C30*E30/1000),F30="kgCO2e/kg",IF(D30="kg",C30*E30/1000,C30*E30)),0)</f>
        <v>0</v>
      </c>
    </row>
    <row r="31" spans="2:7" x14ac:dyDescent="0.7">
      <c r="B31" s="159"/>
      <c r="C31" s="158"/>
      <c r="D31" s="160"/>
      <c r="E31" s="167" t="e">
        <f>+VLOOKUP(B31,Tabla16[[Type]:[Unit]],2,)</f>
        <v>#N/A</v>
      </c>
      <c r="F31" s="155" t="e">
        <f>+VLOOKUP(B31,Tabla16[[Type]:[Unit]],3,)</f>
        <v>#N/A</v>
      </c>
      <c r="G31" s="199" cm="1">
        <f t="array" ref="G31">+IFERROR(_xlfn.IFS(F31="kgCO2e/t",IF(D31="kg",C31*E31/1000000,C31*E31/1000),F31="kgCO2e/kg",IF(D31="kg",C31*E31/1000,C31*E31)),0)</f>
        <v>0</v>
      </c>
    </row>
    <row r="32" spans="2:7" x14ac:dyDescent="0.7">
      <c r="B32" s="159"/>
      <c r="C32" s="158"/>
      <c r="D32" s="160"/>
      <c r="E32" s="167" t="e">
        <f>+VLOOKUP(B32,Tabla16[[Type]:[Unit]],2,)</f>
        <v>#N/A</v>
      </c>
      <c r="F32" s="155" t="e">
        <f>+VLOOKUP(B32,Tabla16[[Type]:[Unit]],3,)</f>
        <v>#N/A</v>
      </c>
      <c r="G32" s="199" cm="1">
        <f t="array" ref="G32">+IFERROR(_xlfn.IFS(F32="kgCO2e/t",IF(D32="kg",C32*E32/1000000,C32*E32/1000),F32="kgCO2e/kg",IF(D32="kg",C32*E32/1000,C32*E32)),0)</f>
        <v>0</v>
      </c>
    </row>
    <row r="33" spans="2:7" x14ac:dyDescent="0.7">
      <c r="B33" s="159"/>
      <c r="C33" s="158"/>
      <c r="D33" s="160"/>
      <c r="E33" s="167" t="e">
        <f>+VLOOKUP(B33,Tabla16[[Type]:[Unit]],2,)</f>
        <v>#N/A</v>
      </c>
      <c r="F33" s="155" t="e">
        <f>+VLOOKUP(B33,Tabla16[[Type]:[Unit]],3,)</f>
        <v>#N/A</v>
      </c>
      <c r="G33" s="199" cm="1">
        <f t="array" ref="G33">+IFERROR(_xlfn.IFS(F33="kgCO2e/t",IF(D33="kg",C33*E33/1000000,C33*E33/1000),F33="kgCO2e/kg",IF(D33="kg",C33*E33/1000,C33*E33)),0)</f>
        <v>0</v>
      </c>
    </row>
    <row r="34" spans="2:7" x14ac:dyDescent="0.7">
      <c r="B34" s="159"/>
      <c r="C34" s="158"/>
      <c r="D34" s="160"/>
      <c r="E34" s="167" t="e">
        <f>+VLOOKUP(B34,Tabla16[[Type]:[Unit]],2,)</f>
        <v>#N/A</v>
      </c>
      <c r="F34" s="155" t="e">
        <f>+VLOOKUP(B34,Tabla16[[Type]:[Unit]],3,)</f>
        <v>#N/A</v>
      </c>
      <c r="G34" s="199" cm="1">
        <f t="array" ref="G34">+IFERROR(_xlfn.IFS(F34="kgCO2e/t",IF(D34="kg",C34*E34/1000000,C34*E34/1000),F34="kgCO2e/kg",IF(D34="kg",C34*E34/1000,C34*E34)),0)</f>
        <v>0</v>
      </c>
    </row>
    <row r="35" spans="2:7" x14ac:dyDescent="0.7">
      <c r="B35" s="159"/>
      <c r="C35" s="158"/>
      <c r="D35" s="160"/>
      <c r="E35" s="167" t="e">
        <f>+VLOOKUP(B35,Tabla16[[Type]:[Unit]],2,)</f>
        <v>#N/A</v>
      </c>
      <c r="F35" s="155" t="e">
        <f>+VLOOKUP(B35,Tabla16[[Type]:[Unit]],3,)</f>
        <v>#N/A</v>
      </c>
      <c r="G35" s="199" cm="1">
        <f t="array" ref="G35">+IFERROR(_xlfn.IFS(F35="kgCO2e/t",IF(D35="kg",C35*E35/1000000,C35*E35/1000),F35="kgCO2e/kg",IF(D35="kg",C35*E35/1000,C35*E35)),0)</f>
        <v>0</v>
      </c>
    </row>
    <row r="36" spans="2:7" x14ac:dyDescent="0.7">
      <c r="B36" s="159"/>
      <c r="C36" s="158"/>
      <c r="D36" s="160"/>
      <c r="E36" s="167" t="e">
        <f>+VLOOKUP(B36,Tabla16[[Type]:[Unit]],2,)</f>
        <v>#N/A</v>
      </c>
      <c r="F36" s="155" t="e">
        <f>+VLOOKUP(B36,Tabla16[[Type]:[Unit]],3,)</f>
        <v>#N/A</v>
      </c>
      <c r="G36" s="199" cm="1">
        <f t="array" ref="G36">+IFERROR(_xlfn.IFS(F36="kgCO2e/t",IF(D36="kg",C36*E36/1000000,C36*E36/1000),F36="kgCO2e/kg",IF(D36="kg",C36*E36/1000,C36*E36)),0)</f>
        <v>0</v>
      </c>
    </row>
    <row r="37" spans="2:7" x14ac:dyDescent="0.7">
      <c r="B37" s="159"/>
      <c r="C37" s="158"/>
      <c r="D37" s="160"/>
      <c r="E37" s="167" t="e">
        <f>+VLOOKUP(B37,Tabla16[[Type]:[Unit]],2,)</f>
        <v>#N/A</v>
      </c>
      <c r="F37" s="155" t="e">
        <f>+VLOOKUP(B37,Tabla16[[Type]:[Unit]],3,)</f>
        <v>#N/A</v>
      </c>
      <c r="G37" s="199" cm="1">
        <f t="array" ref="G37">+IFERROR(_xlfn.IFS(F37="kgCO2e/t",IF(D37="kg",C37*E37/1000000,C37*E37/1000),F37="kgCO2e/kg",IF(D37="kg",C37*E37/1000,C37*E37)),0)</f>
        <v>0</v>
      </c>
    </row>
    <row r="38" spans="2:7" x14ac:dyDescent="0.7">
      <c r="B38" s="159"/>
      <c r="C38" s="158"/>
      <c r="D38" s="160"/>
      <c r="E38" s="167" t="e">
        <f>+VLOOKUP(B38,Tabla16[[Type]:[Unit]],2,)</f>
        <v>#N/A</v>
      </c>
      <c r="F38" s="155" t="e">
        <f>+VLOOKUP(B38,Tabla16[[Type]:[Unit]],3,)</f>
        <v>#N/A</v>
      </c>
      <c r="G38" s="199" cm="1">
        <f t="array" ref="G38">+IFERROR(_xlfn.IFS(F38="kgCO2e/t",IF(D38="kg",C38*E38/1000000,C38*E38/1000),F38="kgCO2e/kg",IF(D38="kg",C38*E38/1000,C38*E38)),0)</f>
        <v>0</v>
      </c>
    </row>
    <row r="39" spans="2:7" x14ac:dyDescent="0.7">
      <c r="B39" s="159"/>
      <c r="C39" s="158"/>
      <c r="D39" s="160"/>
      <c r="E39" s="167" t="e">
        <f>+VLOOKUP(B39,Tabla16[[Type]:[Unit]],2,)</f>
        <v>#N/A</v>
      </c>
      <c r="F39" s="155" t="e">
        <f>+VLOOKUP(B39,Tabla16[[Type]:[Unit]],3,)</f>
        <v>#N/A</v>
      </c>
      <c r="G39" s="199" cm="1">
        <f t="array" ref="G39">+IFERROR(_xlfn.IFS(F39="kgCO2e/t",IF(D39="kg",C39*E39/1000000,C39*E39/1000),F39="kgCO2e/kg",IF(D39="kg",C39*E39/1000,C39*E39)),0)</f>
        <v>0</v>
      </c>
    </row>
    <row r="40" spans="2:7" x14ac:dyDescent="0.7">
      <c r="B40" s="159"/>
      <c r="C40" s="158"/>
      <c r="D40" s="160"/>
      <c r="E40" s="167" t="e">
        <f>+VLOOKUP(B40,Tabla16[[Type]:[Unit]],2,)</f>
        <v>#N/A</v>
      </c>
      <c r="F40" s="155" t="e">
        <f>+VLOOKUP(B40,Tabla16[[Type]:[Unit]],3,)</f>
        <v>#N/A</v>
      </c>
      <c r="G40" s="199" cm="1">
        <f t="array" ref="G40">+IFERROR(_xlfn.IFS(F40="kgCO2e/t",IF(D40="kg",C40*E40/1000000,C40*E40/1000),F40="kgCO2e/kg",IF(D40="kg",C40*E40/1000,C40*E40)),0)</f>
        <v>0</v>
      </c>
    </row>
    <row r="41" spans="2:7" x14ac:dyDescent="0.7">
      <c r="B41" s="159"/>
      <c r="C41" s="158"/>
      <c r="D41" s="160"/>
      <c r="E41" s="167" t="e">
        <f>+VLOOKUP(B41,Tabla16[[Type]:[Unit]],2,)</f>
        <v>#N/A</v>
      </c>
      <c r="F41" s="155" t="e">
        <f>+VLOOKUP(B41,Tabla16[[Type]:[Unit]],3,)</f>
        <v>#N/A</v>
      </c>
      <c r="G41" s="199" cm="1">
        <f t="array" ref="G41">+IFERROR(_xlfn.IFS(F41="kgCO2e/t",IF(D41="kg",C41*E41/1000000,C41*E41/1000),F41="kgCO2e/kg",IF(D41="kg",C41*E41/1000,C41*E41)),0)</f>
        <v>0</v>
      </c>
    </row>
    <row r="42" spans="2:7" x14ac:dyDescent="0.7">
      <c r="B42" s="159"/>
      <c r="C42" s="158"/>
      <c r="D42" s="160"/>
      <c r="E42" s="167" t="e">
        <f>+VLOOKUP(B42,Tabla16[[Type]:[Unit]],2,)</f>
        <v>#N/A</v>
      </c>
      <c r="F42" s="155" t="e">
        <f>+VLOOKUP(B42,Tabla16[[Type]:[Unit]],3,)</f>
        <v>#N/A</v>
      </c>
      <c r="G42" s="199" cm="1">
        <f t="array" ref="G42">+IFERROR(_xlfn.IFS(F42="kgCO2e/t",IF(D42="kg",C42*E42/1000000,C42*E42/1000),F42="kgCO2e/kg",IF(D42="kg",C42*E42/1000,C42*E42)),0)</f>
        <v>0</v>
      </c>
    </row>
    <row r="43" spans="2:7" x14ac:dyDescent="0.7">
      <c r="B43" s="159"/>
      <c r="C43" s="158"/>
      <c r="D43" s="160"/>
      <c r="E43" s="167" t="e">
        <f>+VLOOKUP(B43,Tabla16[[Type]:[Unit]],2,)</f>
        <v>#N/A</v>
      </c>
      <c r="F43" s="155" t="e">
        <f>+VLOOKUP(B43,Tabla16[[Type]:[Unit]],3,)</f>
        <v>#N/A</v>
      </c>
      <c r="G43" s="199" cm="1">
        <f t="array" ref="G43">+IFERROR(_xlfn.IFS(F43="kgCO2e/t",IF(D43="kg",C43*E43/1000000,C43*E43/1000),F43="kgCO2e/kg",IF(D43="kg",C43*E43/1000,C43*E43)),0)</f>
        <v>0</v>
      </c>
    </row>
    <row r="44" spans="2:7" x14ac:dyDescent="0.7">
      <c r="B44" s="159"/>
      <c r="C44" s="158"/>
      <c r="D44" s="160"/>
      <c r="E44" s="167" t="e">
        <f>+VLOOKUP(B44,Tabla16[[Type]:[Unit]],2,)</f>
        <v>#N/A</v>
      </c>
      <c r="F44" s="155" t="e">
        <f>+VLOOKUP(B44,Tabla16[[Type]:[Unit]],3,)</f>
        <v>#N/A</v>
      </c>
      <c r="G44" s="199" cm="1">
        <f t="array" ref="G44">+IFERROR(_xlfn.IFS(F44="kgCO2e/t",IF(D44="kg",C44*E44/1000000,C44*E44/1000),F44="kgCO2e/kg",IF(D44="kg",C44*E44/1000,C44*E44)),0)</f>
        <v>0</v>
      </c>
    </row>
    <row r="45" spans="2:7" x14ac:dyDescent="0.7">
      <c r="B45" s="159"/>
      <c r="C45" s="158"/>
      <c r="D45" s="160"/>
      <c r="E45" s="167" t="e">
        <f>+VLOOKUP(B45,Tabla16[[Type]:[Unit]],2,)</f>
        <v>#N/A</v>
      </c>
      <c r="F45" s="155" t="e">
        <f>+VLOOKUP(B45,Tabla16[[Type]:[Unit]],3,)</f>
        <v>#N/A</v>
      </c>
      <c r="G45" s="199" cm="1">
        <f t="array" ref="G45">+IFERROR(_xlfn.IFS(F45="kgCO2e/t",IF(D45="kg",C45*E45/1000000,C45*E45/1000),F45="kgCO2e/kg",IF(D45="kg",C45*E45/1000,C45*E45)),0)</f>
        <v>0</v>
      </c>
    </row>
    <row r="46" spans="2:7" x14ac:dyDescent="0.7">
      <c r="B46" s="159"/>
      <c r="C46" s="158"/>
      <c r="D46" s="160"/>
      <c r="E46" s="167" t="e">
        <f>+VLOOKUP(B46,Tabla16[[Type]:[Unit]],2,)</f>
        <v>#N/A</v>
      </c>
      <c r="F46" s="155" t="e">
        <f>+VLOOKUP(B46,Tabla16[[Type]:[Unit]],3,)</f>
        <v>#N/A</v>
      </c>
      <c r="G46" s="199" cm="1">
        <f t="array" ref="G46">+IFERROR(_xlfn.IFS(F46="kgCO2e/t",IF(D46="kg",C46*E46/1000000,C46*E46/1000),F46="kgCO2e/kg",IF(D46="kg",C46*E46/1000,C46*E46)),0)</f>
        <v>0</v>
      </c>
    </row>
    <row r="47" spans="2:7" x14ac:dyDescent="0.7">
      <c r="B47" s="159"/>
      <c r="C47" s="158"/>
      <c r="D47" s="160"/>
      <c r="E47" s="167" t="e">
        <f>+VLOOKUP(B47,Tabla16[[Type]:[Unit]],2,)</f>
        <v>#N/A</v>
      </c>
      <c r="F47" s="155" t="e">
        <f>+VLOOKUP(B47,Tabla16[[Type]:[Unit]],3,)</f>
        <v>#N/A</v>
      </c>
      <c r="G47" s="199" cm="1">
        <f t="array" ref="G47">+IFERROR(_xlfn.IFS(F47="kgCO2e/t",IF(D47="kg",C47*E47/1000000,C47*E47/1000),F47="kgCO2e/kg",IF(D47="kg",C47*E47/1000,C47*E47)),0)</f>
        <v>0</v>
      </c>
    </row>
    <row r="48" spans="2:7" x14ac:dyDescent="0.7">
      <c r="B48" s="159"/>
      <c r="C48" s="158"/>
      <c r="D48" s="160"/>
      <c r="E48" s="167" t="e">
        <f>+VLOOKUP(B48,Tabla16[[Type]:[Unit]],2,)</f>
        <v>#N/A</v>
      </c>
      <c r="F48" s="155" t="e">
        <f>+VLOOKUP(B48,Tabla16[[Type]:[Unit]],3,)</f>
        <v>#N/A</v>
      </c>
      <c r="G48" s="199" cm="1">
        <f t="array" ref="G48">+IFERROR(_xlfn.IFS(F48="kgCO2e/t",IF(D48="kg",C48*E48/1000000,C48*E48/1000),F48="kgCO2e/kg",IF(D48="kg",C48*E48/1000,C48*E48)),0)</f>
        <v>0</v>
      </c>
    </row>
    <row r="49" spans="2:7" x14ac:dyDescent="0.7">
      <c r="B49" s="159"/>
      <c r="C49" s="158"/>
      <c r="D49" s="160"/>
      <c r="E49" s="167" t="e">
        <f>+VLOOKUP(B49,Tabla16[[Type]:[Unit]],2,)</f>
        <v>#N/A</v>
      </c>
      <c r="F49" s="155" t="e">
        <f>+VLOOKUP(B49,Tabla16[[Type]:[Unit]],3,)</f>
        <v>#N/A</v>
      </c>
      <c r="G49" s="199" cm="1">
        <f t="array" ref="G49">+IFERROR(_xlfn.IFS(F49="kgCO2e/t",IF(D49="kg",C49*E49/1000000,C49*E49/1000),F49="kgCO2e/kg",IF(D49="kg",C49*E49/1000,C49*E49)),0)</f>
        <v>0</v>
      </c>
    </row>
    <row r="50" spans="2:7" x14ac:dyDescent="0.7">
      <c r="B50" s="159"/>
      <c r="C50" s="158"/>
      <c r="D50" s="160"/>
      <c r="E50" s="167" t="e">
        <f>+VLOOKUP(B50,Tabla16[[Type]:[Unit]],2,)</f>
        <v>#N/A</v>
      </c>
      <c r="F50" s="155" t="e">
        <f>+VLOOKUP(B50,Tabla16[[Type]:[Unit]],3,)</f>
        <v>#N/A</v>
      </c>
      <c r="G50" s="199" cm="1">
        <f t="array" ref="G50">+IFERROR(_xlfn.IFS(F50="kgCO2e/t",IF(D50="kg",C50*E50/1000000,C50*E50/1000),F50="kgCO2e/kg",IF(D50="kg",C50*E50/1000,C50*E50)),0)</f>
        <v>0</v>
      </c>
    </row>
    <row r="51" spans="2:7" x14ac:dyDescent="0.7">
      <c r="B51" s="159"/>
      <c r="C51" s="158"/>
      <c r="D51" s="160"/>
      <c r="E51" s="167" t="e">
        <f>+VLOOKUP(B51,Tabla16[[Type]:[Unit]],2,)</f>
        <v>#N/A</v>
      </c>
      <c r="F51" s="155" t="e">
        <f>+VLOOKUP(B51,Tabla16[[Type]:[Unit]],3,)</f>
        <v>#N/A</v>
      </c>
      <c r="G51" s="199" cm="1">
        <f t="array" ref="G51">+IFERROR(_xlfn.IFS(F51="kgCO2e/t",IF(D51="kg",C51*E51/1000000,C51*E51/1000),F51="kgCO2e/kg",IF(D51="kg",C51*E51/1000,C51*E51)),0)</f>
        <v>0</v>
      </c>
    </row>
    <row r="52" spans="2:7" x14ac:dyDescent="0.7">
      <c r="B52" s="159"/>
      <c r="C52" s="158"/>
      <c r="D52" s="160"/>
      <c r="E52" s="167" t="e">
        <f>+VLOOKUP(B52,Tabla16[[Type]:[Unit]],2,)</f>
        <v>#N/A</v>
      </c>
      <c r="F52" s="155" t="e">
        <f>+VLOOKUP(B52,Tabla16[[Type]:[Unit]],3,)</f>
        <v>#N/A</v>
      </c>
      <c r="G52" s="199" cm="1">
        <f t="array" ref="G52">+IFERROR(_xlfn.IFS(F52="kgCO2e/t",IF(D52="kg",C52*E52/1000000,C52*E52/1000),F52="kgCO2e/kg",IF(D52="kg",C52*E52/1000,C52*E52)),0)</f>
        <v>0</v>
      </c>
    </row>
    <row r="53" spans="2:7" x14ac:dyDescent="0.7">
      <c r="B53" s="159"/>
      <c r="C53" s="158"/>
      <c r="D53" s="160"/>
      <c r="E53" s="167" t="e">
        <f>+VLOOKUP(B53,Tabla16[[Type]:[Unit]],2,)</f>
        <v>#N/A</v>
      </c>
      <c r="F53" s="155" t="e">
        <f>+VLOOKUP(B53,Tabla16[[Type]:[Unit]],3,)</f>
        <v>#N/A</v>
      </c>
      <c r="G53" s="199" cm="1">
        <f t="array" ref="G53">+IFERROR(_xlfn.IFS(F53="kgCO2e/t",IF(D53="kg",C53*E53/1000000,C53*E53/1000),F53="kgCO2e/kg",IF(D53="kg",C53*E53/1000,C53*E53)),0)</f>
        <v>0</v>
      </c>
    </row>
    <row r="54" spans="2:7" x14ac:dyDescent="0.7">
      <c r="B54" s="159"/>
      <c r="C54" s="158"/>
      <c r="D54" s="160"/>
      <c r="E54" s="167" t="e">
        <f>+VLOOKUP(B54,Tabla16[[Type]:[Unit]],2,)</f>
        <v>#N/A</v>
      </c>
      <c r="F54" s="155" t="e">
        <f>+VLOOKUP(B54,Tabla16[[Type]:[Unit]],3,)</f>
        <v>#N/A</v>
      </c>
      <c r="G54" s="199" cm="1">
        <f t="array" ref="G54">+IFERROR(_xlfn.IFS(F54="kgCO2e/t",IF(D54="kg",C54*E54/1000000,C54*E54/1000),F54="kgCO2e/kg",IF(D54="kg",C54*E54/1000,C54*E54)),0)</f>
        <v>0</v>
      </c>
    </row>
    <row r="55" spans="2:7" x14ac:dyDescent="0.7">
      <c r="B55" s="159"/>
      <c r="C55" s="158"/>
      <c r="D55" s="160"/>
      <c r="E55" s="167" t="e">
        <f>+VLOOKUP(B55,Tabla16[[Type]:[Unit]],2,)</f>
        <v>#N/A</v>
      </c>
      <c r="F55" s="155" t="e">
        <f>+VLOOKUP(B55,Tabla16[[Type]:[Unit]],3,)</f>
        <v>#N/A</v>
      </c>
      <c r="G55" s="199" cm="1">
        <f t="array" ref="G55">+IFERROR(_xlfn.IFS(F55="kgCO2e/t",IF(D55="kg",C55*E55/1000000,C55*E55/1000),F55="kgCO2e/kg",IF(D55="kg",C55*E55/1000,C55*E55)),0)</f>
        <v>0</v>
      </c>
    </row>
    <row r="56" spans="2:7" x14ac:dyDescent="0.7">
      <c r="B56" s="159"/>
      <c r="C56" s="158"/>
      <c r="D56" s="160"/>
      <c r="E56" s="167" t="e">
        <f>+VLOOKUP(B56,Tabla16[[Type]:[Unit]],2,)</f>
        <v>#N/A</v>
      </c>
      <c r="F56" s="155" t="e">
        <f>+VLOOKUP(B56,Tabla16[[Type]:[Unit]],3,)</f>
        <v>#N/A</v>
      </c>
      <c r="G56" s="199" cm="1">
        <f t="array" ref="G56">+IFERROR(_xlfn.IFS(F56="kgCO2e/t",IF(D56="kg",C56*E56/1000000,C56*E56/1000),F56="kgCO2e/kg",IF(D56="kg",C56*E56/1000,C56*E56)),0)</f>
        <v>0</v>
      </c>
    </row>
    <row r="57" spans="2:7" x14ac:dyDescent="0.7">
      <c r="B57" s="159"/>
      <c r="C57" s="158"/>
      <c r="D57" s="160"/>
      <c r="E57" s="167" t="e">
        <f>+VLOOKUP(B57,Tabla16[[Type]:[Unit]],2,)</f>
        <v>#N/A</v>
      </c>
      <c r="F57" s="155" t="e">
        <f>+VLOOKUP(B57,Tabla16[[Type]:[Unit]],3,)</f>
        <v>#N/A</v>
      </c>
      <c r="G57" s="199" cm="1">
        <f t="array" ref="G57">+IFERROR(_xlfn.IFS(F57="kgCO2e/t",IF(D57="kg",C57*E57/1000000,C57*E57/1000),F57="kgCO2e/kg",IF(D57="kg",C57*E57/1000,C57*E57)),0)</f>
        <v>0</v>
      </c>
    </row>
    <row r="58" spans="2:7" x14ac:dyDescent="0.7">
      <c r="B58" s="159"/>
      <c r="C58" s="158"/>
      <c r="D58" s="160"/>
      <c r="E58" s="167" t="e">
        <f>+VLOOKUP(B58,Tabla16[[Type]:[Unit]],2,)</f>
        <v>#N/A</v>
      </c>
      <c r="F58" s="155" t="e">
        <f>+VLOOKUP(B58,Tabla16[[Type]:[Unit]],3,)</f>
        <v>#N/A</v>
      </c>
      <c r="G58" s="199" cm="1">
        <f t="array" ref="G58">+IFERROR(_xlfn.IFS(F58="kgCO2e/t",IF(D58="kg",C58*E58/1000000,C58*E58/1000),F58="kgCO2e/kg",IF(D58="kg",C58*E58/1000,C58*E58)),0)</f>
        <v>0</v>
      </c>
    </row>
    <row r="59" spans="2:7" x14ac:dyDescent="0.7">
      <c r="B59" s="159"/>
      <c r="C59" s="158"/>
      <c r="D59" s="160"/>
      <c r="E59" s="167" t="e">
        <f>+VLOOKUP(B59,Tabla16[[Type]:[Unit]],2,)</f>
        <v>#N/A</v>
      </c>
      <c r="F59" s="155" t="e">
        <f>+VLOOKUP(B59,Tabla16[[Type]:[Unit]],3,)</f>
        <v>#N/A</v>
      </c>
      <c r="G59" s="199" cm="1">
        <f t="array" ref="G59">+IFERROR(_xlfn.IFS(F59="kgCO2e/t",IF(D59="kg",C59*E59/1000000,C59*E59/1000),F59="kgCO2e/kg",IF(D59="kg",C59*E59/1000,C59*E59)),0)</f>
        <v>0</v>
      </c>
    </row>
    <row r="60" spans="2:7" x14ac:dyDescent="0.7">
      <c r="B60" s="159"/>
      <c r="C60" s="158"/>
      <c r="D60" s="160"/>
      <c r="E60" s="167" t="e">
        <f>+VLOOKUP(B60,Tabla16[[Type]:[Unit]],2,)</f>
        <v>#N/A</v>
      </c>
      <c r="F60" s="155" t="e">
        <f>+VLOOKUP(B60,Tabla16[[Type]:[Unit]],3,)</f>
        <v>#N/A</v>
      </c>
      <c r="G60" s="199" cm="1">
        <f t="array" ref="G60">+IFERROR(_xlfn.IFS(F60="kgCO2e/t",IF(D60="kg",C60*E60/1000000,C60*E60/1000),F60="kgCO2e/kg",IF(D60="kg",C60*E60/1000,C60*E60)),0)</f>
        <v>0</v>
      </c>
    </row>
    <row r="61" spans="2:7" x14ac:dyDescent="0.7">
      <c r="B61" s="159"/>
      <c r="C61" s="158"/>
      <c r="D61" s="160"/>
      <c r="E61" s="167" t="e">
        <f>+VLOOKUP(B61,Tabla16[[Type]:[Unit]],2,)</f>
        <v>#N/A</v>
      </c>
      <c r="F61" s="155" t="e">
        <f>+VLOOKUP(B61,Tabla16[[Type]:[Unit]],3,)</f>
        <v>#N/A</v>
      </c>
      <c r="G61" s="199" cm="1">
        <f t="array" ref="G61">+IFERROR(_xlfn.IFS(F61="kgCO2e/t",IF(D61="kg",C61*E61/1000000,C61*E61/1000),F61="kgCO2e/kg",IF(D61="kg",C61*E61/1000,C61*E61)),0)</f>
        <v>0</v>
      </c>
    </row>
    <row r="62" spans="2:7" x14ac:dyDescent="0.7">
      <c r="B62" s="159"/>
      <c r="C62" s="158"/>
      <c r="D62" s="160"/>
      <c r="E62" s="167" t="e">
        <f>+VLOOKUP(B62,Tabla16[[Type]:[Unit]],2,)</f>
        <v>#N/A</v>
      </c>
      <c r="F62" s="155" t="e">
        <f>+VLOOKUP(B62,Tabla16[[Type]:[Unit]],3,)</f>
        <v>#N/A</v>
      </c>
      <c r="G62" s="199" cm="1">
        <f t="array" ref="G62">+IFERROR(_xlfn.IFS(F62="kgCO2e/t",IF(D62="kg",C62*E62/1000000,C62*E62/1000),F62="kgCO2e/kg",IF(D62="kg",C62*E62/1000,C62*E62)),0)</f>
        <v>0</v>
      </c>
    </row>
    <row r="63" spans="2:7" x14ac:dyDescent="0.7">
      <c r="B63" s="159"/>
      <c r="C63" s="158"/>
      <c r="D63" s="160"/>
      <c r="E63" s="167" t="e">
        <f>+VLOOKUP(B63,Tabla16[[Type]:[Unit]],2,)</f>
        <v>#N/A</v>
      </c>
      <c r="F63" s="155" t="e">
        <f>+VLOOKUP(B63,Tabla16[[Type]:[Unit]],3,)</f>
        <v>#N/A</v>
      </c>
      <c r="G63" s="199" cm="1">
        <f t="array" ref="G63">+IFERROR(_xlfn.IFS(F63="kgCO2e/t",IF(D63="kg",C63*E63/1000000,C63*E63/1000),F63="kgCO2e/kg",IF(D63="kg",C63*E63/1000,C63*E63)),0)</f>
        <v>0</v>
      </c>
    </row>
    <row r="64" spans="2:7" x14ac:dyDescent="0.7">
      <c r="B64" s="159"/>
      <c r="C64" s="158"/>
      <c r="D64" s="160"/>
      <c r="E64" s="167" t="e">
        <f>+VLOOKUP(B64,Tabla16[[Type]:[Unit]],2,)</f>
        <v>#N/A</v>
      </c>
      <c r="F64" s="155" t="e">
        <f>+VLOOKUP(B64,Tabla16[[Type]:[Unit]],3,)</f>
        <v>#N/A</v>
      </c>
      <c r="G64" s="199" cm="1">
        <f t="array" ref="G64">+IFERROR(_xlfn.IFS(F64="kgCO2e/t",IF(D64="kg",C64*E64/1000000,C64*E64/1000),F64="kgCO2e/kg",IF(D64="kg",C64*E64/1000,C64*E64)),0)</f>
        <v>0</v>
      </c>
    </row>
    <row r="65" spans="2:7" x14ac:dyDescent="0.7">
      <c r="B65" s="159"/>
      <c r="C65" s="158"/>
      <c r="D65" s="160"/>
      <c r="E65" s="167" t="e">
        <f>+VLOOKUP(B65,Tabla16[[Type]:[Unit]],2,)</f>
        <v>#N/A</v>
      </c>
      <c r="F65" s="155" t="e">
        <f>+VLOOKUP(B65,Tabla16[[Type]:[Unit]],3,)</f>
        <v>#N/A</v>
      </c>
      <c r="G65" s="199" cm="1">
        <f t="array" ref="G65">+IFERROR(_xlfn.IFS(F65="kgCO2e/t",IF(D65="kg",C65*E65/1000000,C65*E65/1000),F65="kgCO2e/kg",IF(D65="kg",C65*E65/1000,C65*E65)),0)</f>
        <v>0</v>
      </c>
    </row>
    <row r="66" spans="2:7" x14ac:dyDescent="0.7">
      <c r="B66" s="159"/>
      <c r="C66" s="158"/>
      <c r="D66" s="160"/>
      <c r="E66" s="167" t="e">
        <f>+VLOOKUP(B66,Tabla16[[Type]:[Unit]],2,)</f>
        <v>#N/A</v>
      </c>
      <c r="F66" s="155" t="e">
        <f>+VLOOKUP(B66,Tabla16[[Type]:[Unit]],3,)</f>
        <v>#N/A</v>
      </c>
      <c r="G66" s="199" cm="1">
        <f t="array" ref="G66">+IFERROR(_xlfn.IFS(F66="kgCO2e/t",IF(D66="kg",C66*E66/1000000,C66*E66/1000),F66="kgCO2e/kg",IF(D66="kg",C66*E66/1000,C66*E66)),0)</f>
        <v>0</v>
      </c>
    </row>
    <row r="67" spans="2:7" x14ac:dyDescent="0.7">
      <c r="B67" s="159"/>
      <c r="C67" s="158"/>
      <c r="D67" s="160"/>
      <c r="E67" s="167" t="e">
        <f>+VLOOKUP(B67,Tabla16[[Type]:[Unit]],2,)</f>
        <v>#N/A</v>
      </c>
      <c r="F67" s="155" t="e">
        <f>+VLOOKUP(B67,Tabla16[[Type]:[Unit]],3,)</f>
        <v>#N/A</v>
      </c>
      <c r="G67" s="199" cm="1">
        <f t="array" ref="G67">+IFERROR(_xlfn.IFS(F67="kgCO2e/t",IF(D67="kg",C67*E67/1000000,C67*E67/1000),F67="kgCO2e/kg",IF(D67="kg",C67*E67/1000,C67*E67)),0)</f>
        <v>0</v>
      </c>
    </row>
    <row r="68" spans="2:7" x14ac:dyDescent="0.7">
      <c r="B68" s="159"/>
      <c r="C68" s="158"/>
      <c r="D68" s="160"/>
      <c r="E68" s="167" t="e">
        <f>+VLOOKUP(B68,Tabla16[[Type]:[Unit]],2,)</f>
        <v>#N/A</v>
      </c>
      <c r="F68" s="155" t="e">
        <f>+VLOOKUP(B68,Tabla16[[Type]:[Unit]],3,)</f>
        <v>#N/A</v>
      </c>
      <c r="G68" s="199" cm="1">
        <f t="array" ref="G68">+IFERROR(_xlfn.IFS(F68="kgCO2e/t",IF(D68="kg",C68*E68/1000000,C68*E68/1000),F68="kgCO2e/kg",IF(D68="kg",C68*E68/1000,C68*E68)),0)</f>
        <v>0</v>
      </c>
    </row>
    <row r="69" spans="2:7" x14ac:dyDescent="0.7">
      <c r="B69" s="159"/>
      <c r="C69" s="158"/>
      <c r="D69" s="160"/>
      <c r="E69" s="167" t="e">
        <f>+VLOOKUP(B69,Tabla16[[Type]:[Unit]],2,)</f>
        <v>#N/A</v>
      </c>
      <c r="F69" s="155" t="e">
        <f>+VLOOKUP(B69,Tabla16[[Type]:[Unit]],3,)</f>
        <v>#N/A</v>
      </c>
      <c r="G69" s="199" cm="1">
        <f t="array" ref="G69">+IFERROR(_xlfn.IFS(F69="kgCO2e/t",IF(D69="kg",C69*E69/1000000,C69*E69/1000),F69="kgCO2e/kg",IF(D69="kg",C69*E69/1000,C69*E69)),0)</f>
        <v>0</v>
      </c>
    </row>
    <row r="70" spans="2:7" x14ac:dyDescent="0.7">
      <c r="B70" s="159"/>
      <c r="C70" s="158"/>
      <c r="D70" s="160"/>
      <c r="E70" s="167" t="e">
        <f>+VLOOKUP(B70,Tabla16[[Type]:[Unit]],2,)</f>
        <v>#N/A</v>
      </c>
      <c r="F70" s="155" t="e">
        <f>+VLOOKUP(B70,Tabla16[[Type]:[Unit]],3,)</f>
        <v>#N/A</v>
      </c>
      <c r="G70" s="199" cm="1">
        <f t="array" ref="G70">+IFERROR(_xlfn.IFS(F70="kgCO2e/t",IF(D70="kg",C70*E70/1000000,C70*E70/1000),F70="kgCO2e/kg",IF(D70="kg",C70*E70/1000,C70*E70)),0)</f>
        <v>0</v>
      </c>
    </row>
    <row r="71" spans="2:7" x14ac:dyDescent="0.7">
      <c r="B71" s="159"/>
      <c r="C71" s="158"/>
      <c r="D71" s="160"/>
      <c r="E71" s="167" t="e">
        <f>+VLOOKUP(B71,Tabla16[[Type]:[Unit]],2,)</f>
        <v>#N/A</v>
      </c>
      <c r="F71" s="155" t="e">
        <f>+VLOOKUP(B71,Tabla16[[Type]:[Unit]],3,)</f>
        <v>#N/A</v>
      </c>
      <c r="G71" s="199" cm="1">
        <f t="array" ref="G71">+IFERROR(_xlfn.IFS(F71="kgCO2e/t",IF(D71="kg",C71*E71/1000000,C71*E71/1000),F71="kgCO2e/kg",IF(D71="kg",C71*E71/1000,C71*E71)),0)</f>
        <v>0</v>
      </c>
    </row>
    <row r="72" spans="2:7" x14ac:dyDescent="0.7">
      <c r="B72" s="159"/>
      <c r="C72" s="158"/>
      <c r="D72" s="160"/>
      <c r="E72" s="167" t="e">
        <f>+VLOOKUP(B72,Tabla16[[Type]:[Unit]],2,)</f>
        <v>#N/A</v>
      </c>
      <c r="F72" s="155" t="e">
        <f>+VLOOKUP(B72,Tabla16[[Type]:[Unit]],3,)</f>
        <v>#N/A</v>
      </c>
      <c r="G72" s="199" cm="1">
        <f t="array" ref="G72">+IFERROR(_xlfn.IFS(F72="kgCO2e/t",IF(D72="kg",C72*E72/1000000,C72*E72/1000),F72="kgCO2e/kg",IF(D72="kg",C72*E72/1000,C72*E72)),0)</f>
        <v>0</v>
      </c>
    </row>
    <row r="73" spans="2:7" x14ac:dyDescent="0.7">
      <c r="B73" s="159"/>
      <c r="C73" s="158"/>
      <c r="D73" s="160"/>
      <c r="E73" s="167" t="e">
        <f>+VLOOKUP(B73,Tabla16[[Type]:[Unit]],2,)</f>
        <v>#N/A</v>
      </c>
      <c r="F73" s="155" t="e">
        <f>+VLOOKUP(B73,Tabla16[[Type]:[Unit]],3,)</f>
        <v>#N/A</v>
      </c>
      <c r="G73" s="199" cm="1">
        <f t="array" ref="G73">+IFERROR(_xlfn.IFS(F73="kgCO2e/t",IF(D73="kg",C73*E73/1000000,C73*E73/1000),F73="kgCO2e/kg",IF(D73="kg",C73*E73/1000,C73*E73)),0)</f>
        <v>0</v>
      </c>
    </row>
    <row r="74" spans="2:7" x14ac:dyDescent="0.7">
      <c r="B74" s="159"/>
      <c r="C74" s="158"/>
      <c r="D74" s="160"/>
      <c r="E74" s="167" t="e">
        <f>+VLOOKUP(B74,Tabla16[[Type]:[Unit]],2,)</f>
        <v>#N/A</v>
      </c>
      <c r="F74" s="155" t="e">
        <f>+VLOOKUP(B74,Tabla16[[Type]:[Unit]],3,)</f>
        <v>#N/A</v>
      </c>
      <c r="G74" s="199" cm="1">
        <f t="array" ref="G74">+IFERROR(_xlfn.IFS(F74="kgCO2e/t",IF(D74="kg",C74*E74/1000000,C74*E74/1000),F74="kgCO2e/kg",IF(D74="kg",C74*E74/1000,C74*E74)),0)</f>
        <v>0</v>
      </c>
    </row>
    <row r="75" spans="2:7" x14ac:dyDescent="0.7">
      <c r="B75" s="159"/>
      <c r="C75" s="158"/>
      <c r="D75" s="160"/>
      <c r="E75" s="167" t="e">
        <f>+VLOOKUP(B75,Tabla16[[Type]:[Unit]],2,)</f>
        <v>#N/A</v>
      </c>
      <c r="F75" s="155" t="e">
        <f>+VLOOKUP(B75,Tabla16[[Type]:[Unit]],3,)</f>
        <v>#N/A</v>
      </c>
      <c r="G75" s="199" cm="1">
        <f t="array" ref="G75">+IFERROR(_xlfn.IFS(F75="kgCO2e/t",IF(D75="kg",C75*E75/1000000,C75*E75/1000),F75="kgCO2e/kg",IF(D75="kg",C75*E75/1000,C75*E75)),0)</f>
        <v>0</v>
      </c>
    </row>
    <row r="76" spans="2:7" x14ac:dyDescent="0.7">
      <c r="B76" s="159"/>
      <c r="C76" s="158"/>
      <c r="D76" s="160"/>
      <c r="E76" s="167" t="e">
        <f>+VLOOKUP(B76,Tabla16[[Type]:[Unit]],2,)</f>
        <v>#N/A</v>
      </c>
      <c r="F76" s="155" t="e">
        <f>+VLOOKUP(B76,Tabla16[[Type]:[Unit]],3,)</f>
        <v>#N/A</v>
      </c>
      <c r="G76" s="199" cm="1">
        <f t="array" ref="G76">+IFERROR(_xlfn.IFS(F76="kgCO2e/t",IF(D76="kg",C76*E76/1000000,C76*E76/1000),F76="kgCO2e/kg",IF(D76="kg",C76*E76/1000,C76*E76)),0)</f>
        <v>0</v>
      </c>
    </row>
    <row r="77" spans="2:7" x14ac:dyDescent="0.7">
      <c r="B77" s="159"/>
      <c r="C77" s="158"/>
      <c r="D77" s="160"/>
      <c r="E77" s="167" t="e">
        <f>+VLOOKUP(B77,Tabla16[[Type]:[Unit]],2,)</f>
        <v>#N/A</v>
      </c>
      <c r="F77" s="155" t="e">
        <f>+VLOOKUP(B77,Tabla16[[Type]:[Unit]],3,)</f>
        <v>#N/A</v>
      </c>
      <c r="G77" s="199" cm="1">
        <f t="array" ref="G77">+IFERROR(_xlfn.IFS(F77="kgCO2e/t",IF(D77="kg",C77*E77/1000000,C77*E77/1000),F77="kgCO2e/kg",IF(D77="kg",C77*E77/1000,C77*E77)),0)</f>
        <v>0</v>
      </c>
    </row>
    <row r="78" spans="2:7" x14ac:dyDescent="0.7">
      <c r="B78" s="159"/>
      <c r="C78" s="158"/>
      <c r="D78" s="160"/>
      <c r="E78" s="167" t="e">
        <f>+VLOOKUP(B78,Tabla16[[Type]:[Unit]],2,)</f>
        <v>#N/A</v>
      </c>
      <c r="F78" s="155" t="e">
        <f>+VLOOKUP(B78,Tabla16[[Type]:[Unit]],3,)</f>
        <v>#N/A</v>
      </c>
      <c r="G78" s="199" cm="1">
        <f t="array" ref="G78">+IFERROR(_xlfn.IFS(F78="kgCO2e/t",IF(D78="kg",C78*E78/1000000,C78*E78/1000),F78="kgCO2e/kg",IF(D78="kg",C78*E78/1000,C78*E78)),0)</f>
        <v>0</v>
      </c>
    </row>
    <row r="79" spans="2:7" x14ac:dyDescent="0.7">
      <c r="B79" s="159"/>
      <c r="C79" s="158"/>
      <c r="D79" s="160"/>
      <c r="E79" s="167" t="e">
        <f>+VLOOKUP(B79,Tabla16[[Type]:[Unit]],2,)</f>
        <v>#N/A</v>
      </c>
      <c r="F79" s="155" t="e">
        <f>+VLOOKUP(B79,Tabla16[[Type]:[Unit]],3,)</f>
        <v>#N/A</v>
      </c>
      <c r="G79" s="199" cm="1">
        <f t="array" ref="G79">+IFERROR(_xlfn.IFS(F79="kgCO2e/t",IF(D79="kg",C79*E79/1000000,C79*E79/1000),F79="kgCO2e/kg",IF(D79="kg",C79*E79/1000,C79*E79)),0)</f>
        <v>0</v>
      </c>
    </row>
    <row r="80" spans="2:7" x14ac:dyDescent="0.7">
      <c r="B80" s="159"/>
      <c r="C80" s="158"/>
      <c r="D80" s="160"/>
      <c r="E80" s="167" t="e">
        <f>+VLOOKUP(B80,Tabla16[[Type]:[Unit]],2,)</f>
        <v>#N/A</v>
      </c>
      <c r="F80" s="155" t="e">
        <f>+VLOOKUP(B80,Tabla16[[Type]:[Unit]],3,)</f>
        <v>#N/A</v>
      </c>
      <c r="G80" s="199" cm="1">
        <f t="array" ref="G80">+IFERROR(_xlfn.IFS(F80="kgCO2e/t",IF(D80="kg",C80*E80/1000000,C80*E80/1000),F80="kgCO2e/kg",IF(D80="kg",C80*E80/1000,C80*E80)),0)</f>
        <v>0</v>
      </c>
    </row>
    <row r="81" spans="2:7" x14ac:dyDescent="0.7">
      <c r="B81" s="159"/>
      <c r="C81" s="158"/>
      <c r="D81" s="160"/>
      <c r="E81" s="167" t="e">
        <f>+VLOOKUP(B81,Tabla16[[Type]:[Unit]],2,)</f>
        <v>#N/A</v>
      </c>
      <c r="F81" s="155" t="e">
        <f>+VLOOKUP(B81,Tabla16[[Type]:[Unit]],3,)</f>
        <v>#N/A</v>
      </c>
      <c r="G81" s="199" cm="1">
        <f t="array" ref="G81">+IFERROR(_xlfn.IFS(F81="kgCO2e/t",IF(D81="kg",C81*E81/1000000,C81*E81/1000),F81="kgCO2e/kg",IF(D81="kg",C81*E81/1000,C81*E81)),0)</f>
        <v>0</v>
      </c>
    </row>
    <row r="82" spans="2:7" x14ac:dyDescent="0.7">
      <c r="B82" s="159"/>
      <c r="C82" s="158"/>
      <c r="D82" s="160"/>
      <c r="E82" s="167" t="e">
        <f>+VLOOKUP(B82,Tabla16[[Type]:[Unit]],2,)</f>
        <v>#N/A</v>
      </c>
      <c r="F82" s="155" t="e">
        <f>+VLOOKUP(B82,Tabla16[[Type]:[Unit]],3,)</f>
        <v>#N/A</v>
      </c>
      <c r="G82" s="199" cm="1">
        <f t="array" ref="G82">+IFERROR(_xlfn.IFS(F82="kgCO2e/t",IF(D82="kg",C82*E82/1000000,C82*E82/1000),F82="kgCO2e/kg",IF(D82="kg",C82*E82/1000,C82*E82)),0)</f>
        <v>0</v>
      </c>
    </row>
    <row r="83" spans="2:7" x14ac:dyDescent="0.7">
      <c r="B83" s="159"/>
      <c r="C83" s="158"/>
      <c r="D83" s="160"/>
      <c r="E83" s="167" t="e">
        <f>+VLOOKUP(B83,Tabla16[[Type]:[Unit]],2,)</f>
        <v>#N/A</v>
      </c>
      <c r="F83" s="155" t="e">
        <f>+VLOOKUP(B83,Tabla16[[Type]:[Unit]],3,)</f>
        <v>#N/A</v>
      </c>
      <c r="G83" s="199" cm="1">
        <f t="array" ref="G83">+IFERROR(_xlfn.IFS(F83="kgCO2e/t",IF(D83="kg",C83*E83/1000000,C83*E83/1000),F83="kgCO2e/kg",IF(D83="kg",C83*E83/1000,C83*E83)),0)</f>
        <v>0</v>
      </c>
    </row>
    <row r="84" spans="2:7" x14ac:dyDescent="0.7">
      <c r="B84" s="159"/>
      <c r="C84" s="158"/>
      <c r="D84" s="160"/>
      <c r="E84" s="167" t="e">
        <f>+VLOOKUP(B84,Tabla16[[Type]:[Unit]],2,)</f>
        <v>#N/A</v>
      </c>
      <c r="F84" s="155" t="e">
        <f>+VLOOKUP(B84,Tabla16[[Type]:[Unit]],3,)</f>
        <v>#N/A</v>
      </c>
      <c r="G84" s="199" cm="1">
        <f t="array" ref="G84">+IFERROR(_xlfn.IFS(F84="kgCO2e/t",IF(D84="kg",C84*E84/1000000,C84*E84/1000),F84="kgCO2e/kg",IF(D84="kg",C84*E84/1000,C84*E84)),0)</f>
        <v>0</v>
      </c>
    </row>
    <row r="85" spans="2:7" x14ac:dyDescent="0.7">
      <c r="B85" s="159"/>
      <c r="C85" s="158"/>
      <c r="D85" s="160"/>
      <c r="E85" s="167" t="e">
        <f>+VLOOKUP(B85,Tabla16[[Type]:[Unit]],2,)</f>
        <v>#N/A</v>
      </c>
      <c r="F85" s="155" t="e">
        <f>+VLOOKUP(B85,Tabla16[[Type]:[Unit]],3,)</f>
        <v>#N/A</v>
      </c>
      <c r="G85" s="199" cm="1">
        <f t="array" ref="G85">+IFERROR(_xlfn.IFS(F85="kgCO2e/t",IF(D85="kg",C85*E85/1000000,C85*E85/1000),F85="kgCO2e/kg",IF(D85="kg",C85*E85/1000,C85*E85)),0)</f>
        <v>0</v>
      </c>
    </row>
    <row r="86" spans="2:7" x14ac:dyDescent="0.7">
      <c r="B86" s="159"/>
      <c r="C86" s="158"/>
      <c r="D86" s="160"/>
      <c r="E86" s="167" t="e">
        <f>+VLOOKUP(B86,Tabla16[[Type]:[Unit]],2,)</f>
        <v>#N/A</v>
      </c>
      <c r="F86" s="155" t="e">
        <f>+VLOOKUP(B86,Tabla16[[Type]:[Unit]],3,)</f>
        <v>#N/A</v>
      </c>
      <c r="G86" s="199" cm="1">
        <f t="array" ref="G86">+IFERROR(_xlfn.IFS(F86="kgCO2e/t",IF(D86="kg",C86*E86/1000000,C86*E86/1000),F86="kgCO2e/kg",IF(D86="kg",C86*E86/1000,C86*E86)),0)</f>
        <v>0</v>
      </c>
    </row>
    <row r="87" spans="2:7" x14ac:dyDescent="0.7">
      <c r="B87" s="159"/>
      <c r="C87" s="158"/>
      <c r="D87" s="160"/>
      <c r="E87" s="167" t="e">
        <f>+VLOOKUP(B87,Tabla16[[Type]:[Unit]],2,)</f>
        <v>#N/A</v>
      </c>
      <c r="F87" s="155" t="e">
        <f>+VLOOKUP(B87,Tabla16[[Type]:[Unit]],3,)</f>
        <v>#N/A</v>
      </c>
      <c r="G87" s="199" cm="1">
        <f t="array" ref="G87">+IFERROR(_xlfn.IFS(F87="kgCO2e/t",IF(D87="kg",C87*E87/1000000,C87*E87/1000),F87="kgCO2e/kg",IF(D87="kg",C87*E87/1000,C87*E87)),0)</f>
        <v>0</v>
      </c>
    </row>
    <row r="88" spans="2:7" x14ac:dyDescent="0.7">
      <c r="B88" s="159"/>
      <c r="C88" s="158"/>
      <c r="D88" s="160"/>
      <c r="E88" s="167" t="e">
        <f>+VLOOKUP(B88,Tabla16[[Type]:[Unit]],2,)</f>
        <v>#N/A</v>
      </c>
      <c r="F88" s="155" t="e">
        <f>+VLOOKUP(B88,Tabla16[[Type]:[Unit]],3,)</f>
        <v>#N/A</v>
      </c>
      <c r="G88" s="199" cm="1">
        <f t="array" ref="G88">+IFERROR(_xlfn.IFS(F88="kgCO2e/t",IF(D88="kg",C88*E88/1000000,C88*E88/1000),F88="kgCO2e/kg",IF(D88="kg",C88*E88/1000,C88*E88)),0)</f>
        <v>0</v>
      </c>
    </row>
    <row r="89" spans="2:7" x14ac:dyDescent="0.7">
      <c r="B89" s="159"/>
      <c r="C89" s="158"/>
      <c r="D89" s="160"/>
      <c r="E89" s="167" t="e">
        <f>+VLOOKUP(B89,Tabla16[[Type]:[Unit]],2,)</f>
        <v>#N/A</v>
      </c>
      <c r="F89" s="155" t="e">
        <f>+VLOOKUP(B89,Tabla16[[Type]:[Unit]],3,)</f>
        <v>#N/A</v>
      </c>
      <c r="G89" s="199" cm="1">
        <f t="array" ref="G89">+IFERROR(_xlfn.IFS(F89="kgCO2e/t",IF(D89="kg",C89*E89/1000000,C89*E89/1000),F89="kgCO2e/kg",IF(D89="kg",C89*E89/1000,C89*E89)),0)</f>
        <v>0</v>
      </c>
    </row>
    <row r="90" spans="2:7" x14ac:dyDescent="0.7">
      <c r="B90" s="159"/>
      <c r="C90" s="158"/>
      <c r="D90" s="160"/>
      <c r="E90" s="167" t="e">
        <f>+VLOOKUP(B90,Tabla16[[Type]:[Unit]],2,)</f>
        <v>#N/A</v>
      </c>
      <c r="F90" s="155" t="e">
        <f>+VLOOKUP(B90,Tabla16[[Type]:[Unit]],3,)</f>
        <v>#N/A</v>
      </c>
      <c r="G90" s="199" cm="1">
        <f t="array" ref="G90">+IFERROR(_xlfn.IFS(F90="kgCO2e/t",IF(D90="kg",C90*E90/1000000,C90*E90/1000),F90="kgCO2e/kg",IF(D90="kg",C90*E90/1000,C90*E90)),0)</f>
        <v>0</v>
      </c>
    </row>
    <row r="91" spans="2:7" x14ac:dyDescent="0.7">
      <c r="B91" s="159"/>
      <c r="C91" s="158"/>
      <c r="D91" s="160"/>
      <c r="E91" s="167" t="e">
        <f>+VLOOKUP(B91,Tabla16[[Type]:[Unit]],2,)</f>
        <v>#N/A</v>
      </c>
      <c r="F91" s="155" t="e">
        <f>+VLOOKUP(B91,Tabla16[[Type]:[Unit]],3,)</f>
        <v>#N/A</v>
      </c>
      <c r="G91" s="199" cm="1">
        <f t="array" ref="G91">+IFERROR(_xlfn.IFS(F91="kgCO2e/t",IF(D91="kg",C91*E91/1000000,C91*E91/1000),F91="kgCO2e/kg",IF(D91="kg",C91*E91/1000,C91*E91)),0)</f>
        <v>0</v>
      </c>
    </row>
    <row r="92" spans="2:7" x14ac:dyDescent="0.7">
      <c r="B92" s="159"/>
      <c r="C92" s="158"/>
      <c r="D92" s="160"/>
      <c r="E92" s="167" t="e">
        <f>+VLOOKUP(B92,Tabla16[[Type]:[Unit]],2,)</f>
        <v>#N/A</v>
      </c>
      <c r="F92" s="155" t="e">
        <f>+VLOOKUP(B92,Tabla16[[Type]:[Unit]],3,)</f>
        <v>#N/A</v>
      </c>
      <c r="G92" s="199" cm="1">
        <f t="array" ref="G92">+IFERROR(_xlfn.IFS(F92="kgCO2e/t",IF(D92="kg",C92*E92/1000000,C92*E92/1000),F92="kgCO2e/kg",IF(D92="kg",C92*E92/1000,C92*E92)),0)</f>
        <v>0</v>
      </c>
    </row>
    <row r="93" spans="2:7" x14ac:dyDescent="0.7">
      <c r="B93" s="159"/>
      <c r="C93" s="158"/>
      <c r="D93" s="160"/>
      <c r="E93" s="167" t="e">
        <f>+VLOOKUP(B93,Tabla16[[Type]:[Unit]],2,)</f>
        <v>#N/A</v>
      </c>
      <c r="F93" s="155" t="e">
        <f>+VLOOKUP(B93,Tabla16[[Type]:[Unit]],3,)</f>
        <v>#N/A</v>
      </c>
      <c r="G93" s="199" cm="1">
        <f t="array" ref="G93">+IFERROR(_xlfn.IFS(F93="kgCO2e/t",IF(D93="kg",C93*E93/1000000,C93*E93/1000),F93="kgCO2e/kg",IF(D93="kg",C93*E93/1000,C93*E93)),0)</f>
        <v>0</v>
      </c>
    </row>
    <row r="94" spans="2:7" x14ac:dyDescent="0.7">
      <c r="B94" s="159"/>
      <c r="C94" s="158"/>
      <c r="D94" s="160"/>
      <c r="E94" s="167" t="e">
        <f>+VLOOKUP(B94,Tabla16[[Type]:[Unit]],2,)</f>
        <v>#N/A</v>
      </c>
      <c r="F94" s="155" t="e">
        <f>+VLOOKUP(B94,Tabla16[[Type]:[Unit]],3,)</f>
        <v>#N/A</v>
      </c>
      <c r="G94" s="199" cm="1">
        <f t="array" ref="G94">+IFERROR(_xlfn.IFS(F94="kgCO2e/t",IF(D94="kg",C94*E94/1000000,C94*E94/1000),F94="kgCO2e/kg",IF(D94="kg",C94*E94/1000,C94*E94)),0)</f>
        <v>0</v>
      </c>
    </row>
    <row r="95" spans="2:7" x14ac:dyDescent="0.7">
      <c r="B95" s="159"/>
      <c r="C95" s="158"/>
      <c r="D95" s="160"/>
      <c r="E95" s="167" t="e">
        <f>+VLOOKUP(B95,Tabla16[[Type]:[Unit]],2,)</f>
        <v>#N/A</v>
      </c>
      <c r="F95" s="155" t="e">
        <f>+VLOOKUP(B95,Tabla16[[Type]:[Unit]],3,)</f>
        <v>#N/A</v>
      </c>
      <c r="G95" s="199" cm="1">
        <f t="array" ref="G95">+IFERROR(_xlfn.IFS(F95="kgCO2e/t",IF(D95="kg",C95*E95/1000000,C95*E95/1000),F95="kgCO2e/kg",IF(D95="kg",C95*E95/1000,C95*E95)),0)</f>
        <v>0</v>
      </c>
    </row>
    <row r="96" spans="2:7" x14ac:dyDescent="0.7">
      <c r="B96" s="159"/>
      <c r="C96" s="158"/>
      <c r="D96" s="160"/>
      <c r="E96" s="167" t="e">
        <f>+VLOOKUP(B96,Tabla16[[Type]:[Unit]],2,)</f>
        <v>#N/A</v>
      </c>
      <c r="F96" s="155" t="e">
        <f>+VLOOKUP(B96,Tabla16[[Type]:[Unit]],3,)</f>
        <v>#N/A</v>
      </c>
      <c r="G96" s="199" cm="1">
        <f t="array" ref="G96">+IFERROR(_xlfn.IFS(F96="kgCO2e/t",IF(D96="kg",C96*E96/1000000,C96*E96/1000),F96="kgCO2e/kg",IF(D96="kg",C96*E96/1000,C96*E96)),0)</f>
        <v>0</v>
      </c>
    </row>
    <row r="97" spans="2:7" x14ac:dyDescent="0.7">
      <c r="B97" s="159"/>
      <c r="C97" s="158"/>
      <c r="D97" s="160"/>
      <c r="E97" s="167" t="e">
        <f>+VLOOKUP(B97,Tabla16[[Type]:[Unit]],2,)</f>
        <v>#N/A</v>
      </c>
      <c r="F97" s="155" t="e">
        <f>+VLOOKUP(B97,Tabla16[[Type]:[Unit]],3,)</f>
        <v>#N/A</v>
      </c>
      <c r="G97" s="199" cm="1">
        <f t="array" ref="G97">+IFERROR(_xlfn.IFS(F97="kgCO2e/t",IF(D97="kg",C97*E97/1000000,C97*E97/1000),F97="kgCO2e/kg",IF(D97="kg",C97*E97/1000,C97*E97)),0)</f>
        <v>0</v>
      </c>
    </row>
    <row r="98" spans="2:7" x14ac:dyDescent="0.7">
      <c r="B98" s="159"/>
      <c r="C98" s="158"/>
      <c r="D98" s="160"/>
      <c r="E98" s="167" t="e">
        <f>+VLOOKUP(B98,Tabla16[[Type]:[Unit]],2,)</f>
        <v>#N/A</v>
      </c>
      <c r="F98" s="155" t="e">
        <f>+VLOOKUP(B98,Tabla16[[Type]:[Unit]],3,)</f>
        <v>#N/A</v>
      </c>
      <c r="G98" s="199" cm="1">
        <f t="array" ref="G98">+IFERROR(_xlfn.IFS(F98="kgCO2e/t",IF(D98="kg",C98*E98/1000000,C98*E98/1000),F98="kgCO2e/kg",IF(D98="kg",C98*E98/1000,C98*E98)),0)</f>
        <v>0</v>
      </c>
    </row>
    <row r="99" spans="2:7" x14ac:dyDescent="0.7">
      <c r="B99" s="159"/>
      <c r="C99" s="158"/>
      <c r="D99" s="160"/>
      <c r="E99" s="167" t="e">
        <f>+VLOOKUP(B99,Tabla16[[Type]:[Unit]],2,)</f>
        <v>#N/A</v>
      </c>
      <c r="F99" s="155" t="e">
        <f>+VLOOKUP(B99,Tabla16[[Type]:[Unit]],3,)</f>
        <v>#N/A</v>
      </c>
      <c r="G99" s="199" cm="1">
        <f t="array" ref="G99">+IFERROR(_xlfn.IFS(F99="kgCO2e/t",IF(D99="kg",C99*E99/1000000,C99*E99/1000),F99="kgCO2e/kg",IF(D99="kg",C99*E99/1000,C99*E99)),0)</f>
        <v>0</v>
      </c>
    </row>
    <row r="100" spans="2:7" x14ac:dyDescent="0.7">
      <c r="B100" s="159"/>
      <c r="C100" s="158"/>
      <c r="D100" s="160"/>
      <c r="E100" s="167" t="e">
        <f>+VLOOKUP(B100,Tabla16[[Type]:[Unit]],2,)</f>
        <v>#N/A</v>
      </c>
      <c r="F100" s="155" t="e">
        <f>+VLOOKUP(B100,Tabla16[[Type]:[Unit]],3,)</f>
        <v>#N/A</v>
      </c>
      <c r="G100" s="199" cm="1">
        <f t="array" ref="G100">+IFERROR(_xlfn.IFS(F100="kgCO2e/t",IF(D100="kg",C100*E100/1000000,C100*E100/1000),F100="kgCO2e/kg",IF(D100="kg",C100*E100/1000,C100*E100)),0)</f>
        <v>0</v>
      </c>
    </row>
    <row r="101" spans="2:7" x14ac:dyDescent="0.7">
      <c r="B101" s="159"/>
      <c r="C101" s="158"/>
      <c r="D101" s="160"/>
      <c r="E101" s="167" t="e">
        <f>+VLOOKUP(B101,Tabla16[[Type]:[Unit]],2,)</f>
        <v>#N/A</v>
      </c>
      <c r="F101" s="155" t="e">
        <f>+VLOOKUP(B101,Tabla16[[Type]:[Unit]],3,)</f>
        <v>#N/A</v>
      </c>
      <c r="G101" s="199" cm="1">
        <f t="array" ref="G101">+IFERROR(_xlfn.IFS(F101="kgCO2e/t",IF(D101="kg",C101*E101/1000000,C101*E101/1000),F101="kgCO2e/kg",IF(D101="kg",C101*E101/1000,C101*E101)),0)</f>
        <v>0</v>
      </c>
    </row>
    <row r="102" spans="2:7" x14ac:dyDescent="0.7">
      <c r="B102" s="159"/>
      <c r="C102" s="158"/>
      <c r="D102" s="160"/>
      <c r="E102" s="167" t="e">
        <f>+VLOOKUP(B102,Tabla16[[Type]:[Unit]],2,)</f>
        <v>#N/A</v>
      </c>
      <c r="F102" s="155" t="e">
        <f>+VLOOKUP(B102,Tabla16[[Type]:[Unit]],3,)</f>
        <v>#N/A</v>
      </c>
      <c r="G102" s="199" cm="1">
        <f t="array" ref="G102">+IFERROR(_xlfn.IFS(F102="kgCO2e/t",IF(D102="kg",C102*E102/1000000,C102*E102/1000),F102="kgCO2e/kg",IF(D102="kg",C102*E102/1000,C102*E102)),0)</f>
        <v>0</v>
      </c>
    </row>
  </sheetData>
  <sheetProtection algorithmName="SHA-512" hashValue="oSHzF3VemPgzMb9Jda9eDRl6BMzRujXU6yWfEQGW+WNQtTqYHaeO0emyur9b+e7eT4WRuioa8bpTCOxxcAUFrw==" saltValue="KbuWQh7A+cZgPFFcpRUspA==" spinCount="100000" sheet="1" objects="1" scenarios="1"/>
  <protectedRanges>
    <protectedRange sqref="B10:D102" name="Rango1"/>
  </protectedRanges>
  <mergeCells count="3">
    <mergeCell ref="A4:F4"/>
    <mergeCell ref="B8:D8"/>
    <mergeCell ref="E8:F8"/>
  </mergeCells>
  <dataValidations count="3">
    <dataValidation type="list" allowBlank="1" showInputMessage="1" showErrorMessage="1" sqref="D10:D102" xr:uid="{4B7606F1-C5FB-4BFF-8C1A-DEE3ADBC744A}">
      <formula1>unit_raw</formula1>
    </dataValidation>
    <dataValidation type="list" allowBlank="1" showInputMessage="1" showErrorMessage="1" sqref="B10:B102" xr:uid="{E352077D-EA09-41E4-89A8-7630101340FD}">
      <formula1>materials</formula1>
    </dataValidation>
    <dataValidation type="decimal" allowBlank="1" showInputMessage="1" showErrorMessage="1" sqref="C10:C102" xr:uid="{F102181B-BA73-4CC9-85FC-B1A7D260EDA4}">
      <formula1>0</formula1>
      <formula2>999999999</formula2>
    </dataValidation>
  </dataValidation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B7731-7FF1-4E56-9F2E-A56911721A38}">
  <sheetPr>
    <tabColor rgb="FF083C12"/>
  </sheetPr>
  <dimension ref="A1:O103"/>
  <sheetViews>
    <sheetView zoomScale="40" zoomScaleNormal="40" workbookViewId="0">
      <selection activeCell="B33" sqref="B33"/>
    </sheetView>
  </sheetViews>
  <sheetFormatPr baseColWidth="10" defaultColWidth="10.88671875" defaultRowHeight="36.6" x14ac:dyDescent="0.7"/>
  <cols>
    <col min="1" max="1" width="4.44140625" style="143" customWidth="1"/>
    <col min="2" max="2" width="118.5546875" style="143" customWidth="1"/>
    <col min="3" max="3" width="50.109375" style="143" customWidth="1"/>
    <col min="4" max="4" width="40.109375" style="143" customWidth="1"/>
    <col min="5" max="5" width="169.109375" style="143" customWidth="1"/>
    <col min="6" max="6" width="167.44140625" style="143" customWidth="1"/>
    <col min="7" max="7" width="149.109375" style="143" customWidth="1"/>
    <col min="8" max="8" width="150.33203125" style="143" customWidth="1"/>
    <col min="9" max="9" width="90.5546875" style="181" customWidth="1"/>
    <col min="10" max="10" width="84.33203125" style="143" customWidth="1"/>
    <col min="11" max="11" width="70.44140625" style="143" customWidth="1"/>
    <col min="12" max="12" width="88.44140625" style="143" customWidth="1"/>
    <col min="13" max="13" width="79.5546875" style="181" customWidth="1"/>
    <col min="14" max="14" width="17.109375" style="143" customWidth="1"/>
    <col min="15" max="15" width="17.5546875" style="143" hidden="1" customWidth="1"/>
    <col min="16" max="16384" width="10.88671875" style="143"/>
  </cols>
  <sheetData>
    <row r="1" spans="1:15" x14ac:dyDescent="0.7">
      <c r="A1" s="163"/>
      <c r="B1" s="163"/>
      <c r="C1" s="163"/>
      <c r="D1" s="163"/>
      <c r="E1" s="163"/>
      <c r="F1" s="163"/>
      <c r="G1" s="163"/>
      <c r="H1" s="163"/>
      <c r="I1" s="257"/>
    </row>
    <row r="2" spans="1:15" x14ac:dyDescent="0.7">
      <c r="A2" s="163"/>
      <c r="B2" s="163"/>
      <c r="C2" s="163"/>
      <c r="D2" s="163"/>
      <c r="E2" s="163"/>
      <c r="F2" s="163"/>
      <c r="G2" s="163"/>
      <c r="H2" s="163"/>
      <c r="I2" s="257"/>
    </row>
    <row r="3" spans="1:15" x14ac:dyDescent="0.7">
      <c r="A3" s="163"/>
      <c r="B3" s="163"/>
      <c r="C3" s="163"/>
      <c r="D3" s="163"/>
      <c r="E3" s="163"/>
      <c r="F3" s="163"/>
      <c r="G3" s="163"/>
      <c r="H3" s="163"/>
      <c r="I3" s="257"/>
    </row>
    <row r="4" spans="1:15" x14ac:dyDescent="0.7">
      <c r="A4" s="163"/>
      <c r="B4" s="163"/>
      <c r="C4" s="163"/>
      <c r="D4" s="163"/>
      <c r="E4" s="163"/>
      <c r="F4" s="163"/>
      <c r="G4" s="163"/>
      <c r="H4" s="163"/>
      <c r="I4" s="163"/>
      <c r="M4" s="143"/>
    </row>
    <row r="5" spans="1:15" ht="30.9" customHeight="1" x14ac:dyDescent="0.7">
      <c r="A5" s="282" t="s">
        <v>113</v>
      </c>
      <c r="B5" s="282"/>
      <c r="C5" s="282"/>
      <c r="D5" s="282"/>
      <c r="E5" s="282"/>
      <c r="F5" s="282"/>
      <c r="G5" s="282"/>
      <c r="H5" s="282"/>
      <c r="I5" s="282"/>
      <c r="J5" s="164"/>
      <c r="M5" s="143"/>
    </row>
    <row r="6" spans="1:15" x14ac:dyDescent="0.7">
      <c r="A6" s="165"/>
      <c r="B6" s="165"/>
      <c r="C6" s="165"/>
      <c r="D6" s="165"/>
      <c r="E6" s="165"/>
      <c r="F6" s="165"/>
      <c r="G6" s="165"/>
      <c r="H6" s="165"/>
      <c r="I6" s="165"/>
      <c r="M6" s="143"/>
    </row>
    <row r="7" spans="1:15" ht="36" customHeight="1" x14ac:dyDescent="0.7">
      <c r="A7" s="135"/>
      <c r="B7" s="283" t="s">
        <v>59</v>
      </c>
      <c r="C7" s="284"/>
      <c r="D7" s="284"/>
      <c r="E7" s="284"/>
      <c r="F7" s="284"/>
      <c r="G7" s="284"/>
      <c r="H7" s="284"/>
      <c r="I7" s="284"/>
      <c r="J7" s="285"/>
      <c r="K7" s="270" t="s">
        <v>60</v>
      </c>
      <c r="L7" s="271"/>
      <c r="M7" s="240" t="s">
        <v>61</v>
      </c>
      <c r="O7" s="176" t="s">
        <v>114</v>
      </c>
    </row>
    <row r="8" spans="1:15" ht="36" customHeight="1" x14ac:dyDescent="0.7">
      <c r="A8" s="135"/>
      <c r="B8" s="152" t="s">
        <v>115</v>
      </c>
      <c r="C8" s="152" t="s">
        <v>116</v>
      </c>
      <c r="D8" s="152" t="s">
        <v>32</v>
      </c>
      <c r="E8" s="152" t="s">
        <v>117</v>
      </c>
      <c r="F8" s="152" t="s">
        <v>118</v>
      </c>
      <c r="G8" s="152" t="s">
        <v>119</v>
      </c>
      <c r="H8" s="152" t="s">
        <v>120</v>
      </c>
      <c r="I8" s="152" t="s">
        <v>121</v>
      </c>
      <c r="J8" s="152" t="s">
        <v>114</v>
      </c>
      <c r="K8" s="238" t="s">
        <v>111</v>
      </c>
      <c r="L8" s="238" t="s">
        <v>32</v>
      </c>
      <c r="M8" s="237" t="s">
        <v>74</v>
      </c>
      <c r="O8" s="177" t="s">
        <v>122</v>
      </c>
    </row>
    <row r="9" spans="1:15" ht="36" customHeight="1" x14ac:dyDescent="0.7">
      <c r="B9" s="159"/>
      <c r="C9" s="158"/>
      <c r="D9" s="160"/>
      <c r="E9" s="178"/>
      <c r="F9" s="178"/>
      <c r="G9" s="178"/>
      <c r="H9" s="178"/>
      <c r="I9" s="179">
        <f>1.25*(6371*ACOS(COS(RADIANS(90-E9))*COS(RADIANS(90-G9))+SIN(RADIANS(90-E9))*SIN(RADIANS(90-G9))*COS(RADIANS(F9-H9))))</f>
        <v>0</v>
      </c>
      <c r="J9" s="159"/>
      <c r="K9" s="155" t="e">
        <f>+VLOOKUP(J9,'EF-S3'!$K$10:$L$17,2,)</f>
        <v>#N/A</v>
      </c>
      <c r="L9" s="155" t="e">
        <f>+VLOOKUP(J9,'EF-S3'!$K$10:$M$17,3,)</f>
        <v>#N/A</v>
      </c>
      <c r="M9" s="156">
        <f>+IFERROR(IF(D9="kg",C9*I9*K9,C9*I9*K9/1000),0)</f>
        <v>0</v>
      </c>
      <c r="O9" s="177" t="s">
        <v>123</v>
      </c>
    </row>
    <row r="10" spans="1:15" ht="34.5" customHeight="1" x14ac:dyDescent="0.7">
      <c r="B10" s="159"/>
      <c r="C10" s="158"/>
      <c r="D10" s="160"/>
      <c r="E10" s="178"/>
      <c r="F10" s="178"/>
      <c r="G10" s="178"/>
      <c r="H10" s="178"/>
      <c r="I10" s="179">
        <f t="shared" ref="I10:I16" si="0">1.25*(6371*ACOS(COS(RADIANS(90-E10))*COS(RADIANS(90-G10))+SIN(RADIANS(90-E10))*SIN(RADIANS(90-G10))*COS(RADIANS(F10-H10))))</f>
        <v>0</v>
      </c>
      <c r="J10" s="159"/>
      <c r="K10" s="155" t="e">
        <f>+VLOOKUP(J10,'EF-S3'!$K$10:$L$17,2,)</f>
        <v>#N/A</v>
      </c>
      <c r="L10" s="155" t="e">
        <f>+VLOOKUP(J10,'EF-S3'!$K$10:$M$17,3,)</f>
        <v>#N/A</v>
      </c>
      <c r="M10" s="156">
        <f t="shared" ref="M10:M73" si="1">+IFERROR(IF(D10="kg",C10*I10*K10,C10*I10*K10/1000),0)</f>
        <v>0</v>
      </c>
      <c r="O10" s="177" t="s">
        <v>124</v>
      </c>
    </row>
    <row r="11" spans="1:15" x14ac:dyDescent="0.7">
      <c r="A11" s="135"/>
      <c r="B11" s="159"/>
      <c r="C11" s="158"/>
      <c r="D11" s="160"/>
      <c r="E11" s="178"/>
      <c r="F11" s="178"/>
      <c r="G11" s="178"/>
      <c r="H11" s="178"/>
      <c r="I11" s="179">
        <f t="shared" si="0"/>
        <v>0</v>
      </c>
      <c r="J11" s="159"/>
      <c r="K11" s="155" t="e">
        <f>+VLOOKUP(J11,'EF-S3'!$K$10:$L$17,2,)</f>
        <v>#N/A</v>
      </c>
      <c r="L11" s="155" t="e">
        <f>+VLOOKUP(J11,'EF-S3'!$K$10:$M$17,3,)</f>
        <v>#N/A</v>
      </c>
      <c r="M11" s="156">
        <f t="shared" si="1"/>
        <v>0</v>
      </c>
      <c r="O11" s="177" t="s">
        <v>125</v>
      </c>
    </row>
    <row r="12" spans="1:15" ht="36" customHeight="1" x14ac:dyDescent="0.7">
      <c r="A12" s="135"/>
      <c r="B12" s="159"/>
      <c r="C12" s="158"/>
      <c r="D12" s="160"/>
      <c r="E12" s="178"/>
      <c r="F12" s="178"/>
      <c r="G12" s="178"/>
      <c r="H12" s="178"/>
      <c r="I12" s="179">
        <f t="shared" si="0"/>
        <v>0</v>
      </c>
      <c r="J12" s="159"/>
      <c r="K12" s="155" t="e">
        <f>+VLOOKUP(J12,'EF-S3'!$K$10:$L$17,2,)</f>
        <v>#N/A</v>
      </c>
      <c r="L12" s="155" t="e">
        <f>+VLOOKUP(J12,'EF-S3'!$K$10:$M$17,3,)</f>
        <v>#N/A</v>
      </c>
      <c r="M12" s="156">
        <f t="shared" si="1"/>
        <v>0</v>
      </c>
      <c r="O12" s="177" t="s">
        <v>126</v>
      </c>
    </row>
    <row r="13" spans="1:15" ht="34.5" customHeight="1" x14ac:dyDescent="0.7">
      <c r="B13" s="159"/>
      <c r="C13" s="158"/>
      <c r="D13" s="160"/>
      <c r="E13" s="178"/>
      <c r="F13" s="178"/>
      <c r="G13" s="178"/>
      <c r="H13" s="178"/>
      <c r="I13" s="179">
        <f t="shared" si="0"/>
        <v>0</v>
      </c>
      <c r="J13" s="159"/>
      <c r="K13" s="155" t="e">
        <f>+VLOOKUP(J13,'EF-S3'!$K$10:$L$17,2,)</f>
        <v>#N/A</v>
      </c>
      <c r="L13" s="155" t="e">
        <f>+VLOOKUP(J13,'EF-S3'!$K$10:$M$17,3,)</f>
        <v>#N/A</v>
      </c>
      <c r="M13" s="156">
        <f t="shared" si="1"/>
        <v>0</v>
      </c>
      <c r="O13" s="177" t="s">
        <v>127</v>
      </c>
    </row>
    <row r="14" spans="1:15" ht="36" customHeight="1" x14ac:dyDescent="0.7">
      <c r="B14" s="159"/>
      <c r="C14" s="158"/>
      <c r="D14" s="160"/>
      <c r="E14" s="178"/>
      <c r="F14" s="178"/>
      <c r="G14" s="178"/>
      <c r="H14" s="178"/>
      <c r="I14" s="179">
        <f t="shared" si="0"/>
        <v>0</v>
      </c>
      <c r="J14" s="159"/>
      <c r="K14" s="155" t="e">
        <f>+VLOOKUP(J14,'EF-S3'!$K$10:$L$17,2,)</f>
        <v>#N/A</v>
      </c>
      <c r="L14" s="155" t="e">
        <f>+VLOOKUP(J14,'EF-S3'!$K$10:$M$17,3,)</f>
        <v>#N/A</v>
      </c>
      <c r="M14" s="156">
        <f t="shared" si="1"/>
        <v>0</v>
      </c>
      <c r="O14" s="177" t="s">
        <v>128</v>
      </c>
    </row>
    <row r="15" spans="1:15" ht="36" customHeight="1" x14ac:dyDescent="0.7">
      <c r="B15" s="159"/>
      <c r="C15" s="158"/>
      <c r="D15" s="160"/>
      <c r="E15" s="178"/>
      <c r="F15" s="178"/>
      <c r="G15" s="178"/>
      <c r="H15" s="178"/>
      <c r="I15" s="179">
        <f t="shared" si="0"/>
        <v>0</v>
      </c>
      <c r="J15" s="159"/>
      <c r="K15" s="155" t="e">
        <f>+VLOOKUP(J15,'EF-S3'!$K$10:$L$17,2,)</f>
        <v>#N/A</v>
      </c>
      <c r="L15" s="155" t="e">
        <f>+VLOOKUP(J15,'EF-S3'!$K$10:$M$17,3,)</f>
        <v>#N/A</v>
      </c>
      <c r="M15" s="156">
        <f t="shared" si="1"/>
        <v>0</v>
      </c>
      <c r="O15" s="180" t="s">
        <v>129</v>
      </c>
    </row>
    <row r="16" spans="1:15" x14ac:dyDescent="0.7">
      <c r="B16" s="159"/>
      <c r="C16" s="158"/>
      <c r="D16" s="160"/>
      <c r="E16" s="178"/>
      <c r="F16" s="178"/>
      <c r="G16" s="178"/>
      <c r="H16" s="178"/>
      <c r="I16" s="179">
        <f t="shared" si="0"/>
        <v>0</v>
      </c>
      <c r="J16" s="159"/>
      <c r="K16" s="155" t="e">
        <f>+VLOOKUP(J16,'EF-S3'!$K$10:$L$17,2,)</f>
        <v>#N/A</v>
      </c>
      <c r="L16" s="155" t="e">
        <f>+VLOOKUP(J16,'EF-S3'!$K$10:$M$17,3,)</f>
        <v>#N/A</v>
      </c>
      <c r="M16" s="156">
        <f t="shared" si="1"/>
        <v>0</v>
      </c>
    </row>
    <row r="17" spans="2:13" x14ac:dyDescent="0.7">
      <c r="B17" s="159"/>
      <c r="C17" s="158"/>
      <c r="D17" s="160"/>
      <c r="E17" s="178"/>
      <c r="F17" s="178"/>
      <c r="G17" s="178"/>
      <c r="H17" s="178"/>
      <c r="I17" s="179">
        <f t="shared" ref="I17:I80" si="2">1.25*(6371*ACOS(COS(RADIANS(90-E17))*COS(RADIANS(90-G17))+SIN(RADIANS(90-E17))*SIN(RADIANS(90-G17))*COS(RADIANS(F17-H17))))</f>
        <v>0</v>
      </c>
      <c r="J17" s="159"/>
      <c r="K17" s="155" t="e">
        <f>+VLOOKUP(J17,'EF-S3'!$K$10:$L$17,2,)</f>
        <v>#N/A</v>
      </c>
      <c r="L17" s="155" t="e">
        <f>+VLOOKUP(J17,'EF-S3'!$K$10:$M$17,3,)</f>
        <v>#N/A</v>
      </c>
      <c r="M17" s="156">
        <f t="shared" si="1"/>
        <v>0</v>
      </c>
    </row>
    <row r="18" spans="2:13" x14ac:dyDescent="0.7">
      <c r="B18" s="159"/>
      <c r="C18" s="158"/>
      <c r="D18" s="160"/>
      <c r="E18" s="178"/>
      <c r="F18" s="178"/>
      <c r="G18" s="178"/>
      <c r="H18" s="178"/>
      <c r="I18" s="179">
        <f t="shared" si="2"/>
        <v>0</v>
      </c>
      <c r="J18" s="159"/>
      <c r="K18" s="155" t="e">
        <f>+VLOOKUP(J18,'EF-S3'!$K$10:$L$17,2,)</f>
        <v>#N/A</v>
      </c>
      <c r="L18" s="155" t="e">
        <f>+VLOOKUP(J18,'EF-S3'!$K$10:$M$17,3,)</f>
        <v>#N/A</v>
      </c>
      <c r="M18" s="156">
        <f t="shared" si="1"/>
        <v>0</v>
      </c>
    </row>
    <row r="19" spans="2:13" x14ac:dyDescent="0.7">
      <c r="B19" s="159"/>
      <c r="C19" s="158"/>
      <c r="D19" s="160"/>
      <c r="E19" s="178"/>
      <c r="F19" s="178"/>
      <c r="G19" s="178"/>
      <c r="H19" s="178"/>
      <c r="I19" s="179">
        <f t="shared" si="2"/>
        <v>0</v>
      </c>
      <c r="J19" s="159"/>
      <c r="K19" s="155" t="e">
        <f>+VLOOKUP(J19,'EF-S3'!$K$10:$L$17,2,)</f>
        <v>#N/A</v>
      </c>
      <c r="L19" s="155" t="e">
        <f>+VLOOKUP(J19,'EF-S3'!$K$10:$M$17,3,)</f>
        <v>#N/A</v>
      </c>
      <c r="M19" s="156">
        <f t="shared" si="1"/>
        <v>0</v>
      </c>
    </row>
    <row r="20" spans="2:13" x14ac:dyDescent="0.7">
      <c r="B20" s="159"/>
      <c r="C20" s="158"/>
      <c r="D20" s="160"/>
      <c r="E20" s="178"/>
      <c r="F20" s="178"/>
      <c r="G20" s="178"/>
      <c r="H20" s="178"/>
      <c r="I20" s="179">
        <f t="shared" si="2"/>
        <v>0</v>
      </c>
      <c r="J20" s="159"/>
      <c r="K20" s="155" t="e">
        <f>+VLOOKUP(J20,'EF-S3'!$K$10:$L$17,2,)</f>
        <v>#N/A</v>
      </c>
      <c r="L20" s="155" t="e">
        <f>+VLOOKUP(J20,'EF-S3'!$K$10:$M$17,3,)</f>
        <v>#N/A</v>
      </c>
      <c r="M20" s="156">
        <f t="shared" si="1"/>
        <v>0</v>
      </c>
    </row>
    <row r="21" spans="2:13" x14ac:dyDescent="0.7">
      <c r="B21" s="159"/>
      <c r="C21" s="158"/>
      <c r="D21" s="160"/>
      <c r="E21" s="178"/>
      <c r="F21" s="178"/>
      <c r="G21" s="178"/>
      <c r="H21" s="178"/>
      <c r="I21" s="179">
        <f t="shared" si="2"/>
        <v>0</v>
      </c>
      <c r="J21" s="159"/>
      <c r="K21" s="155" t="e">
        <f>+VLOOKUP(J21,'EF-S3'!$K$10:$L$17,2,)</f>
        <v>#N/A</v>
      </c>
      <c r="L21" s="155" t="e">
        <f>+VLOOKUP(J21,'EF-S3'!$K$10:$M$17,3,)</f>
        <v>#N/A</v>
      </c>
      <c r="M21" s="156">
        <f t="shared" si="1"/>
        <v>0</v>
      </c>
    </row>
    <row r="22" spans="2:13" x14ac:dyDescent="0.7">
      <c r="B22" s="159"/>
      <c r="C22" s="158"/>
      <c r="D22" s="160"/>
      <c r="E22" s="178"/>
      <c r="F22" s="178"/>
      <c r="G22" s="178"/>
      <c r="H22" s="178"/>
      <c r="I22" s="179">
        <f t="shared" si="2"/>
        <v>0</v>
      </c>
      <c r="J22" s="159"/>
      <c r="K22" s="155" t="e">
        <f>+VLOOKUP(J22,'EF-S3'!$K$10:$L$17,2,)</f>
        <v>#N/A</v>
      </c>
      <c r="L22" s="155" t="e">
        <f>+VLOOKUP(J22,'EF-S3'!$K$10:$M$17,3,)</f>
        <v>#N/A</v>
      </c>
      <c r="M22" s="156">
        <f t="shared" si="1"/>
        <v>0</v>
      </c>
    </row>
    <row r="23" spans="2:13" x14ac:dyDescent="0.7">
      <c r="B23" s="159"/>
      <c r="C23" s="158"/>
      <c r="D23" s="160"/>
      <c r="E23" s="178"/>
      <c r="F23" s="178"/>
      <c r="G23" s="178"/>
      <c r="H23" s="178"/>
      <c r="I23" s="179">
        <f t="shared" si="2"/>
        <v>0</v>
      </c>
      <c r="J23" s="159"/>
      <c r="K23" s="155" t="e">
        <f>+VLOOKUP(J23,'EF-S3'!$K$10:$L$17,2,)</f>
        <v>#N/A</v>
      </c>
      <c r="L23" s="155" t="e">
        <f>+VLOOKUP(J23,'EF-S3'!$K$10:$M$17,3,)</f>
        <v>#N/A</v>
      </c>
      <c r="M23" s="156">
        <f t="shared" si="1"/>
        <v>0</v>
      </c>
    </row>
    <row r="24" spans="2:13" x14ac:dyDescent="0.7">
      <c r="B24" s="159"/>
      <c r="C24" s="158"/>
      <c r="D24" s="160"/>
      <c r="E24" s="178"/>
      <c r="F24" s="178"/>
      <c r="G24" s="178"/>
      <c r="H24" s="178"/>
      <c r="I24" s="179">
        <f t="shared" si="2"/>
        <v>0</v>
      </c>
      <c r="J24" s="159"/>
      <c r="K24" s="155" t="e">
        <f>+VLOOKUP(J24,'EF-S3'!$K$10:$L$17,2,)</f>
        <v>#N/A</v>
      </c>
      <c r="L24" s="155" t="e">
        <f>+VLOOKUP(J24,'EF-S3'!$K$10:$M$17,3,)</f>
        <v>#N/A</v>
      </c>
      <c r="M24" s="156">
        <f t="shared" si="1"/>
        <v>0</v>
      </c>
    </row>
    <row r="25" spans="2:13" x14ac:dyDescent="0.7">
      <c r="B25" s="159"/>
      <c r="C25" s="158"/>
      <c r="D25" s="160"/>
      <c r="E25" s="178"/>
      <c r="F25" s="178"/>
      <c r="G25" s="178"/>
      <c r="H25" s="178"/>
      <c r="I25" s="179">
        <f t="shared" si="2"/>
        <v>0</v>
      </c>
      <c r="J25" s="159"/>
      <c r="K25" s="155" t="e">
        <f>+VLOOKUP(J25,'EF-S3'!$K$10:$L$17,2,)</f>
        <v>#N/A</v>
      </c>
      <c r="L25" s="155" t="e">
        <f>+VLOOKUP(J25,'EF-S3'!$K$10:$M$17,3,)</f>
        <v>#N/A</v>
      </c>
      <c r="M25" s="156">
        <f t="shared" si="1"/>
        <v>0</v>
      </c>
    </row>
    <row r="26" spans="2:13" x14ac:dyDescent="0.7">
      <c r="B26" s="159"/>
      <c r="C26" s="158"/>
      <c r="D26" s="160"/>
      <c r="E26" s="178"/>
      <c r="F26" s="178"/>
      <c r="G26" s="178"/>
      <c r="H26" s="178"/>
      <c r="I26" s="179">
        <f t="shared" si="2"/>
        <v>0</v>
      </c>
      <c r="J26" s="159"/>
      <c r="K26" s="155" t="e">
        <f>+VLOOKUP(J26,'EF-S3'!$K$10:$L$17,2,)</f>
        <v>#N/A</v>
      </c>
      <c r="L26" s="155" t="e">
        <f>+VLOOKUP(J26,'EF-S3'!$K$10:$M$17,3,)</f>
        <v>#N/A</v>
      </c>
      <c r="M26" s="156">
        <f t="shared" si="1"/>
        <v>0</v>
      </c>
    </row>
    <row r="27" spans="2:13" x14ac:dyDescent="0.7">
      <c r="B27" s="159"/>
      <c r="C27" s="158"/>
      <c r="D27" s="160"/>
      <c r="E27" s="178"/>
      <c r="F27" s="178"/>
      <c r="G27" s="178"/>
      <c r="H27" s="178"/>
      <c r="I27" s="179">
        <f t="shared" si="2"/>
        <v>0</v>
      </c>
      <c r="J27" s="159"/>
      <c r="K27" s="155" t="e">
        <f>+VLOOKUP(J27,'EF-S3'!$K$10:$L$17,2,)</f>
        <v>#N/A</v>
      </c>
      <c r="L27" s="155" t="e">
        <f>+VLOOKUP(J27,'EF-S3'!$K$10:$M$17,3,)</f>
        <v>#N/A</v>
      </c>
      <c r="M27" s="156">
        <f t="shared" si="1"/>
        <v>0</v>
      </c>
    </row>
    <row r="28" spans="2:13" x14ac:dyDescent="0.7">
      <c r="B28" s="159"/>
      <c r="C28" s="158"/>
      <c r="D28" s="160"/>
      <c r="E28" s="178"/>
      <c r="F28" s="178"/>
      <c r="G28" s="178"/>
      <c r="H28" s="178"/>
      <c r="I28" s="179">
        <f t="shared" si="2"/>
        <v>0</v>
      </c>
      <c r="J28" s="159"/>
      <c r="K28" s="155" t="e">
        <f>+VLOOKUP(J28,'EF-S3'!$K$10:$L$17,2,)</f>
        <v>#N/A</v>
      </c>
      <c r="L28" s="155" t="e">
        <f>+VLOOKUP(J28,'EF-S3'!$K$10:$M$17,3,)</f>
        <v>#N/A</v>
      </c>
      <c r="M28" s="156">
        <f t="shared" si="1"/>
        <v>0</v>
      </c>
    </row>
    <row r="29" spans="2:13" x14ac:dyDescent="0.7">
      <c r="B29" s="159"/>
      <c r="C29" s="158"/>
      <c r="D29" s="160"/>
      <c r="E29" s="178"/>
      <c r="F29" s="178"/>
      <c r="G29" s="178"/>
      <c r="H29" s="178"/>
      <c r="I29" s="179">
        <f t="shared" si="2"/>
        <v>0</v>
      </c>
      <c r="J29" s="159"/>
      <c r="K29" s="155" t="e">
        <f>+VLOOKUP(J29,'EF-S3'!$K$10:$L$17,2,)</f>
        <v>#N/A</v>
      </c>
      <c r="L29" s="155" t="e">
        <f>+VLOOKUP(J29,'EF-S3'!$K$10:$M$17,3,)</f>
        <v>#N/A</v>
      </c>
      <c r="M29" s="156">
        <f t="shared" si="1"/>
        <v>0</v>
      </c>
    </row>
    <row r="30" spans="2:13" x14ac:dyDescent="0.7">
      <c r="B30" s="159"/>
      <c r="C30" s="158"/>
      <c r="D30" s="160"/>
      <c r="E30" s="178"/>
      <c r="F30" s="178"/>
      <c r="G30" s="178"/>
      <c r="H30" s="178"/>
      <c r="I30" s="179">
        <f t="shared" si="2"/>
        <v>0</v>
      </c>
      <c r="J30" s="159"/>
      <c r="K30" s="155" t="e">
        <f>+VLOOKUP(J30,'EF-S3'!$K$10:$L$17,2,)</f>
        <v>#N/A</v>
      </c>
      <c r="L30" s="155" t="e">
        <f>+VLOOKUP(J30,'EF-S3'!$K$10:$M$17,3,)</f>
        <v>#N/A</v>
      </c>
      <c r="M30" s="156">
        <f t="shared" si="1"/>
        <v>0</v>
      </c>
    </row>
    <row r="31" spans="2:13" x14ac:dyDescent="0.7">
      <c r="B31" s="159"/>
      <c r="C31" s="158"/>
      <c r="D31" s="160"/>
      <c r="E31" s="178"/>
      <c r="F31" s="178"/>
      <c r="G31" s="178"/>
      <c r="H31" s="178"/>
      <c r="I31" s="179">
        <f t="shared" si="2"/>
        <v>0</v>
      </c>
      <c r="J31" s="159"/>
      <c r="K31" s="155" t="e">
        <f>+VLOOKUP(J31,'EF-S3'!$K$10:$L$17,2,)</f>
        <v>#N/A</v>
      </c>
      <c r="L31" s="155" t="e">
        <f>+VLOOKUP(J31,'EF-S3'!$K$10:$M$17,3,)</f>
        <v>#N/A</v>
      </c>
      <c r="M31" s="156">
        <f t="shared" si="1"/>
        <v>0</v>
      </c>
    </row>
    <row r="32" spans="2:13" x14ac:dyDescent="0.7">
      <c r="B32" s="159"/>
      <c r="C32" s="158"/>
      <c r="D32" s="160"/>
      <c r="E32" s="178"/>
      <c r="F32" s="178"/>
      <c r="G32" s="178"/>
      <c r="H32" s="178"/>
      <c r="I32" s="179">
        <f t="shared" si="2"/>
        <v>0</v>
      </c>
      <c r="J32" s="159"/>
      <c r="K32" s="155" t="e">
        <f>+VLOOKUP(J32,'EF-S3'!$K$10:$L$17,2,)</f>
        <v>#N/A</v>
      </c>
      <c r="L32" s="155" t="e">
        <f>+VLOOKUP(J32,'EF-S3'!$K$10:$M$17,3,)</f>
        <v>#N/A</v>
      </c>
      <c r="M32" s="156">
        <f t="shared" si="1"/>
        <v>0</v>
      </c>
    </row>
    <row r="33" spans="2:13" x14ac:dyDescent="0.7">
      <c r="B33" s="159"/>
      <c r="C33" s="158"/>
      <c r="D33" s="160"/>
      <c r="E33" s="178"/>
      <c r="F33" s="178"/>
      <c r="G33" s="178"/>
      <c r="H33" s="178"/>
      <c r="I33" s="179">
        <f t="shared" si="2"/>
        <v>0</v>
      </c>
      <c r="J33" s="159"/>
      <c r="K33" s="155" t="e">
        <f>+VLOOKUP(J33,'EF-S3'!$K$10:$L$17,2,)</f>
        <v>#N/A</v>
      </c>
      <c r="L33" s="155" t="e">
        <f>+VLOOKUP(J33,'EF-S3'!$K$10:$M$17,3,)</f>
        <v>#N/A</v>
      </c>
      <c r="M33" s="156">
        <f t="shared" si="1"/>
        <v>0</v>
      </c>
    </row>
    <row r="34" spans="2:13" x14ac:dyDescent="0.7">
      <c r="B34" s="159"/>
      <c r="C34" s="158"/>
      <c r="D34" s="160"/>
      <c r="E34" s="178"/>
      <c r="F34" s="178"/>
      <c r="G34" s="178"/>
      <c r="H34" s="178"/>
      <c r="I34" s="179">
        <f t="shared" si="2"/>
        <v>0</v>
      </c>
      <c r="J34" s="159"/>
      <c r="K34" s="155" t="e">
        <f>+VLOOKUP(J34,'EF-S3'!$K$10:$L$17,2,)</f>
        <v>#N/A</v>
      </c>
      <c r="L34" s="155" t="e">
        <f>+VLOOKUP(J34,'EF-S3'!$K$10:$M$17,3,)</f>
        <v>#N/A</v>
      </c>
      <c r="M34" s="156">
        <f t="shared" si="1"/>
        <v>0</v>
      </c>
    </row>
    <row r="35" spans="2:13" x14ac:dyDescent="0.7">
      <c r="B35" s="159"/>
      <c r="C35" s="158"/>
      <c r="D35" s="160"/>
      <c r="E35" s="178"/>
      <c r="F35" s="178"/>
      <c r="G35" s="178"/>
      <c r="H35" s="178"/>
      <c r="I35" s="179">
        <f t="shared" si="2"/>
        <v>0</v>
      </c>
      <c r="J35" s="159"/>
      <c r="K35" s="155" t="e">
        <f>+VLOOKUP(J35,'EF-S3'!$K$10:$L$17,2,)</f>
        <v>#N/A</v>
      </c>
      <c r="L35" s="155" t="e">
        <f>+VLOOKUP(J35,'EF-S3'!$K$10:$M$17,3,)</f>
        <v>#N/A</v>
      </c>
      <c r="M35" s="156">
        <f t="shared" si="1"/>
        <v>0</v>
      </c>
    </row>
    <row r="36" spans="2:13" x14ac:dyDescent="0.7">
      <c r="B36" s="159"/>
      <c r="C36" s="158"/>
      <c r="D36" s="160"/>
      <c r="E36" s="178"/>
      <c r="F36" s="178"/>
      <c r="G36" s="178"/>
      <c r="H36" s="178"/>
      <c r="I36" s="179">
        <f t="shared" si="2"/>
        <v>0</v>
      </c>
      <c r="J36" s="159"/>
      <c r="K36" s="155" t="e">
        <f>+VLOOKUP(J36,'EF-S3'!$K$10:$L$17,2,)</f>
        <v>#N/A</v>
      </c>
      <c r="L36" s="155" t="e">
        <f>+VLOOKUP(J36,'EF-S3'!$K$10:$M$17,3,)</f>
        <v>#N/A</v>
      </c>
      <c r="M36" s="156">
        <f t="shared" si="1"/>
        <v>0</v>
      </c>
    </row>
    <row r="37" spans="2:13" x14ac:dyDescent="0.7">
      <c r="B37" s="159"/>
      <c r="C37" s="158"/>
      <c r="D37" s="160"/>
      <c r="E37" s="178"/>
      <c r="F37" s="178"/>
      <c r="G37" s="178"/>
      <c r="H37" s="178"/>
      <c r="I37" s="179">
        <f t="shared" si="2"/>
        <v>0</v>
      </c>
      <c r="J37" s="159"/>
      <c r="K37" s="155" t="e">
        <f>+VLOOKUP(J37,'EF-S3'!$K$10:$L$17,2,)</f>
        <v>#N/A</v>
      </c>
      <c r="L37" s="155" t="e">
        <f>+VLOOKUP(J37,'EF-S3'!$K$10:$M$17,3,)</f>
        <v>#N/A</v>
      </c>
      <c r="M37" s="156">
        <f t="shared" si="1"/>
        <v>0</v>
      </c>
    </row>
    <row r="38" spans="2:13" x14ac:dyDescent="0.7">
      <c r="B38" s="159"/>
      <c r="C38" s="158"/>
      <c r="D38" s="160"/>
      <c r="E38" s="178"/>
      <c r="F38" s="178"/>
      <c r="G38" s="178"/>
      <c r="H38" s="178"/>
      <c r="I38" s="179">
        <f t="shared" si="2"/>
        <v>0</v>
      </c>
      <c r="J38" s="159"/>
      <c r="K38" s="155" t="e">
        <f>+VLOOKUP(J38,'EF-S3'!$K$10:$L$17,2,)</f>
        <v>#N/A</v>
      </c>
      <c r="L38" s="155" t="e">
        <f>+VLOOKUP(J38,'EF-S3'!$K$10:$M$17,3,)</f>
        <v>#N/A</v>
      </c>
      <c r="M38" s="156">
        <f t="shared" si="1"/>
        <v>0</v>
      </c>
    </row>
    <row r="39" spans="2:13" x14ac:dyDescent="0.7">
      <c r="B39" s="159"/>
      <c r="C39" s="158"/>
      <c r="D39" s="160"/>
      <c r="E39" s="178"/>
      <c r="F39" s="178"/>
      <c r="G39" s="178"/>
      <c r="H39" s="178"/>
      <c r="I39" s="179">
        <f t="shared" si="2"/>
        <v>0</v>
      </c>
      <c r="J39" s="159"/>
      <c r="K39" s="155" t="e">
        <f>+VLOOKUP(J39,'EF-S3'!$K$10:$L$17,2,)</f>
        <v>#N/A</v>
      </c>
      <c r="L39" s="155" t="e">
        <f>+VLOOKUP(J39,'EF-S3'!$K$10:$M$17,3,)</f>
        <v>#N/A</v>
      </c>
      <c r="M39" s="156">
        <f t="shared" si="1"/>
        <v>0</v>
      </c>
    </row>
    <row r="40" spans="2:13" x14ac:dyDescent="0.7">
      <c r="B40" s="159"/>
      <c r="C40" s="158"/>
      <c r="D40" s="160"/>
      <c r="E40" s="178"/>
      <c r="F40" s="178"/>
      <c r="G40" s="178"/>
      <c r="H40" s="178"/>
      <c r="I40" s="179">
        <f t="shared" si="2"/>
        <v>0</v>
      </c>
      <c r="J40" s="159"/>
      <c r="K40" s="155" t="e">
        <f>+VLOOKUP(J40,'EF-S3'!$K$10:$L$17,2,)</f>
        <v>#N/A</v>
      </c>
      <c r="L40" s="155" t="e">
        <f>+VLOOKUP(J40,'EF-S3'!$K$10:$M$17,3,)</f>
        <v>#N/A</v>
      </c>
      <c r="M40" s="156">
        <f t="shared" si="1"/>
        <v>0</v>
      </c>
    </row>
    <row r="41" spans="2:13" x14ac:dyDescent="0.7">
      <c r="B41" s="159"/>
      <c r="C41" s="158"/>
      <c r="D41" s="160"/>
      <c r="E41" s="178"/>
      <c r="F41" s="178"/>
      <c r="G41" s="178"/>
      <c r="H41" s="178"/>
      <c r="I41" s="179">
        <f t="shared" si="2"/>
        <v>0</v>
      </c>
      <c r="J41" s="159"/>
      <c r="K41" s="155" t="e">
        <f>+VLOOKUP(J41,'EF-S3'!$K$10:$L$17,2,)</f>
        <v>#N/A</v>
      </c>
      <c r="L41" s="155" t="e">
        <f>+VLOOKUP(J41,'EF-S3'!$K$10:$M$17,3,)</f>
        <v>#N/A</v>
      </c>
      <c r="M41" s="156">
        <f t="shared" si="1"/>
        <v>0</v>
      </c>
    </row>
    <row r="42" spans="2:13" x14ac:dyDescent="0.7">
      <c r="B42" s="159"/>
      <c r="C42" s="158"/>
      <c r="D42" s="160"/>
      <c r="E42" s="178"/>
      <c r="F42" s="178"/>
      <c r="G42" s="178"/>
      <c r="H42" s="178"/>
      <c r="I42" s="179">
        <f t="shared" si="2"/>
        <v>0</v>
      </c>
      <c r="J42" s="159"/>
      <c r="K42" s="155" t="e">
        <f>+VLOOKUP(J42,'EF-S3'!$K$10:$L$17,2,)</f>
        <v>#N/A</v>
      </c>
      <c r="L42" s="155" t="e">
        <f>+VLOOKUP(J42,'EF-S3'!$K$10:$M$17,3,)</f>
        <v>#N/A</v>
      </c>
      <c r="M42" s="156">
        <f t="shared" si="1"/>
        <v>0</v>
      </c>
    </row>
    <row r="43" spans="2:13" x14ac:dyDescent="0.7">
      <c r="B43" s="159"/>
      <c r="C43" s="158"/>
      <c r="D43" s="160"/>
      <c r="E43" s="178"/>
      <c r="F43" s="178"/>
      <c r="G43" s="178"/>
      <c r="H43" s="178"/>
      <c r="I43" s="179">
        <f t="shared" si="2"/>
        <v>0</v>
      </c>
      <c r="J43" s="159"/>
      <c r="K43" s="155" t="e">
        <f>+VLOOKUP(J43,'EF-S3'!$K$10:$L$17,2,)</f>
        <v>#N/A</v>
      </c>
      <c r="L43" s="155" t="e">
        <f>+VLOOKUP(J43,'EF-S3'!$K$10:$M$17,3,)</f>
        <v>#N/A</v>
      </c>
      <c r="M43" s="156">
        <f t="shared" si="1"/>
        <v>0</v>
      </c>
    </row>
    <row r="44" spans="2:13" x14ac:dyDescent="0.7">
      <c r="B44" s="159"/>
      <c r="C44" s="158"/>
      <c r="D44" s="160"/>
      <c r="E44" s="178"/>
      <c r="F44" s="178"/>
      <c r="G44" s="178"/>
      <c r="H44" s="178"/>
      <c r="I44" s="179">
        <f t="shared" si="2"/>
        <v>0</v>
      </c>
      <c r="J44" s="159"/>
      <c r="K44" s="155" t="e">
        <f>+VLOOKUP(J44,'EF-S3'!$K$10:$L$17,2,)</f>
        <v>#N/A</v>
      </c>
      <c r="L44" s="155" t="e">
        <f>+VLOOKUP(J44,'EF-S3'!$K$10:$M$17,3,)</f>
        <v>#N/A</v>
      </c>
      <c r="M44" s="156">
        <f t="shared" si="1"/>
        <v>0</v>
      </c>
    </row>
    <row r="45" spans="2:13" x14ac:dyDescent="0.7">
      <c r="B45" s="159"/>
      <c r="C45" s="158"/>
      <c r="D45" s="160"/>
      <c r="E45" s="178"/>
      <c r="F45" s="178"/>
      <c r="G45" s="178"/>
      <c r="H45" s="178"/>
      <c r="I45" s="179">
        <f t="shared" si="2"/>
        <v>0</v>
      </c>
      <c r="J45" s="159"/>
      <c r="K45" s="155" t="e">
        <f>+VLOOKUP(J45,'EF-S3'!$K$10:$L$17,2,)</f>
        <v>#N/A</v>
      </c>
      <c r="L45" s="155" t="e">
        <f>+VLOOKUP(J45,'EF-S3'!$K$10:$M$17,3,)</f>
        <v>#N/A</v>
      </c>
      <c r="M45" s="156">
        <f t="shared" si="1"/>
        <v>0</v>
      </c>
    </row>
    <row r="46" spans="2:13" x14ac:dyDescent="0.7">
      <c r="B46" s="159"/>
      <c r="C46" s="158"/>
      <c r="D46" s="160"/>
      <c r="E46" s="178"/>
      <c r="F46" s="178"/>
      <c r="G46" s="178"/>
      <c r="H46" s="178"/>
      <c r="I46" s="179">
        <f t="shared" si="2"/>
        <v>0</v>
      </c>
      <c r="J46" s="159"/>
      <c r="K46" s="155" t="e">
        <f>+VLOOKUP(J46,'EF-S3'!$K$10:$L$17,2,)</f>
        <v>#N/A</v>
      </c>
      <c r="L46" s="155" t="e">
        <f>+VLOOKUP(J46,'EF-S3'!$K$10:$M$17,3,)</f>
        <v>#N/A</v>
      </c>
      <c r="M46" s="156">
        <f t="shared" si="1"/>
        <v>0</v>
      </c>
    </row>
    <row r="47" spans="2:13" x14ac:dyDescent="0.7">
      <c r="B47" s="159"/>
      <c r="C47" s="158"/>
      <c r="D47" s="160"/>
      <c r="E47" s="178"/>
      <c r="F47" s="178"/>
      <c r="G47" s="178"/>
      <c r="H47" s="178"/>
      <c r="I47" s="179">
        <f t="shared" si="2"/>
        <v>0</v>
      </c>
      <c r="J47" s="159"/>
      <c r="K47" s="155" t="e">
        <f>+VLOOKUP(J47,'EF-S3'!$K$10:$L$17,2,)</f>
        <v>#N/A</v>
      </c>
      <c r="L47" s="155" t="e">
        <f>+VLOOKUP(J47,'EF-S3'!$K$10:$M$17,3,)</f>
        <v>#N/A</v>
      </c>
      <c r="M47" s="156">
        <f t="shared" si="1"/>
        <v>0</v>
      </c>
    </row>
    <row r="48" spans="2:13" x14ac:dyDescent="0.7">
      <c r="B48" s="159"/>
      <c r="C48" s="158"/>
      <c r="D48" s="160"/>
      <c r="E48" s="178"/>
      <c r="F48" s="178"/>
      <c r="G48" s="178"/>
      <c r="H48" s="178"/>
      <c r="I48" s="179">
        <f t="shared" si="2"/>
        <v>0</v>
      </c>
      <c r="J48" s="159"/>
      <c r="K48" s="155" t="e">
        <f>+VLOOKUP(J48,'EF-S3'!$K$10:$L$17,2,)</f>
        <v>#N/A</v>
      </c>
      <c r="L48" s="155" t="e">
        <f>+VLOOKUP(J48,'EF-S3'!$K$10:$M$17,3,)</f>
        <v>#N/A</v>
      </c>
      <c r="M48" s="156">
        <f t="shared" si="1"/>
        <v>0</v>
      </c>
    </row>
    <row r="49" spans="2:13" x14ac:dyDescent="0.7">
      <c r="B49" s="159"/>
      <c r="C49" s="158"/>
      <c r="D49" s="160"/>
      <c r="E49" s="178"/>
      <c r="F49" s="178"/>
      <c r="G49" s="178"/>
      <c r="H49" s="178"/>
      <c r="I49" s="179">
        <f t="shared" si="2"/>
        <v>0</v>
      </c>
      <c r="J49" s="159"/>
      <c r="K49" s="155" t="e">
        <f>+VLOOKUP(J49,'EF-S3'!$K$10:$L$17,2,)</f>
        <v>#N/A</v>
      </c>
      <c r="L49" s="155" t="e">
        <f>+VLOOKUP(J49,'EF-S3'!$K$10:$M$17,3,)</f>
        <v>#N/A</v>
      </c>
      <c r="M49" s="156">
        <f t="shared" si="1"/>
        <v>0</v>
      </c>
    </row>
    <row r="50" spans="2:13" x14ac:dyDescent="0.7">
      <c r="B50" s="159"/>
      <c r="C50" s="158"/>
      <c r="D50" s="160"/>
      <c r="E50" s="178"/>
      <c r="F50" s="178"/>
      <c r="G50" s="178"/>
      <c r="H50" s="178"/>
      <c r="I50" s="179">
        <f t="shared" si="2"/>
        <v>0</v>
      </c>
      <c r="J50" s="159"/>
      <c r="K50" s="155" t="e">
        <f>+VLOOKUP(J50,'EF-S3'!$K$10:$L$17,2,)</f>
        <v>#N/A</v>
      </c>
      <c r="L50" s="155" t="e">
        <f>+VLOOKUP(J50,'EF-S3'!$K$10:$M$17,3,)</f>
        <v>#N/A</v>
      </c>
      <c r="M50" s="156">
        <f t="shared" si="1"/>
        <v>0</v>
      </c>
    </row>
    <row r="51" spans="2:13" x14ac:dyDescent="0.7">
      <c r="B51" s="159"/>
      <c r="C51" s="158"/>
      <c r="D51" s="160"/>
      <c r="E51" s="178"/>
      <c r="F51" s="178"/>
      <c r="G51" s="178"/>
      <c r="H51" s="178"/>
      <c r="I51" s="179">
        <f t="shared" si="2"/>
        <v>0</v>
      </c>
      <c r="J51" s="159"/>
      <c r="K51" s="155" t="e">
        <f>+VLOOKUP(J51,'EF-S3'!$K$10:$L$17,2,)</f>
        <v>#N/A</v>
      </c>
      <c r="L51" s="155" t="e">
        <f>+VLOOKUP(J51,'EF-S3'!$K$10:$M$17,3,)</f>
        <v>#N/A</v>
      </c>
      <c r="M51" s="156">
        <f t="shared" si="1"/>
        <v>0</v>
      </c>
    </row>
    <row r="52" spans="2:13" x14ac:dyDescent="0.7">
      <c r="B52" s="159"/>
      <c r="C52" s="158"/>
      <c r="D52" s="160"/>
      <c r="E52" s="178"/>
      <c r="F52" s="178"/>
      <c r="G52" s="178"/>
      <c r="H52" s="178"/>
      <c r="I52" s="179">
        <f t="shared" si="2"/>
        <v>0</v>
      </c>
      <c r="J52" s="159"/>
      <c r="K52" s="155" t="e">
        <f>+VLOOKUP(J52,'EF-S3'!$K$10:$L$17,2,)</f>
        <v>#N/A</v>
      </c>
      <c r="L52" s="155" t="e">
        <f>+VLOOKUP(J52,'EF-S3'!$K$10:$M$17,3,)</f>
        <v>#N/A</v>
      </c>
      <c r="M52" s="156">
        <f t="shared" si="1"/>
        <v>0</v>
      </c>
    </row>
    <row r="53" spans="2:13" x14ac:dyDescent="0.7">
      <c r="B53" s="159"/>
      <c r="C53" s="158"/>
      <c r="D53" s="160"/>
      <c r="E53" s="178"/>
      <c r="F53" s="178"/>
      <c r="G53" s="178"/>
      <c r="H53" s="178"/>
      <c r="I53" s="179">
        <f t="shared" si="2"/>
        <v>0</v>
      </c>
      <c r="J53" s="159"/>
      <c r="K53" s="155" t="e">
        <f>+VLOOKUP(J53,'EF-S3'!$K$10:$L$17,2,)</f>
        <v>#N/A</v>
      </c>
      <c r="L53" s="155" t="e">
        <f>+VLOOKUP(J53,'EF-S3'!$K$10:$M$17,3,)</f>
        <v>#N/A</v>
      </c>
      <c r="M53" s="156">
        <f t="shared" si="1"/>
        <v>0</v>
      </c>
    </row>
    <row r="54" spans="2:13" x14ac:dyDescent="0.7">
      <c r="B54" s="159"/>
      <c r="C54" s="158"/>
      <c r="D54" s="160"/>
      <c r="E54" s="178"/>
      <c r="F54" s="178"/>
      <c r="G54" s="178"/>
      <c r="H54" s="178"/>
      <c r="I54" s="179">
        <f t="shared" si="2"/>
        <v>0</v>
      </c>
      <c r="J54" s="159"/>
      <c r="K54" s="155" t="e">
        <f>+VLOOKUP(J54,'EF-S3'!$K$10:$L$17,2,)</f>
        <v>#N/A</v>
      </c>
      <c r="L54" s="155" t="e">
        <f>+VLOOKUP(J54,'EF-S3'!$K$10:$M$17,3,)</f>
        <v>#N/A</v>
      </c>
      <c r="M54" s="156">
        <f t="shared" si="1"/>
        <v>0</v>
      </c>
    </row>
    <row r="55" spans="2:13" x14ac:dyDescent="0.7">
      <c r="B55" s="159"/>
      <c r="C55" s="158"/>
      <c r="D55" s="160"/>
      <c r="E55" s="178"/>
      <c r="F55" s="178"/>
      <c r="G55" s="178"/>
      <c r="H55" s="178"/>
      <c r="I55" s="179">
        <f t="shared" si="2"/>
        <v>0</v>
      </c>
      <c r="J55" s="159"/>
      <c r="K55" s="155" t="e">
        <f>+VLOOKUP(J55,'EF-S3'!$K$10:$L$17,2,)</f>
        <v>#N/A</v>
      </c>
      <c r="L55" s="155" t="e">
        <f>+VLOOKUP(J55,'EF-S3'!$K$10:$M$17,3,)</f>
        <v>#N/A</v>
      </c>
      <c r="M55" s="156">
        <f t="shared" si="1"/>
        <v>0</v>
      </c>
    </row>
    <row r="56" spans="2:13" x14ac:dyDescent="0.7">
      <c r="B56" s="159"/>
      <c r="C56" s="158"/>
      <c r="D56" s="160"/>
      <c r="E56" s="178"/>
      <c r="F56" s="178"/>
      <c r="G56" s="178"/>
      <c r="H56" s="178"/>
      <c r="I56" s="179">
        <f t="shared" si="2"/>
        <v>0</v>
      </c>
      <c r="J56" s="159"/>
      <c r="K56" s="155" t="e">
        <f>+VLOOKUP(J56,'EF-S3'!$K$10:$L$17,2,)</f>
        <v>#N/A</v>
      </c>
      <c r="L56" s="155" t="e">
        <f>+VLOOKUP(J56,'EF-S3'!$K$10:$M$17,3,)</f>
        <v>#N/A</v>
      </c>
      <c r="M56" s="156">
        <f t="shared" si="1"/>
        <v>0</v>
      </c>
    </row>
    <row r="57" spans="2:13" x14ac:dyDescent="0.7">
      <c r="B57" s="159"/>
      <c r="C57" s="158"/>
      <c r="D57" s="160"/>
      <c r="E57" s="178"/>
      <c r="F57" s="178"/>
      <c r="G57" s="178"/>
      <c r="H57" s="178"/>
      <c r="I57" s="179">
        <f t="shared" si="2"/>
        <v>0</v>
      </c>
      <c r="J57" s="159"/>
      <c r="K57" s="155" t="e">
        <f>+VLOOKUP(J57,'EF-S3'!$K$10:$L$17,2,)</f>
        <v>#N/A</v>
      </c>
      <c r="L57" s="155" t="e">
        <f>+VLOOKUP(J57,'EF-S3'!$K$10:$M$17,3,)</f>
        <v>#N/A</v>
      </c>
      <c r="M57" s="156">
        <f t="shared" si="1"/>
        <v>0</v>
      </c>
    </row>
    <row r="58" spans="2:13" x14ac:dyDescent="0.7">
      <c r="B58" s="159"/>
      <c r="C58" s="158"/>
      <c r="D58" s="160"/>
      <c r="E58" s="178"/>
      <c r="F58" s="178"/>
      <c r="G58" s="178"/>
      <c r="H58" s="178"/>
      <c r="I58" s="179">
        <f t="shared" si="2"/>
        <v>0</v>
      </c>
      <c r="J58" s="159"/>
      <c r="K58" s="155" t="e">
        <f>+VLOOKUP(J58,'EF-S3'!$K$10:$L$17,2,)</f>
        <v>#N/A</v>
      </c>
      <c r="L58" s="155" t="e">
        <f>+VLOOKUP(J58,'EF-S3'!$K$10:$M$17,3,)</f>
        <v>#N/A</v>
      </c>
      <c r="M58" s="156">
        <f t="shared" si="1"/>
        <v>0</v>
      </c>
    </row>
    <row r="59" spans="2:13" x14ac:dyDescent="0.7">
      <c r="B59" s="159"/>
      <c r="C59" s="158"/>
      <c r="D59" s="160"/>
      <c r="E59" s="178"/>
      <c r="F59" s="178"/>
      <c r="G59" s="178"/>
      <c r="H59" s="178"/>
      <c r="I59" s="179">
        <f t="shared" si="2"/>
        <v>0</v>
      </c>
      <c r="J59" s="159"/>
      <c r="K59" s="155" t="e">
        <f>+VLOOKUP(J59,'EF-S3'!$K$10:$L$17,2,)</f>
        <v>#N/A</v>
      </c>
      <c r="L59" s="155" t="e">
        <f>+VLOOKUP(J59,'EF-S3'!$K$10:$M$17,3,)</f>
        <v>#N/A</v>
      </c>
      <c r="M59" s="156">
        <f t="shared" si="1"/>
        <v>0</v>
      </c>
    </row>
    <row r="60" spans="2:13" x14ac:dyDescent="0.7">
      <c r="B60" s="159"/>
      <c r="C60" s="158"/>
      <c r="D60" s="160"/>
      <c r="E60" s="178"/>
      <c r="F60" s="178"/>
      <c r="G60" s="178"/>
      <c r="H60" s="178"/>
      <c r="I60" s="179">
        <f t="shared" si="2"/>
        <v>0</v>
      </c>
      <c r="J60" s="159"/>
      <c r="K60" s="155" t="e">
        <f>+VLOOKUP(J60,'EF-S3'!$K$10:$L$17,2,)</f>
        <v>#N/A</v>
      </c>
      <c r="L60" s="155" t="e">
        <f>+VLOOKUP(J60,'EF-S3'!$K$10:$M$17,3,)</f>
        <v>#N/A</v>
      </c>
      <c r="M60" s="156">
        <f t="shared" si="1"/>
        <v>0</v>
      </c>
    </row>
    <row r="61" spans="2:13" x14ac:dyDescent="0.7">
      <c r="B61" s="159"/>
      <c r="C61" s="158"/>
      <c r="D61" s="160"/>
      <c r="E61" s="178"/>
      <c r="F61" s="178"/>
      <c r="G61" s="178"/>
      <c r="H61" s="178"/>
      <c r="I61" s="179">
        <f t="shared" si="2"/>
        <v>0</v>
      </c>
      <c r="J61" s="159"/>
      <c r="K61" s="155" t="e">
        <f>+VLOOKUP(J61,'EF-S3'!$K$10:$L$17,2,)</f>
        <v>#N/A</v>
      </c>
      <c r="L61" s="155" t="e">
        <f>+VLOOKUP(J61,'EF-S3'!$K$10:$M$17,3,)</f>
        <v>#N/A</v>
      </c>
      <c r="M61" s="156">
        <f t="shared" si="1"/>
        <v>0</v>
      </c>
    </row>
    <row r="62" spans="2:13" x14ac:dyDescent="0.7">
      <c r="B62" s="159"/>
      <c r="C62" s="158"/>
      <c r="D62" s="160"/>
      <c r="E62" s="178"/>
      <c r="F62" s="178"/>
      <c r="G62" s="178"/>
      <c r="H62" s="178"/>
      <c r="I62" s="179">
        <f t="shared" si="2"/>
        <v>0</v>
      </c>
      <c r="J62" s="159"/>
      <c r="K62" s="155" t="e">
        <f>+VLOOKUP(J62,'EF-S3'!$K$10:$L$17,2,)</f>
        <v>#N/A</v>
      </c>
      <c r="L62" s="155" t="e">
        <f>+VLOOKUP(J62,'EF-S3'!$K$10:$M$17,3,)</f>
        <v>#N/A</v>
      </c>
      <c r="M62" s="156">
        <f t="shared" si="1"/>
        <v>0</v>
      </c>
    </row>
    <row r="63" spans="2:13" x14ac:dyDescent="0.7">
      <c r="B63" s="159"/>
      <c r="C63" s="158"/>
      <c r="D63" s="160"/>
      <c r="E63" s="178"/>
      <c r="F63" s="178"/>
      <c r="G63" s="178"/>
      <c r="H63" s="178"/>
      <c r="I63" s="179">
        <f t="shared" si="2"/>
        <v>0</v>
      </c>
      <c r="J63" s="159"/>
      <c r="K63" s="155" t="e">
        <f>+VLOOKUP(J63,'EF-S3'!$K$10:$L$17,2,)</f>
        <v>#N/A</v>
      </c>
      <c r="L63" s="155" t="e">
        <f>+VLOOKUP(J63,'EF-S3'!$K$10:$M$17,3,)</f>
        <v>#N/A</v>
      </c>
      <c r="M63" s="156">
        <f t="shared" si="1"/>
        <v>0</v>
      </c>
    </row>
    <row r="64" spans="2:13" x14ac:dyDescent="0.7">
      <c r="B64" s="159"/>
      <c r="C64" s="158"/>
      <c r="D64" s="160"/>
      <c r="E64" s="178"/>
      <c r="F64" s="178"/>
      <c r="G64" s="178"/>
      <c r="H64" s="178"/>
      <c r="I64" s="179">
        <f t="shared" si="2"/>
        <v>0</v>
      </c>
      <c r="J64" s="159"/>
      <c r="K64" s="155" t="e">
        <f>+VLOOKUP(J64,'EF-S3'!$K$10:$L$17,2,)</f>
        <v>#N/A</v>
      </c>
      <c r="L64" s="155" t="e">
        <f>+VLOOKUP(J64,'EF-S3'!$K$10:$M$17,3,)</f>
        <v>#N/A</v>
      </c>
      <c r="M64" s="156">
        <f t="shared" si="1"/>
        <v>0</v>
      </c>
    </row>
    <row r="65" spans="2:13" x14ac:dyDescent="0.7">
      <c r="B65" s="159"/>
      <c r="C65" s="158"/>
      <c r="D65" s="160"/>
      <c r="E65" s="178"/>
      <c r="F65" s="178"/>
      <c r="G65" s="178"/>
      <c r="H65" s="178"/>
      <c r="I65" s="179">
        <f t="shared" si="2"/>
        <v>0</v>
      </c>
      <c r="J65" s="159"/>
      <c r="K65" s="155" t="e">
        <f>+VLOOKUP(J65,'EF-S3'!$K$10:$L$17,2,)</f>
        <v>#N/A</v>
      </c>
      <c r="L65" s="155" t="e">
        <f>+VLOOKUP(J65,'EF-S3'!$K$10:$M$17,3,)</f>
        <v>#N/A</v>
      </c>
      <c r="M65" s="156">
        <f t="shared" si="1"/>
        <v>0</v>
      </c>
    </row>
    <row r="66" spans="2:13" x14ac:dyDescent="0.7">
      <c r="B66" s="159"/>
      <c r="C66" s="158"/>
      <c r="D66" s="160"/>
      <c r="E66" s="178"/>
      <c r="F66" s="178"/>
      <c r="G66" s="178"/>
      <c r="H66" s="178"/>
      <c r="I66" s="179">
        <f t="shared" si="2"/>
        <v>0</v>
      </c>
      <c r="J66" s="159"/>
      <c r="K66" s="155" t="e">
        <f>+VLOOKUP(J66,'EF-S3'!$K$10:$L$17,2,)</f>
        <v>#N/A</v>
      </c>
      <c r="L66" s="155" t="e">
        <f>+VLOOKUP(J66,'EF-S3'!$K$10:$M$17,3,)</f>
        <v>#N/A</v>
      </c>
      <c r="M66" s="156">
        <f t="shared" si="1"/>
        <v>0</v>
      </c>
    </row>
    <row r="67" spans="2:13" x14ac:dyDescent="0.7">
      <c r="B67" s="159"/>
      <c r="C67" s="158"/>
      <c r="D67" s="160"/>
      <c r="E67" s="178"/>
      <c r="F67" s="178"/>
      <c r="G67" s="178"/>
      <c r="H67" s="178"/>
      <c r="I67" s="179">
        <f t="shared" si="2"/>
        <v>0</v>
      </c>
      <c r="J67" s="159"/>
      <c r="K67" s="155" t="e">
        <f>+VLOOKUP(J67,'EF-S3'!$K$10:$L$17,2,)</f>
        <v>#N/A</v>
      </c>
      <c r="L67" s="155" t="e">
        <f>+VLOOKUP(J67,'EF-S3'!$K$10:$M$17,3,)</f>
        <v>#N/A</v>
      </c>
      <c r="M67" s="156">
        <f t="shared" si="1"/>
        <v>0</v>
      </c>
    </row>
    <row r="68" spans="2:13" x14ac:dyDescent="0.7">
      <c r="B68" s="159"/>
      <c r="C68" s="158"/>
      <c r="D68" s="160"/>
      <c r="E68" s="178"/>
      <c r="F68" s="178"/>
      <c r="G68" s="178"/>
      <c r="H68" s="178"/>
      <c r="I68" s="179">
        <f t="shared" si="2"/>
        <v>0</v>
      </c>
      <c r="J68" s="159"/>
      <c r="K68" s="155" t="e">
        <f>+VLOOKUP(J68,'EF-S3'!$K$10:$L$17,2,)</f>
        <v>#N/A</v>
      </c>
      <c r="L68" s="155" t="e">
        <f>+VLOOKUP(J68,'EF-S3'!$K$10:$M$17,3,)</f>
        <v>#N/A</v>
      </c>
      <c r="M68" s="156">
        <f t="shared" si="1"/>
        <v>0</v>
      </c>
    </row>
    <row r="69" spans="2:13" x14ac:dyDescent="0.7">
      <c r="B69" s="159"/>
      <c r="C69" s="158"/>
      <c r="D69" s="160"/>
      <c r="E69" s="178"/>
      <c r="F69" s="178"/>
      <c r="G69" s="178"/>
      <c r="H69" s="178"/>
      <c r="I69" s="179">
        <f t="shared" si="2"/>
        <v>0</v>
      </c>
      <c r="J69" s="159"/>
      <c r="K69" s="155" t="e">
        <f>+VLOOKUP(J69,'EF-S3'!$K$10:$L$17,2,)</f>
        <v>#N/A</v>
      </c>
      <c r="L69" s="155" t="e">
        <f>+VLOOKUP(J69,'EF-S3'!$K$10:$M$17,3,)</f>
        <v>#N/A</v>
      </c>
      <c r="M69" s="156">
        <f t="shared" si="1"/>
        <v>0</v>
      </c>
    </row>
    <row r="70" spans="2:13" x14ac:dyDescent="0.7">
      <c r="B70" s="159"/>
      <c r="C70" s="158"/>
      <c r="D70" s="160"/>
      <c r="E70" s="178"/>
      <c r="F70" s="178"/>
      <c r="G70" s="178"/>
      <c r="H70" s="178"/>
      <c r="I70" s="179">
        <f t="shared" si="2"/>
        <v>0</v>
      </c>
      <c r="J70" s="159"/>
      <c r="K70" s="155" t="e">
        <f>+VLOOKUP(J70,'EF-S3'!$K$10:$L$17,2,)</f>
        <v>#N/A</v>
      </c>
      <c r="L70" s="155" t="e">
        <f>+VLOOKUP(J70,'EF-S3'!$K$10:$M$17,3,)</f>
        <v>#N/A</v>
      </c>
      <c r="M70" s="156">
        <f t="shared" si="1"/>
        <v>0</v>
      </c>
    </row>
    <row r="71" spans="2:13" x14ac:dyDescent="0.7">
      <c r="B71" s="159"/>
      <c r="C71" s="158"/>
      <c r="D71" s="160"/>
      <c r="E71" s="178"/>
      <c r="F71" s="178"/>
      <c r="G71" s="178"/>
      <c r="H71" s="178"/>
      <c r="I71" s="179">
        <f t="shared" si="2"/>
        <v>0</v>
      </c>
      <c r="J71" s="159"/>
      <c r="K71" s="155" t="e">
        <f>+VLOOKUP(J71,'EF-S3'!$K$10:$L$17,2,)</f>
        <v>#N/A</v>
      </c>
      <c r="L71" s="155" t="e">
        <f>+VLOOKUP(J71,'EF-S3'!$K$10:$M$17,3,)</f>
        <v>#N/A</v>
      </c>
      <c r="M71" s="156">
        <f t="shared" si="1"/>
        <v>0</v>
      </c>
    </row>
    <row r="72" spans="2:13" x14ac:dyDescent="0.7">
      <c r="B72" s="159"/>
      <c r="C72" s="158"/>
      <c r="D72" s="160"/>
      <c r="E72" s="178"/>
      <c r="F72" s="178"/>
      <c r="G72" s="178"/>
      <c r="H72" s="178"/>
      <c r="I72" s="179">
        <f t="shared" si="2"/>
        <v>0</v>
      </c>
      <c r="J72" s="159"/>
      <c r="K72" s="155" t="e">
        <f>+VLOOKUP(J72,'EF-S3'!$K$10:$L$17,2,)</f>
        <v>#N/A</v>
      </c>
      <c r="L72" s="155" t="e">
        <f>+VLOOKUP(J72,'EF-S3'!$K$10:$M$17,3,)</f>
        <v>#N/A</v>
      </c>
      <c r="M72" s="156">
        <f t="shared" si="1"/>
        <v>0</v>
      </c>
    </row>
    <row r="73" spans="2:13" x14ac:dyDescent="0.7">
      <c r="B73" s="159"/>
      <c r="C73" s="158"/>
      <c r="D73" s="160"/>
      <c r="E73" s="178"/>
      <c r="F73" s="178"/>
      <c r="G73" s="178"/>
      <c r="H73" s="178"/>
      <c r="I73" s="179">
        <f t="shared" si="2"/>
        <v>0</v>
      </c>
      <c r="J73" s="159"/>
      <c r="K73" s="155" t="e">
        <f>+VLOOKUP(J73,'EF-S3'!$K$10:$L$17,2,)</f>
        <v>#N/A</v>
      </c>
      <c r="L73" s="155" t="e">
        <f>+VLOOKUP(J73,'EF-S3'!$K$10:$M$17,3,)</f>
        <v>#N/A</v>
      </c>
      <c r="M73" s="156">
        <f t="shared" si="1"/>
        <v>0</v>
      </c>
    </row>
    <row r="74" spans="2:13" x14ac:dyDescent="0.7">
      <c r="B74" s="159"/>
      <c r="C74" s="158"/>
      <c r="D74" s="160"/>
      <c r="E74" s="178"/>
      <c r="F74" s="178"/>
      <c r="G74" s="178"/>
      <c r="H74" s="178"/>
      <c r="I74" s="179">
        <f t="shared" si="2"/>
        <v>0</v>
      </c>
      <c r="J74" s="159"/>
      <c r="K74" s="155" t="e">
        <f>+VLOOKUP(J74,'EF-S3'!$K$10:$L$17,2,)</f>
        <v>#N/A</v>
      </c>
      <c r="L74" s="155" t="e">
        <f>+VLOOKUP(J74,'EF-S3'!$K$10:$M$17,3,)</f>
        <v>#N/A</v>
      </c>
      <c r="M74" s="156">
        <f t="shared" ref="M74:M103" si="3">+IFERROR(IF(D74="kg",C74*I74*K74,C74*I74*K74/1000),0)</f>
        <v>0</v>
      </c>
    </row>
    <row r="75" spans="2:13" x14ac:dyDescent="0.7">
      <c r="B75" s="159"/>
      <c r="C75" s="158"/>
      <c r="D75" s="160"/>
      <c r="E75" s="178"/>
      <c r="F75" s="178"/>
      <c r="G75" s="178"/>
      <c r="H75" s="178"/>
      <c r="I75" s="179">
        <f t="shared" si="2"/>
        <v>0</v>
      </c>
      <c r="J75" s="159"/>
      <c r="K75" s="155" t="e">
        <f>+VLOOKUP(J75,'EF-S3'!$K$10:$L$17,2,)</f>
        <v>#N/A</v>
      </c>
      <c r="L75" s="155" t="e">
        <f>+VLOOKUP(J75,'EF-S3'!$K$10:$M$17,3,)</f>
        <v>#N/A</v>
      </c>
      <c r="M75" s="156">
        <f t="shared" si="3"/>
        <v>0</v>
      </c>
    </row>
    <row r="76" spans="2:13" x14ac:dyDescent="0.7">
      <c r="B76" s="159"/>
      <c r="C76" s="158"/>
      <c r="D76" s="160"/>
      <c r="E76" s="178"/>
      <c r="F76" s="178"/>
      <c r="G76" s="178"/>
      <c r="H76" s="178"/>
      <c r="I76" s="179">
        <f t="shared" si="2"/>
        <v>0</v>
      </c>
      <c r="J76" s="159"/>
      <c r="K76" s="155" t="e">
        <f>+VLOOKUP(J76,'EF-S3'!$K$10:$L$17,2,)</f>
        <v>#N/A</v>
      </c>
      <c r="L76" s="155" t="e">
        <f>+VLOOKUP(J76,'EF-S3'!$K$10:$M$17,3,)</f>
        <v>#N/A</v>
      </c>
      <c r="M76" s="156">
        <f t="shared" si="3"/>
        <v>0</v>
      </c>
    </row>
    <row r="77" spans="2:13" x14ac:dyDescent="0.7">
      <c r="B77" s="159"/>
      <c r="C77" s="158"/>
      <c r="D77" s="160"/>
      <c r="E77" s="178"/>
      <c r="F77" s="178"/>
      <c r="G77" s="178"/>
      <c r="H77" s="178"/>
      <c r="I77" s="179">
        <f t="shared" si="2"/>
        <v>0</v>
      </c>
      <c r="J77" s="159"/>
      <c r="K77" s="155" t="e">
        <f>+VLOOKUP(J77,'EF-S3'!$K$10:$L$17,2,)</f>
        <v>#N/A</v>
      </c>
      <c r="L77" s="155" t="e">
        <f>+VLOOKUP(J77,'EF-S3'!$K$10:$M$17,3,)</f>
        <v>#N/A</v>
      </c>
      <c r="M77" s="156">
        <f t="shared" si="3"/>
        <v>0</v>
      </c>
    </row>
    <row r="78" spans="2:13" x14ac:dyDescent="0.7">
      <c r="B78" s="159"/>
      <c r="C78" s="158"/>
      <c r="D78" s="160"/>
      <c r="E78" s="178"/>
      <c r="F78" s="178"/>
      <c r="G78" s="178"/>
      <c r="H78" s="178"/>
      <c r="I78" s="179">
        <f t="shared" si="2"/>
        <v>0</v>
      </c>
      <c r="J78" s="159"/>
      <c r="K78" s="155" t="e">
        <f>+VLOOKUP(J78,'EF-S3'!$K$10:$L$17,2,)</f>
        <v>#N/A</v>
      </c>
      <c r="L78" s="155" t="e">
        <f>+VLOOKUP(J78,'EF-S3'!$K$10:$M$17,3,)</f>
        <v>#N/A</v>
      </c>
      <c r="M78" s="156">
        <f t="shared" si="3"/>
        <v>0</v>
      </c>
    </row>
    <row r="79" spans="2:13" x14ac:dyDescent="0.7">
      <c r="B79" s="159"/>
      <c r="C79" s="158"/>
      <c r="D79" s="160"/>
      <c r="E79" s="178"/>
      <c r="F79" s="178"/>
      <c r="G79" s="178"/>
      <c r="H79" s="178"/>
      <c r="I79" s="179">
        <f t="shared" si="2"/>
        <v>0</v>
      </c>
      <c r="J79" s="159"/>
      <c r="K79" s="155" t="e">
        <f>+VLOOKUP(J79,'EF-S3'!$K$10:$L$17,2,)</f>
        <v>#N/A</v>
      </c>
      <c r="L79" s="155" t="e">
        <f>+VLOOKUP(J79,'EF-S3'!$K$10:$M$17,3,)</f>
        <v>#N/A</v>
      </c>
      <c r="M79" s="156">
        <f t="shared" si="3"/>
        <v>0</v>
      </c>
    </row>
    <row r="80" spans="2:13" x14ac:dyDescent="0.7">
      <c r="B80" s="159"/>
      <c r="C80" s="158"/>
      <c r="D80" s="160"/>
      <c r="E80" s="178"/>
      <c r="F80" s="178"/>
      <c r="G80" s="178"/>
      <c r="H80" s="178"/>
      <c r="I80" s="179">
        <f t="shared" si="2"/>
        <v>0</v>
      </c>
      <c r="J80" s="159"/>
      <c r="K80" s="155" t="e">
        <f>+VLOOKUP(J80,'EF-S3'!$K$10:$L$17,2,)</f>
        <v>#N/A</v>
      </c>
      <c r="L80" s="155" t="e">
        <f>+VLOOKUP(J80,'EF-S3'!$K$10:$M$17,3,)</f>
        <v>#N/A</v>
      </c>
      <c r="M80" s="156">
        <f t="shared" si="3"/>
        <v>0</v>
      </c>
    </row>
    <row r="81" spans="2:13" x14ac:dyDescent="0.7">
      <c r="B81" s="159"/>
      <c r="C81" s="158"/>
      <c r="D81" s="160"/>
      <c r="E81" s="178"/>
      <c r="F81" s="178"/>
      <c r="G81" s="178"/>
      <c r="H81" s="178"/>
      <c r="I81" s="179">
        <f t="shared" ref="I81:I103" si="4">1.25*(6371*ACOS(COS(RADIANS(90-E81))*COS(RADIANS(90-G81))+SIN(RADIANS(90-E81))*SIN(RADIANS(90-G81))*COS(RADIANS(F81-H81))))</f>
        <v>0</v>
      </c>
      <c r="J81" s="159"/>
      <c r="K81" s="155" t="e">
        <f>+VLOOKUP(J81,'EF-S3'!$K$10:$L$17,2,)</f>
        <v>#N/A</v>
      </c>
      <c r="L81" s="155" t="e">
        <f>+VLOOKUP(J81,'EF-S3'!$K$10:$M$17,3,)</f>
        <v>#N/A</v>
      </c>
      <c r="M81" s="156">
        <f t="shared" si="3"/>
        <v>0</v>
      </c>
    </row>
    <row r="82" spans="2:13" x14ac:dyDescent="0.7">
      <c r="B82" s="159"/>
      <c r="C82" s="158"/>
      <c r="D82" s="160"/>
      <c r="E82" s="178"/>
      <c r="F82" s="178"/>
      <c r="G82" s="178"/>
      <c r="H82" s="178"/>
      <c r="I82" s="179">
        <f t="shared" si="4"/>
        <v>0</v>
      </c>
      <c r="J82" s="159"/>
      <c r="K82" s="155" t="e">
        <f>+VLOOKUP(J82,'EF-S3'!$K$10:$L$17,2,)</f>
        <v>#N/A</v>
      </c>
      <c r="L82" s="155" t="e">
        <f>+VLOOKUP(J82,'EF-S3'!$K$10:$M$17,3,)</f>
        <v>#N/A</v>
      </c>
      <c r="M82" s="156">
        <f t="shared" si="3"/>
        <v>0</v>
      </c>
    </row>
    <row r="83" spans="2:13" x14ac:dyDescent="0.7">
      <c r="B83" s="159"/>
      <c r="C83" s="158"/>
      <c r="D83" s="160"/>
      <c r="E83" s="178"/>
      <c r="F83" s="178"/>
      <c r="G83" s="178"/>
      <c r="H83" s="178"/>
      <c r="I83" s="179">
        <f t="shared" si="4"/>
        <v>0</v>
      </c>
      <c r="J83" s="159"/>
      <c r="K83" s="155" t="e">
        <f>+VLOOKUP(J83,'EF-S3'!$K$10:$L$17,2,)</f>
        <v>#N/A</v>
      </c>
      <c r="L83" s="155" t="e">
        <f>+VLOOKUP(J83,'EF-S3'!$K$10:$M$17,3,)</f>
        <v>#N/A</v>
      </c>
      <c r="M83" s="156">
        <f t="shared" si="3"/>
        <v>0</v>
      </c>
    </row>
    <row r="84" spans="2:13" x14ac:dyDescent="0.7">
      <c r="B84" s="159"/>
      <c r="C84" s="158"/>
      <c r="D84" s="160"/>
      <c r="E84" s="178"/>
      <c r="F84" s="178"/>
      <c r="G84" s="178"/>
      <c r="H84" s="178"/>
      <c r="I84" s="179">
        <f t="shared" si="4"/>
        <v>0</v>
      </c>
      <c r="J84" s="159"/>
      <c r="K84" s="155" t="e">
        <f>+VLOOKUP(J84,'EF-S3'!$K$10:$L$17,2,)</f>
        <v>#N/A</v>
      </c>
      <c r="L84" s="155" t="e">
        <f>+VLOOKUP(J84,'EF-S3'!$K$10:$M$17,3,)</f>
        <v>#N/A</v>
      </c>
      <c r="M84" s="156">
        <f t="shared" si="3"/>
        <v>0</v>
      </c>
    </row>
    <row r="85" spans="2:13" x14ac:dyDescent="0.7">
      <c r="B85" s="159"/>
      <c r="C85" s="158"/>
      <c r="D85" s="160"/>
      <c r="E85" s="178"/>
      <c r="F85" s="178"/>
      <c r="G85" s="178"/>
      <c r="H85" s="178"/>
      <c r="I85" s="179">
        <f t="shared" si="4"/>
        <v>0</v>
      </c>
      <c r="J85" s="159"/>
      <c r="K85" s="155" t="e">
        <f>+VLOOKUP(J85,'EF-S3'!$K$10:$L$17,2,)</f>
        <v>#N/A</v>
      </c>
      <c r="L85" s="155" t="e">
        <f>+VLOOKUP(J85,'EF-S3'!$K$10:$M$17,3,)</f>
        <v>#N/A</v>
      </c>
      <c r="M85" s="156">
        <f t="shared" si="3"/>
        <v>0</v>
      </c>
    </row>
    <row r="86" spans="2:13" x14ac:dyDescent="0.7">
      <c r="B86" s="159"/>
      <c r="C86" s="158"/>
      <c r="D86" s="160"/>
      <c r="E86" s="178"/>
      <c r="F86" s="178"/>
      <c r="G86" s="178"/>
      <c r="H86" s="178"/>
      <c r="I86" s="179">
        <f t="shared" si="4"/>
        <v>0</v>
      </c>
      <c r="J86" s="159"/>
      <c r="K86" s="155" t="e">
        <f>+VLOOKUP(J86,'EF-S3'!$K$10:$L$17,2,)</f>
        <v>#N/A</v>
      </c>
      <c r="L86" s="155" t="e">
        <f>+VLOOKUP(J86,'EF-S3'!$K$10:$M$17,3,)</f>
        <v>#N/A</v>
      </c>
      <c r="M86" s="156">
        <f t="shared" si="3"/>
        <v>0</v>
      </c>
    </row>
    <row r="87" spans="2:13" x14ac:dyDescent="0.7">
      <c r="B87" s="159"/>
      <c r="C87" s="158"/>
      <c r="D87" s="160"/>
      <c r="E87" s="178"/>
      <c r="F87" s="178"/>
      <c r="G87" s="178"/>
      <c r="H87" s="178"/>
      <c r="I87" s="179">
        <f t="shared" si="4"/>
        <v>0</v>
      </c>
      <c r="J87" s="159"/>
      <c r="K87" s="155" t="e">
        <f>+VLOOKUP(J87,'EF-S3'!$K$10:$L$17,2,)</f>
        <v>#N/A</v>
      </c>
      <c r="L87" s="155" t="e">
        <f>+VLOOKUP(J87,'EF-S3'!$K$10:$M$17,3,)</f>
        <v>#N/A</v>
      </c>
      <c r="M87" s="156">
        <f t="shared" si="3"/>
        <v>0</v>
      </c>
    </row>
    <row r="88" spans="2:13" x14ac:dyDescent="0.7">
      <c r="B88" s="159"/>
      <c r="C88" s="158"/>
      <c r="D88" s="160"/>
      <c r="E88" s="178"/>
      <c r="F88" s="178"/>
      <c r="G88" s="178"/>
      <c r="H88" s="178"/>
      <c r="I88" s="179">
        <f t="shared" si="4"/>
        <v>0</v>
      </c>
      <c r="J88" s="159"/>
      <c r="K88" s="155" t="e">
        <f>+VLOOKUP(J88,'EF-S3'!$K$10:$L$17,2,)</f>
        <v>#N/A</v>
      </c>
      <c r="L88" s="155" t="e">
        <f>+VLOOKUP(J88,'EF-S3'!$K$10:$M$17,3,)</f>
        <v>#N/A</v>
      </c>
      <c r="M88" s="156">
        <f t="shared" si="3"/>
        <v>0</v>
      </c>
    </row>
    <row r="89" spans="2:13" x14ac:dyDescent="0.7">
      <c r="B89" s="159"/>
      <c r="C89" s="158"/>
      <c r="D89" s="160"/>
      <c r="E89" s="178"/>
      <c r="F89" s="178"/>
      <c r="G89" s="178"/>
      <c r="H89" s="178"/>
      <c r="I89" s="179">
        <f t="shared" si="4"/>
        <v>0</v>
      </c>
      <c r="J89" s="159"/>
      <c r="K89" s="155" t="e">
        <f>+VLOOKUP(J89,'EF-S3'!$K$10:$L$17,2,)</f>
        <v>#N/A</v>
      </c>
      <c r="L89" s="155" t="e">
        <f>+VLOOKUP(J89,'EF-S3'!$K$10:$M$17,3,)</f>
        <v>#N/A</v>
      </c>
      <c r="M89" s="156">
        <f t="shared" si="3"/>
        <v>0</v>
      </c>
    </row>
    <row r="90" spans="2:13" x14ac:dyDescent="0.7">
      <c r="B90" s="159"/>
      <c r="C90" s="158"/>
      <c r="D90" s="160"/>
      <c r="E90" s="178"/>
      <c r="F90" s="178"/>
      <c r="G90" s="178"/>
      <c r="H90" s="178"/>
      <c r="I90" s="179">
        <f t="shared" si="4"/>
        <v>0</v>
      </c>
      <c r="J90" s="159"/>
      <c r="K90" s="155" t="e">
        <f>+VLOOKUP(J90,'EF-S3'!$K$10:$L$17,2,)</f>
        <v>#N/A</v>
      </c>
      <c r="L90" s="155" t="e">
        <f>+VLOOKUP(J90,'EF-S3'!$K$10:$M$17,3,)</f>
        <v>#N/A</v>
      </c>
      <c r="M90" s="156">
        <f t="shared" si="3"/>
        <v>0</v>
      </c>
    </row>
    <row r="91" spans="2:13" x14ac:dyDescent="0.7">
      <c r="B91" s="159"/>
      <c r="C91" s="158"/>
      <c r="D91" s="160"/>
      <c r="E91" s="178"/>
      <c r="F91" s="178"/>
      <c r="G91" s="178"/>
      <c r="H91" s="178"/>
      <c r="I91" s="179">
        <f t="shared" si="4"/>
        <v>0</v>
      </c>
      <c r="J91" s="159"/>
      <c r="K91" s="155" t="e">
        <f>+VLOOKUP(J91,'EF-S3'!$K$10:$L$17,2,)</f>
        <v>#N/A</v>
      </c>
      <c r="L91" s="155" t="e">
        <f>+VLOOKUP(J91,'EF-S3'!$K$10:$M$17,3,)</f>
        <v>#N/A</v>
      </c>
      <c r="M91" s="156">
        <f t="shared" si="3"/>
        <v>0</v>
      </c>
    </row>
    <row r="92" spans="2:13" x14ac:dyDescent="0.7">
      <c r="B92" s="159"/>
      <c r="C92" s="158"/>
      <c r="D92" s="160"/>
      <c r="E92" s="178"/>
      <c r="F92" s="178"/>
      <c r="G92" s="178"/>
      <c r="H92" s="178"/>
      <c r="I92" s="179">
        <f t="shared" si="4"/>
        <v>0</v>
      </c>
      <c r="J92" s="159"/>
      <c r="K92" s="155" t="e">
        <f>+VLOOKUP(J92,'EF-S3'!$K$10:$L$17,2,)</f>
        <v>#N/A</v>
      </c>
      <c r="L92" s="155" t="e">
        <f>+VLOOKUP(J92,'EF-S3'!$K$10:$M$17,3,)</f>
        <v>#N/A</v>
      </c>
      <c r="M92" s="156">
        <f t="shared" si="3"/>
        <v>0</v>
      </c>
    </row>
    <row r="93" spans="2:13" x14ac:dyDescent="0.7">
      <c r="B93" s="159"/>
      <c r="C93" s="158"/>
      <c r="D93" s="160"/>
      <c r="E93" s="178"/>
      <c r="F93" s="178"/>
      <c r="G93" s="178"/>
      <c r="H93" s="178"/>
      <c r="I93" s="179">
        <f t="shared" si="4"/>
        <v>0</v>
      </c>
      <c r="J93" s="159"/>
      <c r="K93" s="155" t="e">
        <f>+VLOOKUP(J93,'EF-S3'!$K$10:$L$17,2,)</f>
        <v>#N/A</v>
      </c>
      <c r="L93" s="155" t="e">
        <f>+VLOOKUP(J93,'EF-S3'!$K$10:$M$17,3,)</f>
        <v>#N/A</v>
      </c>
      <c r="M93" s="156">
        <f t="shared" si="3"/>
        <v>0</v>
      </c>
    </row>
    <row r="94" spans="2:13" x14ac:dyDescent="0.7">
      <c r="B94" s="159"/>
      <c r="C94" s="158"/>
      <c r="D94" s="160"/>
      <c r="E94" s="178"/>
      <c r="F94" s="178"/>
      <c r="G94" s="178"/>
      <c r="H94" s="178"/>
      <c r="I94" s="179">
        <f t="shared" si="4"/>
        <v>0</v>
      </c>
      <c r="J94" s="159"/>
      <c r="K94" s="155" t="e">
        <f>+VLOOKUP(J94,'EF-S3'!$K$10:$L$17,2,)</f>
        <v>#N/A</v>
      </c>
      <c r="L94" s="155" t="e">
        <f>+VLOOKUP(J94,'EF-S3'!$K$10:$M$17,3,)</f>
        <v>#N/A</v>
      </c>
      <c r="M94" s="156">
        <f t="shared" si="3"/>
        <v>0</v>
      </c>
    </row>
    <row r="95" spans="2:13" x14ac:dyDescent="0.7">
      <c r="B95" s="159"/>
      <c r="C95" s="158"/>
      <c r="D95" s="160"/>
      <c r="E95" s="178"/>
      <c r="F95" s="178"/>
      <c r="G95" s="178"/>
      <c r="H95" s="178"/>
      <c r="I95" s="179">
        <f t="shared" si="4"/>
        <v>0</v>
      </c>
      <c r="J95" s="159"/>
      <c r="K95" s="155" t="e">
        <f>+VLOOKUP(J95,'EF-S3'!$K$10:$L$17,2,)</f>
        <v>#N/A</v>
      </c>
      <c r="L95" s="155" t="e">
        <f>+VLOOKUP(J95,'EF-S3'!$K$10:$M$17,3,)</f>
        <v>#N/A</v>
      </c>
      <c r="M95" s="156">
        <f t="shared" si="3"/>
        <v>0</v>
      </c>
    </row>
    <row r="96" spans="2:13" x14ac:dyDescent="0.7">
      <c r="B96" s="159"/>
      <c r="C96" s="158"/>
      <c r="D96" s="160"/>
      <c r="E96" s="178"/>
      <c r="F96" s="178"/>
      <c r="G96" s="178"/>
      <c r="H96" s="178"/>
      <c r="I96" s="179">
        <f t="shared" si="4"/>
        <v>0</v>
      </c>
      <c r="J96" s="159"/>
      <c r="K96" s="155" t="e">
        <f>+VLOOKUP(J96,'EF-S3'!$K$10:$L$17,2,)</f>
        <v>#N/A</v>
      </c>
      <c r="L96" s="155" t="e">
        <f>+VLOOKUP(J96,'EF-S3'!$K$10:$M$17,3,)</f>
        <v>#N/A</v>
      </c>
      <c r="M96" s="156">
        <f t="shared" si="3"/>
        <v>0</v>
      </c>
    </row>
    <row r="97" spans="2:13" x14ac:dyDescent="0.7">
      <c r="B97" s="159"/>
      <c r="C97" s="158"/>
      <c r="D97" s="160"/>
      <c r="E97" s="178"/>
      <c r="F97" s="178"/>
      <c r="G97" s="178"/>
      <c r="H97" s="178"/>
      <c r="I97" s="179">
        <f t="shared" si="4"/>
        <v>0</v>
      </c>
      <c r="J97" s="159"/>
      <c r="K97" s="155" t="e">
        <f>+VLOOKUP(J97,'EF-S3'!$K$10:$L$17,2,)</f>
        <v>#N/A</v>
      </c>
      <c r="L97" s="155" t="e">
        <f>+VLOOKUP(J97,'EF-S3'!$K$10:$M$17,3,)</f>
        <v>#N/A</v>
      </c>
      <c r="M97" s="156">
        <f t="shared" si="3"/>
        <v>0</v>
      </c>
    </row>
    <row r="98" spans="2:13" x14ac:dyDescent="0.7">
      <c r="B98" s="159"/>
      <c r="C98" s="158"/>
      <c r="D98" s="160"/>
      <c r="E98" s="178"/>
      <c r="F98" s="178"/>
      <c r="G98" s="178"/>
      <c r="H98" s="178"/>
      <c r="I98" s="179">
        <f t="shared" si="4"/>
        <v>0</v>
      </c>
      <c r="J98" s="159"/>
      <c r="K98" s="155" t="e">
        <f>+VLOOKUP(J98,'EF-S3'!$K$10:$L$17,2,)</f>
        <v>#N/A</v>
      </c>
      <c r="L98" s="155" t="e">
        <f>+VLOOKUP(J98,'EF-S3'!$K$10:$M$17,3,)</f>
        <v>#N/A</v>
      </c>
      <c r="M98" s="156">
        <f t="shared" si="3"/>
        <v>0</v>
      </c>
    </row>
    <row r="99" spans="2:13" x14ac:dyDescent="0.7">
      <c r="B99" s="159"/>
      <c r="C99" s="158"/>
      <c r="D99" s="160"/>
      <c r="E99" s="178"/>
      <c r="F99" s="178"/>
      <c r="G99" s="178"/>
      <c r="H99" s="178"/>
      <c r="I99" s="179">
        <f t="shared" si="4"/>
        <v>0</v>
      </c>
      <c r="J99" s="159"/>
      <c r="K99" s="155" t="e">
        <f>+VLOOKUP(J99,'EF-S3'!$K$10:$L$17,2,)</f>
        <v>#N/A</v>
      </c>
      <c r="L99" s="155" t="e">
        <f>+VLOOKUP(J99,'EF-S3'!$K$10:$M$17,3,)</f>
        <v>#N/A</v>
      </c>
      <c r="M99" s="156">
        <f t="shared" si="3"/>
        <v>0</v>
      </c>
    </row>
    <row r="100" spans="2:13" x14ac:dyDescent="0.7">
      <c r="B100" s="159"/>
      <c r="C100" s="158"/>
      <c r="D100" s="160"/>
      <c r="E100" s="178"/>
      <c r="F100" s="178"/>
      <c r="G100" s="178"/>
      <c r="H100" s="178"/>
      <c r="I100" s="179">
        <f t="shared" si="4"/>
        <v>0</v>
      </c>
      <c r="J100" s="159"/>
      <c r="K100" s="155" t="e">
        <f>+VLOOKUP(J100,'EF-S3'!$K$10:$L$17,2,)</f>
        <v>#N/A</v>
      </c>
      <c r="L100" s="155" t="e">
        <f>+VLOOKUP(J100,'EF-S3'!$K$10:$M$17,3,)</f>
        <v>#N/A</v>
      </c>
      <c r="M100" s="156">
        <f t="shared" si="3"/>
        <v>0</v>
      </c>
    </row>
    <row r="101" spans="2:13" x14ac:dyDescent="0.7">
      <c r="B101" s="159"/>
      <c r="C101" s="158"/>
      <c r="D101" s="160"/>
      <c r="E101" s="178"/>
      <c r="F101" s="178"/>
      <c r="G101" s="178"/>
      <c r="H101" s="178"/>
      <c r="I101" s="179">
        <f t="shared" si="4"/>
        <v>0</v>
      </c>
      <c r="J101" s="159"/>
      <c r="K101" s="155" t="e">
        <f>+VLOOKUP(J101,'EF-S3'!$K$10:$L$17,2,)</f>
        <v>#N/A</v>
      </c>
      <c r="L101" s="155" t="e">
        <f>+VLOOKUP(J101,'EF-S3'!$K$10:$M$17,3,)</f>
        <v>#N/A</v>
      </c>
      <c r="M101" s="156">
        <f t="shared" si="3"/>
        <v>0</v>
      </c>
    </row>
    <row r="102" spans="2:13" x14ac:dyDescent="0.7">
      <c r="B102" s="159"/>
      <c r="C102" s="158"/>
      <c r="D102" s="160"/>
      <c r="E102" s="178"/>
      <c r="F102" s="178"/>
      <c r="G102" s="178"/>
      <c r="H102" s="178"/>
      <c r="I102" s="179">
        <f t="shared" si="4"/>
        <v>0</v>
      </c>
      <c r="J102" s="159"/>
      <c r="K102" s="155" t="e">
        <f>+VLOOKUP(J102,'EF-S3'!$K$10:$L$17,2,)</f>
        <v>#N/A</v>
      </c>
      <c r="L102" s="155" t="e">
        <f>+VLOOKUP(J102,'EF-S3'!$K$10:$M$17,3,)</f>
        <v>#N/A</v>
      </c>
      <c r="M102" s="156">
        <f t="shared" si="3"/>
        <v>0</v>
      </c>
    </row>
    <row r="103" spans="2:13" x14ac:dyDescent="0.7">
      <c r="B103" s="159"/>
      <c r="C103" s="158"/>
      <c r="D103" s="160"/>
      <c r="E103" s="178"/>
      <c r="F103" s="178"/>
      <c r="G103" s="178"/>
      <c r="H103" s="178"/>
      <c r="I103" s="179">
        <f t="shared" si="4"/>
        <v>0</v>
      </c>
      <c r="J103" s="159"/>
      <c r="K103" s="155" t="e">
        <f>+VLOOKUP(J103,'EF-S3'!$K$10:$L$17,2,)</f>
        <v>#N/A</v>
      </c>
      <c r="L103" s="155" t="e">
        <f>+VLOOKUP(J103,'EF-S3'!$K$10:$M$17,3,)</f>
        <v>#N/A</v>
      </c>
      <c r="M103" s="156">
        <f t="shared" si="3"/>
        <v>0</v>
      </c>
    </row>
  </sheetData>
  <sheetProtection algorithmName="SHA-512" hashValue="gTmPBOAwIq8NHcDASK3MzS8RhOB6ThZmTilJ1Ru4RFYGM2ys/EOgZ52spaS+AyvdzFbx7fbgty9wGLbbncuk8Q==" saltValue="++eigHC9Xtc/7RAiKm+suQ==" spinCount="100000" sheet="1" objects="1" scenarios="1"/>
  <protectedRanges>
    <protectedRange sqref="B9:H103 J9:J103" name="Rango1"/>
  </protectedRanges>
  <mergeCells count="3">
    <mergeCell ref="A5:I5"/>
    <mergeCell ref="K7:L7"/>
    <mergeCell ref="B7:J7"/>
  </mergeCells>
  <dataValidations count="6">
    <dataValidation type="list" allowBlank="1" showInputMessage="1" showErrorMessage="1" sqref="J9:J103" xr:uid="{815F0A72-C72A-486D-9F25-2AE19E315886}">
      <formula1>transport</formula1>
    </dataValidation>
    <dataValidation type="list" allowBlank="1" showInputMessage="1" showErrorMessage="1" sqref="B9:B103" xr:uid="{1DE48235-E105-4383-A03F-AD7D47F091AB}">
      <formula1>materials</formula1>
    </dataValidation>
    <dataValidation type="list" allowBlank="1" showInputMessage="1" showErrorMessage="1" sqref="D9:D103" xr:uid="{1FEEC356-B72E-4607-8782-C3489C786BA6}">
      <formula1>unit_raw</formula1>
    </dataValidation>
    <dataValidation type="decimal" allowBlank="1" showInputMessage="1" showErrorMessage="1" sqref="C9:C103" xr:uid="{6AA5DDFC-93A7-410B-B9FB-6B3A65B00CCD}">
      <formula1>0</formula1>
      <formula2>99999</formula2>
    </dataValidation>
    <dataValidation type="decimal" allowBlank="1" showInputMessage="1" showErrorMessage="1" error="Please enter a valid geographical coordinate (example: 2,812)." sqref="E9:E103 G9:G103" xr:uid="{169D6BAE-2502-4387-A4AF-3A9C50AD4A37}">
      <formula1>-90</formula1>
      <formula2>90</formula2>
    </dataValidation>
    <dataValidation type="decimal" allowBlank="1" showInputMessage="1" showErrorMessage="1" error="Please enter a valid geographical coordinate (example: 2,812)." sqref="F9:F103 H9:H103" xr:uid="{17346FEC-C0BA-4FD7-9F44-1B27D5DDC56E}">
      <formula1>-180</formula1>
      <formula2>180</formula2>
    </dataValidation>
  </dataValidations>
  <pageMargins left="0.7" right="0.7" top="0.75" bottom="0.75" header="0.3" footer="0.3"/>
  <pageSetup paperSize="9"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619AF-C076-42D8-AE13-0C2583DED8A4}">
  <sheetPr>
    <tabColor rgb="FF083C12"/>
  </sheetPr>
  <dimension ref="A1:L104"/>
  <sheetViews>
    <sheetView zoomScale="30" zoomScaleNormal="30" workbookViewId="0">
      <selection activeCell="F32" sqref="F32"/>
    </sheetView>
  </sheetViews>
  <sheetFormatPr baseColWidth="10" defaultColWidth="10.88671875" defaultRowHeight="36.6" x14ac:dyDescent="0.7"/>
  <cols>
    <col min="1" max="1" width="3.5546875" style="143" customWidth="1"/>
    <col min="2" max="2" width="62.44140625" style="143" customWidth="1"/>
    <col min="3" max="3" width="59.88671875" style="143" customWidth="1"/>
    <col min="4" max="4" width="144.88671875" style="143" customWidth="1"/>
    <col min="5" max="5" width="162.88671875" style="143" customWidth="1"/>
    <col min="6" max="6" width="97.33203125" style="143" customWidth="1"/>
    <col min="7" max="7" width="106.88671875" style="143" customWidth="1"/>
    <col min="8" max="8" width="68.5546875" style="181" customWidth="1"/>
    <col min="9" max="9" width="59.44140625" style="143" customWidth="1"/>
    <col min="10" max="10" width="56.5546875" style="143" customWidth="1"/>
    <col min="11" max="11" width="53" style="143" customWidth="1"/>
    <col min="12" max="12" width="78.109375" style="181" customWidth="1"/>
    <col min="13" max="16384" width="10.88671875" style="143"/>
  </cols>
  <sheetData>
    <row r="1" spans="1:12" x14ac:dyDescent="0.7">
      <c r="H1" s="143"/>
      <c r="L1" s="143"/>
    </row>
    <row r="2" spans="1:12" x14ac:dyDescent="0.7">
      <c r="H2" s="143"/>
      <c r="L2" s="143"/>
    </row>
    <row r="3" spans="1:12" x14ac:dyDescent="0.7">
      <c r="H3" s="143"/>
      <c r="L3" s="143"/>
    </row>
    <row r="4" spans="1:12" x14ac:dyDescent="0.7">
      <c r="H4" s="143"/>
      <c r="L4" s="143"/>
    </row>
    <row r="5" spans="1:12" x14ac:dyDescent="0.7">
      <c r="H5" s="143"/>
      <c r="L5" s="143"/>
    </row>
    <row r="6" spans="1:12" x14ac:dyDescent="0.7">
      <c r="A6" s="282" t="s">
        <v>130</v>
      </c>
      <c r="B6" s="282"/>
      <c r="C6" s="282"/>
      <c r="D6" s="282"/>
      <c r="E6" s="282"/>
      <c r="F6" s="282"/>
      <c r="H6" s="143"/>
      <c r="L6" s="143"/>
    </row>
    <row r="7" spans="1:12" x14ac:dyDescent="0.7">
      <c r="A7" s="165"/>
      <c r="B7" s="165"/>
      <c r="C7" s="165"/>
      <c r="D7" s="165"/>
      <c r="E7" s="165"/>
      <c r="F7" s="165"/>
      <c r="H7" s="143"/>
      <c r="L7" s="143"/>
    </row>
    <row r="8" spans="1:12" x14ac:dyDescent="0.7">
      <c r="H8" s="143"/>
      <c r="L8" s="143"/>
    </row>
    <row r="9" spans="1:12" x14ac:dyDescent="0.7">
      <c r="B9" s="284" t="s">
        <v>59</v>
      </c>
      <c r="C9" s="284"/>
      <c r="D9" s="284"/>
      <c r="E9" s="284"/>
      <c r="F9" s="284"/>
      <c r="G9" s="284"/>
      <c r="H9" s="284"/>
      <c r="I9" s="285"/>
      <c r="J9" s="270" t="s">
        <v>60</v>
      </c>
      <c r="K9" s="271"/>
      <c r="L9" s="240" t="s">
        <v>61</v>
      </c>
    </row>
    <row r="10" spans="1:12" ht="73.2" x14ac:dyDescent="0.7">
      <c r="B10" s="152" t="s">
        <v>131</v>
      </c>
      <c r="C10" s="152" t="s">
        <v>32</v>
      </c>
      <c r="D10" s="152" t="s">
        <v>132</v>
      </c>
      <c r="E10" s="152" t="s">
        <v>133</v>
      </c>
      <c r="F10" s="152" t="s">
        <v>134</v>
      </c>
      <c r="G10" s="152" t="s">
        <v>135</v>
      </c>
      <c r="H10" s="152" t="s">
        <v>121</v>
      </c>
      <c r="I10" s="152" t="s">
        <v>114</v>
      </c>
      <c r="J10" s="238" t="s">
        <v>111</v>
      </c>
      <c r="K10" s="238" t="s">
        <v>32</v>
      </c>
      <c r="L10" s="237" t="s">
        <v>74</v>
      </c>
    </row>
    <row r="11" spans="1:12" x14ac:dyDescent="0.7">
      <c r="B11" s="158"/>
      <c r="C11" s="160"/>
      <c r="D11" s="178"/>
      <c r="E11" s="178"/>
      <c r="F11" s="178"/>
      <c r="G11" s="178"/>
      <c r="H11" s="179">
        <f>1.25*(6371*ACOS(COS(RADIANS(90-D11))*COS(RADIANS(90-F11))+SIN(RADIANS(90-D11))*SIN(RADIANS(90-F11))*COS(RADIANS(E11-G11))))</f>
        <v>0</v>
      </c>
      <c r="I11" s="159" t="s">
        <v>122</v>
      </c>
      <c r="J11" s="155">
        <f>+VLOOKUP(I11,'EF-S3'!$K$10:$L$17,2,)</f>
        <v>5.944E-2</v>
      </c>
      <c r="K11" s="155" t="str">
        <f>+VLOOKUP(I11,'EF-S3'!$K$10:$M$17,3,)</f>
        <v>kgCO2e/tonne*km</v>
      </c>
      <c r="L11" s="156">
        <f>+IFERROR(IF(C11="kg",B11*H11*J11,B11*H11*J11/1000),0)</f>
        <v>0</v>
      </c>
    </row>
    <row r="12" spans="1:12" x14ac:dyDescent="0.7">
      <c r="B12" s="158"/>
      <c r="C12" s="137"/>
      <c r="D12" s="178"/>
      <c r="E12" s="178"/>
      <c r="F12" s="178"/>
      <c r="G12" s="178"/>
      <c r="H12" s="179">
        <f t="shared" ref="H12:H18" si="0">1.25*(6371*ACOS(COS(RADIANS(90-D12))*COS(RADIANS(90-F12))+SIN(RADIANS(90-D12))*SIN(RADIANS(90-F12))*COS(RADIANS(E12-G12))))</f>
        <v>0</v>
      </c>
      <c r="I12" s="159"/>
      <c r="J12" s="155" t="e">
        <f>+VLOOKUP(I12,'EF-S3'!$K$10:$L$17,2,)</f>
        <v>#N/A</v>
      </c>
      <c r="K12" s="155" t="e">
        <f>+VLOOKUP(I12,'EF-S3'!$K$10:$M$17,3,)</f>
        <v>#N/A</v>
      </c>
      <c r="L12" s="156">
        <f t="shared" ref="L12:L75" si="1">+IFERROR(IF(C12="kg",B12*H12*J12,B12*H12*J12/1000),0)</f>
        <v>0</v>
      </c>
    </row>
    <row r="13" spans="1:12" x14ac:dyDescent="0.7">
      <c r="B13" s="158"/>
      <c r="C13" s="137"/>
      <c r="D13" s="178"/>
      <c r="E13" s="178"/>
      <c r="F13" s="178"/>
      <c r="G13" s="178"/>
      <c r="H13" s="179">
        <f t="shared" si="0"/>
        <v>0</v>
      </c>
      <c r="I13" s="159"/>
      <c r="J13" s="155" t="e">
        <f>+VLOOKUP(I13,'EF-S3'!$K$10:$L$17,2,)</f>
        <v>#N/A</v>
      </c>
      <c r="K13" s="155" t="e">
        <f>+VLOOKUP(I13,'EF-S3'!$K$10:$M$17,3,)</f>
        <v>#N/A</v>
      </c>
      <c r="L13" s="156">
        <f t="shared" si="1"/>
        <v>0</v>
      </c>
    </row>
    <row r="14" spans="1:12" x14ac:dyDescent="0.7">
      <c r="B14" s="158"/>
      <c r="C14" s="137"/>
      <c r="D14" s="178"/>
      <c r="E14" s="178"/>
      <c r="F14" s="178"/>
      <c r="G14" s="178"/>
      <c r="H14" s="179">
        <f t="shared" si="0"/>
        <v>0</v>
      </c>
      <c r="I14" s="159"/>
      <c r="J14" s="155" t="e">
        <f>+VLOOKUP(I14,'EF-S3'!$K$10:$L$17,2,)</f>
        <v>#N/A</v>
      </c>
      <c r="K14" s="155" t="e">
        <f>+VLOOKUP(I14,'EF-S3'!$K$10:$M$17,3,)</f>
        <v>#N/A</v>
      </c>
      <c r="L14" s="156">
        <f t="shared" si="1"/>
        <v>0</v>
      </c>
    </row>
    <row r="15" spans="1:12" x14ac:dyDescent="0.7">
      <c r="B15" s="158"/>
      <c r="C15" s="137"/>
      <c r="D15" s="178"/>
      <c r="E15" s="178"/>
      <c r="F15" s="178"/>
      <c r="G15" s="178"/>
      <c r="H15" s="179">
        <f t="shared" si="0"/>
        <v>0</v>
      </c>
      <c r="I15" s="159"/>
      <c r="J15" s="155" t="e">
        <f>+VLOOKUP(I15,'EF-S3'!$K$10:$L$17,2,)</f>
        <v>#N/A</v>
      </c>
      <c r="K15" s="155" t="e">
        <f>+VLOOKUP(I15,'EF-S3'!$K$10:$M$17,3,)</f>
        <v>#N/A</v>
      </c>
      <c r="L15" s="156">
        <f t="shared" si="1"/>
        <v>0</v>
      </c>
    </row>
    <row r="16" spans="1:12" x14ac:dyDescent="0.7">
      <c r="B16" s="158"/>
      <c r="C16" s="137"/>
      <c r="D16" s="178"/>
      <c r="E16" s="178"/>
      <c r="F16" s="178"/>
      <c r="G16" s="178"/>
      <c r="H16" s="179">
        <f t="shared" si="0"/>
        <v>0</v>
      </c>
      <c r="I16" s="159"/>
      <c r="J16" s="155" t="e">
        <f>+VLOOKUP(I16,'EF-S3'!$K$10:$L$17,2,)</f>
        <v>#N/A</v>
      </c>
      <c r="K16" s="155" t="e">
        <f>+VLOOKUP(I16,'EF-S3'!$K$10:$M$17,3,)</f>
        <v>#N/A</v>
      </c>
      <c r="L16" s="156">
        <f t="shared" si="1"/>
        <v>0</v>
      </c>
    </row>
    <row r="17" spans="2:12" x14ac:dyDescent="0.7">
      <c r="B17" s="158"/>
      <c r="C17" s="137"/>
      <c r="D17" s="178"/>
      <c r="E17" s="178"/>
      <c r="F17" s="178"/>
      <c r="G17" s="178"/>
      <c r="H17" s="179">
        <f t="shared" si="0"/>
        <v>0</v>
      </c>
      <c r="I17" s="159"/>
      <c r="J17" s="155" t="e">
        <f>+VLOOKUP(I17,'EF-S3'!$K$10:$L$17,2,)</f>
        <v>#N/A</v>
      </c>
      <c r="K17" s="155" t="e">
        <f>+VLOOKUP(I17,'EF-S3'!$K$10:$M$17,3,)</f>
        <v>#N/A</v>
      </c>
      <c r="L17" s="156">
        <f t="shared" si="1"/>
        <v>0</v>
      </c>
    </row>
    <row r="18" spans="2:12" x14ac:dyDescent="0.7">
      <c r="B18" s="158"/>
      <c r="C18" s="137"/>
      <c r="D18" s="178"/>
      <c r="E18" s="178"/>
      <c r="F18" s="178"/>
      <c r="G18" s="178"/>
      <c r="H18" s="179">
        <f t="shared" si="0"/>
        <v>0</v>
      </c>
      <c r="I18" s="159"/>
      <c r="J18" s="155" t="e">
        <f>+VLOOKUP(I18,'EF-S3'!$K$10:$L$17,2,)</f>
        <v>#N/A</v>
      </c>
      <c r="K18" s="155" t="e">
        <f>+VLOOKUP(I18,'EF-S3'!$K$10:$M$17,3,)</f>
        <v>#N/A</v>
      </c>
      <c r="L18" s="156">
        <f t="shared" si="1"/>
        <v>0</v>
      </c>
    </row>
    <row r="19" spans="2:12" x14ac:dyDescent="0.7">
      <c r="B19" s="158"/>
      <c r="C19" s="137"/>
      <c r="D19" s="178"/>
      <c r="E19" s="178"/>
      <c r="F19" s="178"/>
      <c r="G19" s="178"/>
      <c r="H19" s="179">
        <f t="shared" ref="H19:H82" si="2">1.25*(6371*ACOS(COS(RADIANS(90-D19))*COS(RADIANS(90-F19))+SIN(RADIANS(90-D19))*SIN(RADIANS(90-F19))*COS(RADIANS(E19-G19))))</f>
        <v>0</v>
      </c>
      <c r="I19" s="159"/>
      <c r="J19" s="155" t="e">
        <f>+VLOOKUP(I19,'EF-S3'!$K$10:$L$17,2,)</f>
        <v>#N/A</v>
      </c>
      <c r="K19" s="155" t="e">
        <f>+VLOOKUP(I19,'EF-S3'!$K$10:$M$17,3,)</f>
        <v>#N/A</v>
      </c>
      <c r="L19" s="156">
        <f t="shared" si="1"/>
        <v>0</v>
      </c>
    </row>
    <row r="20" spans="2:12" x14ac:dyDescent="0.7">
      <c r="B20" s="158"/>
      <c r="C20" s="137"/>
      <c r="D20" s="178"/>
      <c r="E20" s="178"/>
      <c r="F20" s="178"/>
      <c r="G20" s="178"/>
      <c r="H20" s="179">
        <f t="shared" si="2"/>
        <v>0</v>
      </c>
      <c r="I20" s="159"/>
      <c r="J20" s="155" t="e">
        <f>+VLOOKUP(I20,'EF-S3'!$K$10:$L$17,2,)</f>
        <v>#N/A</v>
      </c>
      <c r="K20" s="155" t="e">
        <f>+VLOOKUP(I20,'EF-S3'!$K$10:$M$17,3,)</f>
        <v>#N/A</v>
      </c>
      <c r="L20" s="156">
        <f t="shared" si="1"/>
        <v>0</v>
      </c>
    </row>
    <row r="21" spans="2:12" x14ac:dyDescent="0.7">
      <c r="B21" s="158"/>
      <c r="C21" s="137"/>
      <c r="D21" s="178"/>
      <c r="E21" s="178"/>
      <c r="F21" s="178"/>
      <c r="G21" s="178"/>
      <c r="H21" s="179">
        <f t="shared" si="2"/>
        <v>0</v>
      </c>
      <c r="I21" s="159"/>
      <c r="J21" s="155" t="e">
        <f>+VLOOKUP(I21,'EF-S3'!$K$10:$L$17,2,)</f>
        <v>#N/A</v>
      </c>
      <c r="K21" s="155" t="e">
        <f>+VLOOKUP(I21,'EF-S3'!$K$10:$M$17,3,)</f>
        <v>#N/A</v>
      </c>
      <c r="L21" s="156">
        <f t="shared" si="1"/>
        <v>0</v>
      </c>
    </row>
    <row r="22" spans="2:12" x14ac:dyDescent="0.7">
      <c r="B22" s="158"/>
      <c r="C22" s="137"/>
      <c r="D22" s="178"/>
      <c r="E22" s="178"/>
      <c r="F22" s="178"/>
      <c r="G22" s="178"/>
      <c r="H22" s="179">
        <f t="shared" si="2"/>
        <v>0</v>
      </c>
      <c r="I22" s="159"/>
      <c r="J22" s="155" t="e">
        <f>+VLOOKUP(I22,'EF-S3'!$K$10:$L$17,2,)</f>
        <v>#N/A</v>
      </c>
      <c r="K22" s="155" t="e">
        <f>+VLOOKUP(I22,'EF-S3'!$K$10:$M$17,3,)</f>
        <v>#N/A</v>
      </c>
      <c r="L22" s="156">
        <f t="shared" si="1"/>
        <v>0</v>
      </c>
    </row>
    <row r="23" spans="2:12" x14ac:dyDescent="0.7">
      <c r="B23" s="158"/>
      <c r="C23" s="137"/>
      <c r="D23" s="178"/>
      <c r="E23" s="178"/>
      <c r="F23" s="178"/>
      <c r="G23" s="178"/>
      <c r="H23" s="179">
        <f t="shared" si="2"/>
        <v>0</v>
      </c>
      <c r="I23" s="159"/>
      <c r="J23" s="155" t="e">
        <f>+VLOOKUP(I23,'EF-S3'!$K$10:$L$17,2,)</f>
        <v>#N/A</v>
      </c>
      <c r="K23" s="155" t="e">
        <f>+VLOOKUP(I23,'EF-S3'!$K$10:$M$17,3,)</f>
        <v>#N/A</v>
      </c>
      <c r="L23" s="156">
        <f t="shared" si="1"/>
        <v>0</v>
      </c>
    </row>
    <row r="24" spans="2:12" x14ac:dyDescent="0.7">
      <c r="B24" s="158"/>
      <c r="C24" s="137"/>
      <c r="D24" s="178"/>
      <c r="E24" s="178"/>
      <c r="F24" s="178"/>
      <c r="G24" s="178"/>
      <c r="H24" s="179">
        <f t="shared" si="2"/>
        <v>0</v>
      </c>
      <c r="I24" s="159"/>
      <c r="J24" s="155" t="e">
        <f>+VLOOKUP(I24,'EF-S3'!$K$10:$L$17,2,)</f>
        <v>#N/A</v>
      </c>
      <c r="K24" s="155" t="e">
        <f>+VLOOKUP(I24,'EF-S3'!$K$10:$M$17,3,)</f>
        <v>#N/A</v>
      </c>
      <c r="L24" s="156">
        <f t="shared" si="1"/>
        <v>0</v>
      </c>
    </row>
    <row r="25" spans="2:12" x14ac:dyDescent="0.7">
      <c r="B25" s="158"/>
      <c r="C25" s="137"/>
      <c r="D25" s="178"/>
      <c r="E25" s="178"/>
      <c r="F25" s="178"/>
      <c r="G25" s="178"/>
      <c r="H25" s="179">
        <f t="shared" si="2"/>
        <v>0</v>
      </c>
      <c r="I25" s="159"/>
      <c r="J25" s="155" t="e">
        <f>+VLOOKUP(I25,'EF-S3'!$K$10:$L$17,2,)</f>
        <v>#N/A</v>
      </c>
      <c r="K25" s="155" t="e">
        <f>+VLOOKUP(I25,'EF-S3'!$K$10:$M$17,3,)</f>
        <v>#N/A</v>
      </c>
      <c r="L25" s="156">
        <f t="shared" si="1"/>
        <v>0</v>
      </c>
    </row>
    <row r="26" spans="2:12" x14ac:dyDescent="0.7">
      <c r="B26" s="158"/>
      <c r="C26" s="137"/>
      <c r="D26" s="178"/>
      <c r="E26" s="178"/>
      <c r="F26" s="178"/>
      <c r="G26" s="178"/>
      <c r="H26" s="179">
        <f t="shared" si="2"/>
        <v>0</v>
      </c>
      <c r="I26" s="159"/>
      <c r="J26" s="155" t="e">
        <f>+VLOOKUP(I26,'EF-S3'!$K$10:$L$17,2,)</f>
        <v>#N/A</v>
      </c>
      <c r="K26" s="155" t="e">
        <f>+VLOOKUP(I26,'EF-S3'!$K$10:$M$17,3,)</f>
        <v>#N/A</v>
      </c>
      <c r="L26" s="156">
        <f t="shared" si="1"/>
        <v>0</v>
      </c>
    </row>
    <row r="27" spans="2:12" x14ac:dyDescent="0.7">
      <c r="B27" s="158"/>
      <c r="C27" s="137"/>
      <c r="D27" s="178"/>
      <c r="E27" s="178"/>
      <c r="F27" s="178"/>
      <c r="G27" s="178"/>
      <c r="H27" s="179">
        <f t="shared" si="2"/>
        <v>0</v>
      </c>
      <c r="I27" s="159"/>
      <c r="J27" s="155" t="e">
        <f>+VLOOKUP(I27,'EF-S3'!$K$10:$L$17,2,)</f>
        <v>#N/A</v>
      </c>
      <c r="K27" s="155" t="e">
        <f>+VLOOKUP(I27,'EF-S3'!$K$10:$M$17,3,)</f>
        <v>#N/A</v>
      </c>
      <c r="L27" s="156">
        <f t="shared" si="1"/>
        <v>0</v>
      </c>
    </row>
    <row r="28" spans="2:12" x14ac:dyDescent="0.7">
      <c r="B28" s="158"/>
      <c r="C28" s="137"/>
      <c r="D28" s="178"/>
      <c r="E28" s="178"/>
      <c r="F28" s="178"/>
      <c r="G28" s="178"/>
      <c r="H28" s="179">
        <f t="shared" si="2"/>
        <v>0</v>
      </c>
      <c r="I28" s="159"/>
      <c r="J28" s="155" t="e">
        <f>+VLOOKUP(I28,'EF-S3'!$K$10:$L$17,2,)</f>
        <v>#N/A</v>
      </c>
      <c r="K28" s="155" t="e">
        <f>+VLOOKUP(I28,'EF-S3'!$K$10:$M$17,3,)</f>
        <v>#N/A</v>
      </c>
      <c r="L28" s="156">
        <f t="shared" si="1"/>
        <v>0</v>
      </c>
    </row>
    <row r="29" spans="2:12" x14ac:dyDescent="0.7">
      <c r="B29" s="158"/>
      <c r="C29" s="137"/>
      <c r="D29" s="178"/>
      <c r="E29" s="178"/>
      <c r="F29" s="178"/>
      <c r="G29" s="178"/>
      <c r="H29" s="179">
        <f t="shared" si="2"/>
        <v>0</v>
      </c>
      <c r="I29" s="159"/>
      <c r="J29" s="155" t="e">
        <f>+VLOOKUP(I29,'EF-S3'!$K$10:$L$17,2,)</f>
        <v>#N/A</v>
      </c>
      <c r="K29" s="155" t="e">
        <f>+VLOOKUP(I29,'EF-S3'!$K$10:$M$17,3,)</f>
        <v>#N/A</v>
      </c>
      <c r="L29" s="156">
        <f t="shared" si="1"/>
        <v>0</v>
      </c>
    </row>
    <row r="30" spans="2:12" x14ac:dyDescent="0.7">
      <c r="B30" s="158"/>
      <c r="C30" s="137"/>
      <c r="D30" s="178"/>
      <c r="E30" s="178"/>
      <c r="F30" s="178"/>
      <c r="G30" s="178"/>
      <c r="H30" s="179">
        <f t="shared" si="2"/>
        <v>0</v>
      </c>
      <c r="I30" s="159"/>
      <c r="J30" s="155" t="e">
        <f>+VLOOKUP(I30,'EF-S3'!$K$10:$L$17,2,)</f>
        <v>#N/A</v>
      </c>
      <c r="K30" s="155" t="e">
        <f>+VLOOKUP(I30,'EF-S3'!$K$10:$M$17,3,)</f>
        <v>#N/A</v>
      </c>
      <c r="L30" s="156">
        <f t="shared" si="1"/>
        <v>0</v>
      </c>
    </row>
    <row r="31" spans="2:12" x14ac:dyDescent="0.7">
      <c r="B31" s="158"/>
      <c r="C31" s="137"/>
      <c r="D31" s="178"/>
      <c r="E31" s="178"/>
      <c r="F31" s="178"/>
      <c r="G31" s="178"/>
      <c r="H31" s="179">
        <f t="shared" si="2"/>
        <v>0</v>
      </c>
      <c r="I31" s="159"/>
      <c r="J31" s="155" t="e">
        <f>+VLOOKUP(I31,'EF-S3'!$K$10:$L$17,2,)</f>
        <v>#N/A</v>
      </c>
      <c r="K31" s="155" t="e">
        <f>+VLOOKUP(I31,'EF-S3'!$K$10:$M$17,3,)</f>
        <v>#N/A</v>
      </c>
      <c r="L31" s="156">
        <f t="shared" si="1"/>
        <v>0</v>
      </c>
    </row>
    <row r="32" spans="2:12" x14ac:dyDescent="0.7">
      <c r="B32" s="158"/>
      <c r="C32" s="137"/>
      <c r="D32" s="178"/>
      <c r="E32" s="178"/>
      <c r="F32" s="178"/>
      <c r="G32" s="178"/>
      <c r="H32" s="179">
        <f t="shared" si="2"/>
        <v>0</v>
      </c>
      <c r="I32" s="159"/>
      <c r="J32" s="155" t="e">
        <f>+VLOOKUP(I32,'EF-S3'!$K$10:$L$17,2,)</f>
        <v>#N/A</v>
      </c>
      <c r="K32" s="155" t="e">
        <f>+VLOOKUP(I32,'EF-S3'!$K$10:$M$17,3,)</f>
        <v>#N/A</v>
      </c>
      <c r="L32" s="156">
        <f t="shared" si="1"/>
        <v>0</v>
      </c>
    </row>
    <row r="33" spans="2:12" x14ac:dyDescent="0.7">
      <c r="B33" s="158"/>
      <c r="C33" s="137"/>
      <c r="D33" s="178"/>
      <c r="E33" s="178"/>
      <c r="F33" s="178"/>
      <c r="G33" s="178"/>
      <c r="H33" s="179">
        <f t="shared" si="2"/>
        <v>0</v>
      </c>
      <c r="I33" s="159"/>
      <c r="J33" s="155" t="e">
        <f>+VLOOKUP(I33,'EF-S3'!$K$10:$L$17,2,)</f>
        <v>#N/A</v>
      </c>
      <c r="K33" s="155" t="e">
        <f>+VLOOKUP(I33,'EF-S3'!$K$10:$M$17,3,)</f>
        <v>#N/A</v>
      </c>
      <c r="L33" s="156">
        <f t="shared" si="1"/>
        <v>0</v>
      </c>
    </row>
    <row r="34" spans="2:12" x14ac:dyDescent="0.7">
      <c r="B34" s="158"/>
      <c r="C34" s="137"/>
      <c r="D34" s="178"/>
      <c r="E34" s="178"/>
      <c r="F34" s="178"/>
      <c r="G34" s="178"/>
      <c r="H34" s="179">
        <f t="shared" si="2"/>
        <v>0</v>
      </c>
      <c r="I34" s="159"/>
      <c r="J34" s="155" t="e">
        <f>+VLOOKUP(I34,'EF-S3'!$K$10:$L$17,2,)</f>
        <v>#N/A</v>
      </c>
      <c r="K34" s="155" t="e">
        <f>+VLOOKUP(I34,'EF-S3'!$K$10:$M$17,3,)</f>
        <v>#N/A</v>
      </c>
      <c r="L34" s="156">
        <f t="shared" si="1"/>
        <v>0</v>
      </c>
    </row>
    <row r="35" spans="2:12" x14ac:dyDescent="0.7">
      <c r="B35" s="158"/>
      <c r="C35" s="137"/>
      <c r="D35" s="178"/>
      <c r="E35" s="178"/>
      <c r="F35" s="178"/>
      <c r="G35" s="178"/>
      <c r="H35" s="179">
        <f t="shared" si="2"/>
        <v>0</v>
      </c>
      <c r="I35" s="159"/>
      <c r="J35" s="155" t="e">
        <f>+VLOOKUP(I35,'EF-S3'!$K$10:$L$17,2,)</f>
        <v>#N/A</v>
      </c>
      <c r="K35" s="155" t="e">
        <f>+VLOOKUP(I35,'EF-S3'!$K$10:$M$17,3,)</f>
        <v>#N/A</v>
      </c>
      <c r="L35" s="156">
        <f t="shared" si="1"/>
        <v>0</v>
      </c>
    </row>
    <row r="36" spans="2:12" x14ac:dyDescent="0.7">
      <c r="B36" s="158"/>
      <c r="C36" s="137"/>
      <c r="D36" s="178"/>
      <c r="E36" s="178"/>
      <c r="F36" s="178"/>
      <c r="G36" s="178"/>
      <c r="H36" s="179">
        <f t="shared" si="2"/>
        <v>0</v>
      </c>
      <c r="I36" s="159"/>
      <c r="J36" s="155" t="e">
        <f>+VLOOKUP(I36,'EF-S3'!$K$10:$L$17,2,)</f>
        <v>#N/A</v>
      </c>
      <c r="K36" s="155" t="e">
        <f>+VLOOKUP(I36,'EF-S3'!$K$10:$M$17,3,)</f>
        <v>#N/A</v>
      </c>
      <c r="L36" s="156">
        <f t="shared" si="1"/>
        <v>0</v>
      </c>
    </row>
    <row r="37" spans="2:12" x14ac:dyDescent="0.7">
      <c r="B37" s="158"/>
      <c r="C37" s="137"/>
      <c r="D37" s="178"/>
      <c r="E37" s="178"/>
      <c r="F37" s="178"/>
      <c r="G37" s="178"/>
      <c r="H37" s="179">
        <f t="shared" si="2"/>
        <v>0</v>
      </c>
      <c r="I37" s="159"/>
      <c r="J37" s="155" t="e">
        <f>+VLOOKUP(I37,'EF-S3'!$K$10:$L$17,2,)</f>
        <v>#N/A</v>
      </c>
      <c r="K37" s="155" t="e">
        <f>+VLOOKUP(I37,'EF-S3'!$K$10:$M$17,3,)</f>
        <v>#N/A</v>
      </c>
      <c r="L37" s="156">
        <f t="shared" si="1"/>
        <v>0</v>
      </c>
    </row>
    <row r="38" spans="2:12" x14ac:dyDescent="0.7">
      <c r="B38" s="158"/>
      <c r="C38" s="137"/>
      <c r="D38" s="178"/>
      <c r="E38" s="178"/>
      <c r="F38" s="178"/>
      <c r="G38" s="178"/>
      <c r="H38" s="179">
        <f t="shared" si="2"/>
        <v>0</v>
      </c>
      <c r="I38" s="159"/>
      <c r="J38" s="155" t="e">
        <f>+VLOOKUP(I38,'EF-S3'!$K$10:$L$17,2,)</f>
        <v>#N/A</v>
      </c>
      <c r="K38" s="155" t="e">
        <f>+VLOOKUP(I38,'EF-S3'!$K$10:$M$17,3,)</f>
        <v>#N/A</v>
      </c>
      <c r="L38" s="156">
        <f t="shared" si="1"/>
        <v>0</v>
      </c>
    </row>
    <row r="39" spans="2:12" x14ac:dyDescent="0.7">
      <c r="B39" s="158"/>
      <c r="C39" s="137"/>
      <c r="D39" s="178"/>
      <c r="E39" s="178"/>
      <c r="F39" s="178"/>
      <c r="G39" s="178"/>
      <c r="H39" s="179">
        <f t="shared" si="2"/>
        <v>0</v>
      </c>
      <c r="I39" s="159"/>
      <c r="J39" s="155" t="e">
        <f>+VLOOKUP(I39,'EF-S3'!$K$10:$L$17,2,)</f>
        <v>#N/A</v>
      </c>
      <c r="K39" s="155" t="e">
        <f>+VLOOKUP(I39,'EF-S3'!$K$10:$M$17,3,)</f>
        <v>#N/A</v>
      </c>
      <c r="L39" s="156">
        <f t="shared" si="1"/>
        <v>0</v>
      </c>
    </row>
    <row r="40" spans="2:12" x14ac:dyDescent="0.7">
      <c r="B40" s="158"/>
      <c r="C40" s="137"/>
      <c r="D40" s="178"/>
      <c r="E40" s="178"/>
      <c r="F40" s="178"/>
      <c r="G40" s="178"/>
      <c r="H40" s="179">
        <f t="shared" si="2"/>
        <v>0</v>
      </c>
      <c r="I40" s="159"/>
      <c r="J40" s="155" t="e">
        <f>+VLOOKUP(I40,'EF-S3'!$K$10:$L$17,2,)</f>
        <v>#N/A</v>
      </c>
      <c r="K40" s="155" t="e">
        <f>+VLOOKUP(I40,'EF-S3'!$K$10:$M$17,3,)</f>
        <v>#N/A</v>
      </c>
      <c r="L40" s="156">
        <f t="shared" si="1"/>
        <v>0</v>
      </c>
    </row>
    <row r="41" spans="2:12" x14ac:dyDescent="0.7">
      <c r="B41" s="158"/>
      <c r="C41" s="137"/>
      <c r="D41" s="178"/>
      <c r="E41" s="178"/>
      <c r="F41" s="178"/>
      <c r="G41" s="178"/>
      <c r="H41" s="179">
        <f t="shared" si="2"/>
        <v>0</v>
      </c>
      <c r="I41" s="159"/>
      <c r="J41" s="155" t="e">
        <f>+VLOOKUP(I41,'EF-S3'!$K$10:$L$17,2,)</f>
        <v>#N/A</v>
      </c>
      <c r="K41" s="155" t="e">
        <f>+VLOOKUP(I41,'EF-S3'!$K$10:$M$17,3,)</f>
        <v>#N/A</v>
      </c>
      <c r="L41" s="156">
        <f t="shared" si="1"/>
        <v>0</v>
      </c>
    </row>
    <row r="42" spans="2:12" x14ac:dyDescent="0.7">
      <c r="B42" s="158"/>
      <c r="C42" s="137"/>
      <c r="D42" s="178"/>
      <c r="E42" s="178"/>
      <c r="F42" s="178"/>
      <c r="G42" s="178"/>
      <c r="H42" s="179">
        <f t="shared" si="2"/>
        <v>0</v>
      </c>
      <c r="I42" s="159"/>
      <c r="J42" s="155" t="e">
        <f>+VLOOKUP(I42,'EF-S3'!$K$10:$L$17,2,)</f>
        <v>#N/A</v>
      </c>
      <c r="K42" s="155" t="e">
        <f>+VLOOKUP(I42,'EF-S3'!$K$10:$M$17,3,)</f>
        <v>#N/A</v>
      </c>
      <c r="L42" s="156">
        <f t="shared" si="1"/>
        <v>0</v>
      </c>
    </row>
    <row r="43" spans="2:12" x14ac:dyDescent="0.7">
      <c r="B43" s="158"/>
      <c r="C43" s="137"/>
      <c r="D43" s="178"/>
      <c r="E43" s="178"/>
      <c r="F43" s="178"/>
      <c r="G43" s="178"/>
      <c r="H43" s="179">
        <f t="shared" si="2"/>
        <v>0</v>
      </c>
      <c r="I43" s="159"/>
      <c r="J43" s="155" t="e">
        <f>+VLOOKUP(I43,'EF-S3'!$K$10:$L$17,2,)</f>
        <v>#N/A</v>
      </c>
      <c r="K43" s="155" t="e">
        <f>+VLOOKUP(I43,'EF-S3'!$K$10:$M$17,3,)</f>
        <v>#N/A</v>
      </c>
      <c r="L43" s="156">
        <f t="shared" si="1"/>
        <v>0</v>
      </c>
    </row>
    <row r="44" spans="2:12" x14ac:dyDescent="0.7">
      <c r="B44" s="158"/>
      <c r="C44" s="137"/>
      <c r="D44" s="178"/>
      <c r="E44" s="178"/>
      <c r="F44" s="178"/>
      <c r="G44" s="178"/>
      <c r="H44" s="179">
        <f t="shared" si="2"/>
        <v>0</v>
      </c>
      <c r="I44" s="159"/>
      <c r="J44" s="155" t="e">
        <f>+VLOOKUP(I44,'EF-S3'!$K$10:$L$17,2,)</f>
        <v>#N/A</v>
      </c>
      <c r="K44" s="155" t="e">
        <f>+VLOOKUP(I44,'EF-S3'!$K$10:$M$17,3,)</f>
        <v>#N/A</v>
      </c>
      <c r="L44" s="156">
        <f t="shared" si="1"/>
        <v>0</v>
      </c>
    </row>
    <row r="45" spans="2:12" x14ac:dyDescent="0.7">
      <c r="B45" s="158"/>
      <c r="C45" s="137"/>
      <c r="D45" s="178"/>
      <c r="E45" s="178"/>
      <c r="F45" s="178"/>
      <c r="G45" s="178"/>
      <c r="H45" s="179">
        <f t="shared" si="2"/>
        <v>0</v>
      </c>
      <c r="I45" s="159"/>
      <c r="J45" s="155" t="e">
        <f>+VLOOKUP(I45,'EF-S3'!$K$10:$L$17,2,)</f>
        <v>#N/A</v>
      </c>
      <c r="K45" s="155" t="e">
        <f>+VLOOKUP(I45,'EF-S3'!$K$10:$M$17,3,)</f>
        <v>#N/A</v>
      </c>
      <c r="L45" s="156">
        <f t="shared" si="1"/>
        <v>0</v>
      </c>
    </row>
    <row r="46" spans="2:12" x14ac:dyDescent="0.7">
      <c r="B46" s="158"/>
      <c r="C46" s="137"/>
      <c r="D46" s="178"/>
      <c r="E46" s="178"/>
      <c r="F46" s="178"/>
      <c r="G46" s="178"/>
      <c r="H46" s="179">
        <f t="shared" si="2"/>
        <v>0</v>
      </c>
      <c r="I46" s="159"/>
      <c r="J46" s="155" t="e">
        <f>+VLOOKUP(I46,'EF-S3'!$K$10:$L$17,2,)</f>
        <v>#N/A</v>
      </c>
      <c r="K46" s="155" t="e">
        <f>+VLOOKUP(I46,'EF-S3'!$K$10:$M$17,3,)</f>
        <v>#N/A</v>
      </c>
      <c r="L46" s="156">
        <f t="shared" si="1"/>
        <v>0</v>
      </c>
    </row>
    <row r="47" spans="2:12" x14ac:dyDescent="0.7">
      <c r="B47" s="158"/>
      <c r="C47" s="137"/>
      <c r="D47" s="178"/>
      <c r="E47" s="178"/>
      <c r="F47" s="178"/>
      <c r="G47" s="178"/>
      <c r="H47" s="179">
        <f t="shared" si="2"/>
        <v>0</v>
      </c>
      <c r="I47" s="159"/>
      <c r="J47" s="155" t="e">
        <f>+VLOOKUP(I47,'EF-S3'!$K$10:$L$17,2,)</f>
        <v>#N/A</v>
      </c>
      <c r="K47" s="155" t="e">
        <f>+VLOOKUP(I47,'EF-S3'!$K$10:$M$17,3,)</f>
        <v>#N/A</v>
      </c>
      <c r="L47" s="156">
        <f t="shared" si="1"/>
        <v>0</v>
      </c>
    </row>
    <row r="48" spans="2:12" x14ac:dyDescent="0.7">
      <c r="B48" s="158"/>
      <c r="C48" s="137"/>
      <c r="D48" s="178"/>
      <c r="E48" s="178"/>
      <c r="F48" s="178"/>
      <c r="G48" s="178"/>
      <c r="H48" s="179">
        <f t="shared" si="2"/>
        <v>0</v>
      </c>
      <c r="I48" s="159"/>
      <c r="J48" s="155" t="e">
        <f>+VLOOKUP(I48,'EF-S3'!$K$10:$L$17,2,)</f>
        <v>#N/A</v>
      </c>
      <c r="K48" s="155" t="e">
        <f>+VLOOKUP(I48,'EF-S3'!$K$10:$M$17,3,)</f>
        <v>#N/A</v>
      </c>
      <c r="L48" s="156">
        <f t="shared" si="1"/>
        <v>0</v>
      </c>
    </row>
    <row r="49" spans="2:12" x14ac:dyDescent="0.7">
      <c r="B49" s="158"/>
      <c r="C49" s="137"/>
      <c r="D49" s="178"/>
      <c r="E49" s="178"/>
      <c r="F49" s="178"/>
      <c r="G49" s="178"/>
      <c r="H49" s="179">
        <f t="shared" si="2"/>
        <v>0</v>
      </c>
      <c r="I49" s="159"/>
      <c r="J49" s="155" t="e">
        <f>+VLOOKUP(I49,'EF-S3'!$K$10:$L$17,2,)</f>
        <v>#N/A</v>
      </c>
      <c r="K49" s="155" t="e">
        <f>+VLOOKUP(I49,'EF-S3'!$K$10:$M$17,3,)</f>
        <v>#N/A</v>
      </c>
      <c r="L49" s="156">
        <f t="shared" si="1"/>
        <v>0</v>
      </c>
    </row>
    <row r="50" spans="2:12" x14ac:dyDescent="0.7">
      <c r="B50" s="158"/>
      <c r="C50" s="137"/>
      <c r="D50" s="178"/>
      <c r="E50" s="178"/>
      <c r="F50" s="178"/>
      <c r="G50" s="178"/>
      <c r="H50" s="179">
        <f t="shared" si="2"/>
        <v>0</v>
      </c>
      <c r="I50" s="159"/>
      <c r="J50" s="155" t="e">
        <f>+VLOOKUP(I50,'EF-S3'!$K$10:$L$17,2,)</f>
        <v>#N/A</v>
      </c>
      <c r="K50" s="155" t="e">
        <f>+VLOOKUP(I50,'EF-S3'!$K$10:$M$17,3,)</f>
        <v>#N/A</v>
      </c>
      <c r="L50" s="156">
        <f t="shared" si="1"/>
        <v>0</v>
      </c>
    </row>
    <row r="51" spans="2:12" x14ac:dyDescent="0.7">
      <c r="B51" s="158"/>
      <c r="C51" s="137"/>
      <c r="D51" s="178"/>
      <c r="E51" s="178"/>
      <c r="F51" s="178"/>
      <c r="G51" s="178"/>
      <c r="H51" s="179">
        <f t="shared" si="2"/>
        <v>0</v>
      </c>
      <c r="I51" s="159"/>
      <c r="J51" s="155" t="e">
        <f>+VLOOKUP(I51,'EF-S3'!$K$10:$L$17,2,)</f>
        <v>#N/A</v>
      </c>
      <c r="K51" s="155" t="e">
        <f>+VLOOKUP(I51,'EF-S3'!$K$10:$M$17,3,)</f>
        <v>#N/A</v>
      </c>
      <c r="L51" s="156">
        <f t="shared" si="1"/>
        <v>0</v>
      </c>
    </row>
    <row r="52" spans="2:12" x14ac:dyDescent="0.7">
      <c r="B52" s="158"/>
      <c r="C52" s="137"/>
      <c r="D52" s="178"/>
      <c r="E52" s="178"/>
      <c r="F52" s="178"/>
      <c r="G52" s="178"/>
      <c r="H52" s="179">
        <f t="shared" si="2"/>
        <v>0</v>
      </c>
      <c r="I52" s="159"/>
      <c r="J52" s="155" t="e">
        <f>+VLOOKUP(I52,'EF-S3'!$K$10:$L$17,2,)</f>
        <v>#N/A</v>
      </c>
      <c r="K52" s="155" t="e">
        <f>+VLOOKUP(I52,'EF-S3'!$K$10:$M$17,3,)</f>
        <v>#N/A</v>
      </c>
      <c r="L52" s="156">
        <f t="shared" si="1"/>
        <v>0</v>
      </c>
    </row>
    <row r="53" spans="2:12" x14ac:dyDescent="0.7">
      <c r="B53" s="158"/>
      <c r="C53" s="137"/>
      <c r="D53" s="178"/>
      <c r="E53" s="178"/>
      <c r="F53" s="178"/>
      <c r="G53" s="178"/>
      <c r="H53" s="179">
        <f t="shared" si="2"/>
        <v>0</v>
      </c>
      <c r="I53" s="159"/>
      <c r="J53" s="155" t="e">
        <f>+VLOOKUP(I53,'EF-S3'!$K$10:$L$17,2,)</f>
        <v>#N/A</v>
      </c>
      <c r="K53" s="155" t="e">
        <f>+VLOOKUP(I53,'EF-S3'!$K$10:$M$17,3,)</f>
        <v>#N/A</v>
      </c>
      <c r="L53" s="156">
        <f t="shared" si="1"/>
        <v>0</v>
      </c>
    </row>
    <row r="54" spans="2:12" x14ac:dyDescent="0.7">
      <c r="B54" s="158"/>
      <c r="C54" s="137"/>
      <c r="D54" s="178"/>
      <c r="E54" s="178"/>
      <c r="F54" s="178"/>
      <c r="G54" s="178"/>
      <c r="H54" s="179">
        <f t="shared" si="2"/>
        <v>0</v>
      </c>
      <c r="I54" s="159"/>
      <c r="J54" s="155" t="e">
        <f>+VLOOKUP(I54,'EF-S3'!$K$10:$L$17,2,)</f>
        <v>#N/A</v>
      </c>
      <c r="K54" s="155" t="e">
        <f>+VLOOKUP(I54,'EF-S3'!$K$10:$M$17,3,)</f>
        <v>#N/A</v>
      </c>
      <c r="L54" s="156">
        <f t="shared" si="1"/>
        <v>0</v>
      </c>
    </row>
    <row r="55" spans="2:12" x14ac:dyDescent="0.7">
      <c r="B55" s="158"/>
      <c r="C55" s="137"/>
      <c r="D55" s="178"/>
      <c r="E55" s="178"/>
      <c r="F55" s="178"/>
      <c r="G55" s="178"/>
      <c r="H55" s="179">
        <f t="shared" si="2"/>
        <v>0</v>
      </c>
      <c r="I55" s="159"/>
      <c r="J55" s="155" t="e">
        <f>+VLOOKUP(I55,'EF-S3'!$K$10:$L$17,2,)</f>
        <v>#N/A</v>
      </c>
      <c r="K55" s="155" t="e">
        <f>+VLOOKUP(I55,'EF-S3'!$K$10:$M$17,3,)</f>
        <v>#N/A</v>
      </c>
      <c r="L55" s="156">
        <f t="shared" si="1"/>
        <v>0</v>
      </c>
    </row>
    <row r="56" spans="2:12" x14ac:dyDescent="0.7">
      <c r="B56" s="158"/>
      <c r="C56" s="137"/>
      <c r="D56" s="178"/>
      <c r="E56" s="178"/>
      <c r="F56" s="178"/>
      <c r="G56" s="178"/>
      <c r="H56" s="179">
        <f t="shared" si="2"/>
        <v>0</v>
      </c>
      <c r="I56" s="159"/>
      <c r="J56" s="155" t="e">
        <f>+VLOOKUP(I56,'EF-S3'!$K$10:$L$17,2,)</f>
        <v>#N/A</v>
      </c>
      <c r="K56" s="155" t="e">
        <f>+VLOOKUP(I56,'EF-S3'!$K$10:$M$17,3,)</f>
        <v>#N/A</v>
      </c>
      <c r="L56" s="156">
        <f t="shared" si="1"/>
        <v>0</v>
      </c>
    </row>
    <row r="57" spans="2:12" x14ac:dyDescent="0.7">
      <c r="B57" s="158"/>
      <c r="C57" s="137"/>
      <c r="D57" s="178"/>
      <c r="E57" s="178"/>
      <c r="F57" s="178"/>
      <c r="G57" s="178"/>
      <c r="H57" s="179">
        <f t="shared" si="2"/>
        <v>0</v>
      </c>
      <c r="I57" s="159"/>
      <c r="J57" s="155" t="e">
        <f>+VLOOKUP(I57,'EF-S3'!$K$10:$L$17,2,)</f>
        <v>#N/A</v>
      </c>
      <c r="K57" s="155" t="e">
        <f>+VLOOKUP(I57,'EF-S3'!$K$10:$M$17,3,)</f>
        <v>#N/A</v>
      </c>
      <c r="L57" s="156">
        <f t="shared" si="1"/>
        <v>0</v>
      </c>
    </row>
    <row r="58" spans="2:12" x14ac:dyDescent="0.7">
      <c r="B58" s="158"/>
      <c r="C58" s="137"/>
      <c r="D58" s="178"/>
      <c r="E58" s="178"/>
      <c r="F58" s="178"/>
      <c r="G58" s="178"/>
      <c r="H58" s="179">
        <f t="shared" si="2"/>
        <v>0</v>
      </c>
      <c r="I58" s="159"/>
      <c r="J58" s="155" t="e">
        <f>+VLOOKUP(I58,'EF-S3'!$K$10:$L$17,2,)</f>
        <v>#N/A</v>
      </c>
      <c r="K58" s="155" t="e">
        <f>+VLOOKUP(I58,'EF-S3'!$K$10:$M$17,3,)</f>
        <v>#N/A</v>
      </c>
      <c r="L58" s="156">
        <f t="shared" si="1"/>
        <v>0</v>
      </c>
    </row>
    <row r="59" spans="2:12" x14ac:dyDescent="0.7">
      <c r="B59" s="158"/>
      <c r="C59" s="137"/>
      <c r="D59" s="178"/>
      <c r="E59" s="178"/>
      <c r="F59" s="178"/>
      <c r="G59" s="178"/>
      <c r="H59" s="179">
        <f t="shared" si="2"/>
        <v>0</v>
      </c>
      <c r="I59" s="159"/>
      <c r="J59" s="155" t="e">
        <f>+VLOOKUP(I59,'EF-S3'!$K$10:$L$17,2,)</f>
        <v>#N/A</v>
      </c>
      <c r="K59" s="155" t="e">
        <f>+VLOOKUP(I59,'EF-S3'!$K$10:$M$17,3,)</f>
        <v>#N/A</v>
      </c>
      <c r="L59" s="156">
        <f t="shared" si="1"/>
        <v>0</v>
      </c>
    </row>
    <row r="60" spans="2:12" x14ac:dyDescent="0.7">
      <c r="B60" s="158"/>
      <c r="C60" s="137"/>
      <c r="D60" s="178"/>
      <c r="E60" s="178"/>
      <c r="F60" s="178"/>
      <c r="G60" s="178"/>
      <c r="H60" s="179">
        <f t="shared" si="2"/>
        <v>0</v>
      </c>
      <c r="I60" s="159"/>
      <c r="J60" s="155" t="e">
        <f>+VLOOKUP(I60,'EF-S3'!$K$10:$L$17,2,)</f>
        <v>#N/A</v>
      </c>
      <c r="K60" s="155" t="e">
        <f>+VLOOKUP(I60,'EF-S3'!$K$10:$M$17,3,)</f>
        <v>#N/A</v>
      </c>
      <c r="L60" s="156">
        <f t="shared" si="1"/>
        <v>0</v>
      </c>
    </row>
    <row r="61" spans="2:12" x14ac:dyDescent="0.7">
      <c r="B61" s="158"/>
      <c r="C61" s="137"/>
      <c r="D61" s="178"/>
      <c r="E61" s="178"/>
      <c r="F61" s="178"/>
      <c r="G61" s="178"/>
      <c r="H61" s="179">
        <f t="shared" si="2"/>
        <v>0</v>
      </c>
      <c r="I61" s="159"/>
      <c r="J61" s="155" t="e">
        <f>+VLOOKUP(I61,'EF-S3'!$K$10:$L$17,2,)</f>
        <v>#N/A</v>
      </c>
      <c r="K61" s="155" t="e">
        <f>+VLOOKUP(I61,'EF-S3'!$K$10:$M$17,3,)</f>
        <v>#N/A</v>
      </c>
      <c r="L61" s="156">
        <f t="shared" si="1"/>
        <v>0</v>
      </c>
    </row>
    <row r="62" spans="2:12" x14ac:dyDescent="0.7">
      <c r="B62" s="158"/>
      <c r="C62" s="137"/>
      <c r="D62" s="178"/>
      <c r="E62" s="178"/>
      <c r="F62" s="178"/>
      <c r="G62" s="178"/>
      <c r="H62" s="179">
        <f t="shared" si="2"/>
        <v>0</v>
      </c>
      <c r="I62" s="159"/>
      <c r="J62" s="155" t="e">
        <f>+VLOOKUP(I62,'EF-S3'!$K$10:$L$17,2,)</f>
        <v>#N/A</v>
      </c>
      <c r="K62" s="155" t="e">
        <f>+VLOOKUP(I62,'EF-S3'!$K$10:$M$17,3,)</f>
        <v>#N/A</v>
      </c>
      <c r="L62" s="156">
        <f t="shared" si="1"/>
        <v>0</v>
      </c>
    </row>
    <row r="63" spans="2:12" x14ac:dyDescent="0.7">
      <c r="B63" s="158"/>
      <c r="C63" s="137"/>
      <c r="D63" s="178"/>
      <c r="E63" s="178"/>
      <c r="F63" s="178"/>
      <c r="G63" s="178"/>
      <c r="H63" s="179">
        <f t="shared" si="2"/>
        <v>0</v>
      </c>
      <c r="I63" s="159"/>
      <c r="J63" s="155" t="e">
        <f>+VLOOKUP(I63,'EF-S3'!$K$10:$L$17,2,)</f>
        <v>#N/A</v>
      </c>
      <c r="K63" s="155" t="e">
        <f>+VLOOKUP(I63,'EF-S3'!$K$10:$M$17,3,)</f>
        <v>#N/A</v>
      </c>
      <c r="L63" s="156">
        <f t="shared" si="1"/>
        <v>0</v>
      </c>
    </row>
    <row r="64" spans="2:12" x14ac:dyDescent="0.7">
      <c r="B64" s="158"/>
      <c r="C64" s="137"/>
      <c r="D64" s="178"/>
      <c r="E64" s="178"/>
      <c r="F64" s="178"/>
      <c r="G64" s="178"/>
      <c r="H64" s="179">
        <f t="shared" si="2"/>
        <v>0</v>
      </c>
      <c r="I64" s="159"/>
      <c r="J64" s="155" t="e">
        <f>+VLOOKUP(I64,'EF-S3'!$K$10:$L$17,2,)</f>
        <v>#N/A</v>
      </c>
      <c r="K64" s="155" t="e">
        <f>+VLOOKUP(I64,'EF-S3'!$K$10:$M$17,3,)</f>
        <v>#N/A</v>
      </c>
      <c r="L64" s="156">
        <f t="shared" si="1"/>
        <v>0</v>
      </c>
    </row>
    <row r="65" spans="2:12" x14ac:dyDescent="0.7">
      <c r="B65" s="158"/>
      <c r="C65" s="137"/>
      <c r="D65" s="178"/>
      <c r="E65" s="178"/>
      <c r="F65" s="178"/>
      <c r="G65" s="178"/>
      <c r="H65" s="179">
        <f t="shared" si="2"/>
        <v>0</v>
      </c>
      <c r="I65" s="159"/>
      <c r="J65" s="155" t="e">
        <f>+VLOOKUP(I65,'EF-S3'!$K$10:$L$17,2,)</f>
        <v>#N/A</v>
      </c>
      <c r="K65" s="155" t="e">
        <f>+VLOOKUP(I65,'EF-S3'!$K$10:$M$17,3,)</f>
        <v>#N/A</v>
      </c>
      <c r="L65" s="156">
        <f t="shared" si="1"/>
        <v>0</v>
      </c>
    </row>
    <row r="66" spans="2:12" x14ac:dyDescent="0.7">
      <c r="B66" s="158"/>
      <c r="C66" s="137"/>
      <c r="D66" s="178"/>
      <c r="E66" s="178"/>
      <c r="F66" s="178"/>
      <c r="G66" s="178"/>
      <c r="H66" s="179">
        <f t="shared" si="2"/>
        <v>0</v>
      </c>
      <c r="I66" s="159"/>
      <c r="J66" s="155" t="e">
        <f>+VLOOKUP(I66,'EF-S3'!$K$10:$L$17,2,)</f>
        <v>#N/A</v>
      </c>
      <c r="K66" s="155" t="e">
        <f>+VLOOKUP(I66,'EF-S3'!$K$10:$M$17,3,)</f>
        <v>#N/A</v>
      </c>
      <c r="L66" s="156">
        <f t="shared" si="1"/>
        <v>0</v>
      </c>
    </row>
    <row r="67" spans="2:12" x14ac:dyDescent="0.7">
      <c r="B67" s="158"/>
      <c r="C67" s="137"/>
      <c r="D67" s="178"/>
      <c r="E67" s="178"/>
      <c r="F67" s="178"/>
      <c r="G67" s="178"/>
      <c r="H67" s="179">
        <f t="shared" si="2"/>
        <v>0</v>
      </c>
      <c r="I67" s="159"/>
      <c r="J67" s="155" t="e">
        <f>+VLOOKUP(I67,'EF-S3'!$K$10:$L$17,2,)</f>
        <v>#N/A</v>
      </c>
      <c r="K67" s="155" t="e">
        <f>+VLOOKUP(I67,'EF-S3'!$K$10:$M$17,3,)</f>
        <v>#N/A</v>
      </c>
      <c r="L67" s="156">
        <f t="shared" si="1"/>
        <v>0</v>
      </c>
    </row>
    <row r="68" spans="2:12" x14ac:dyDescent="0.7">
      <c r="B68" s="158"/>
      <c r="C68" s="137"/>
      <c r="D68" s="178"/>
      <c r="E68" s="178"/>
      <c r="F68" s="178"/>
      <c r="G68" s="178"/>
      <c r="H68" s="179">
        <f t="shared" si="2"/>
        <v>0</v>
      </c>
      <c r="I68" s="159"/>
      <c r="J68" s="155" t="e">
        <f>+VLOOKUP(I68,'EF-S3'!$K$10:$L$17,2,)</f>
        <v>#N/A</v>
      </c>
      <c r="K68" s="155" t="e">
        <f>+VLOOKUP(I68,'EF-S3'!$K$10:$M$17,3,)</f>
        <v>#N/A</v>
      </c>
      <c r="L68" s="156">
        <f t="shared" si="1"/>
        <v>0</v>
      </c>
    </row>
    <row r="69" spans="2:12" x14ac:dyDescent="0.7">
      <c r="B69" s="158"/>
      <c r="C69" s="137"/>
      <c r="D69" s="178"/>
      <c r="E69" s="178"/>
      <c r="F69" s="178"/>
      <c r="G69" s="178"/>
      <c r="H69" s="179">
        <f t="shared" si="2"/>
        <v>0</v>
      </c>
      <c r="I69" s="159"/>
      <c r="J69" s="155" t="e">
        <f>+VLOOKUP(I69,'EF-S3'!$K$10:$L$17,2,)</f>
        <v>#N/A</v>
      </c>
      <c r="K69" s="155" t="e">
        <f>+VLOOKUP(I69,'EF-S3'!$K$10:$M$17,3,)</f>
        <v>#N/A</v>
      </c>
      <c r="L69" s="156">
        <f t="shared" si="1"/>
        <v>0</v>
      </c>
    </row>
    <row r="70" spans="2:12" x14ac:dyDescent="0.7">
      <c r="B70" s="158"/>
      <c r="C70" s="137"/>
      <c r="D70" s="178"/>
      <c r="E70" s="178"/>
      <c r="F70" s="178"/>
      <c r="G70" s="178"/>
      <c r="H70" s="179">
        <f t="shared" si="2"/>
        <v>0</v>
      </c>
      <c r="I70" s="159"/>
      <c r="J70" s="155" t="e">
        <f>+VLOOKUP(I70,'EF-S3'!$K$10:$L$17,2,)</f>
        <v>#N/A</v>
      </c>
      <c r="K70" s="155" t="e">
        <f>+VLOOKUP(I70,'EF-S3'!$K$10:$M$17,3,)</f>
        <v>#N/A</v>
      </c>
      <c r="L70" s="156">
        <f t="shared" si="1"/>
        <v>0</v>
      </c>
    </row>
    <row r="71" spans="2:12" x14ac:dyDescent="0.7">
      <c r="B71" s="158"/>
      <c r="C71" s="137"/>
      <c r="D71" s="178"/>
      <c r="E71" s="178"/>
      <c r="F71" s="178"/>
      <c r="G71" s="178"/>
      <c r="H71" s="179">
        <f t="shared" si="2"/>
        <v>0</v>
      </c>
      <c r="I71" s="159"/>
      <c r="J71" s="155" t="e">
        <f>+VLOOKUP(I71,'EF-S3'!$K$10:$L$17,2,)</f>
        <v>#N/A</v>
      </c>
      <c r="K71" s="155" t="e">
        <f>+VLOOKUP(I71,'EF-S3'!$K$10:$M$17,3,)</f>
        <v>#N/A</v>
      </c>
      <c r="L71" s="156">
        <f t="shared" si="1"/>
        <v>0</v>
      </c>
    </row>
    <row r="72" spans="2:12" x14ac:dyDescent="0.7">
      <c r="B72" s="158"/>
      <c r="C72" s="137"/>
      <c r="D72" s="178"/>
      <c r="E72" s="178"/>
      <c r="F72" s="178"/>
      <c r="G72" s="178"/>
      <c r="H72" s="179">
        <f t="shared" si="2"/>
        <v>0</v>
      </c>
      <c r="I72" s="159"/>
      <c r="J72" s="155" t="e">
        <f>+VLOOKUP(I72,'EF-S3'!$K$10:$L$17,2,)</f>
        <v>#N/A</v>
      </c>
      <c r="K72" s="155" t="e">
        <f>+VLOOKUP(I72,'EF-S3'!$K$10:$M$17,3,)</f>
        <v>#N/A</v>
      </c>
      <c r="L72" s="156">
        <f t="shared" si="1"/>
        <v>0</v>
      </c>
    </row>
    <row r="73" spans="2:12" x14ac:dyDescent="0.7">
      <c r="B73" s="158"/>
      <c r="C73" s="137"/>
      <c r="D73" s="178"/>
      <c r="E73" s="178"/>
      <c r="F73" s="178"/>
      <c r="G73" s="178"/>
      <c r="H73" s="179">
        <f t="shared" si="2"/>
        <v>0</v>
      </c>
      <c r="I73" s="159"/>
      <c r="J73" s="155" t="e">
        <f>+VLOOKUP(I73,'EF-S3'!$K$10:$L$17,2,)</f>
        <v>#N/A</v>
      </c>
      <c r="K73" s="155" t="e">
        <f>+VLOOKUP(I73,'EF-S3'!$K$10:$M$17,3,)</f>
        <v>#N/A</v>
      </c>
      <c r="L73" s="156">
        <f t="shared" si="1"/>
        <v>0</v>
      </c>
    </row>
    <row r="74" spans="2:12" x14ac:dyDescent="0.7">
      <c r="B74" s="158"/>
      <c r="C74" s="137"/>
      <c r="D74" s="178"/>
      <c r="E74" s="178"/>
      <c r="F74" s="178"/>
      <c r="G74" s="178"/>
      <c r="H74" s="179">
        <f t="shared" si="2"/>
        <v>0</v>
      </c>
      <c r="I74" s="159"/>
      <c r="J74" s="155" t="e">
        <f>+VLOOKUP(I74,'EF-S3'!$K$10:$L$17,2,)</f>
        <v>#N/A</v>
      </c>
      <c r="K74" s="155" t="e">
        <f>+VLOOKUP(I74,'EF-S3'!$K$10:$M$17,3,)</f>
        <v>#N/A</v>
      </c>
      <c r="L74" s="156">
        <f t="shared" si="1"/>
        <v>0</v>
      </c>
    </row>
    <row r="75" spans="2:12" x14ac:dyDescent="0.7">
      <c r="B75" s="158"/>
      <c r="C75" s="137"/>
      <c r="D75" s="178"/>
      <c r="E75" s="178"/>
      <c r="F75" s="178"/>
      <c r="G75" s="178"/>
      <c r="H75" s="179">
        <f t="shared" si="2"/>
        <v>0</v>
      </c>
      <c r="I75" s="159"/>
      <c r="J75" s="155" t="e">
        <f>+VLOOKUP(I75,'EF-S3'!$K$10:$L$17,2,)</f>
        <v>#N/A</v>
      </c>
      <c r="K75" s="155" t="e">
        <f>+VLOOKUP(I75,'EF-S3'!$K$10:$M$17,3,)</f>
        <v>#N/A</v>
      </c>
      <c r="L75" s="156">
        <f t="shared" si="1"/>
        <v>0</v>
      </c>
    </row>
    <row r="76" spans="2:12" x14ac:dyDescent="0.7">
      <c r="B76" s="158"/>
      <c r="C76" s="137"/>
      <c r="D76" s="178"/>
      <c r="E76" s="178"/>
      <c r="F76" s="178"/>
      <c r="G76" s="178"/>
      <c r="H76" s="179">
        <f t="shared" si="2"/>
        <v>0</v>
      </c>
      <c r="I76" s="159"/>
      <c r="J76" s="155" t="e">
        <f>+VLOOKUP(I76,'EF-S3'!$K$10:$L$17,2,)</f>
        <v>#N/A</v>
      </c>
      <c r="K76" s="155" t="e">
        <f>+VLOOKUP(I76,'EF-S3'!$K$10:$M$17,3,)</f>
        <v>#N/A</v>
      </c>
      <c r="L76" s="156">
        <f t="shared" ref="L76:L104" si="3">+IFERROR(IF(C76="kg",B76*H76*J76,B76*H76*J76/1000),0)</f>
        <v>0</v>
      </c>
    </row>
    <row r="77" spans="2:12" x14ac:dyDescent="0.7">
      <c r="B77" s="158"/>
      <c r="C77" s="137"/>
      <c r="D77" s="178"/>
      <c r="E77" s="178"/>
      <c r="F77" s="178"/>
      <c r="G77" s="178"/>
      <c r="H77" s="179">
        <f t="shared" si="2"/>
        <v>0</v>
      </c>
      <c r="I77" s="159"/>
      <c r="J77" s="155" t="e">
        <f>+VLOOKUP(I77,'EF-S3'!$K$10:$L$17,2,)</f>
        <v>#N/A</v>
      </c>
      <c r="K77" s="155" t="e">
        <f>+VLOOKUP(I77,'EF-S3'!$K$10:$M$17,3,)</f>
        <v>#N/A</v>
      </c>
      <c r="L77" s="156">
        <f t="shared" si="3"/>
        <v>0</v>
      </c>
    </row>
    <row r="78" spans="2:12" x14ac:dyDescent="0.7">
      <c r="B78" s="158"/>
      <c r="C78" s="137"/>
      <c r="D78" s="178"/>
      <c r="E78" s="178"/>
      <c r="F78" s="178"/>
      <c r="G78" s="178"/>
      <c r="H78" s="179">
        <f t="shared" si="2"/>
        <v>0</v>
      </c>
      <c r="I78" s="159"/>
      <c r="J78" s="155" t="e">
        <f>+VLOOKUP(I78,'EF-S3'!$K$10:$L$17,2,)</f>
        <v>#N/A</v>
      </c>
      <c r="K78" s="155" t="e">
        <f>+VLOOKUP(I78,'EF-S3'!$K$10:$M$17,3,)</f>
        <v>#N/A</v>
      </c>
      <c r="L78" s="156">
        <f t="shared" si="3"/>
        <v>0</v>
      </c>
    </row>
    <row r="79" spans="2:12" x14ac:dyDescent="0.7">
      <c r="B79" s="158"/>
      <c r="C79" s="137"/>
      <c r="D79" s="178"/>
      <c r="E79" s="178"/>
      <c r="F79" s="178"/>
      <c r="G79" s="178"/>
      <c r="H79" s="179">
        <f t="shared" si="2"/>
        <v>0</v>
      </c>
      <c r="I79" s="159"/>
      <c r="J79" s="155" t="e">
        <f>+VLOOKUP(I79,'EF-S3'!$K$10:$L$17,2,)</f>
        <v>#N/A</v>
      </c>
      <c r="K79" s="155" t="e">
        <f>+VLOOKUP(I79,'EF-S3'!$K$10:$M$17,3,)</f>
        <v>#N/A</v>
      </c>
      <c r="L79" s="156">
        <f t="shared" si="3"/>
        <v>0</v>
      </c>
    </row>
    <row r="80" spans="2:12" x14ac:dyDescent="0.7">
      <c r="B80" s="158"/>
      <c r="C80" s="137"/>
      <c r="D80" s="178"/>
      <c r="E80" s="178"/>
      <c r="F80" s="178"/>
      <c r="G80" s="178"/>
      <c r="H80" s="179">
        <f t="shared" si="2"/>
        <v>0</v>
      </c>
      <c r="I80" s="159"/>
      <c r="J80" s="155" t="e">
        <f>+VLOOKUP(I80,'EF-S3'!$K$10:$L$17,2,)</f>
        <v>#N/A</v>
      </c>
      <c r="K80" s="155" t="e">
        <f>+VLOOKUP(I80,'EF-S3'!$K$10:$M$17,3,)</f>
        <v>#N/A</v>
      </c>
      <c r="L80" s="156">
        <f t="shared" si="3"/>
        <v>0</v>
      </c>
    </row>
    <row r="81" spans="2:12" x14ac:dyDescent="0.7">
      <c r="B81" s="158"/>
      <c r="C81" s="137"/>
      <c r="D81" s="178"/>
      <c r="E81" s="178"/>
      <c r="F81" s="178"/>
      <c r="G81" s="178"/>
      <c r="H81" s="179">
        <f t="shared" si="2"/>
        <v>0</v>
      </c>
      <c r="I81" s="159"/>
      <c r="J81" s="155" t="e">
        <f>+VLOOKUP(I81,'EF-S3'!$K$10:$L$17,2,)</f>
        <v>#N/A</v>
      </c>
      <c r="K81" s="155" t="e">
        <f>+VLOOKUP(I81,'EF-S3'!$K$10:$M$17,3,)</f>
        <v>#N/A</v>
      </c>
      <c r="L81" s="156">
        <f t="shared" si="3"/>
        <v>0</v>
      </c>
    </row>
    <row r="82" spans="2:12" x14ac:dyDescent="0.7">
      <c r="B82" s="158"/>
      <c r="C82" s="137"/>
      <c r="D82" s="178"/>
      <c r="E82" s="178"/>
      <c r="F82" s="178"/>
      <c r="G82" s="178"/>
      <c r="H82" s="179">
        <f t="shared" si="2"/>
        <v>0</v>
      </c>
      <c r="I82" s="159"/>
      <c r="J82" s="155" t="e">
        <f>+VLOOKUP(I82,'EF-S3'!$K$10:$L$17,2,)</f>
        <v>#N/A</v>
      </c>
      <c r="K82" s="155" t="e">
        <f>+VLOOKUP(I82,'EF-S3'!$K$10:$M$17,3,)</f>
        <v>#N/A</v>
      </c>
      <c r="L82" s="156">
        <f t="shared" si="3"/>
        <v>0</v>
      </c>
    </row>
    <row r="83" spans="2:12" x14ac:dyDescent="0.7">
      <c r="B83" s="158"/>
      <c r="C83" s="137"/>
      <c r="D83" s="178"/>
      <c r="E83" s="178"/>
      <c r="F83" s="178"/>
      <c r="G83" s="178"/>
      <c r="H83" s="179">
        <f t="shared" ref="H83:H104" si="4">1.25*(6371*ACOS(COS(RADIANS(90-D83))*COS(RADIANS(90-F83))+SIN(RADIANS(90-D83))*SIN(RADIANS(90-F83))*COS(RADIANS(E83-G83))))</f>
        <v>0</v>
      </c>
      <c r="I83" s="159"/>
      <c r="J83" s="155" t="e">
        <f>+VLOOKUP(I83,'EF-S3'!$K$10:$L$17,2,)</f>
        <v>#N/A</v>
      </c>
      <c r="K83" s="155" t="e">
        <f>+VLOOKUP(I83,'EF-S3'!$K$10:$M$17,3,)</f>
        <v>#N/A</v>
      </c>
      <c r="L83" s="156">
        <f t="shared" si="3"/>
        <v>0</v>
      </c>
    </row>
    <row r="84" spans="2:12" x14ac:dyDescent="0.7">
      <c r="B84" s="158"/>
      <c r="C84" s="137"/>
      <c r="D84" s="178"/>
      <c r="E84" s="178"/>
      <c r="F84" s="178"/>
      <c r="G84" s="178"/>
      <c r="H84" s="179">
        <f t="shared" si="4"/>
        <v>0</v>
      </c>
      <c r="I84" s="159"/>
      <c r="J84" s="155" t="e">
        <f>+VLOOKUP(I84,'EF-S3'!$K$10:$L$17,2,)</f>
        <v>#N/A</v>
      </c>
      <c r="K84" s="155" t="e">
        <f>+VLOOKUP(I84,'EF-S3'!$K$10:$M$17,3,)</f>
        <v>#N/A</v>
      </c>
      <c r="L84" s="156">
        <f t="shared" si="3"/>
        <v>0</v>
      </c>
    </row>
    <row r="85" spans="2:12" x14ac:dyDescent="0.7">
      <c r="B85" s="158"/>
      <c r="C85" s="137"/>
      <c r="D85" s="178"/>
      <c r="E85" s="178"/>
      <c r="F85" s="178"/>
      <c r="G85" s="178"/>
      <c r="H85" s="179">
        <f t="shared" si="4"/>
        <v>0</v>
      </c>
      <c r="I85" s="159"/>
      <c r="J85" s="155" t="e">
        <f>+VLOOKUP(I85,'EF-S3'!$K$10:$L$17,2,)</f>
        <v>#N/A</v>
      </c>
      <c r="K85" s="155" t="e">
        <f>+VLOOKUP(I85,'EF-S3'!$K$10:$M$17,3,)</f>
        <v>#N/A</v>
      </c>
      <c r="L85" s="156">
        <f t="shared" si="3"/>
        <v>0</v>
      </c>
    </row>
    <row r="86" spans="2:12" x14ac:dyDescent="0.7">
      <c r="B86" s="158"/>
      <c r="C86" s="137"/>
      <c r="D86" s="178"/>
      <c r="E86" s="178"/>
      <c r="F86" s="178"/>
      <c r="G86" s="178"/>
      <c r="H86" s="179">
        <f t="shared" si="4"/>
        <v>0</v>
      </c>
      <c r="I86" s="159"/>
      <c r="J86" s="155" t="e">
        <f>+VLOOKUP(I86,'EF-S3'!$K$10:$L$17,2,)</f>
        <v>#N/A</v>
      </c>
      <c r="K86" s="155" t="e">
        <f>+VLOOKUP(I86,'EF-S3'!$K$10:$M$17,3,)</f>
        <v>#N/A</v>
      </c>
      <c r="L86" s="156">
        <f t="shared" si="3"/>
        <v>0</v>
      </c>
    </row>
    <row r="87" spans="2:12" x14ac:dyDescent="0.7">
      <c r="B87" s="158"/>
      <c r="C87" s="137"/>
      <c r="D87" s="178"/>
      <c r="E87" s="178"/>
      <c r="F87" s="178"/>
      <c r="G87" s="178"/>
      <c r="H87" s="179">
        <f t="shared" si="4"/>
        <v>0</v>
      </c>
      <c r="I87" s="159"/>
      <c r="J87" s="155" t="e">
        <f>+VLOOKUP(I87,'EF-S3'!$K$10:$L$17,2,)</f>
        <v>#N/A</v>
      </c>
      <c r="K87" s="155" t="e">
        <f>+VLOOKUP(I87,'EF-S3'!$K$10:$M$17,3,)</f>
        <v>#N/A</v>
      </c>
      <c r="L87" s="156">
        <f t="shared" si="3"/>
        <v>0</v>
      </c>
    </row>
    <row r="88" spans="2:12" x14ac:dyDescent="0.7">
      <c r="B88" s="158"/>
      <c r="C88" s="137"/>
      <c r="D88" s="178"/>
      <c r="E88" s="178"/>
      <c r="F88" s="178"/>
      <c r="G88" s="178"/>
      <c r="H88" s="179">
        <f t="shared" si="4"/>
        <v>0</v>
      </c>
      <c r="I88" s="159"/>
      <c r="J88" s="155" t="e">
        <f>+VLOOKUP(I88,'EF-S3'!$K$10:$L$17,2,)</f>
        <v>#N/A</v>
      </c>
      <c r="K88" s="155" t="e">
        <f>+VLOOKUP(I88,'EF-S3'!$K$10:$M$17,3,)</f>
        <v>#N/A</v>
      </c>
      <c r="L88" s="156">
        <f t="shared" si="3"/>
        <v>0</v>
      </c>
    </row>
    <row r="89" spans="2:12" x14ac:dyDescent="0.7">
      <c r="B89" s="158"/>
      <c r="C89" s="137"/>
      <c r="D89" s="178"/>
      <c r="E89" s="178"/>
      <c r="F89" s="178"/>
      <c r="G89" s="178"/>
      <c r="H89" s="179">
        <f t="shared" si="4"/>
        <v>0</v>
      </c>
      <c r="I89" s="159"/>
      <c r="J89" s="155" t="e">
        <f>+VLOOKUP(I89,'EF-S3'!$K$10:$L$17,2,)</f>
        <v>#N/A</v>
      </c>
      <c r="K89" s="155" t="e">
        <f>+VLOOKUP(I89,'EF-S3'!$K$10:$M$17,3,)</f>
        <v>#N/A</v>
      </c>
      <c r="L89" s="156">
        <f t="shared" si="3"/>
        <v>0</v>
      </c>
    </row>
    <row r="90" spans="2:12" x14ac:dyDescent="0.7">
      <c r="B90" s="158"/>
      <c r="C90" s="137"/>
      <c r="D90" s="178"/>
      <c r="E90" s="178"/>
      <c r="F90" s="178"/>
      <c r="G90" s="178"/>
      <c r="H90" s="179">
        <f t="shared" si="4"/>
        <v>0</v>
      </c>
      <c r="I90" s="159"/>
      <c r="J90" s="155" t="e">
        <f>+VLOOKUP(I90,'EF-S3'!$K$10:$L$17,2,)</f>
        <v>#N/A</v>
      </c>
      <c r="K90" s="155" t="e">
        <f>+VLOOKUP(I90,'EF-S3'!$K$10:$M$17,3,)</f>
        <v>#N/A</v>
      </c>
      <c r="L90" s="156">
        <f t="shared" si="3"/>
        <v>0</v>
      </c>
    </row>
    <row r="91" spans="2:12" x14ac:dyDescent="0.7">
      <c r="B91" s="158"/>
      <c r="C91" s="137"/>
      <c r="D91" s="178"/>
      <c r="E91" s="178"/>
      <c r="F91" s="178"/>
      <c r="G91" s="178"/>
      <c r="H91" s="179">
        <f t="shared" si="4"/>
        <v>0</v>
      </c>
      <c r="I91" s="159"/>
      <c r="J91" s="155" t="e">
        <f>+VLOOKUP(I91,'EF-S3'!$K$10:$L$17,2,)</f>
        <v>#N/A</v>
      </c>
      <c r="K91" s="155" t="e">
        <f>+VLOOKUP(I91,'EF-S3'!$K$10:$M$17,3,)</f>
        <v>#N/A</v>
      </c>
      <c r="L91" s="156">
        <f t="shared" si="3"/>
        <v>0</v>
      </c>
    </row>
    <row r="92" spans="2:12" x14ac:dyDescent="0.7">
      <c r="B92" s="158"/>
      <c r="C92" s="137"/>
      <c r="D92" s="178"/>
      <c r="E92" s="178"/>
      <c r="F92" s="178"/>
      <c r="G92" s="178"/>
      <c r="H92" s="179">
        <f t="shared" si="4"/>
        <v>0</v>
      </c>
      <c r="I92" s="159"/>
      <c r="J92" s="155" t="e">
        <f>+VLOOKUP(I92,'EF-S3'!$K$10:$L$17,2,)</f>
        <v>#N/A</v>
      </c>
      <c r="K92" s="155" t="e">
        <f>+VLOOKUP(I92,'EF-S3'!$K$10:$M$17,3,)</f>
        <v>#N/A</v>
      </c>
      <c r="L92" s="156">
        <f t="shared" si="3"/>
        <v>0</v>
      </c>
    </row>
    <row r="93" spans="2:12" x14ac:dyDescent="0.7">
      <c r="B93" s="158"/>
      <c r="C93" s="137"/>
      <c r="D93" s="178"/>
      <c r="E93" s="178"/>
      <c r="F93" s="178"/>
      <c r="G93" s="178"/>
      <c r="H93" s="179">
        <f t="shared" si="4"/>
        <v>0</v>
      </c>
      <c r="I93" s="159"/>
      <c r="J93" s="155" t="e">
        <f>+VLOOKUP(I93,'EF-S3'!$K$10:$L$17,2,)</f>
        <v>#N/A</v>
      </c>
      <c r="K93" s="155" t="e">
        <f>+VLOOKUP(I93,'EF-S3'!$K$10:$M$17,3,)</f>
        <v>#N/A</v>
      </c>
      <c r="L93" s="156">
        <f t="shared" si="3"/>
        <v>0</v>
      </c>
    </row>
    <row r="94" spans="2:12" x14ac:dyDescent="0.7">
      <c r="B94" s="158"/>
      <c r="C94" s="137"/>
      <c r="D94" s="178"/>
      <c r="E94" s="178"/>
      <c r="F94" s="178"/>
      <c r="G94" s="178"/>
      <c r="H94" s="179">
        <f t="shared" si="4"/>
        <v>0</v>
      </c>
      <c r="I94" s="159"/>
      <c r="J94" s="155" t="e">
        <f>+VLOOKUP(I94,'EF-S3'!$K$10:$L$17,2,)</f>
        <v>#N/A</v>
      </c>
      <c r="K94" s="155" t="e">
        <f>+VLOOKUP(I94,'EF-S3'!$K$10:$M$17,3,)</f>
        <v>#N/A</v>
      </c>
      <c r="L94" s="156">
        <f t="shared" si="3"/>
        <v>0</v>
      </c>
    </row>
    <row r="95" spans="2:12" x14ac:dyDescent="0.7">
      <c r="B95" s="158"/>
      <c r="C95" s="137"/>
      <c r="D95" s="178"/>
      <c r="E95" s="178"/>
      <c r="F95" s="178"/>
      <c r="G95" s="178"/>
      <c r="H95" s="179">
        <f t="shared" si="4"/>
        <v>0</v>
      </c>
      <c r="I95" s="159"/>
      <c r="J95" s="155" t="e">
        <f>+VLOOKUP(I95,'EF-S3'!$K$10:$L$17,2,)</f>
        <v>#N/A</v>
      </c>
      <c r="K95" s="155" t="e">
        <f>+VLOOKUP(I95,'EF-S3'!$K$10:$M$17,3,)</f>
        <v>#N/A</v>
      </c>
      <c r="L95" s="156">
        <f t="shared" si="3"/>
        <v>0</v>
      </c>
    </row>
    <row r="96" spans="2:12" x14ac:dyDescent="0.7">
      <c r="B96" s="158"/>
      <c r="C96" s="137"/>
      <c r="D96" s="178"/>
      <c r="E96" s="178"/>
      <c r="F96" s="178"/>
      <c r="G96" s="178"/>
      <c r="H96" s="179">
        <f t="shared" si="4"/>
        <v>0</v>
      </c>
      <c r="I96" s="159"/>
      <c r="J96" s="155" t="e">
        <f>+VLOOKUP(I96,'EF-S3'!$K$10:$L$17,2,)</f>
        <v>#N/A</v>
      </c>
      <c r="K96" s="155" t="e">
        <f>+VLOOKUP(I96,'EF-S3'!$K$10:$M$17,3,)</f>
        <v>#N/A</v>
      </c>
      <c r="L96" s="156">
        <f t="shared" si="3"/>
        <v>0</v>
      </c>
    </row>
    <row r="97" spans="2:12" x14ac:dyDescent="0.7">
      <c r="B97" s="158"/>
      <c r="C97" s="137"/>
      <c r="D97" s="178"/>
      <c r="E97" s="178"/>
      <c r="F97" s="178"/>
      <c r="G97" s="178"/>
      <c r="H97" s="179">
        <f t="shared" si="4"/>
        <v>0</v>
      </c>
      <c r="I97" s="159"/>
      <c r="J97" s="155" t="e">
        <f>+VLOOKUP(I97,'EF-S3'!$K$10:$L$17,2,)</f>
        <v>#N/A</v>
      </c>
      <c r="K97" s="155" t="e">
        <f>+VLOOKUP(I97,'EF-S3'!$K$10:$M$17,3,)</f>
        <v>#N/A</v>
      </c>
      <c r="L97" s="156">
        <f t="shared" si="3"/>
        <v>0</v>
      </c>
    </row>
    <row r="98" spans="2:12" x14ac:dyDescent="0.7">
      <c r="B98" s="158"/>
      <c r="C98" s="137"/>
      <c r="D98" s="178"/>
      <c r="E98" s="178"/>
      <c r="F98" s="178"/>
      <c r="G98" s="178"/>
      <c r="H98" s="179">
        <f t="shared" si="4"/>
        <v>0</v>
      </c>
      <c r="I98" s="159"/>
      <c r="J98" s="155" t="e">
        <f>+VLOOKUP(I98,'EF-S3'!$K$10:$L$17,2,)</f>
        <v>#N/A</v>
      </c>
      <c r="K98" s="155" t="e">
        <f>+VLOOKUP(I98,'EF-S3'!$K$10:$M$17,3,)</f>
        <v>#N/A</v>
      </c>
      <c r="L98" s="156">
        <f t="shared" si="3"/>
        <v>0</v>
      </c>
    </row>
    <row r="99" spans="2:12" x14ac:dyDescent="0.7">
      <c r="B99" s="158"/>
      <c r="C99" s="137"/>
      <c r="D99" s="178"/>
      <c r="E99" s="178"/>
      <c r="F99" s="178"/>
      <c r="G99" s="178"/>
      <c r="H99" s="179">
        <f t="shared" si="4"/>
        <v>0</v>
      </c>
      <c r="I99" s="159"/>
      <c r="J99" s="155" t="e">
        <f>+VLOOKUP(I99,'EF-S3'!$K$10:$L$17,2,)</f>
        <v>#N/A</v>
      </c>
      <c r="K99" s="155" t="e">
        <f>+VLOOKUP(I99,'EF-S3'!$K$10:$M$17,3,)</f>
        <v>#N/A</v>
      </c>
      <c r="L99" s="156">
        <f t="shared" si="3"/>
        <v>0</v>
      </c>
    </row>
    <row r="100" spans="2:12" x14ac:dyDescent="0.7">
      <c r="B100" s="158"/>
      <c r="C100" s="137"/>
      <c r="D100" s="178"/>
      <c r="E100" s="178"/>
      <c r="F100" s="178"/>
      <c r="G100" s="178"/>
      <c r="H100" s="179">
        <f t="shared" si="4"/>
        <v>0</v>
      </c>
      <c r="I100" s="159"/>
      <c r="J100" s="155" t="e">
        <f>+VLOOKUP(I100,'EF-S3'!$K$10:$L$17,2,)</f>
        <v>#N/A</v>
      </c>
      <c r="K100" s="155" t="e">
        <f>+VLOOKUP(I100,'EF-S3'!$K$10:$M$17,3,)</f>
        <v>#N/A</v>
      </c>
      <c r="L100" s="156">
        <f t="shared" si="3"/>
        <v>0</v>
      </c>
    </row>
    <row r="101" spans="2:12" x14ac:dyDescent="0.7">
      <c r="B101" s="158"/>
      <c r="C101" s="137"/>
      <c r="D101" s="178"/>
      <c r="E101" s="178"/>
      <c r="F101" s="178"/>
      <c r="G101" s="178"/>
      <c r="H101" s="179">
        <f t="shared" si="4"/>
        <v>0</v>
      </c>
      <c r="I101" s="159"/>
      <c r="J101" s="155" t="e">
        <f>+VLOOKUP(I101,'EF-S3'!$K$10:$L$17,2,)</f>
        <v>#N/A</v>
      </c>
      <c r="K101" s="155" t="e">
        <f>+VLOOKUP(I101,'EF-S3'!$K$10:$M$17,3,)</f>
        <v>#N/A</v>
      </c>
      <c r="L101" s="156">
        <f t="shared" si="3"/>
        <v>0</v>
      </c>
    </row>
    <row r="102" spans="2:12" x14ac:dyDescent="0.7">
      <c r="B102" s="158"/>
      <c r="C102" s="137"/>
      <c r="D102" s="178"/>
      <c r="E102" s="178"/>
      <c r="F102" s="178"/>
      <c r="G102" s="178"/>
      <c r="H102" s="179">
        <f t="shared" si="4"/>
        <v>0</v>
      </c>
      <c r="I102" s="159"/>
      <c r="J102" s="155" t="e">
        <f>+VLOOKUP(I102,'EF-S3'!$K$10:$L$17,2,)</f>
        <v>#N/A</v>
      </c>
      <c r="K102" s="155" t="e">
        <f>+VLOOKUP(I102,'EF-S3'!$K$10:$M$17,3,)</f>
        <v>#N/A</v>
      </c>
      <c r="L102" s="156">
        <f t="shared" si="3"/>
        <v>0</v>
      </c>
    </row>
    <row r="103" spans="2:12" x14ac:dyDescent="0.7">
      <c r="B103" s="158"/>
      <c r="C103" s="137"/>
      <c r="D103" s="178"/>
      <c r="E103" s="178"/>
      <c r="F103" s="178"/>
      <c r="G103" s="178"/>
      <c r="H103" s="179">
        <f t="shared" si="4"/>
        <v>0</v>
      </c>
      <c r="I103" s="159"/>
      <c r="J103" s="155" t="e">
        <f>+VLOOKUP(I103,'EF-S3'!$K$10:$L$17,2,)</f>
        <v>#N/A</v>
      </c>
      <c r="K103" s="155" t="e">
        <f>+VLOOKUP(I103,'EF-S3'!$K$10:$M$17,3,)</f>
        <v>#N/A</v>
      </c>
      <c r="L103" s="156">
        <f t="shared" si="3"/>
        <v>0</v>
      </c>
    </row>
    <row r="104" spans="2:12" x14ac:dyDescent="0.7">
      <c r="B104" s="158"/>
      <c r="C104" s="137"/>
      <c r="D104" s="178"/>
      <c r="E104" s="178"/>
      <c r="F104" s="178"/>
      <c r="G104" s="178"/>
      <c r="H104" s="179">
        <f t="shared" si="4"/>
        <v>0</v>
      </c>
      <c r="I104" s="159"/>
      <c r="J104" s="155" t="e">
        <f>+VLOOKUP(I104,'EF-S3'!$K$10:$L$17,2,)</f>
        <v>#N/A</v>
      </c>
      <c r="K104" s="155" t="e">
        <f>+VLOOKUP(I104,'EF-S3'!$K$10:$M$17,3,)</f>
        <v>#N/A</v>
      </c>
      <c r="L104" s="156">
        <f t="shared" si="3"/>
        <v>0</v>
      </c>
    </row>
  </sheetData>
  <sheetProtection algorithmName="SHA-512" hashValue="WKxGJuz8PDZef/QZ6fQPPHjMuLjayO5mrPs87CCHk+vOcK4Uwqr3/h2jUOKAjw80nFD9dWr8OgIzvtcA9vLAPA==" saltValue="OWRv0CyZvzdFrSHP09J8rQ==" spinCount="100000" sheet="1" objects="1" scenarios="1"/>
  <protectedRanges>
    <protectedRange sqref="B11:G104 I11:I104" name="Rango1"/>
  </protectedRanges>
  <mergeCells count="3">
    <mergeCell ref="A6:F6"/>
    <mergeCell ref="B9:I9"/>
    <mergeCell ref="J9:K9"/>
  </mergeCells>
  <dataValidations count="5">
    <dataValidation type="list" allowBlank="1" showInputMessage="1" showErrorMessage="1" sqref="C11:C104" xr:uid="{5FF00C8D-25FB-47E9-A5F7-6E83202F4336}">
      <formula1>unit_raw</formula1>
    </dataValidation>
    <dataValidation type="list" allowBlank="1" showInputMessage="1" showErrorMessage="1" sqref="I11:I104" xr:uid="{E8A2F94B-7A84-4291-A1ED-E2D87BDE0D26}">
      <formula1>transport</formula1>
    </dataValidation>
    <dataValidation type="decimal" allowBlank="1" showInputMessage="1" showErrorMessage="1" error="Please enter a valid geographical coordinate (example: 2,812)." sqref="D11:D104 F11:F104" xr:uid="{A29EA841-CAD8-4DA2-BD63-07F8AF52A7A4}">
      <formula1>-90</formula1>
      <formula2>90</formula2>
    </dataValidation>
    <dataValidation type="decimal" allowBlank="1" showInputMessage="1" showErrorMessage="1" error="Please enter a valid geographical coordinate (example: 2,812)." sqref="E11:E104 G11:G104" xr:uid="{F7371A86-E502-42B8-BDF9-B2BA8FDD1A17}">
      <formula1>-180</formula1>
      <formula2>180</formula2>
    </dataValidation>
    <dataValidation type="decimal" allowBlank="1" showInputMessage="1" showErrorMessage="1" sqref="B11:B104" xr:uid="{48CA4FCE-04E0-4321-94AD-9285BC2A4ACA}">
      <formula1>0</formula1>
      <formula2>99999</formula2>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CFFB9-7F17-4CFF-9362-8869A7B84CC4}">
  <sheetPr>
    <tabColor rgb="FF083C12"/>
  </sheetPr>
  <dimension ref="A1:M103"/>
  <sheetViews>
    <sheetView zoomScale="50" zoomScaleNormal="50" workbookViewId="0">
      <selection activeCell="E10" sqref="E10"/>
    </sheetView>
  </sheetViews>
  <sheetFormatPr baseColWidth="10" defaultColWidth="10.88671875" defaultRowHeight="36.6" x14ac:dyDescent="0.7"/>
  <cols>
    <col min="1" max="1" width="3.109375" style="162" customWidth="1"/>
    <col min="2" max="2" width="80" style="162" customWidth="1"/>
    <col min="3" max="3" width="42.5546875" style="162" customWidth="1"/>
    <col min="4" max="4" width="62.33203125" style="162" customWidth="1"/>
    <col min="5" max="5" width="52" style="162" customWidth="1"/>
    <col min="6" max="6" width="22.5546875" style="162" customWidth="1"/>
    <col min="7" max="7" width="39.109375" style="162" customWidth="1"/>
    <col min="8" max="8" width="43.88671875" style="162" customWidth="1"/>
    <col min="9" max="9" width="49.44140625" style="162" customWidth="1"/>
    <col min="10" max="10" width="10.88671875" style="162"/>
    <col min="11" max="11" width="70.109375" style="162" hidden="1" customWidth="1"/>
    <col min="12" max="12" width="35.109375" style="162" hidden="1" customWidth="1"/>
    <col min="13" max="13" width="49.109375" style="162" hidden="1" customWidth="1"/>
    <col min="14" max="16384" width="10.88671875" style="162"/>
  </cols>
  <sheetData>
    <row r="1" spans="1:13" x14ac:dyDescent="0.7">
      <c r="A1" s="161"/>
      <c r="B1" s="161"/>
      <c r="C1" s="161"/>
      <c r="D1" s="161"/>
      <c r="E1" s="161"/>
      <c r="F1" s="161"/>
      <c r="G1" s="161"/>
    </row>
    <row r="2" spans="1:13" x14ac:dyDescent="0.7">
      <c r="A2" s="161"/>
      <c r="B2" s="161"/>
      <c r="C2" s="161"/>
      <c r="D2" s="161"/>
      <c r="E2" s="161"/>
      <c r="F2" s="161"/>
      <c r="G2" s="161"/>
    </row>
    <row r="3" spans="1:13" x14ac:dyDescent="0.7">
      <c r="A3" s="161"/>
      <c r="B3" s="161"/>
      <c r="C3" s="161"/>
      <c r="D3" s="161"/>
      <c r="E3" s="161"/>
      <c r="F3" s="161"/>
      <c r="G3" s="161"/>
    </row>
    <row r="4" spans="1:13" x14ac:dyDescent="0.7">
      <c r="A4" s="161"/>
      <c r="B4" s="161"/>
      <c r="C4" s="161"/>
      <c r="D4" s="161"/>
      <c r="E4" s="161"/>
      <c r="F4" s="161"/>
      <c r="G4" s="161"/>
    </row>
    <row r="5" spans="1:13" x14ac:dyDescent="0.7">
      <c r="A5" s="286" t="s">
        <v>136</v>
      </c>
      <c r="B5" s="286"/>
      <c r="C5" s="286"/>
      <c r="D5" s="286"/>
      <c r="E5" s="286"/>
      <c r="F5" s="286"/>
      <c r="G5" s="286"/>
      <c r="H5" s="182"/>
    </row>
    <row r="6" spans="1:13" x14ac:dyDescent="0.7">
      <c r="A6" s="149"/>
      <c r="B6" s="149"/>
      <c r="C6" s="149"/>
      <c r="D6" s="149"/>
      <c r="E6" s="149"/>
      <c r="F6" s="149"/>
      <c r="G6" s="149"/>
    </row>
    <row r="8" spans="1:13" ht="30" customHeight="1" x14ac:dyDescent="0.7">
      <c r="B8" s="289" t="s">
        <v>59</v>
      </c>
      <c r="C8" s="290"/>
      <c r="D8" s="290"/>
      <c r="E8" s="290"/>
      <c r="F8" s="291"/>
      <c r="G8" s="287" t="s">
        <v>60</v>
      </c>
      <c r="H8" s="288"/>
      <c r="I8" s="241" t="s">
        <v>61</v>
      </c>
      <c r="K8" s="183" t="s">
        <v>85</v>
      </c>
      <c r="L8" s="183" t="s">
        <v>137</v>
      </c>
      <c r="M8" s="184" t="s">
        <v>138</v>
      </c>
    </row>
    <row r="9" spans="1:13" x14ac:dyDescent="0.7">
      <c r="B9" s="185" t="s">
        <v>85</v>
      </c>
      <c r="C9" s="185" t="s">
        <v>139</v>
      </c>
      <c r="D9" s="185" t="s">
        <v>138</v>
      </c>
      <c r="E9" s="185" t="s">
        <v>140</v>
      </c>
      <c r="F9" s="185" t="s">
        <v>32</v>
      </c>
      <c r="G9" s="242" t="s">
        <v>111</v>
      </c>
      <c r="H9" s="242" t="s">
        <v>32</v>
      </c>
      <c r="I9" s="243" t="s">
        <v>74</v>
      </c>
      <c r="K9" s="186" t="s">
        <v>141</v>
      </c>
      <c r="L9" s="186" t="s">
        <v>142</v>
      </c>
      <c r="M9" s="187" t="s">
        <v>143</v>
      </c>
    </row>
    <row r="10" spans="1:13" x14ac:dyDescent="0.7">
      <c r="B10" s="188" t="s">
        <v>156</v>
      </c>
      <c r="C10" s="188" t="s">
        <v>145</v>
      </c>
      <c r="D10" s="188"/>
      <c r="E10" s="189"/>
      <c r="F10" s="188"/>
      <c r="G10" s="193" t="e" cm="1">
        <f t="array" ref="G10">+_xlfn.IFS(D10=$M$10,VLOOKUP(B10,'EF-S3 Waste'!$C$115:$H$129,6,),D10=$M$9,VLOOKUP(B10,'EF-S3 Waste'!$C$132:$H$146,6,))</f>
        <v>#N/A</v>
      </c>
      <c r="H10" s="190" t="e" cm="1">
        <f t="array" ref="H10">+_xlfn.IFS(D10=$M$10,VLOOKUP(B10,'EF-S3 Waste'!$C$115:$I$129,7,),D10=$M$9,VLOOKUP(B10,'EF-S3 Waste'!$C$132:$I$146,7,))</f>
        <v>#N/A</v>
      </c>
      <c r="I10" s="191">
        <f>+IFERROR(IF(F10="kg",E10*G10/1000000,E10*G10/1000),0)</f>
        <v>0</v>
      </c>
      <c r="K10" s="186" t="s">
        <v>144</v>
      </c>
      <c r="L10" s="192" t="s">
        <v>145</v>
      </c>
      <c r="M10" s="187" t="s">
        <v>146</v>
      </c>
    </row>
    <row r="11" spans="1:13" x14ac:dyDescent="0.7">
      <c r="B11" s="188"/>
      <c r="C11" s="188"/>
      <c r="D11" s="188"/>
      <c r="E11" s="189"/>
      <c r="F11" s="188"/>
      <c r="G11" s="193" t="e" cm="1">
        <f t="array" ref="G11">+_xlfn.IFS(D11=$M$10,VLOOKUP(B11,'EF-S3 Waste'!$C$115:$H$129,6,),D11=$M$9,VLOOKUP(B11,'EF-S3 Waste'!$C$132:$H$146,6,))</f>
        <v>#N/A</v>
      </c>
      <c r="H11" s="190" t="e" cm="1">
        <f t="array" ref="H11">+_xlfn.IFS(D11=$M$10,VLOOKUP(B11,'EF-S3 Waste'!$C$115:$I$129,7,),D11=$M$9,VLOOKUP(B11,'EF-S3 Waste'!$C$132:$I$146,7,))</f>
        <v>#N/A</v>
      </c>
      <c r="I11" s="191">
        <f t="shared" ref="I11:I74" si="0">+IFERROR(IF(F11="kg",E11*G11/1000000,E11*G11/1000),0)</f>
        <v>0</v>
      </c>
      <c r="K11" s="186" t="s">
        <v>147</v>
      </c>
    </row>
    <row r="12" spans="1:13" x14ac:dyDescent="0.7">
      <c r="B12" s="188"/>
      <c r="C12" s="188"/>
      <c r="D12" s="188"/>
      <c r="E12" s="189"/>
      <c r="F12" s="188"/>
      <c r="G12" s="193" t="e" cm="1">
        <f t="array" ref="G12">+_xlfn.IFS(D12=$M$10,VLOOKUP(B12,'EF-S3 Waste'!$C$115:$H$129,6,),D12=$M$9,VLOOKUP(B12,'EF-S3 Waste'!$C$132:$H$146,6,))</f>
        <v>#N/A</v>
      </c>
      <c r="H12" s="190" t="e" cm="1">
        <f t="array" ref="H12">+_xlfn.IFS(D12=$M$10,VLOOKUP(B12,'EF-S3 Waste'!$C$115:$I$129,7,),D12=$M$9,VLOOKUP(B12,'EF-S3 Waste'!$C$132:$I$146,7,))</f>
        <v>#N/A</v>
      </c>
      <c r="I12" s="191">
        <f t="shared" si="0"/>
        <v>0</v>
      </c>
      <c r="K12" s="186" t="s">
        <v>148</v>
      </c>
    </row>
    <row r="13" spans="1:13" x14ac:dyDescent="0.7">
      <c r="B13" s="188"/>
      <c r="C13" s="188"/>
      <c r="D13" s="188"/>
      <c r="E13" s="189"/>
      <c r="F13" s="188"/>
      <c r="G13" s="193" t="e" cm="1">
        <f t="array" ref="G13">+_xlfn.IFS(D13=$M$10,VLOOKUP(B13,'EF-S3 Waste'!$C$115:$H$129,6,),D13=$M$9,VLOOKUP(B13,'EF-S3 Waste'!$C$132:$H$146,6,))</f>
        <v>#N/A</v>
      </c>
      <c r="H13" s="190" t="e" cm="1">
        <f t="array" ref="H13">+_xlfn.IFS(D13=$M$10,VLOOKUP(B13,'EF-S3 Waste'!$C$115:$I$129,7,),D13=$M$9,VLOOKUP(B13,'EF-S3 Waste'!$C$132:$I$146,7,))</f>
        <v>#N/A</v>
      </c>
      <c r="I13" s="191">
        <f t="shared" si="0"/>
        <v>0</v>
      </c>
      <c r="K13" s="186" t="s">
        <v>149</v>
      </c>
    </row>
    <row r="14" spans="1:13" x14ac:dyDescent="0.7">
      <c r="B14" s="188"/>
      <c r="C14" s="188"/>
      <c r="D14" s="188"/>
      <c r="E14" s="189"/>
      <c r="F14" s="188"/>
      <c r="G14" s="193" t="e" cm="1">
        <f t="array" ref="G14">+_xlfn.IFS(D14=$M$10,VLOOKUP(B14,'EF-S3 Waste'!$C$115:$H$129,6,),D14=$M$9,VLOOKUP(B14,'EF-S3 Waste'!$C$132:$H$146,6,))</f>
        <v>#N/A</v>
      </c>
      <c r="H14" s="190" t="e" cm="1">
        <f t="array" ref="H14">+_xlfn.IFS(D14=$M$10,VLOOKUP(B14,'EF-S3 Waste'!$C$115:$I$129,7,),D14=$M$9,VLOOKUP(B14,'EF-S3 Waste'!$C$132:$I$146,7,))</f>
        <v>#N/A</v>
      </c>
      <c r="I14" s="191">
        <f t="shared" si="0"/>
        <v>0</v>
      </c>
      <c r="K14" s="186" t="s">
        <v>150</v>
      </c>
    </row>
    <row r="15" spans="1:13" x14ac:dyDescent="0.7">
      <c r="B15" s="188"/>
      <c r="C15" s="188"/>
      <c r="D15" s="188"/>
      <c r="E15" s="189"/>
      <c r="F15" s="188"/>
      <c r="G15" s="193" t="e" cm="1">
        <f t="array" ref="G15">+_xlfn.IFS(D15=$M$10,VLOOKUP(B15,'EF-S3 Waste'!$C$115:$H$129,6,),D15=$M$9,VLOOKUP(B15,'EF-S3 Waste'!$C$132:$H$146,6,))</f>
        <v>#N/A</v>
      </c>
      <c r="H15" s="190" t="e" cm="1">
        <f t="array" ref="H15">+_xlfn.IFS(D15=$M$10,VLOOKUP(B15,'EF-S3 Waste'!$C$115:$I$129,7,),D15=$M$9,VLOOKUP(B15,'EF-S3 Waste'!$C$132:$I$146,7,))</f>
        <v>#N/A</v>
      </c>
      <c r="I15" s="191">
        <f t="shared" si="0"/>
        <v>0</v>
      </c>
      <c r="K15" s="186" t="s">
        <v>151</v>
      </c>
    </row>
    <row r="16" spans="1:13" x14ac:dyDescent="0.7">
      <c r="B16" s="188"/>
      <c r="C16" s="188"/>
      <c r="D16" s="188"/>
      <c r="E16" s="189"/>
      <c r="F16" s="188"/>
      <c r="G16" s="193" t="e" cm="1">
        <f t="array" ref="G16">+_xlfn.IFS(D16=$M$10,VLOOKUP(B16,'EF-S3 Waste'!$C$115:$H$129,6,),D16=$M$9,VLOOKUP(B16,'EF-S3 Waste'!$C$132:$H$146,6,))</f>
        <v>#N/A</v>
      </c>
      <c r="H16" s="190" t="e" cm="1">
        <f t="array" ref="H16">+_xlfn.IFS(D16=$M$10,VLOOKUP(B16,'EF-S3 Waste'!$C$115:$I$129,7,),D16=$M$9,VLOOKUP(B16,'EF-S3 Waste'!$C$132:$I$146,7,))</f>
        <v>#N/A</v>
      </c>
      <c r="I16" s="191">
        <f t="shared" si="0"/>
        <v>0</v>
      </c>
      <c r="K16" s="186" t="s">
        <v>152</v>
      </c>
    </row>
    <row r="17" spans="2:11" x14ac:dyDescent="0.7">
      <c r="B17" s="188"/>
      <c r="C17" s="188"/>
      <c r="D17" s="188"/>
      <c r="E17" s="189"/>
      <c r="F17" s="188"/>
      <c r="G17" s="193" t="e" cm="1">
        <f t="array" ref="G17">+_xlfn.IFS(D17=$M$10,VLOOKUP(B17,'EF-S3 Waste'!$C$115:$H$129,6,),D17=$M$9,VLOOKUP(B17,'EF-S3 Waste'!$C$132:$H$146,6,))</f>
        <v>#N/A</v>
      </c>
      <c r="H17" s="190" t="e" cm="1">
        <f t="array" ref="H17">+_xlfn.IFS(D17=$M$10,VLOOKUP(B17,'EF-S3 Waste'!$C$115:$I$129,7,),D17=$M$9,VLOOKUP(B17,'EF-S3 Waste'!$C$132:$I$146,7,))</f>
        <v>#N/A</v>
      </c>
      <c r="I17" s="191">
        <f t="shared" si="0"/>
        <v>0</v>
      </c>
      <c r="K17" s="186" t="s">
        <v>153</v>
      </c>
    </row>
    <row r="18" spans="2:11" x14ac:dyDescent="0.7">
      <c r="B18" s="188"/>
      <c r="C18" s="188"/>
      <c r="D18" s="188"/>
      <c r="E18" s="189"/>
      <c r="F18" s="188"/>
      <c r="G18" s="193" t="e" cm="1">
        <f t="array" ref="G18">+_xlfn.IFS(D18=$M$10,VLOOKUP(B18,'EF-S3 Waste'!$C$115:$H$129,6,),D18=$M$9,VLOOKUP(B18,'EF-S3 Waste'!$C$132:$H$146,6,))</f>
        <v>#N/A</v>
      </c>
      <c r="H18" s="190" t="e" cm="1">
        <f t="array" ref="H18">+_xlfn.IFS(D18=$M$10,VLOOKUP(B18,'EF-S3 Waste'!$C$115:$I$129,7,),D18=$M$9,VLOOKUP(B18,'EF-S3 Waste'!$C$132:$I$146,7,))</f>
        <v>#N/A</v>
      </c>
      <c r="I18" s="191">
        <f t="shared" si="0"/>
        <v>0</v>
      </c>
      <c r="K18" s="186" t="s">
        <v>154</v>
      </c>
    </row>
    <row r="19" spans="2:11" x14ac:dyDescent="0.7">
      <c r="B19" s="188"/>
      <c r="C19" s="188"/>
      <c r="D19" s="188"/>
      <c r="E19" s="189"/>
      <c r="F19" s="188"/>
      <c r="G19" s="193" t="e" cm="1">
        <f t="array" ref="G19">+_xlfn.IFS(D19=$M$10,VLOOKUP(B19,'EF-S3 Waste'!$C$115:$H$129,6,),D19=$M$9,VLOOKUP(B19,'EF-S3 Waste'!$C$132:$H$146,6,))</f>
        <v>#N/A</v>
      </c>
      <c r="H19" s="190" t="e" cm="1">
        <f t="array" ref="H19">+_xlfn.IFS(D19=$M$10,VLOOKUP(B19,'EF-S3 Waste'!$C$115:$I$129,7,),D19=$M$9,VLOOKUP(B19,'EF-S3 Waste'!$C$132:$I$146,7,))</f>
        <v>#N/A</v>
      </c>
      <c r="I19" s="191">
        <f t="shared" si="0"/>
        <v>0</v>
      </c>
      <c r="K19" s="186" t="s">
        <v>155</v>
      </c>
    </row>
    <row r="20" spans="2:11" x14ac:dyDescent="0.7">
      <c r="B20" s="188"/>
      <c r="C20" s="188"/>
      <c r="D20" s="188"/>
      <c r="E20" s="189"/>
      <c r="F20" s="188"/>
      <c r="G20" s="193" t="e" cm="1">
        <f t="array" ref="G20">+_xlfn.IFS(D20=$M$10,VLOOKUP(B20,'EF-S3 Waste'!$C$115:$H$129,6,),D20=$M$9,VLOOKUP(B20,'EF-S3 Waste'!$C$132:$H$146,6,))</f>
        <v>#N/A</v>
      </c>
      <c r="H20" s="190" t="e" cm="1">
        <f t="array" ref="H20">+_xlfn.IFS(D20=$M$10,VLOOKUP(B20,'EF-S3 Waste'!$C$115:$I$129,7,),D20=$M$9,VLOOKUP(B20,'EF-S3 Waste'!$C$132:$I$146,7,))</f>
        <v>#N/A</v>
      </c>
      <c r="I20" s="191">
        <f t="shared" si="0"/>
        <v>0</v>
      </c>
      <c r="K20" s="186" t="s">
        <v>156</v>
      </c>
    </row>
    <row r="21" spans="2:11" x14ac:dyDescent="0.7">
      <c r="B21" s="188"/>
      <c r="C21" s="188"/>
      <c r="D21" s="188"/>
      <c r="E21" s="189"/>
      <c r="F21" s="188"/>
      <c r="G21" s="193" t="e" cm="1">
        <f t="array" ref="G21">+_xlfn.IFS(D21=$M$10,VLOOKUP(B21,'EF-S3 Waste'!$C$115:$H$129,6,),D21=$M$9,VLOOKUP(B21,'EF-S3 Waste'!$C$132:$H$146,6,))</f>
        <v>#N/A</v>
      </c>
      <c r="H21" s="190" t="e" cm="1">
        <f t="array" ref="H21">+_xlfn.IFS(D21=$M$10,VLOOKUP(B21,'EF-S3 Waste'!$C$115:$I$129,7,),D21=$M$9,VLOOKUP(B21,'EF-S3 Waste'!$C$132:$I$146,7,))</f>
        <v>#N/A</v>
      </c>
      <c r="I21" s="191">
        <f t="shared" si="0"/>
        <v>0</v>
      </c>
      <c r="K21" s="186" t="s">
        <v>157</v>
      </c>
    </row>
    <row r="22" spans="2:11" x14ac:dyDescent="0.7">
      <c r="B22" s="188"/>
      <c r="C22" s="188"/>
      <c r="D22" s="188"/>
      <c r="E22" s="189"/>
      <c r="F22" s="188"/>
      <c r="G22" s="193" t="e" cm="1">
        <f t="array" ref="G22">+_xlfn.IFS(D22=$M$10,VLOOKUP(B22,'EF-S3 Waste'!$C$115:$H$129,6,),D22=$M$9,VLOOKUP(B22,'EF-S3 Waste'!$C$132:$H$146,6,))</f>
        <v>#N/A</v>
      </c>
      <c r="H22" s="190" t="e" cm="1">
        <f t="array" ref="H22">+_xlfn.IFS(D22=$M$10,VLOOKUP(B22,'EF-S3 Waste'!$C$115:$I$129,7,),D22=$M$9,VLOOKUP(B22,'EF-S3 Waste'!$C$132:$I$146,7,))</f>
        <v>#N/A</v>
      </c>
      <c r="I22" s="191">
        <f t="shared" si="0"/>
        <v>0</v>
      </c>
      <c r="K22" s="186" t="s">
        <v>158</v>
      </c>
    </row>
    <row r="23" spans="2:11" x14ac:dyDescent="0.7">
      <c r="B23" s="188"/>
      <c r="C23" s="188"/>
      <c r="D23" s="188"/>
      <c r="E23" s="189"/>
      <c r="F23" s="188"/>
      <c r="G23" s="193" t="e" cm="1">
        <f t="array" ref="G23">+_xlfn.IFS(D23=$M$10,VLOOKUP(B23,'EF-S3 Waste'!$C$115:$H$129,6,),D23=$M$9,VLOOKUP(B23,'EF-S3 Waste'!$C$132:$H$146,6,))</f>
        <v>#N/A</v>
      </c>
      <c r="H23" s="190" t="e" cm="1">
        <f t="array" ref="H23">+_xlfn.IFS(D23=$M$10,VLOOKUP(B23,'EF-S3 Waste'!$C$115:$I$129,7,),D23=$M$9,VLOOKUP(B23,'EF-S3 Waste'!$C$132:$I$146,7,))</f>
        <v>#N/A</v>
      </c>
      <c r="I23" s="191">
        <f t="shared" si="0"/>
        <v>0</v>
      </c>
      <c r="K23" s="186" t="s">
        <v>159</v>
      </c>
    </row>
    <row r="24" spans="2:11" x14ac:dyDescent="0.7">
      <c r="B24" s="188"/>
      <c r="C24" s="188"/>
      <c r="D24" s="188"/>
      <c r="E24" s="189"/>
      <c r="F24" s="188"/>
      <c r="G24" s="193" t="e" cm="1">
        <f t="array" ref="G24">+_xlfn.IFS(D24=$M$10,VLOOKUP(B24,'EF-S3 Waste'!$C$115:$H$129,6,),D24=$M$9,VLOOKUP(B24,'EF-S3 Waste'!$C$132:$H$146,6,))</f>
        <v>#N/A</v>
      </c>
      <c r="H24" s="190" t="e" cm="1">
        <f t="array" ref="H24">+_xlfn.IFS(D24=$M$10,VLOOKUP(B24,'EF-S3 Waste'!$C$115:$I$129,7,),D24=$M$9,VLOOKUP(B24,'EF-S3 Waste'!$C$132:$I$146,7,))</f>
        <v>#N/A</v>
      </c>
      <c r="I24" s="191">
        <f t="shared" si="0"/>
        <v>0</v>
      </c>
    </row>
    <row r="25" spans="2:11" x14ac:dyDescent="0.7">
      <c r="B25" s="188"/>
      <c r="C25" s="188"/>
      <c r="D25" s="188"/>
      <c r="E25" s="189"/>
      <c r="F25" s="188"/>
      <c r="G25" s="193" t="e" cm="1">
        <f t="array" ref="G25">+_xlfn.IFS(D25=$M$10,VLOOKUP(B25,'EF-S3 Waste'!$C$115:$H$129,6,),D25=$M$9,VLOOKUP(B25,'EF-S3 Waste'!$C$132:$H$146,6,))</f>
        <v>#N/A</v>
      </c>
      <c r="H25" s="190" t="e" cm="1">
        <f t="array" ref="H25">+_xlfn.IFS(D25=$M$10,VLOOKUP(B25,'EF-S3 Waste'!$C$115:$I$129,7,),D25=$M$9,VLOOKUP(B25,'EF-S3 Waste'!$C$132:$I$146,7,))</f>
        <v>#N/A</v>
      </c>
      <c r="I25" s="191">
        <f t="shared" si="0"/>
        <v>0</v>
      </c>
    </row>
    <row r="26" spans="2:11" x14ac:dyDescent="0.7">
      <c r="B26" s="188"/>
      <c r="C26" s="188"/>
      <c r="D26" s="188"/>
      <c r="E26" s="189"/>
      <c r="F26" s="188"/>
      <c r="G26" s="193" t="e" cm="1">
        <f t="array" ref="G26">+_xlfn.IFS(D26=$M$10,VLOOKUP(B26,'EF-S3 Waste'!$C$115:$H$129,6,),D26=$M$9,VLOOKUP(B26,'EF-S3 Waste'!$C$132:$H$146,6,))</f>
        <v>#N/A</v>
      </c>
      <c r="H26" s="190" t="e" cm="1">
        <f t="array" ref="H26">+_xlfn.IFS(D26=$M$10,VLOOKUP(B26,'EF-S3 Waste'!$C$115:$I$129,7,),D26=$M$9,VLOOKUP(B26,'EF-S3 Waste'!$C$132:$I$146,7,))</f>
        <v>#N/A</v>
      </c>
      <c r="I26" s="191">
        <f t="shared" si="0"/>
        <v>0</v>
      </c>
    </row>
    <row r="27" spans="2:11" x14ac:dyDescent="0.7">
      <c r="B27" s="188"/>
      <c r="C27" s="188"/>
      <c r="D27" s="188"/>
      <c r="E27" s="189"/>
      <c r="F27" s="188"/>
      <c r="G27" s="193" t="e" cm="1">
        <f t="array" ref="G27">+_xlfn.IFS(D27=$M$10,VLOOKUP(B27,'EF-S3 Waste'!$C$115:$H$129,6,),D27=$M$9,VLOOKUP(B27,'EF-S3 Waste'!$C$132:$H$146,6,))</f>
        <v>#N/A</v>
      </c>
      <c r="H27" s="190" t="e" cm="1">
        <f t="array" ref="H27">+_xlfn.IFS(D27=$M$10,VLOOKUP(B27,'EF-S3 Waste'!$C$115:$I$129,7,),D27=$M$9,VLOOKUP(B27,'EF-S3 Waste'!$C$132:$I$146,7,))</f>
        <v>#N/A</v>
      </c>
      <c r="I27" s="191">
        <f t="shared" si="0"/>
        <v>0</v>
      </c>
    </row>
    <row r="28" spans="2:11" x14ac:dyDescent="0.7">
      <c r="B28" s="188"/>
      <c r="C28" s="188"/>
      <c r="D28" s="188"/>
      <c r="E28" s="189"/>
      <c r="F28" s="188"/>
      <c r="G28" s="193" t="e" cm="1">
        <f t="array" ref="G28">+_xlfn.IFS(D28=$M$10,VLOOKUP(B28,'EF-S3 Waste'!$C$115:$H$129,6,),D28=$M$9,VLOOKUP(B28,'EF-S3 Waste'!$C$132:$H$146,6,))</f>
        <v>#N/A</v>
      </c>
      <c r="H28" s="190" t="e" cm="1">
        <f t="array" ref="H28">+_xlfn.IFS(D28=$M$10,VLOOKUP(B28,'EF-S3 Waste'!$C$115:$I$129,7,),D28=$M$9,VLOOKUP(B28,'EF-S3 Waste'!$C$132:$I$146,7,))</f>
        <v>#N/A</v>
      </c>
      <c r="I28" s="191">
        <f t="shared" si="0"/>
        <v>0</v>
      </c>
    </row>
    <row r="29" spans="2:11" x14ac:dyDescent="0.7">
      <c r="B29" s="188"/>
      <c r="C29" s="188"/>
      <c r="D29" s="188"/>
      <c r="E29" s="189"/>
      <c r="F29" s="188"/>
      <c r="G29" s="193" t="e" cm="1">
        <f t="array" ref="G29">+_xlfn.IFS(D29=$M$10,VLOOKUP(B29,'EF-S3 Waste'!$C$115:$H$129,6,),D29=$M$9,VLOOKUP(B29,'EF-S3 Waste'!$C$132:$H$146,6,))</f>
        <v>#N/A</v>
      </c>
      <c r="H29" s="190" t="e" cm="1">
        <f t="array" ref="H29">+_xlfn.IFS(D29=$M$10,VLOOKUP(B29,'EF-S3 Waste'!$C$115:$I$129,7,),D29=$M$9,VLOOKUP(B29,'EF-S3 Waste'!$C$132:$I$146,7,))</f>
        <v>#N/A</v>
      </c>
      <c r="I29" s="191">
        <f t="shared" si="0"/>
        <v>0</v>
      </c>
    </row>
    <row r="30" spans="2:11" x14ac:dyDescent="0.7">
      <c r="B30" s="188"/>
      <c r="C30" s="188"/>
      <c r="D30" s="188"/>
      <c r="E30" s="189"/>
      <c r="F30" s="188"/>
      <c r="G30" s="193" t="e" cm="1">
        <f t="array" ref="G30">+_xlfn.IFS(D30=$M$10,VLOOKUP(B30,'EF-S3 Waste'!$C$115:$H$129,6,),D30=$M$9,VLOOKUP(B30,'EF-S3 Waste'!$C$132:$H$146,6,))</f>
        <v>#N/A</v>
      </c>
      <c r="H30" s="190" t="e" cm="1">
        <f t="array" ref="H30">+_xlfn.IFS(D30=$M$10,VLOOKUP(B30,'EF-S3 Waste'!$C$115:$I$129,7,),D30=$M$9,VLOOKUP(B30,'EF-S3 Waste'!$C$132:$I$146,7,))</f>
        <v>#N/A</v>
      </c>
      <c r="I30" s="191">
        <f t="shared" si="0"/>
        <v>0</v>
      </c>
    </row>
    <row r="31" spans="2:11" x14ac:dyDescent="0.7">
      <c r="B31" s="188"/>
      <c r="C31" s="188"/>
      <c r="D31" s="188"/>
      <c r="E31" s="189"/>
      <c r="F31" s="188"/>
      <c r="G31" s="193" t="e" cm="1">
        <f t="array" ref="G31">+_xlfn.IFS(D31=$M$10,VLOOKUP(B31,'EF-S3 Waste'!$C$115:$H$129,6,),D31=$M$9,VLOOKUP(B31,'EF-S3 Waste'!$C$132:$H$146,6,))</f>
        <v>#N/A</v>
      </c>
      <c r="H31" s="190" t="e" cm="1">
        <f t="array" ref="H31">+_xlfn.IFS(D31=$M$10,VLOOKUP(B31,'EF-S3 Waste'!$C$115:$I$129,7,),D31=$M$9,VLOOKUP(B31,'EF-S3 Waste'!$C$132:$I$146,7,))</f>
        <v>#N/A</v>
      </c>
      <c r="I31" s="191">
        <f t="shared" si="0"/>
        <v>0</v>
      </c>
    </row>
    <row r="32" spans="2:11" x14ac:dyDescent="0.7">
      <c r="B32" s="188"/>
      <c r="C32" s="188"/>
      <c r="D32" s="188"/>
      <c r="E32" s="189"/>
      <c r="F32" s="188"/>
      <c r="G32" s="193" t="e" cm="1">
        <f t="array" ref="G32">+_xlfn.IFS(D32=$M$10,VLOOKUP(B32,'EF-S3 Waste'!$C$115:$H$129,6,),D32=$M$9,VLOOKUP(B32,'EF-S3 Waste'!$C$132:$H$146,6,))</f>
        <v>#N/A</v>
      </c>
      <c r="H32" s="190" t="e" cm="1">
        <f t="array" ref="H32">+_xlfn.IFS(D32=$M$10,VLOOKUP(B32,'EF-S3 Waste'!$C$115:$I$129,7,),D32=$M$9,VLOOKUP(B32,'EF-S3 Waste'!$C$132:$I$146,7,))</f>
        <v>#N/A</v>
      </c>
      <c r="I32" s="191">
        <f t="shared" si="0"/>
        <v>0</v>
      </c>
    </row>
    <row r="33" spans="2:9" x14ac:dyDescent="0.7">
      <c r="B33" s="188"/>
      <c r="C33" s="188"/>
      <c r="D33" s="188"/>
      <c r="E33" s="189"/>
      <c r="F33" s="188"/>
      <c r="G33" s="193" t="e" cm="1">
        <f t="array" ref="G33">+_xlfn.IFS(D33=$M$10,VLOOKUP(B33,'EF-S3 Waste'!$C$115:$H$129,6,),D33=$M$9,VLOOKUP(B33,'EF-S3 Waste'!$C$132:$H$146,6,))</f>
        <v>#N/A</v>
      </c>
      <c r="H33" s="190" t="e" cm="1">
        <f t="array" ref="H33">+_xlfn.IFS(D33=$M$10,VLOOKUP(B33,'EF-S3 Waste'!$C$115:$I$129,7,),D33=$M$9,VLOOKUP(B33,'EF-S3 Waste'!$C$132:$I$146,7,))</f>
        <v>#N/A</v>
      </c>
      <c r="I33" s="191">
        <f t="shared" si="0"/>
        <v>0</v>
      </c>
    </row>
    <row r="34" spans="2:9" x14ac:dyDescent="0.7">
      <c r="B34" s="188"/>
      <c r="C34" s="188"/>
      <c r="D34" s="188"/>
      <c r="E34" s="189"/>
      <c r="F34" s="188"/>
      <c r="G34" s="193" t="e" cm="1">
        <f t="array" ref="G34">+_xlfn.IFS(D34=$M$10,VLOOKUP(B34,'EF-S3 Waste'!$C$115:$H$129,6,),D34=$M$9,VLOOKUP(B34,'EF-S3 Waste'!$C$132:$H$146,6,))</f>
        <v>#N/A</v>
      </c>
      <c r="H34" s="190" t="e" cm="1">
        <f t="array" ref="H34">+_xlfn.IFS(D34=$M$10,VLOOKUP(B34,'EF-S3 Waste'!$C$115:$I$129,7,),D34=$M$9,VLOOKUP(B34,'EF-S3 Waste'!$C$132:$I$146,7,))</f>
        <v>#N/A</v>
      </c>
      <c r="I34" s="191">
        <f t="shared" si="0"/>
        <v>0</v>
      </c>
    </row>
    <row r="35" spans="2:9" x14ac:dyDescent="0.7">
      <c r="B35" s="188"/>
      <c r="C35" s="188"/>
      <c r="D35" s="188"/>
      <c r="E35" s="189"/>
      <c r="F35" s="188"/>
      <c r="G35" s="193" t="e" cm="1">
        <f t="array" ref="G35">+_xlfn.IFS(D35=$M$10,VLOOKUP(B35,'EF-S3 Waste'!$C$115:$H$129,6,),D35=$M$9,VLOOKUP(B35,'EF-S3 Waste'!$C$132:$H$146,6,))</f>
        <v>#N/A</v>
      </c>
      <c r="H35" s="190" t="e" cm="1">
        <f t="array" ref="H35">+_xlfn.IFS(D35=$M$10,VLOOKUP(B35,'EF-S3 Waste'!$C$115:$I$129,7,),D35=$M$9,VLOOKUP(B35,'EF-S3 Waste'!$C$132:$I$146,7,))</f>
        <v>#N/A</v>
      </c>
      <c r="I35" s="191">
        <f t="shared" si="0"/>
        <v>0</v>
      </c>
    </row>
    <row r="36" spans="2:9" x14ac:dyDescent="0.7">
      <c r="B36" s="188"/>
      <c r="C36" s="188"/>
      <c r="D36" s="188"/>
      <c r="E36" s="189"/>
      <c r="F36" s="188"/>
      <c r="G36" s="193" t="e" cm="1">
        <f t="array" ref="G36">+_xlfn.IFS(D36=$M$10,VLOOKUP(B36,'EF-S3 Waste'!$C$115:$H$129,6,),D36=$M$9,VLOOKUP(B36,'EF-S3 Waste'!$C$132:$H$146,6,))</f>
        <v>#N/A</v>
      </c>
      <c r="H36" s="190" t="e" cm="1">
        <f t="array" ref="H36">+_xlfn.IFS(D36=$M$10,VLOOKUP(B36,'EF-S3 Waste'!$C$115:$I$129,7,),D36=$M$9,VLOOKUP(B36,'EF-S3 Waste'!$C$132:$I$146,7,))</f>
        <v>#N/A</v>
      </c>
      <c r="I36" s="191">
        <f t="shared" si="0"/>
        <v>0</v>
      </c>
    </row>
    <row r="37" spans="2:9" x14ac:dyDescent="0.7">
      <c r="B37" s="188"/>
      <c r="C37" s="188"/>
      <c r="D37" s="188"/>
      <c r="E37" s="189"/>
      <c r="F37" s="188"/>
      <c r="G37" s="193" t="e" cm="1">
        <f t="array" ref="G37">+_xlfn.IFS(D37=$M$10,VLOOKUP(B37,'EF-S3 Waste'!$C$115:$H$129,6,),D37=$M$9,VLOOKUP(B37,'EF-S3 Waste'!$C$132:$H$146,6,))</f>
        <v>#N/A</v>
      </c>
      <c r="H37" s="190" t="e" cm="1">
        <f t="array" ref="H37">+_xlfn.IFS(D37=$M$10,VLOOKUP(B37,'EF-S3 Waste'!$C$115:$I$129,7,),D37=$M$9,VLOOKUP(B37,'EF-S3 Waste'!$C$132:$I$146,7,))</f>
        <v>#N/A</v>
      </c>
      <c r="I37" s="191">
        <f t="shared" si="0"/>
        <v>0</v>
      </c>
    </row>
    <row r="38" spans="2:9" x14ac:dyDescent="0.7">
      <c r="B38" s="188"/>
      <c r="C38" s="188"/>
      <c r="D38" s="188"/>
      <c r="E38" s="189"/>
      <c r="F38" s="188"/>
      <c r="G38" s="193" t="e" cm="1">
        <f t="array" ref="G38">+_xlfn.IFS(D38=$M$10,VLOOKUP(B38,'EF-S3 Waste'!$C$115:$H$129,6,),D38=$M$9,VLOOKUP(B38,'EF-S3 Waste'!$C$132:$H$146,6,))</f>
        <v>#N/A</v>
      </c>
      <c r="H38" s="190" t="e" cm="1">
        <f t="array" ref="H38">+_xlfn.IFS(D38=$M$10,VLOOKUP(B38,'EF-S3 Waste'!$C$115:$I$129,7,),D38=$M$9,VLOOKUP(B38,'EF-S3 Waste'!$C$132:$I$146,7,))</f>
        <v>#N/A</v>
      </c>
      <c r="I38" s="191">
        <f t="shared" si="0"/>
        <v>0</v>
      </c>
    </row>
    <row r="39" spans="2:9" x14ac:dyDescent="0.7">
      <c r="B39" s="188"/>
      <c r="C39" s="188"/>
      <c r="D39" s="188"/>
      <c r="E39" s="189"/>
      <c r="F39" s="188"/>
      <c r="G39" s="193" t="e" cm="1">
        <f t="array" ref="G39">+_xlfn.IFS(D39=$M$10,VLOOKUP(B39,'EF-S3 Waste'!$C$115:$H$129,6,),D39=$M$9,VLOOKUP(B39,'EF-S3 Waste'!$C$132:$H$146,6,))</f>
        <v>#N/A</v>
      </c>
      <c r="H39" s="190" t="e" cm="1">
        <f t="array" ref="H39">+_xlfn.IFS(D39=$M$10,VLOOKUP(B39,'EF-S3 Waste'!$C$115:$I$129,7,),D39=$M$9,VLOOKUP(B39,'EF-S3 Waste'!$C$132:$I$146,7,))</f>
        <v>#N/A</v>
      </c>
      <c r="I39" s="191">
        <f t="shared" si="0"/>
        <v>0</v>
      </c>
    </row>
    <row r="40" spans="2:9" x14ac:dyDescent="0.7">
      <c r="B40" s="188"/>
      <c r="C40" s="188"/>
      <c r="D40" s="188"/>
      <c r="E40" s="189"/>
      <c r="F40" s="188"/>
      <c r="G40" s="193" t="e" cm="1">
        <f t="array" ref="G40">+_xlfn.IFS(D40=$M$10,VLOOKUP(B40,'EF-S3 Waste'!$C$115:$H$129,6,),D40=$M$9,VLOOKUP(B40,'EF-S3 Waste'!$C$132:$H$146,6,))</f>
        <v>#N/A</v>
      </c>
      <c r="H40" s="190" t="e" cm="1">
        <f t="array" ref="H40">+_xlfn.IFS(D40=$M$10,VLOOKUP(B40,'EF-S3 Waste'!$C$115:$I$129,7,),D40=$M$9,VLOOKUP(B40,'EF-S3 Waste'!$C$132:$I$146,7,))</f>
        <v>#N/A</v>
      </c>
      <c r="I40" s="191">
        <f t="shared" si="0"/>
        <v>0</v>
      </c>
    </row>
    <row r="41" spans="2:9" x14ac:dyDescent="0.7">
      <c r="B41" s="188"/>
      <c r="C41" s="188"/>
      <c r="D41" s="188"/>
      <c r="E41" s="189"/>
      <c r="F41" s="188"/>
      <c r="G41" s="193" t="e" cm="1">
        <f t="array" ref="G41">+_xlfn.IFS(D41=$M$10,VLOOKUP(B41,'EF-S3 Waste'!$C$115:$H$129,6,),D41=$M$9,VLOOKUP(B41,'EF-S3 Waste'!$C$132:$H$146,6,))</f>
        <v>#N/A</v>
      </c>
      <c r="H41" s="190" t="e" cm="1">
        <f t="array" ref="H41">+_xlfn.IFS(D41=$M$10,VLOOKUP(B41,'EF-S3 Waste'!$C$115:$I$129,7,),D41=$M$9,VLOOKUP(B41,'EF-S3 Waste'!$C$132:$I$146,7,))</f>
        <v>#N/A</v>
      </c>
      <c r="I41" s="191">
        <f t="shared" si="0"/>
        <v>0</v>
      </c>
    </row>
    <row r="42" spans="2:9" x14ac:dyDescent="0.7">
      <c r="B42" s="188"/>
      <c r="C42" s="188"/>
      <c r="D42" s="188"/>
      <c r="E42" s="189"/>
      <c r="F42" s="188"/>
      <c r="G42" s="193" t="e" cm="1">
        <f t="array" ref="G42">+_xlfn.IFS(D42=$M$10,VLOOKUP(B42,'EF-S3 Waste'!$C$115:$H$129,6,),D42=$M$9,VLOOKUP(B42,'EF-S3 Waste'!$C$132:$H$146,6,))</f>
        <v>#N/A</v>
      </c>
      <c r="H42" s="190" t="e" cm="1">
        <f t="array" ref="H42">+_xlfn.IFS(D42=$M$10,VLOOKUP(B42,'EF-S3 Waste'!$C$115:$I$129,7,),D42=$M$9,VLOOKUP(B42,'EF-S3 Waste'!$C$132:$I$146,7,))</f>
        <v>#N/A</v>
      </c>
      <c r="I42" s="191">
        <f t="shared" si="0"/>
        <v>0</v>
      </c>
    </row>
    <row r="43" spans="2:9" x14ac:dyDescent="0.7">
      <c r="B43" s="188"/>
      <c r="C43" s="188"/>
      <c r="D43" s="188"/>
      <c r="E43" s="189"/>
      <c r="F43" s="188"/>
      <c r="G43" s="193" t="e" cm="1">
        <f t="array" ref="G43">+_xlfn.IFS(D43=$M$10,VLOOKUP(B43,'EF-S3 Waste'!$C$115:$H$129,6,),D43=$M$9,VLOOKUP(B43,'EF-S3 Waste'!$C$132:$H$146,6,))</f>
        <v>#N/A</v>
      </c>
      <c r="H43" s="190" t="e" cm="1">
        <f t="array" ref="H43">+_xlfn.IFS(D43=$M$10,VLOOKUP(B43,'EF-S3 Waste'!$C$115:$I$129,7,),D43=$M$9,VLOOKUP(B43,'EF-S3 Waste'!$C$132:$I$146,7,))</f>
        <v>#N/A</v>
      </c>
      <c r="I43" s="191">
        <f t="shared" si="0"/>
        <v>0</v>
      </c>
    </row>
    <row r="44" spans="2:9" x14ac:dyDescent="0.7">
      <c r="B44" s="188"/>
      <c r="C44" s="188"/>
      <c r="D44" s="188"/>
      <c r="E44" s="189"/>
      <c r="F44" s="188"/>
      <c r="G44" s="193" t="e" cm="1">
        <f t="array" ref="G44">+_xlfn.IFS(D44=$M$10,VLOOKUP(B44,'EF-S3 Waste'!$C$115:$H$129,6,),D44=$M$9,VLOOKUP(B44,'EF-S3 Waste'!$C$132:$H$146,6,))</f>
        <v>#N/A</v>
      </c>
      <c r="H44" s="190" t="e" cm="1">
        <f t="array" ref="H44">+_xlfn.IFS(D44=$M$10,VLOOKUP(B44,'EF-S3 Waste'!$C$115:$I$129,7,),D44=$M$9,VLOOKUP(B44,'EF-S3 Waste'!$C$132:$I$146,7,))</f>
        <v>#N/A</v>
      </c>
      <c r="I44" s="191">
        <f t="shared" si="0"/>
        <v>0</v>
      </c>
    </row>
    <row r="45" spans="2:9" x14ac:dyDescent="0.7">
      <c r="B45" s="188"/>
      <c r="C45" s="188"/>
      <c r="D45" s="188"/>
      <c r="E45" s="189"/>
      <c r="F45" s="188"/>
      <c r="G45" s="193" t="e" cm="1">
        <f t="array" ref="G45">+_xlfn.IFS(D45=$M$10,VLOOKUP(B45,'EF-S3 Waste'!$C$115:$H$129,6,),D45=$M$9,VLOOKUP(B45,'EF-S3 Waste'!$C$132:$H$146,6,))</f>
        <v>#N/A</v>
      </c>
      <c r="H45" s="190" t="e" cm="1">
        <f t="array" ref="H45">+_xlfn.IFS(D45=$M$10,VLOOKUP(B45,'EF-S3 Waste'!$C$115:$I$129,7,),D45=$M$9,VLOOKUP(B45,'EF-S3 Waste'!$C$132:$I$146,7,))</f>
        <v>#N/A</v>
      </c>
      <c r="I45" s="191">
        <f t="shared" si="0"/>
        <v>0</v>
      </c>
    </row>
    <row r="46" spans="2:9" x14ac:dyDescent="0.7">
      <c r="B46" s="188"/>
      <c r="C46" s="188"/>
      <c r="D46" s="188"/>
      <c r="E46" s="189"/>
      <c r="F46" s="188"/>
      <c r="G46" s="193" t="e" cm="1">
        <f t="array" ref="G46">+_xlfn.IFS(D46=$M$10,VLOOKUP(B46,'EF-S3 Waste'!$C$115:$H$129,6,),D46=$M$9,VLOOKUP(B46,'EF-S3 Waste'!$C$132:$H$146,6,))</f>
        <v>#N/A</v>
      </c>
      <c r="H46" s="190" t="e" cm="1">
        <f t="array" ref="H46">+_xlfn.IFS(D46=$M$10,VLOOKUP(B46,'EF-S3 Waste'!$C$115:$I$129,7,),D46=$M$9,VLOOKUP(B46,'EF-S3 Waste'!$C$132:$I$146,7,))</f>
        <v>#N/A</v>
      </c>
      <c r="I46" s="191">
        <f t="shared" si="0"/>
        <v>0</v>
      </c>
    </row>
    <row r="47" spans="2:9" x14ac:dyDescent="0.7">
      <c r="B47" s="188"/>
      <c r="C47" s="188"/>
      <c r="D47" s="188"/>
      <c r="E47" s="189"/>
      <c r="F47" s="188"/>
      <c r="G47" s="193" t="e" cm="1">
        <f t="array" ref="G47">+_xlfn.IFS(D47=$M$10,VLOOKUP(B47,'EF-S3 Waste'!$C$115:$H$129,6,),D47=$M$9,VLOOKUP(B47,'EF-S3 Waste'!$C$132:$H$146,6,))</f>
        <v>#N/A</v>
      </c>
      <c r="H47" s="190" t="e" cm="1">
        <f t="array" ref="H47">+_xlfn.IFS(D47=$M$10,VLOOKUP(B47,'EF-S3 Waste'!$C$115:$I$129,7,),D47=$M$9,VLOOKUP(B47,'EF-S3 Waste'!$C$132:$I$146,7,))</f>
        <v>#N/A</v>
      </c>
      <c r="I47" s="191">
        <f t="shared" si="0"/>
        <v>0</v>
      </c>
    </row>
    <row r="48" spans="2:9" x14ac:dyDescent="0.7">
      <c r="B48" s="188"/>
      <c r="C48" s="188"/>
      <c r="D48" s="188"/>
      <c r="E48" s="189"/>
      <c r="F48" s="188"/>
      <c r="G48" s="193" t="e" cm="1">
        <f t="array" ref="G48">+_xlfn.IFS(D48=$M$10,VLOOKUP(B48,'EF-S3 Waste'!$C$115:$H$129,6,),D48=$M$9,VLOOKUP(B48,'EF-S3 Waste'!$C$132:$H$146,6,))</f>
        <v>#N/A</v>
      </c>
      <c r="H48" s="190" t="e" cm="1">
        <f t="array" ref="H48">+_xlfn.IFS(D48=$M$10,VLOOKUP(B48,'EF-S3 Waste'!$C$115:$I$129,7,),D48=$M$9,VLOOKUP(B48,'EF-S3 Waste'!$C$132:$I$146,7,))</f>
        <v>#N/A</v>
      </c>
      <c r="I48" s="191">
        <f t="shared" si="0"/>
        <v>0</v>
      </c>
    </row>
    <row r="49" spans="2:9" x14ac:dyDescent="0.7">
      <c r="B49" s="188"/>
      <c r="C49" s="188"/>
      <c r="D49" s="188"/>
      <c r="E49" s="189"/>
      <c r="F49" s="188"/>
      <c r="G49" s="193" t="e" cm="1">
        <f t="array" ref="G49">+_xlfn.IFS(D49=$M$10,VLOOKUP(B49,'EF-S3 Waste'!$C$115:$H$129,6,),D49=$M$9,VLOOKUP(B49,'EF-S3 Waste'!$C$132:$H$146,6,))</f>
        <v>#N/A</v>
      </c>
      <c r="H49" s="190" t="e" cm="1">
        <f t="array" ref="H49">+_xlfn.IFS(D49=$M$10,VLOOKUP(B49,'EF-S3 Waste'!$C$115:$I$129,7,),D49=$M$9,VLOOKUP(B49,'EF-S3 Waste'!$C$132:$I$146,7,))</f>
        <v>#N/A</v>
      </c>
      <c r="I49" s="191">
        <f t="shared" si="0"/>
        <v>0</v>
      </c>
    </row>
    <row r="50" spans="2:9" x14ac:dyDescent="0.7">
      <c r="B50" s="188"/>
      <c r="C50" s="188"/>
      <c r="D50" s="188"/>
      <c r="E50" s="189"/>
      <c r="F50" s="188"/>
      <c r="G50" s="193" t="e" cm="1">
        <f t="array" ref="G50">+_xlfn.IFS(D50=$M$10,VLOOKUP(B50,'EF-S3 Waste'!$C$115:$H$129,6,),D50=$M$9,VLOOKUP(B50,'EF-S3 Waste'!$C$132:$H$146,6,))</f>
        <v>#N/A</v>
      </c>
      <c r="H50" s="190" t="e" cm="1">
        <f t="array" ref="H50">+_xlfn.IFS(D50=$M$10,VLOOKUP(B50,'EF-S3 Waste'!$C$115:$I$129,7,),D50=$M$9,VLOOKUP(B50,'EF-S3 Waste'!$C$132:$I$146,7,))</f>
        <v>#N/A</v>
      </c>
      <c r="I50" s="191">
        <f t="shared" si="0"/>
        <v>0</v>
      </c>
    </row>
    <row r="51" spans="2:9" x14ac:dyDescent="0.7">
      <c r="B51" s="188"/>
      <c r="C51" s="188"/>
      <c r="D51" s="188"/>
      <c r="E51" s="189"/>
      <c r="F51" s="188"/>
      <c r="G51" s="193" t="e" cm="1">
        <f t="array" ref="G51">+_xlfn.IFS(D51=$M$10,VLOOKUP(B51,'EF-S3 Waste'!$C$115:$H$129,6,),D51=$M$9,VLOOKUP(B51,'EF-S3 Waste'!$C$132:$H$146,6,))</f>
        <v>#N/A</v>
      </c>
      <c r="H51" s="190" t="e" cm="1">
        <f t="array" ref="H51">+_xlfn.IFS(D51=$M$10,VLOOKUP(B51,'EF-S3 Waste'!$C$115:$I$129,7,),D51=$M$9,VLOOKUP(B51,'EF-S3 Waste'!$C$132:$I$146,7,))</f>
        <v>#N/A</v>
      </c>
      <c r="I51" s="191">
        <f t="shared" si="0"/>
        <v>0</v>
      </c>
    </row>
    <row r="52" spans="2:9" x14ac:dyDescent="0.7">
      <c r="B52" s="188"/>
      <c r="C52" s="188"/>
      <c r="D52" s="188"/>
      <c r="E52" s="189"/>
      <c r="F52" s="188"/>
      <c r="G52" s="193" t="e" cm="1">
        <f t="array" ref="G52">+_xlfn.IFS(D52=$M$10,VLOOKUP(B52,'EF-S3 Waste'!$C$115:$H$129,6,),D52=$M$9,VLOOKUP(B52,'EF-S3 Waste'!$C$132:$H$146,6,))</f>
        <v>#N/A</v>
      </c>
      <c r="H52" s="190" t="e" cm="1">
        <f t="array" ref="H52">+_xlfn.IFS(D52=$M$10,VLOOKUP(B52,'EF-S3 Waste'!$C$115:$I$129,7,),D52=$M$9,VLOOKUP(B52,'EF-S3 Waste'!$C$132:$I$146,7,))</f>
        <v>#N/A</v>
      </c>
      <c r="I52" s="191">
        <f t="shared" si="0"/>
        <v>0</v>
      </c>
    </row>
    <row r="53" spans="2:9" x14ac:dyDescent="0.7">
      <c r="B53" s="188"/>
      <c r="C53" s="188"/>
      <c r="D53" s="188"/>
      <c r="E53" s="189"/>
      <c r="F53" s="188"/>
      <c r="G53" s="193" t="e" cm="1">
        <f t="array" ref="G53">+_xlfn.IFS(D53=$M$10,VLOOKUP(B53,'EF-S3 Waste'!$C$115:$H$129,6,),D53=$M$9,VLOOKUP(B53,'EF-S3 Waste'!$C$132:$H$146,6,))</f>
        <v>#N/A</v>
      </c>
      <c r="H53" s="190" t="e" cm="1">
        <f t="array" ref="H53">+_xlfn.IFS(D53=$M$10,VLOOKUP(B53,'EF-S3 Waste'!$C$115:$I$129,7,),D53=$M$9,VLOOKUP(B53,'EF-S3 Waste'!$C$132:$I$146,7,))</f>
        <v>#N/A</v>
      </c>
      <c r="I53" s="191">
        <f t="shared" si="0"/>
        <v>0</v>
      </c>
    </row>
    <row r="54" spans="2:9" x14ac:dyDescent="0.7">
      <c r="B54" s="188"/>
      <c r="C54" s="188"/>
      <c r="D54" s="188"/>
      <c r="E54" s="189"/>
      <c r="F54" s="188"/>
      <c r="G54" s="193" t="e" cm="1">
        <f t="array" ref="G54">+_xlfn.IFS(D54=$M$10,VLOOKUP(B54,'EF-S3 Waste'!$C$115:$H$129,6,),D54=$M$9,VLOOKUP(B54,'EF-S3 Waste'!$C$132:$H$146,6,))</f>
        <v>#N/A</v>
      </c>
      <c r="H54" s="190" t="e" cm="1">
        <f t="array" ref="H54">+_xlfn.IFS(D54=$M$10,VLOOKUP(B54,'EF-S3 Waste'!$C$115:$I$129,7,),D54=$M$9,VLOOKUP(B54,'EF-S3 Waste'!$C$132:$I$146,7,))</f>
        <v>#N/A</v>
      </c>
      <c r="I54" s="191">
        <f t="shared" si="0"/>
        <v>0</v>
      </c>
    </row>
    <row r="55" spans="2:9" x14ac:dyDescent="0.7">
      <c r="B55" s="188"/>
      <c r="C55" s="188"/>
      <c r="D55" s="188"/>
      <c r="E55" s="189"/>
      <c r="F55" s="188"/>
      <c r="G55" s="193" t="e" cm="1">
        <f t="array" ref="G55">+_xlfn.IFS(D55=$M$10,VLOOKUP(B55,'EF-S3 Waste'!$C$115:$H$129,6,),D55=$M$9,VLOOKUP(B55,'EF-S3 Waste'!$C$132:$H$146,6,))</f>
        <v>#N/A</v>
      </c>
      <c r="H55" s="190" t="e" cm="1">
        <f t="array" ref="H55">+_xlfn.IFS(D55=$M$10,VLOOKUP(B55,'EF-S3 Waste'!$C$115:$I$129,7,),D55=$M$9,VLOOKUP(B55,'EF-S3 Waste'!$C$132:$I$146,7,))</f>
        <v>#N/A</v>
      </c>
      <c r="I55" s="191">
        <f t="shared" si="0"/>
        <v>0</v>
      </c>
    </row>
    <row r="56" spans="2:9" x14ac:dyDescent="0.7">
      <c r="B56" s="188"/>
      <c r="C56" s="188"/>
      <c r="D56" s="188"/>
      <c r="E56" s="189"/>
      <c r="F56" s="188"/>
      <c r="G56" s="193" t="e" cm="1">
        <f t="array" ref="G56">+_xlfn.IFS(D56=$M$10,VLOOKUP(B56,'EF-S3 Waste'!$C$115:$H$129,6,),D56=$M$9,VLOOKUP(B56,'EF-S3 Waste'!$C$132:$H$146,6,))</f>
        <v>#N/A</v>
      </c>
      <c r="H56" s="190" t="e" cm="1">
        <f t="array" ref="H56">+_xlfn.IFS(D56=$M$10,VLOOKUP(B56,'EF-S3 Waste'!$C$115:$I$129,7,),D56=$M$9,VLOOKUP(B56,'EF-S3 Waste'!$C$132:$I$146,7,))</f>
        <v>#N/A</v>
      </c>
      <c r="I56" s="191">
        <f t="shared" si="0"/>
        <v>0</v>
      </c>
    </row>
    <row r="57" spans="2:9" x14ac:dyDescent="0.7">
      <c r="B57" s="188"/>
      <c r="C57" s="188"/>
      <c r="D57" s="188"/>
      <c r="E57" s="189"/>
      <c r="F57" s="188"/>
      <c r="G57" s="193" t="e" cm="1">
        <f t="array" ref="G57">+_xlfn.IFS(D57=$M$10,VLOOKUP(B57,'EF-S3 Waste'!$C$115:$H$129,6,),D57=$M$9,VLOOKUP(B57,'EF-S3 Waste'!$C$132:$H$146,6,))</f>
        <v>#N/A</v>
      </c>
      <c r="H57" s="190" t="e" cm="1">
        <f t="array" ref="H57">+_xlfn.IFS(D57=$M$10,VLOOKUP(B57,'EF-S3 Waste'!$C$115:$I$129,7,),D57=$M$9,VLOOKUP(B57,'EF-S3 Waste'!$C$132:$I$146,7,))</f>
        <v>#N/A</v>
      </c>
      <c r="I57" s="191">
        <f t="shared" si="0"/>
        <v>0</v>
      </c>
    </row>
    <row r="58" spans="2:9" x14ac:dyDescent="0.7">
      <c r="B58" s="188"/>
      <c r="C58" s="188"/>
      <c r="D58" s="188"/>
      <c r="E58" s="189"/>
      <c r="F58" s="188"/>
      <c r="G58" s="193" t="e" cm="1">
        <f t="array" ref="G58">+_xlfn.IFS(D58=$M$10,VLOOKUP(B58,'EF-S3 Waste'!$C$115:$H$129,6,),D58=$M$9,VLOOKUP(B58,'EF-S3 Waste'!$C$132:$H$146,6,))</f>
        <v>#N/A</v>
      </c>
      <c r="H58" s="190" t="e" cm="1">
        <f t="array" ref="H58">+_xlfn.IFS(D58=$M$10,VLOOKUP(B58,'EF-S3 Waste'!$C$115:$I$129,7,),D58=$M$9,VLOOKUP(B58,'EF-S3 Waste'!$C$132:$I$146,7,))</f>
        <v>#N/A</v>
      </c>
      <c r="I58" s="191">
        <f t="shared" si="0"/>
        <v>0</v>
      </c>
    </row>
    <row r="59" spans="2:9" x14ac:dyDescent="0.7">
      <c r="B59" s="188"/>
      <c r="C59" s="188"/>
      <c r="D59" s="188"/>
      <c r="E59" s="189"/>
      <c r="F59" s="188"/>
      <c r="G59" s="193" t="e" cm="1">
        <f t="array" ref="G59">+_xlfn.IFS(D59=$M$10,VLOOKUP(B59,'EF-S3 Waste'!$C$115:$H$129,6,),D59=$M$9,VLOOKUP(B59,'EF-S3 Waste'!$C$132:$H$146,6,))</f>
        <v>#N/A</v>
      </c>
      <c r="H59" s="190" t="e" cm="1">
        <f t="array" ref="H59">+_xlfn.IFS(D59=$M$10,VLOOKUP(B59,'EF-S3 Waste'!$C$115:$I$129,7,),D59=$M$9,VLOOKUP(B59,'EF-S3 Waste'!$C$132:$I$146,7,))</f>
        <v>#N/A</v>
      </c>
      <c r="I59" s="191">
        <f t="shared" si="0"/>
        <v>0</v>
      </c>
    </row>
    <row r="60" spans="2:9" x14ac:dyDescent="0.7">
      <c r="B60" s="188"/>
      <c r="C60" s="188"/>
      <c r="D60" s="188"/>
      <c r="E60" s="189"/>
      <c r="F60" s="188"/>
      <c r="G60" s="193" t="e" cm="1">
        <f t="array" ref="G60">+_xlfn.IFS(D60=$M$10,VLOOKUP(B60,'EF-S3 Waste'!$C$115:$H$129,6,),D60=$M$9,VLOOKUP(B60,'EF-S3 Waste'!$C$132:$H$146,6,))</f>
        <v>#N/A</v>
      </c>
      <c r="H60" s="190" t="e" cm="1">
        <f t="array" ref="H60">+_xlfn.IFS(D60=$M$10,VLOOKUP(B60,'EF-S3 Waste'!$C$115:$I$129,7,),D60=$M$9,VLOOKUP(B60,'EF-S3 Waste'!$C$132:$I$146,7,))</f>
        <v>#N/A</v>
      </c>
      <c r="I60" s="191">
        <f t="shared" si="0"/>
        <v>0</v>
      </c>
    </row>
    <row r="61" spans="2:9" x14ac:dyDescent="0.7">
      <c r="B61" s="188"/>
      <c r="C61" s="188"/>
      <c r="D61" s="188"/>
      <c r="E61" s="189"/>
      <c r="F61" s="188"/>
      <c r="G61" s="193" t="e" cm="1">
        <f t="array" ref="G61">+_xlfn.IFS(D61=$M$10,VLOOKUP(B61,'EF-S3 Waste'!$C$115:$H$129,6,),D61=$M$9,VLOOKUP(B61,'EF-S3 Waste'!$C$132:$H$146,6,))</f>
        <v>#N/A</v>
      </c>
      <c r="H61" s="190" t="e" cm="1">
        <f t="array" ref="H61">+_xlfn.IFS(D61=$M$10,VLOOKUP(B61,'EF-S3 Waste'!$C$115:$I$129,7,),D61=$M$9,VLOOKUP(B61,'EF-S3 Waste'!$C$132:$I$146,7,))</f>
        <v>#N/A</v>
      </c>
      <c r="I61" s="191">
        <f t="shared" si="0"/>
        <v>0</v>
      </c>
    </row>
    <row r="62" spans="2:9" x14ac:dyDescent="0.7">
      <c r="B62" s="188"/>
      <c r="C62" s="188"/>
      <c r="D62" s="188"/>
      <c r="E62" s="189"/>
      <c r="F62" s="188"/>
      <c r="G62" s="193" t="e" cm="1">
        <f t="array" ref="G62">+_xlfn.IFS(D62=$M$10,VLOOKUP(B62,'EF-S3 Waste'!$C$115:$H$129,6,),D62=$M$9,VLOOKUP(B62,'EF-S3 Waste'!$C$132:$H$146,6,))</f>
        <v>#N/A</v>
      </c>
      <c r="H62" s="190" t="e" cm="1">
        <f t="array" ref="H62">+_xlfn.IFS(D62=$M$10,VLOOKUP(B62,'EF-S3 Waste'!$C$115:$I$129,7,),D62=$M$9,VLOOKUP(B62,'EF-S3 Waste'!$C$132:$I$146,7,))</f>
        <v>#N/A</v>
      </c>
      <c r="I62" s="191">
        <f t="shared" si="0"/>
        <v>0</v>
      </c>
    </row>
    <row r="63" spans="2:9" x14ac:dyDescent="0.7">
      <c r="B63" s="188"/>
      <c r="C63" s="188"/>
      <c r="D63" s="188"/>
      <c r="E63" s="189"/>
      <c r="F63" s="188"/>
      <c r="G63" s="193" t="e" cm="1">
        <f t="array" ref="G63">+_xlfn.IFS(D63=$M$10,VLOOKUP(B63,'EF-S3 Waste'!$C$115:$H$129,6,),D63=$M$9,VLOOKUP(B63,'EF-S3 Waste'!$C$132:$H$146,6,))</f>
        <v>#N/A</v>
      </c>
      <c r="H63" s="190" t="e" cm="1">
        <f t="array" ref="H63">+_xlfn.IFS(D63=$M$10,VLOOKUP(B63,'EF-S3 Waste'!$C$115:$I$129,7,),D63=$M$9,VLOOKUP(B63,'EF-S3 Waste'!$C$132:$I$146,7,))</f>
        <v>#N/A</v>
      </c>
      <c r="I63" s="191">
        <f t="shared" si="0"/>
        <v>0</v>
      </c>
    </row>
    <row r="64" spans="2:9" x14ac:dyDescent="0.7">
      <c r="B64" s="188"/>
      <c r="C64" s="188"/>
      <c r="D64" s="188"/>
      <c r="E64" s="189"/>
      <c r="F64" s="188"/>
      <c r="G64" s="193" t="e" cm="1">
        <f t="array" ref="G64">+_xlfn.IFS(D64=$M$10,VLOOKUP(B64,'EF-S3 Waste'!$C$115:$H$129,6,),D64=$M$9,VLOOKUP(B64,'EF-S3 Waste'!$C$132:$H$146,6,))</f>
        <v>#N/A</v>
      </c>
      <c r="H64" s="190" t="e" cm="1">
        <f t="array" ref="H64">+_xlfn.IFS(D64=$M$10,VLOOKUP(B64,'EF-S3 Waste'!$C$115:$I$129,7,),D64=$M$9,VLOOKUP(B64,'EF-S3 Waste'!$C$132:$I$146,7,))</f>
        <v>#N/A</v>
      </c>
      <c r="I64" s="191">
        <f t="shared" si="0"/>
        <v>0</v>
      </c>
    </row>
    <row r="65" spans="2:9" x14ac:dyDescent="0.7">
      <c r="B65" s="188"/>
      <c r="C65" s="188"/>
      <c r="D65" s="188"/>
      <c r="E65" s="189"/>
      <c r="F65" s="188"/>
      <c r="G65" s="193" t="e" cm="1">
        <f t="array" ref="G65">+_xlfn.IFS(D65=$M$10,VLOOKUP(B65,'EF-S3 Waste'!$C$115:$H$129,6,),D65=$M$9,VLOOKUP(B65,'EF-S3 Waste'!$C$132:$H$146,6,))</f>
        <v>#N/A</v>
      </c>
      <c r="H65" s="190" t="e" cm="1">
        <f t="array" ref="H65">+_xlfn.IFS(D65=$M$10,VLOOKUP(B65,'EF-S3 Waste'!$C$115:$I$129,7,),D65=$M$9,VLOOKUP(B65,'EF-S3 Waste'!$C$132:$I$146,7,))</f>
        <v>#N/A</v>
      </c>
      <c r="I65" s="191">
        <f t="shared" si="0"/>
        <v>0</v>
      </c>
    </row>
    <row r="66" spans="2:9" x14ac:dyDescent="0.7">
      <c r="B66" s="188"/>
      <c r="C66" s="188"/>
      <c r="D66" s="188"/>
      <c r="E66" s="189"/>
      <c r="F66" s="188"/>
      <c r="G66" s="193" t="e" cm="1">
        <f t="array" ref="G66">+_xlfn.IFS(D66=$M$10,VLOOKUP(B66,'EF-S3 Waste'!$C$115:$H$129,6,),D66=$M$9,VLOOKUP(B66,'EF-S3 Waste'!$C$132:$H$146,6,))</f>
        <v>#N/A</v>
      </c>
      <c r="H66" s="190" t="e" cm="1">
        <f t="array" ref="H66">+_xlfn.IFS(D66=$M$10,VLOOKUP(B66,'EF-S3 Waste'!$C$115:$I$129,7,),D66=$M$9,VLOOKUP(B66,'EF-S3 Waste'!$C$132:$I$146,7,))</f>
        <v>#N/A</v>
      </c>
      <c r="I66" s="191">
        <f t="shared" si="0"/>
        <v>0</v>
      </c>
    </row>
    <row r="67" spans="2:9" x14ac:dyDescent="0.7">
      <c r="B67" s="188"/>
      <c r="C67" s="188"/>
      <c r="D67" s="188"/>
      <c r="E67" s="189"/>
      <c r="F67" s="188"/>
      <c r="G67" s="193" t="e" cm="1">
        <f t="array" ref="G67">+_xlfn.IFS(D67=$M$10,VLOOKUP(B67,'EF-S3 Waste'!$C$115:$H$129,6,),D67=$M$9,VLOOKUP(B67,'EF-S3 Waste'!$C$132:$H$146,6,))</f>
        <v>#N/A</v>
      </c>
      <c r="H67" s="190" t="e" cm="1">
        <f t="array" ref="H67">+_xlfn.IFS(D67=$M$10,VLOOKUP(B67,'EF-S3 Waste'!$C$115:$I$129,7,),D67=$M$9,VLOOKUP(B67,'EF-S3 Waste'!$C$132:$I$146,7,))</f>
        <v>#N/A</v>
      </c>
      <c r="I67" s="191">
        <f t="shared" si="0"/>
        <v>0</v>
      </c>
    </row>
    <row r="68" spans="2:9" x14ac:dyDescent="0.7">
      <c r="B68" s="188"/>
      <c r="C68" s="188"/>
      <c r="D68" s="188"/>
      <c r="E68" s="189"/>
      <c r="F68" s="188"/>
      <c r="G68" s="193" t="e" cm="1">
        <f t="array" ref="G68">+_xlfn.IFS(D68=$M$10,VLOOKUP(B68,'EF-S3 Waste'!$C$115:$H$129,6,),D68=$M$9,VLOOKUP(B68,'EF-S3 Waste'!$C$132:$H$146,6,))</f>
        <v>#N/A</v>
      </c>
      <c r="H68" s="190" t="e" cm="1">
        <f t="array" ref="H68">+_xlfn.IFS(D68=$M$10,VLOOKUP(B68,'EF-S3 Waste'!$C$115:$I$129,7,),D68=$M$9,VLOOKUP(B68,'EF-S3 Waste'!$C$132:$I$146,7,))</f>
        <v>#N/A</v>
      </c>
      <c r="I68" s="191">
        <f t="shared" si="0"/>
        <v>0</v>
      </c>
    </row>
    <row r="69" spans="2:9" x14ac:dyDescent="0.7">
      <c r="B69" s="188"/>
      <c r="C69" s="188"/>
      <c r="D69" s="188"/>
      <c r="E69" s="189"/>
      <c r="F69" s="188"/>
      <c r="G69" s="193" t="e" cm="1">
        <f t="array" ref="G69">+_xlfn.IFS(D69=$M$10,VLOOKUP(B69,'EF-S3 Waste'!$C$115:$H$129,6,),D69=$M$9,VLOOKUP(B69,'EF-S3 Waste'!$C$132:$H$146,6,))</f>
        <v>#N/A</v>
      </c>
      <c r="H69" s="190" t="e" cm="1">
        <f t="array" ref="H69">+_xlfn.IFS(D69=$M$10,VLOOKUP(B69,'EF-S3 Waste'!$C$115:$I$129,7,),D69=$M$9,VLOOKUP(B69,'EF-S3 Waste'!$C$132:$I$146,7,))</f>
        <v>#N/A</v>
      </c>
      <c r="I69" s="191">
        <f t="shared" si="0"/>
        <v>0</v>
      </c>
    </row>
    <row r="70" spans="2:9" x14ac:dyDescent="0.7">
      <c r="B70" s="188"/>
      <c r="C70" s="188"/>
      <c r="D70" s="188"/>
      <c r="E70" s="189"/>
      <c r="F70" s="188"/>
      <c r="G70" s="193" t="e" cm="1">
        <f t="array" ref="G70">+_xlfn.IFS(D70=$M$10,VLOOKUP(B70,'EF-S3 Waste'!$C$115:$H$129,6,),D70=$M$9,VLOOKUP(B70,'EF-S3 Waste'!$C$132:$H$146,6,))</f>
        <v>#N/A</v>
      </c>
      <c r="H70" s="190" t="e" cm="1">
        <f t="array" ref="H70">+_xlfn.IFS(D70=$M$10,VLOOKUP(B70,'EF-S3 Waste'!$C$115:$I$129,7,),D70=$M$9,VLOOKUP(B70,'EF-S3 Waste'!$C$132:$I$146,7,))</f>
        <v>#N/A</v>
      </c>
      <c r="I70" s="191">
        <f t="shared" si="0"/>
        <v>0</v>
      </c>
    </row>
    <row r="71" spans="2:9" x14ac:dyDescent="0.7">
      <c r="B71" s="188"/>
      <c r="C71" s="188"/>
      <c r="D71" s="188"/>
      <c r="E71" s="189"/>
      <c r="F71" s="188"/>
      <c r="G71" s="193" t="e" cm="1">
        <f t="array" ref="G71">+_xlfn.IFS(D71=$M$10,VLOOKUP(B71,'EF-S3 Waste'!$C$115:$H$129,6,),D71=$M$9,VLOOKUP(B71,'EF-S3 Waste'!$C$132:$H$146,6,))</f>
        <v>#N/A</v>
      </c>
      <c r="H71" s="190" t="e" cm="1">
        <f t="array" ref="H71">+_xlfn.IFS(D71=$M$10,VLOOKUP(B71,'EF-S3 Waste'!$C$115:$I$129,7,),D71=$M$9,VLOOKUP(B71,'EF-S3 Waste'!$C$132:$I$146,7,))</f>
        <v>#N/A</v>
      </c>
      <c r="I71" s="191">
        <f t="shared" si="0"/>
        <v>0</v>
      </c>
    </row>
    <row r="72" spans="2:9" x14ac:dyDescent="0.7">
      <c r="B72" s="188"/>
      <c r="C72" s="188"/>
      <c r="D72" s="188"/>
      <c r="E72" s="189"/>
      <c r="F72" s="188"/>
      <c r="G72" s="193" t="e" cm="1">
        <f t="array" ref="G72">+_xlfn.IFS(D72=$M$10,VLOOKUP(B72,'EF-S3 Waste'!$C$115:$H$129,6,),D72=$M$9,VLOOKUP(B72,'EF-S3 Waste'!$C$132:$H$146,6,))</f>
        <v>#N/A</v>
      </c>
      <c r="H72" s="190" t="e" cm="1">
        <f t="array" ref="H72">+_xlfn.IFS(D72=$M$10,VLOOKUP(B72,'EF-S3 Waste'!$C$115:$I$129,7,),D72=$M$9,VLOOKUP(B72,'EF-S3 Waste'!$C$132:$I$146,7,))</f>
        <v>#N/A</v>
      </c>
      <c r="I72" s="191">
        <f t="shared" si="0"/>
        <v>0</v>
      </c>
    </row>
    <row r="73" spans="2:9" x14ac:dyDescent="0.7">
      <c r="B73" s="188"/>
      <c r="C73" s="188"/>
      <c r="D73" s="188"/>
      <c r="E73" s="189"/>
      <c r="F73" s="188"/>
      <c r="G73" s="193" t="e" cm="1">
        <f t="array" ref="G73">+_xlfn.IFS(D73=$M$10,VLOOKUP(B73,'EF-S3 Waste'!$C$115:$H$129,6,),D73=$M$9,VLOOKUP(B73,'EF-S3 Waste'!$C$132:$H$146,6,))</f>
        <v>#N/A</v>
      </c>
      <c r="H73" s="190" t="e" cm="1">
        <f t="array" ref="H73">+_xlfn.IFS(D73=$M$10,VLOOKUP(B73,'EF-S3 Waste'!$C$115:$I$129,7,),D73=$M$9,VLOOKUP(B73,'EF-S3 Waste'!$C$132:$I$146,7,))</f>
        <v>#N/A</v>
      </c>
      <c r="I73" s="191">
        <f t="shared" si="0"/>
        <v>0</v>
      </c>
    </row>
    <row r="74" spans="2:9" x14ac:dyDescent="0.7">
      <c r="B74" s="188"/>
      <c r="C74" s="188"/>
      <c r="D74" s="188"/>
      <c r="E74" s="189"/>
      <c r="F74" s="188"/>
      <c r="G74" s="193" t="e" cm="1">
        <f t="array" ref="G74">+_xlfn.IFS(D74=$M$10,VLOOKUP(B74,'EF-S3 Waste'!$C$115:$H$129,6,),D74=$M$9,VLOOKUP(B74,'EF-S3 Waste'!$C$132:$H$146,6,))</f>
        <v>#N/A</v>
      </c>
      <c r="H74" s="190" t="e" cm="1">
        <f t="array" ref="H74">+_xlfn.IFS(D74=$M$10,VLOOKUP(B74,'EF-S3 Waste'!$C$115:$I$129,7,),D74=$M$9,VLOOKUP(B74,'EF-S3 Waste'!$C$132:$I$146,7,))</f>
        <v>#N/A</v>
      </c>
      <c r="I74" s="191">
        <f t="shared" si="0"/>
        <v>0</v>
      </c>
    </row>
    <row r="75" spans="2:9" x14ac:dyDescent="0.7">
      <c r="B75" s="188"/>
      <c r="C75" s="188"/>
      <c r="D75" s="188"/>
      <c r="E75" s="189"/>
      <c r="F75" s="188"/>
      <c r="G75" s="193" t="e" cm="1">
        <f t="array" ref="G75">+_xlfn.IFS(D75=$M$10,VLOOKUP(B75,'EF-S3 Waste'!$C$115:$H$129,6,),D75=$M$9,VLOOKUP(B75,'EF-S3 Waste'!$C$132:$H$146,6,))</f>
        <v>#N/A</v>
      </c>
      <c r="H75" s="190" t="e" cm="1">
        <f t="array" ref="H75">+_xlfn.IFS(D75=$M$10,VLOOKUP(B75,'EF-S3 Waste'!$C$115:$I$129,7,),D75=$M$9,VLOOKUP(B75,'EF-S3 Waste'!$C$132:$I$146,7,))</f>
        <v>#N/A</v>
      </c>
      <c r="I75" s="191">
        <f t="shared" ref="I75:I103" si="1">+IFERROR(IF(F75="kg",E75*G75/1000000,E75*G75/1000),0)</f>
        <v>0</v>
      </c>
    </row>
    <row r="76" spans="2:9" x14ac:dyDescent="0.7">
      <c r="B76" s="188"/>
      <c r="C76" s="188"/>
      <c r="D76" s="188"/>
      <c r="E76" s="189"/>
      <c r="F76" s="188"/>
      <c r="G76" s="193" t="e" cm="1">
        <f t="array" ref="G76">+_xlfn.IFS(D76=$M$10,VLOOKUP(B76,'EF-S3 Waste'!$C$115:$H$129,6,),D76=$M$9,VLOOKUP(B76,'EF-S3 Waste'!$C$132:$H$146,6,))</f>
        <v>#N/A</v>
      </c>
      <c r="H76" s="190" t="e" cm="1">
        <f t="array" ref="H76">+_xlfn.IFS(D76=$M$10,VLOOKUP(B76,'EF-S3 Waste'!$C$115:$I$129,7,),D76=$M$9,VLOOKUP(B76,'EF-S3 Waste'!$C$132:$I$146,7,))</f>
        <v>#N/A</v>
      </c>
      <c r="I76" s="191">
        <f t="shared" si="1"/>
        <v>0</v>
      </c>
    </row>
    <row r="77" spans="2:9" x14ac:dyDescent="0.7">
      <c r="B77" s="188"/>
      <c r="C77" s="188"/>
      <c r="D77" s="188"/>
      <c r="E77" s="189"/>
      <c r="F77" s="188"/>
      <c r="G77" s="193" t="e" cm="1">
        <f t="array" ref="G77">+_xlfn.IFS(D77=$M$10,VLOOKUP(B77,'EF-S3 Waste'!$C$115:$H$129,6,),D77=$M$9,VLOOKUP(B77,'EF-S3 Waste'!$C$132:$H$146,6,))</f>
        <v>#N/A</v>
      </c>
      <c r="H77" s="190" t="e" cm="1">
        <f t="array" ref="H77">+_xlfn.IFS(D77=$M$10,VLOOKUP(B77,'EF-S3 Waste'!$C$115:$I$129,7,),D77=$M$9,VLOOKUP(B77,'EF-S3 Waste'!$C$132:$I$146,7,))</f>
        <v>#N/A</v>
      </c>
      <c r="I77" s="191">
        <f t="shared" si="1"/>
        <v>0</v>
      </c>
    </row>
    <row r="78" spans="2:9" x14ac:dyDescent="0.7">
      <c r="B78" s="188"/>
      <c r="C78" s="188"/>
      <c r="D78" s="188"/>
      <c r="E78" s="189"/>
      <c r="F78" s="188"/>
      <c r="G78" s="193" t="e" cm="1">
        <f t="array" ref="G78">+_xlfn.IFS(D78=$M$10,VLOOKUP(B78,'EF-S3 Waste'!$C$115:$H$129,6,),D78=$M$9,VLOOKUP(B78,'EF-S3 Waste'!$C$132:$H$146,6,))</f>
        <v>#N/A</v>
      </c>
      <c r="H78" s="190" t="e" cm="1">
        <f t="array" ref="H78">+_xlfn.IFS(D78=$M$10,VLOOKUP(B78,'EF-S3 Waste'!$C$115:$I$129,7,),D78=$M$9,VLOOKUP(B78,'EF-S3 Waste'!$C$132:$I$146,7,))</f>
        <v>#N/A</v>
      </c>
      <c r="I78" s="191">
        <f t="shared" si="1"/>
        <v>0</v>
      </c>
    </row>
    <row r="79" spans="2:9" x14ac:dyDescent="0.7">
      <c r="B79" s="188"/>
      <c r="C79" s="188"/>
      <c r="D79" s="188"/>
      <c r="E79" s="189"/>
      <c r="F79" s="188"/>
      <c r="G79" s="193" t="e" cm="1">
        <f t="array" ref="G79">+_xlfn.IFS(D79=$M$10,VLOOKUP(B79,'EF-S3 Waste'!$C$115:$H$129,6,),D79=$M$9,VLOOKUP(B79,'EF-S3 Waste'!$C$132:$H$146,6,))</f>
        <v>#N/A</v>
      </c>
      <c r="H79" s="190" t="e" cm="1">
        <f t="array" ref="H79">+_xlfn.IFS(D79=$M$10,VLOOKUP(B79,'EF-S3 Waste'!$C$115:$I$129,7,),D79=$M$9,VLOOKUP(B79,'EF-S3 Waste'!$C$132:$I$146,7,))</f>
        <v>#N/A</v>
      </c>
      <c r="I79" s="191">
        <f t="shared" si="1"/>
        <v>0</v>
      </c>
    </row>
    <row r="80" spans="2:9" x14ac:dyDescent="0.7">
      <c r="B80" s="188"/>
      <c r="C80" s="188"/>
      <c r="D80" s="188"/>
      <c r="E80" s="189"/>
      <c r="F80" s="188"/>
      <c r="G80" s="193" t="e" cm="1">
        <f t="array" ref="G80">+_xlfn.IFS(D80=$M$10,VLOOKUP(B80,'EF-S3 Waste'!$C$115:$H$129,6,),D80=$M$9,VLOOKUP(B80,'EF-S3 Waste'!$C$132:$H$146,6,))</f>
        <v>#N/A</v>
      </c>
      <c r="H80" s="190" t="e" cm="1">
        <f t="array" ref="H80">+_xlfn.IFS(D80=$M$10,VLOOKUP(B80,'EF-S3 Waste'!$C$115:$I$129,7,),D80=$M$9,VLOOKUP(B80,'EF-S3 Waste'!$C$132:$I$146,7,))</f>
        <v>#N/A</v>
      </c>
      <c r="I80" s="191">
        <f t="shared" si="1"/>
        <v>0</v>
      </c>
    </row>
    <row r="81" spans="2:9" x14ac:dyDescent="0.7">
      <c r="B81" s="188"/>
      <c r="C81" s="188"/>
      <c r="D81" s="188"/>
      <c r="E81" s="189"/>
      <c r="F81" s="188"/>
      <c r="G81" s="193" t="e" cm="1">
        <f t="array" ref="G81">+_xlfn.IFS(D81=$M$10,VLOOKUP(B81,'EF-S3 Waste'!$C$115:$H$129,6,),D81=$M$9,VLOOKUP(B81,'EF-S3 Waste'!$C$132:$H$146,6,))</f>
        <v>#N/A</v>
      </c>
      <c r="H81" s="190" t="e" cm="1">
        <f t="array" ref="H81">+_xlfn.IFS(D81=$M$10,VLOOKUP(B81,'EF-S3 Waste'!$C$115:$I$129,7,),D81=$M$9,VLOOKUP(B81,'EF-S3 Waste'!$C$132:$I$146,7,))</f>
        <v>#N/A</v>
      </c>
      <c r="I81" s="191">
        <f t="shared" si="1"/>
        <v>0</v>
      </c>
    </row>
    <row r="82" spans="2:9" x14ac:dyDescent="0.7">
      <c r="B82" s="188"/>
      <c r="C82" s="188"/>
      <c r="D82" s="188"/>
      <c r="E82" s="189"/>
      <c r="F82" s="188"/>
      <c r="G82" s="193" t="e" cm="1">
        <f t="array" ref="G82">+_xlfn.IFS(D82=$M$10,VLOOKUP(B82,'EF-S3 Waste'!$C$115:$H$129,6,),D82=$M$9,VLOOKUP(B82,'EF-S3 Waste'!$C$132:$H$146,6,))</f>
        <v>#N/A</v>
      </c>
      <c r="H82" s="190" t="e" cm="1">
        <f t="array" ref="H82">+_xlfn.IFS(D82=$M$10,VLOOKUP(B82,'EF-S3 Waste'!$C$115:$I$129,7,),D82=$M$9,VLOOKUP(B82,'EF-S3 Waste'!$C$132:$I$146,7,))</f>
        <v>#N/A</v>
      </c>
      <c r="I82" s="191">
        <f t="shared" si="1"/>
        <v>0</v>
      </c>
    </row>
    <row r="83" spans="2:9" x14ac:dyDescent="0.7">
      <c r="B83" s="188"/>
      <c r="C83" s="188"/>
      <c r="D83" s="188"/>
      <c r="E83" s="189"/>
      <c r="F83" s="188"/>
      <c r="G83" s="193" t="e" cm="1">
        <f t="array" ref="G83">+_xlfn.IFS(D83=$M$10,VLOOKUP(B83,'EF-S3 Waste'!$C$115:$H$129,6,),D83=$M$9,VLOOKUP(B83,'EF-S3 Waste'!$C$132:$H$146,6,))</f>
        <v>#N/A</v>
      </c>
      <c r="H83" s="190" t="e" cm="1">
        <f t="array" ref="H83">+_xlfn.IFS(D83=$M$10,VLOOKUP(B83,'EF-S3 Waste'!$C$115:$I$129,7,),D83=$M$9,VLOOKUP(B83,'EF-S3 Waste'!$C$132:$I$146,7,))</f>
        <v>#N/A</v>
      </c>
      <c r="I83" s="191">
        <f t="shared" si="1"/>
        <v>0</v>
      </c>
    </row>
    <row r="84" spans="2:9" x14ac:dyDescent="0.7">
      <c r="B84" s="188"/>
      <c r="C84" s="188"/>
      <c r="D84" s="188"/>
      <c r="E84" s="189"/>
      <c r="F84" s="188"/>
      <c r="G84" s="193" t="e" cm="1">
        <f t="array" ref="G84">+_xlfn.IFS(D84=$M$10,VLOOKUP(B84,'EF-S3 Waste'!$C$115:$H$129,6,),D84=$M$9,VLOOKUP(B84,'EF-S3 Waste'!$C$132:$H$146,6,))</f>
        <v>#N/A</v>
      </c>
      <c r="H84" s="190" t="e" cm="1">
        <f t="array" ref="H84">+_xlfn.IFS(D84=$M$10,VLOOKUP(B84,'EF-S3 Waste'!$C$115:$I$129,7,),D84=$M$9,VLOOKUP(B84,'EF-S3 Waste'!$C$132:$I$146,7,))</f>
        <v>#N/A</v>
      </c>
      <c r="I84" s="191">
        <f t="shared" si="1"/>
        <v>0</v>
      </c>
    </row>
    <row r="85" spans="2:9" x14ac:dyDescent="0.7">
      <c r="B85" s="188"/>
      <c r="C85" s="188"/>
      <c r="D85" s="188"/>
      <c r="E85" s="189"/>
      <c r="F85" s="188"/>
      <c r="G85" s="193" t="e" cm="1">
        <f t="array" ref="G85">+_xlfn.IFS(D85=$M$10,VLOOKUP(B85,'EF-S3 Waste'!$C$115:$H$129,6,),D85=$M$9,VLOOKUP(B85,'EF-S3 Waste'!$C$132:$H$146,6,))</f>
        <v>#N/A</v>
      </c>
      <c r="H85" s="190" t="e" cm="1">
        <f t="array" ref="H85">+_xlfn.IFS(D85=$M$10,VLOOKUP(B85,'EF-S3 Waste'!$C$115:$I$129,7,),D85=$M$9,VLOOKUP(B85,'EF-S3 Waste'!$C$132:$I$146,7,))</f>
        <v>#N/A</v>
      </c>
      <c r="I85" s="191">
        <f t="shared" si="1"/>
        <v>0</v>
      </c>
    </row>
    <row r="86" spans="2:9" x14ac:dyDescent="0.7">
      <c r="B86" s="188"/>
      <c r="C86" s="188"/>
      <c r="D86" s="188"/>
      <c r="E86" s="189"/>
      <c r="F86" s="188"/>
      <c r="G86" s="193" t="e" cm="1">
        <f t="array" ref="G86">+_xlfn.IFS(D86=$M$10,VLOOKUP(B86,'EF-S3 Waste'!$C$115:$H$129,6,),D86=$M$9,VLOOKUP(B86,'EF-S3 Waste'!$C$132:$H$146,6,))</f>
        <v>#N/A</v>
      </c>
      <c r="H86" s="190" t="e" cm="1">
        <f t="array" ref="H86">+_xlfn.IFS(D86=$M$10,VLOOKUP(B86,'EF-S3 Waste'!$C$115:$I$129,7,),D86=$M$9,VLOOKUP(B86,'EF-S3 Waste'!$C$132:$I$146,7,))</f>
        <v>#N/A</v>
      </c>
      <c r="I86" s="191">
        <f t="shared" si="1"/>
        <v>0</v>
      </c>
    </row>
    <row r="87" spans="2:9" x14ac:dyDescent="0.7">
      <c r="B87" s="188"/>
      <c r="C87" s="188"/>
      <c r="D87" s="188"/>
      <c r="E87" s="189"/>
      <c r="F87" s="188"/>
      <c r="G87" s="193" t="e" cm="1">
        <f t="array" ref="G87">+_xlfn.IFS(D87=$M$10,VLOOKUP(B87,'EF-S3 Waste'!$C$115:$H$129,6,),D87=$M$9,VLOOKUP(B87,'EF-S3 Waste'!$C$132:$H$146,6,))</f>
        <v>#N/A</v>
      </c>
      <c r="H87" s="190" t="e" cm="1">
        <f t="array" ref="H87">+_xlfn.IFS(D87=$M$10,VLOOKUP(B87,'EF-S3 Waste'!$C$115:$I$129,7,),D87=$M$9,VLOOKUP(B87,'EF-S3 Waste'!$C$132:$I$146,7,))</f>
        <v>#N/A</v>
      </c>
      <c r="I87" s="191">
        <f t="shared" si="1"/>
        <v>0</v>
      </c>
    </row>
    <row r="88" spans="2:9" x14ac:dyDescent="0.7">
      <c r="B88" s="188"/>
      <c r="C88" s="188"/>
      <c r="D88" s="188"/>
      <c r="E88" s="189"/>
      <c r="F88" s="188"/>
      <c r="G88" s="193" t="e" cm="1">
        <f t="array" ref="G88">+_xlfn.IFS(D88=$M$10,VLOOKUP(B88,'EF-S3 Waste'!$C$115:$H$129,6,),D88=$M$9,VLOOKUP(B88,'EF-S3 Waste'!$C$132:$H$146,6,))</f>
        <v>#N/A</v>
      </c>
      <c r="H88" s="190" t="e" cm="1">
        <f t="array" ref="H88">+_xlfn.IFS(D88=$M$10,VLOOKUP(B88,'EF-S3 Waste'!$C$115:$I$129,7,),D88=$M$9,VLOOKUP(B88,'EF-S3 Waste'!$C$132:$I$146,7,))</f>
        <v>#N/A</v>
      </c>
      <c r="I88" s="191">
        <f t="shared" si="1"/>
        <v>0</v>
      </c>
    </row>
    <row r="89" spans="2:9" x14ac:dyDescent="0.7">
      <c r="B89" s="188"/>
      <c r="C89" s="188"/>
      <c r="D89" s="188"/>
      <c r="E89" s="189"/>
      <c r="F89" s="188"/>
      <c r="G89" s="193" t="e" cm="1">
        <f t="array" ref="G89">+_xlfn.IFS(D89=$M$10,VLOOKUP(B89,'EF-S3 Waste'!$C$115:$H$129,6,),D89=$M$9,VLOOKUP(B89,'EF-S3 Waste'!$C$132:$H$146,6,))</f>
        <v>#N/A</v>
      </c>
      <c r="H89" s="190" t="e" cm="1">
        <f t="array" ref="H89">+_xlfn.IFS(D89=$M$10,VLOOKUP(B89,'EF-S3 Waste'!$C$115:$I$129,7,),D89=$M$9,VLOOKUP(B89,'EF-S3 Waste'!$C$132:$I$146,7,))</f>
        <v>#N/A</v>
      </c>
      <c r="I89" s="191">
        <f t="shared" si="1"/>
        <v>0</v>
      </c>
    </row>
    <row r="90" spans="2:9" x14ac:dyDescent="0.7">
      <c r="B90" s="188"/>
      <c r="C90" s="188"/>
      <c r="D90" s="188"/>
      <c r="E90" s="189"/>
      <c r="F90" s="188"/>
      <c r="G90" s="193" t="e" cm="1">
        <f t="array" ref="G90">+_xlfn.IFS(D90=$M$10,VLOOKUP(B90,'EF-S3 Waste'!$C$115:$H$129,6,),D90=$M$9,VLOOKUP(B90,'EF-S3 Waste'!$C$132:$H$146,6,))</f>
        <v>#N/A</v>
      </c>
      <c r="H90" s="190" t="e" cm="1">
        <f t="array" ref="H90">+_xlfn.IFS(D90=$M$10,VLOOKUP(B90,'EF-S3 Waste'!$C$115:$I$129,7,),D90=$M$9,VLOOKUP(B90,'EF-S3 Waste'!$C$132:$I$146,7,))</f>
        <v>#N/A</v>
      </c>
      <c r="I90" s="191">
        <f t="shared" si="1"/>
        <v>0</v>
      </c>
    </row>
    <row r="91" spans="2:9" x14ac:dyDescent="0.7">
      <c r="B91" s="188"/>
      <c r="C91" s="188"/>
      <c r="D91" s="188"/>
      <c r="E91" s="189"/>
      <c r="F91" s="188"/>
      <c r="G91" s="193" t="e" cm="1">
        <f t="array" ref="G91">+_xlfn.IFS(D91=$M$10,VLOOKUP(B91,'EF-S3 Waste'!$C$115:$H$129,6,),D91=$M$9,VLOOKUP(B91,'EF-S3 Waste'!$C$132:$H$146,6,))</f>
        <v>#N/A</v>
      </c>
      <c r="H91" s="190" t="e" cm="1">
        <f t="array" ref="H91">+_xlfn.IFS(D91=$M$10,VLOOKUP(B91,'EF-S3 Waste'!$C$115:$I$129,7,),D91=$M$9,VLOOKUP(B91,'EF-S3 Waste'!$C$132:$I$146,7,))</f>
        <v>#N/A</v>
      </c>
      <c r="I91" s="191">
        <f t="shared" si="1"/>
        <v>0</v>
      </c>
    </row>
    <row r="92" spans="2:9" x14ac:dyDescent="0.7">
      <c r="B92" s="188"/>
      <c r="C92" s="188"/>
      <c r="D92" s="188"/>
      <c r="E92" s="189"/>
      <c r="F92" s="188"/>
      <c r="G92" s="193" t="e" cm="1">
        <f t="array" ref="G92">+_xlfn.IFS(D92=$M$10,VLOOKUP(B92,'EF-S3 Waste'!$C$115:$H$129,6,),D92=$M$9,VLOOKUP(B92,'EF-S3 Waste'!$C$132:$H$146,6,))</f>
        <v>#N/A</v>
      </c>
      <c r="H92" s="190" t="e" cm="1">
        <f t="array" ref="H92">+_xlfn.IFS(D92=$M$10,VLOOKUP(B92,'EF-S3 Waste'!$C$115:$I$129,7,),D92=$M$9,VLOOKUP(B92,'EF-S3 Waste'!$C$132:$I$146,7,))</f>
        <v>#N/A</v>
      </c>
      <c r="I92" s="191">
        <f t="shared" si="1"/>
        <v>0</v>
      </c>
    </row>
    <row r="93" spans="2:9" x14ac:dyDescent="0.7">
      <c r="B93" s="188"/>
      <c r="C93" s="188"/>
      <c r="D93" s="188"/>
      <c r="E93" s="189"/>
      <c r="F93" s="188"/>
      <c r="G93" s="193" t="e" cm="1">
        <f t="array" ref="G93">+_xlfn.IFS(D93=$M$10,VLOOKUP(B93,'EF-S3 Waste'!$C$115:$H$129,6,),D93=$M$9,VLOOKUP(B93,'EF-S3 Waste'!$C$132:$H$146,6,))</f>
        <v>#N/A</v>
      </c>
      <c r="H93" s="190" t="e" cm="1">
        <f t="array" ref="H93">+_xlfn.IFS(D93=$M$10,VLOOKUP(B93,'EF-S3 Waste'!$C$115:$I$129,7,),D93=$M$9,VLOOKUP(B93,'EF-S3 Waste'!$C$132:$I$146,7,))</f>
        <v>#N/A</v>
      </c>
      <c r="I93" s="191">
        <f t="shared" si="1"/>
        <v>0</v>
      </c>
    </row>
    <row r="94" spans="2:9" x14ac:dyDescent="0.7">
      <c r="B94" s="188"/>
      <c r="C94" s="188"/>
      <c r="D94" s="188"/>
      <c r="E94" s="189"/>
      <c r="F94" s="188"/>
      <c r="G94" s="193" t="e" cm="1">
        <f t="array" ref="G94">+_xlfn.IFS(D94=$M$10,VLOOKUP(B94,'EF-S3 Waste'!$C$115:$H$129,6,),D94=$M$9,VLOOKUP(B94,'EF-S3 Waste'!$C$132:$H$146,6,))</f>
        <v>#N/A</v>
      </c>
      <c r="H94" s="190" t="e" cm="1">
        <f t="array" ref="H94">+_xlfn.IFS(D94=$M$10,VLOOKUP(B94,'EF-S3 Waste'!$C$115:$I$129,7,),D94=$M$9,VLOOKUP(B94,'EF-S3 Waste'!$C$132:$I$146,7,))</f>
        <v>#N/A</v>
      </c>
      <c r="I94" s="191">
        <f t="shared" si="1"/>
        <v>0</v>
      </c>
    </row>
    <row r="95" spans="2:9" x14ac:dyDescent="0.7">
      <c r="B95" s="188"/>
      <c r="C95" s="188"/>
      <c r="D95" s="188"/>
      <c r="E95" s="189"/>
      <c r="F95" s="188"/>
      <c r="G95" s="193" t="e" cm="1">
        <f t="array" ref="G95">+_xlfn.IFS(D95=$M$10,VLOOKUP(B95,'EF-S3 Waste'!$C$115:$H$129,6,),D95=$M$9,VLOOKUP(B95,'EF-S3 Waste'!$C$132:$H$146,6,))</f>
        <v>#N/A</v>
      </c>
      <c r="H95" s="190" t="e" cm="1">
        <f t="array" ref="H95">+_xlfn.IFS(D95=$M$10,VLOOKUP(B95,'EF-S3 Waste'!$C$115:$I$129,7,),D95=$M$9,VLOOKUP(B95,'EF-S3 Waste'!$C$132:$I$146,7,))</f>
        <v>#N/A</v>
      </c>
      <c r="I95" s="191">
        <f t="shared" si="1"/>
        <v>0</v>
      </c>
    </row>
    <row r="96" spans="2:9" x14ac:dyDescent="0.7">
      <c r="B96" s="188"/>
      <c r="C96" s="188"/>
      <c r="D96" s="188"/>
      <c r="E96" s="189"/>
      <c r="F96" s="188"/>
      <c r="G96" s="193" t="e" cm="1">
        <f t="array" ref="G96">+_xlfn.IFS(D96=$M$10,VLOOKUP(B96,'EF-S3 Waste'!$C$115:$H$129,6,),D96=$M$9,VLOOKUP(B96,'EF-S3 Waste'!$C$132:$H$146,6,))</f>
        <v>#N/A</v>
      </c>
      <c r="H96" s="190" t="e" cm="1">
        <f t="array" ref="H96">+_xlfn.IFS(D96=$M$10,VLOOKUP(B96,'EF-S3 Waste'!$C$115:$I$129,7,),D96=$M$9,VLOOKUP(B96,'EF-S3 Waste'!$C$132:$I$146,7,))</f>
        <v>#N/A</v>
      </c>
      <c r="I96" s="191">
        <f t="shared" si="1"/>
        <v>0</v>
      </c>
    </row>
    <row r="97" spans="2:9" x14ac:dyDescent="0.7">
      <c r="B97" s="188"/>
      <c r="C97" s="188"/>
      <c r="D97" s="188"/>
      <c r="E97" s="189"/>
      <c r="F97" s="188"/>
      <c r="G97" s="193" t="e" cm="1">
        <f t="array" ref="G97">+_xlfn.IFS(D97=$M$10,VLOOKUP(B97,'EF-S3 Waste'!$C$115:$H$129,6,),D97=$M$9,VLOOKUP(B97,'EF-S3 Waste'!$C$132:$H$146,6,))</f>
        <v>#N/A</v>
      </c>
      <c r="H97" s="190" t="e" cm="1">
        <f t="array" ref="H97">+_xlfn.IFS(D97=$M$10,VLOOKUP(B97,'EF-S3 Waste'!$C$115:$I$129,7,),D97=$M$9,VLOOKUP(B97,'EF-S3 Waste'!$C$132:$I$146,7,))</f>
        <v>#N/A</v>
      </c>
      <c r="I97" s="191">
        <f t="shared" si="1"/>
        <v>0</v>
      </c>
    </row>
    <row r="98" spans="2:9" x14ac:dyDescent="0.7">
      <c r="B98" s="188"/>
      <c r="C98" s="188"/>
      <c r="D98" s="188"/>
      <c r="E98" s="189"/>
      <c r="F98" s="188"/>
      <c r="G98" s="193" t="e" cm="1">
        <f t="array" ref="G98">+_xlfn.IFS(D98=$M$10,VLOOKUP(B98,'EF-S3 Waste'!$C$115:$H$129,6,),D98=$M$9,VLOOKUP(B98,'EF-S3 Waste'!$C$132:$H$146,6,))</f>
        <v>#N/A</v>
      </c>
      <c r="H98" s="190" t="e" cm="1">
        <f t="array" ref="H98">+_xlfn.IFS(D98=$M$10,VLOOKUP(B98,'EF-S3 Waste'!$C$115:$I$129,7,),D98=$M$9,VLOOKUP(B98,'EF-S3 Waste'!$C$132:$I$146,7,))</f>
        <v>#N/A</v>
      </c>
      <c r="I98" s="191">
        <f t="shared" si="1"/>
        <v>0</v>
      </c>
    </row>
    <row r="99" spans="2:9" x14ac:dyDescent="0.7">
      <c r="B99" s="188"/>
      <c r="C99" s="188"/>
      <c r="D99" s="188"/>
      <c r="E99" s="189"/>
      <c r="F99" s="188"/>
      <c r="G99" s="193" t="e" cm="1">
        <f t="array" ref="G99">+_xlfn.IFS(D99=$M$10,VLOOKUP(B99,'EF-S3 Waste'!$C$115:$H$129,6,),D99=$M$9,VLOOKUP(B99,'EF-S3 Waste'!$C$132:$H$146,6,))</f>
        <v>#N/A</v>
      </c>
      <c r="H99" s="190" t="e" cm="1">
        <f t="array" ref="H99">+_xlfn.IFS(D99=$M$10,VLOOKUP(B99,'EF-S3 Waste'!$C$115:$I$129,7,),D99=$M$9,VLOOKUP(B99,'EF-S3 Waste'!$C$132:$I$146,7,))</f>
        <v>#N/A</v>
      </c>
      <c r="I99" s="191">
        <f t="shared" si="1"/>
        <v>0</v>
      </c>
    </row>
    <row r="100" spans="2:9" x14ac:dyDescent="0.7">
      <c r="B100" s="188"/>
      <c r="C100" s="188"/>
      <c r="D100" s="188"/>
      <c r="E100" s="189"/>
      <c r="F100" s="188"/>
      <c r="G100" s="193" t="e" cm="1">
        <f t="array" ref="G100">+_xlfn.IFS(D100=$M$10,VLOOKUP(B100,'EF-S3 Waste'!$C$115:$H$129,6,),D100=$M$9,VLOOKUP(B100,'EF-S3 Waste'!$C$132:$H$146,6,))</f>
        <v>#N/A</v>
      </c>
      <c r="H100" s="190" t="e" cm="1">
        <f t="array" ref="H100">+_xlfn.IFS(D100=$M$10,VLOOKUP(B100,'EF-S3 Waste'!$C$115:$I$129,7,),D100=$M$9,VLOOKUP(B100,'EF-S3 Waste'!$C$132:$I$146,7,))</f>
        <v>#N/A</v>
      </c>
      <c r="I100" s="191">
        <f t="shared" si="1"/>
        <v>0</v>
      </c>
    </row>
    <row r="101" spans="2:9" x14ac:dyDescent="0.7">
      <c r="B101" s="188"/>
      <c r="C101" s="188"/>
      <c r="D101" s="188"/>
      <c r="E101" s="189"/>
      <c r="F101" s="188"/>
      <c r="G101" s="193" t="e" cm="1">
        <f t="array" ref="G101">+_xlfn.IFS(D101=$M$10,VLOOKUP(B101,'EF-S3 Waste'!$C$115:$H$129,6,),D101=$M$9,VLOOKUP(B101,'EF-S3 Waste'!$C$132:$H$146,6,))</f>
        <v>#N/A</v>
      </c>
      <c r="H101" s="190" t="e" cm="1">
        <f t="array" ref="H101">+_xlfn.IFS(D101=$M$10,VLOOKUP(B101,'EF-S3 Waste'!$C$115:$I$129,7,),D101=$M$9,VLOOKUP(B101,'EF-S3 Waste'!$C$132:$I$146,7,))</f>
        <v>#N/A</v>
      </c>
      <c r="I101" s="191">
        <f t="shared" si="1"/>
        <v>0</v>
      </c>
    </row>
    <row r="102" spans="2:9" x14ac:dyDescent="0.7">
      <c r="B102" s="188"/>
      <c r="C102" s="188"/>
      <c r="D102" s="188"/>
      <c r="E102" s="189"/>
      <c r="F102" s="188"/>
      <c r="G102" s="193" t="e" cm="1">
        <f t="array" ref="G102">+_xlfn.IFS(D102=$M$10,VLOOKUP(B102,'EF-S3 Waste'!$C$115:$H$129,6,),D102=$M$9,VLOOKUP(B102,'EF-S3 Waste'!$C$132:$H$146,6,))</f>
        <v>#N/A</v>
      </c>
      <c r="H102" s="190" t="e" cm="1">
        <f t="array" ref="H102">+_xlfn.IFS(D102=$M$10,VLOOKUP(B102,'EF-S3 Waste'!$C$115:$I$129,7,),D102=$M$9,VLOOKUP(B102,'EF-S3 Waste'!$C$132:$I$146,7,))</f>
        <v>#N/A</v>
      </c>
      <c r="I102" s="191">
        <f t="shared" si="1"/>
        <v>0</v>
      </c>
    </row>
    <row r="103" spans="2:9" x14ac:dyDescent="0.7">
      <c r="B103" s="188"/>
      <c r="C103" s="188"/>
      <c r="D103" s="188"/>
      <c r="E103" s="189"/>
      <c r="F103" s="188"/>
      <c r="G103" s="193" t="e" cm="1">
        <f t="array" ref="G103">+_xlfn.IFS(D103=$M$10,VLOOKUP(B103,'EF-S3 Waste'!$C$115:$H$129,6,),D103=$M$9,VLOOKUP(B103,'EF-S3 Waste'!$C$132:$H$146,6,))</f>
        <v>#N/A</v>
      </c>
      <c r="H103" s="190" t="e" cm="1">
        <f t="array" ref="H103">+_xlfn.IFS(D103=$M$10,VLOOKUP(B103,'EF-S3 Waste'!$C$115:$I$129,7,),D103=$M$9,VLOOKUP(B103,'EF-S3 Waste'!$C$132:$I$146,7,))</f>
        <v>#N/A</v>
      </c>
      <c r="I103" s="191">
        <f t="shared" si="1"/>
        <v>0</v>
      </c>
    </row>
  </sheetData>
  <sheetProtection algorithmName="SHA-512" hashValue="LgyMNIqyWsbKEOZt89+B+4AbpLwWnT7t13Yuc3WGu7TB9fWlWASpdP1yZBQlntprVTyUbQwZPgZPDr4Ipj1YAw==" saltValue="enCfSwzAhnI4LybUDpPrAw==" spinCount="100000" sheet="1" objects="1" scenarios="1"/>
  <protectedRanges>
    <protectedRange sqref="B10:F103" name="Rango1"/>
  </protectedRanges>
  <mergeCells count="3">
    <mergeCell ref="A5:G5"/>
    <mergeCell ref="G8:H8"/>
    <mergeCell ref="B8:F8"/>
  </mergeCells>
  <dataValidations count="5">
    <dataValidation type="list" allowBlank="1" showInputMessage="1" showErrorMessage="1" sqref="B10:B103" xr:uid="{4EC33918-58AA-452B-9679-CFF1D0630DD5}">
      <formula1>Type_waste</formula1>
    </dataValidation>
    <dataValidation type="list" allowBlank="1" showInputMessage="1" showErrorMessage="1" sqref="C10:C103" xr:uid="{A4D83F78-BEBD-4B8F-95AD-8B0C08161F21}">
      <formula1>hazard</formula1>
    </dataValidation>
    <dataValidation type="list" allowBlank="1" showInputMessage="1" showErrorMessage="1" sqref="D10:D103" xr:uid="{A70F699B-5AC7-408D-927A-DC76202E0158}">
      <formula1>waste</formula1>
    </dataValidation>
    <dataValidation type="list" allowBlank="1" showInputMessage="1" showErrorMessage="1" sqref="F10:F103" xr:uid="{F19CE064-B205-4647-A2F2-35E9194D48E8}">
      <formula1>unit_raw</formula1>
    </dataValidation>
    <dataValidation type="decimal" allowBlank="1" showInputMessage="1" showErrorMessage="1" sqref="E10:E103" xr:uid="{AC30A7D8-65E1-43E2-8B33-CE384F3874FF}">
      <formula1>0</formula1>
      <formula2>99999</formula2>
    </dataValidation>
  </dataValidations>
  <pageMargins left="0.7" right="0.7" top="0.75" bottom="0.75" header="0.3" footer="0.3"/>
  <drawing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A0662-B5C2-49DA-899D-BE0740A4BB3A}">
  <sheetPr>
    <tabColor rgb="FF083C12"/>
  </sheetPr>
  <dimension ref="A1:AB104"/>
  <sheetViews>
    <sheetView zoomScale="30" zoomScaleNormal="30" workbookViewId="0">
      <selection activeCell="K21" sqref="K21"/>
    </sheetView>
  </sheetViews>
  <sheetFormatPr baseColWidth="10" defaultColWidth="10.88671875" defaultRowHeight="36.6" x14ac:dyDescent="0.7"/>
  <cols>
    <col min="1" max="1" width="3.5546875" style="162" customWidth="1"/>
    <col min="2" max="2" width="65.88671875" style="162" customWidth="1"/>
    <col min="3" max="3" width="75" style="162" customWidth="1"/>
    <col min="4" max="4" width="64.88671875" style="162" customWidth="1"/>
    <col min="5" max="5" width="52.6640625" style="162" customWidth="1"/>
    <col min="6" max="6" width="59.33203125" style="162" customWidth="1"/>
    <col min="7" max="7" width="53" style="162" customWidth="1"/>
    <col min="8" max="8" width="48.88671875" style="162" customWidth="1"/>
    <col min="9" max="9" width="16.6640625" style="162" customWidth="1"/>
    <col min="10" max="10" width="56" style="162" customWidth="1"/>
    <col min="11" max="11" width="68.88671875" style="162" customWidth="1"/>
    <col min="12" max="12" width="66.88671875" style="162" customWidth="1"/>
    <col min="13" max="13" width="45.44140625" style="162" customWidth="1"/>
    <col min="14" max="14" width="69.109375" style="162" customWidth="1"/>
    <col min="15" max="15" width="63.5546875" style="162" customWidth="1"/>
    <col min="16" max="27" width="16.6640625" style="162" customWidth="1"/>
    <col min="28" max="28" width="10.88671875" style="162" hidden="1" customWidth="1"/>
    <col min="29" max="16384" width="10.88671875" style="162"/>
  </cols>
  <sheetData>
    <row r="1" spans="1:28" x14ac:dyDescent="0.7">
      <c r="A1" s="161"/>
      <c r="B1" s="161"/>
      <c r="C1" s="161"/>
      <c r="D1" s="161"/>
      <c r="E1" s="161"/>
      <c r="F1" s="161"/>
      <c r="G1" s="161"/>
      <c r="H1" s="161"/>
      <c r="I1" s="161"/>
      <c r="J1" s="161"/>
      <c r="K1" s="161"/>
      <c r="L1" s="161"/>
      <c r="M1" s="161"/>
      <c r="N1" s="161"/>
      <c r="O1" s="161"/>
    </row>
    <row r="2" spans="1:28" x14ac:dyDescent="0.7">
      <c r="A2" s="161"/>
      <c r="B2" s="161"/>
      <c r="C2" s="161"/>
      <c r="D2" s="161"/>
      <c r="E2" s="161"/>
      <c r="F2" s="161"/>
      <c r="G2" s="161"/>
      <c r="H2" s="161"/>
      <c r="I2" s="161"/>
      <c r="J2" s="161"/>
      <c r="K2" s="161"/>
      <c r="L2" s="161"/>
      <c r="M2" s="161"/>
      <c r="N2" s="161"/>
      <c r="O2" s="161"/>
    </row>
    <row r="3" spans="1:28" x14ac:dyDescent="0.7">
      <c r="A3" s="161"/>
      <c r="B3" s="161"/>
      <c r="C3" s="161"/>
      <c r="D3" s="161"/>
      <c r="E3" s="161"/>
      <c r="F3" s="161"/>
      <c r="G3" s="161"/>
      <c r="H3" s="161"/>
      <c r="I3" s="161"/>
      <c r="J3" s="161"/>
      <c r="K3" s="161"/>
      <c r="L3" s="161"/>
      <c r="M3" s="161"/>
      <c r="N3" s="161"/>
      <c r="O3" s="161"/>
    </row>
    <row r="4" spans="1:28" x14ac:dyDescent="0.7">
      <c r="A4" s="161"/>
      <c r="B4" s="161"/>
      <c r="C4" s="161"/>
      <c r="D4" s="161"/>
      <c r="E4" s="161"/>
      <c r="F4" s="161"/>
      <c r="G4" s="161"/>
      <c r="H4" s="161"/>
      <c r="I4" s="161"/>
      <c r="J4" s="161"/>
      <c r="K4" s="161"/>
      <c r="L4" s="161"/>
      <c r="M4" s="161"/>
      <c r="N4" s="161"/>
      <c r="O4" s="161"/>
    </row>
    <row r="5" spans="1:28" x14ac:dyDescent="0.7">
      <c r="A5" s="161"/>
      <c r="B5" s="161"/>
      <c r="C5" s="161"/>
      <c r="D5" s="161"/>
      <c r="E5" s="161"/>
      <c r="F5" s="161"/>
      <c r="G5" s="161"/>
      <c r="H5" s="161"/>
      <c r="I5" s="161"/>
      <c r="J5" s="161"/>
      <c r="K5" s="161"/>
      <c r="L5" s="161"/>
      <c r="M5" s="161"/>
      <c r="N5" s="161"/>
      <c r="O5" s="161"/>
    </row>
    <row r="6" spans="1:28" ht="36" customHeight="1" x14ac:dyDescent="0.7">
      <c r="A6" s="295" t="s">
        <v>160</v>
      </c>
      <c r="B6" s="296"/>
      <c r="C6" s="296"/>
      <c r="D6" s="296"/>
      <c r="E6" s="296"/>
      <c r="F6" s="296"/>
      <c r="G6" s="296"/>
      <c r="H6" s="296"/>
      <c r="I6" s="296"/>
      <c r="J6" s="296"/>
      <c r="K6" s="296"/>
      <c r="L6" s="296"/>
      <c r="M6" s="296"/>
      <c r="N6" s="296"/>
      <c r="O6" s="297"/>
      <c r="P6" s="182"/>
    </row>
    <row r="7" spans="1:28" x14ac:dyDescent="0.7">
      <c r="A7" s="149"/>
      <c r="B7" s="149"/>
      <c r="C7" s="149"/>
      <c r="D7" s="149"/>
      <c r="E7" s="149"/>
      <c r="F7" s="149"/>
      <c r="G7" s="149"/>
      <c r="H7" s="149"/>
      <c r="I7" s="149"/>
      <c r="J7" s="149"/>
      <c r="K7" s="149"/>
      <c r="L7" s="149"/>
      <c r="M7" s="149"/>
      <c r="N7" s="149"/>
      <c r="O7" s="149"/>
    </row>
    <row r="8" spans="1:28" x14ac:dyDescent="0.7">
      <c r="B8" s="294" t="s">
        <v>161</v>
      </c>
      <c r="C8" s="292"/>
      <c r="D8" s="292"/>
      <c r="E8" s="292"/>
      <c r="F8" s="287" t="s">
        <v>60</v>
      </c>
      <c r="G8" s="288"/>
      <c r="H8" s="241" t="s">
        <v>61</v>
      </c>
      <c r="J8" s="292" t="s">
        <v>162</v>
      </c>
      <c r="K8" s="292"/>
      <c r="L8" s="293"/>
      <c r="M8" s="287" t="s">
        <v>163</v>
      </c>
      <c r="N8" s="288"/>
      <c r="O8" s="241" t="s">
        <v>61</v>
      </c>
      <c r="AB8" s="183" t="s">
        <v>164</v>
      </c>
    </row>
    <row r="9" spans="1:28" x14ac:dyDescent="0.7">
      <c r="B9" s="185" t="s">
        <v>165</v>
      </c>
      <c r="C9" s="185" t="s">
        <v>166</v>
      </c>
      <c r="D9" s="185" t="s">
        <v>121</v>
      </c>
      <c r="E9" s="185" t="s">
        <v>114</v>
      </c>
      <c r="F9" s="242" t="s">
        <v>111</v>
      </c>
      <c r="G9" s="242" t="s">
        <v>32</v>
      </c>
      <c r="H9" s="243" t="s">
        <v>74</v>
      </c>
      <c r="J9" s="185" t="s">
        <v>88</v>
      </c>
      <c r="K9" s="185" t="s">
        <v>167</v>
      </c>
      <c r="L9" s="185" t="s">
        <v>168</v>
      </c>
      <c r="M9" s="242" t="s">
        <v>111</v>
      </c>
      <c r="N9" s="242" t="s">
        <v>32</v>
      </c>
      <c r="O9" s="243" t="s">
        <v>74</v>
      </c>
      <c r="AB9" s="186" t="s">
        <v>169</v>
      </c>
    </row>
    <row r="10" spans="1:28" x14ac:dyDescent="0.7">
      <c r="B10" s="189" t="s">
        <v>170</v>
      </c>
      <c r="C10" s="189" t="s">
        <v>171</v>
      </c>
      <c r="D10" s="189">
        <v>11374</v>
      </c>
      <c r="E10" s="200" t="s">
        <v>125</v>
      </c>
      <c r="F10" s="190">
        <f>+VLOOKUP(E10,'EF-S3'!$B$17:$C$21,2,)</f>
        <v>8.1170000000000006E-2</v>
      </c>
      <c r="G10" s="198" t="str">
        <f>+'EF-S3'!$C$16</f>
        <v>kg CO2e/km</v>
      </c>
      <c r="H10" s="191">
        <f>+IFERROR((D10*F10)/1000,0)</f>
        <v>0.92322758000000005</v>
      </c>
      <c r="J10" s="200" t="s">
        <v>171</v>
      </c>
      <c r="K10" s="189">
        <v>2</v>
      </c>
      <c r="L10" s="189">
        <v>3</v>
      </c>
      <c r="M10" s="190">
        <f>+VLOOKUP(J10,'EF-S3'!$B$38:$C$88,2,)</f>
        <v>37.799999999999997</v>
      </c>
      <c r="N10" s="190" t="str">
        <f>+countries[[#Headers],[kgCO2e/room per night]]</f>
        <v>kgCO2e/room per night</v>
      </c>
      <c r="O10" s="191">
        <f>+IFERROR((K10*L10*M10)/1000,0)</f>
        <v>0.22679999999999997</v>
      </c>
      <c r="AB10" s="192" t="s">
        <v>125</v>
      </c>
    </row>
    <row r="11" spans="1:28" x14ac:dyDescent="0.7">
      <c r="B11" s="189" t="s">
        <v>171</v>
      </c>
      <c r="C11" s="189" t="s">
        <v>172</v>
      </c>
      <c r="D11" s="189">
        <v>6059</v>
      </c>
      <c r="E11" s="200" t="s">
        <v>125</v>
      </c>
      <c r="F11" s="190">
        <f>+VLOOKUP(E11,'EF-S3'!$B$17:$C$21,2,)</f>
        <v>8.1170000000000006E-2</v>
      </c>
      <c r="G11" s="198" t="str">
        <f>+'EF-S3'!$C$16</f>
        <v>kg CO2e/km</v>
      </c>
      <c r="H11" s="191">
        <f t="shared" ref="H11:H74" si="0">+IFERROR((D11*F11)/1000,0)</f>
        <v>0.49180903000000009</v>
      </c>
      <c r="J11" s="200" t="s">
        <v>173</v>
      </c>
      <c r="K11" s="189">
        <v>2</v>
      </c>
      <c r="L11" s="189">
        <v>3</v>
      </c>
      <c r="M11" s="190">
        <f>+VLOOKUP(J11,'EF-S3'!$B$38:$C$88,2,)</f>
        <v>42.6</v>
      </c>
      <c r="N11" s="190" t="str">
        <f>+countries[[#Headers],[kgCO2e/room per night]]</f>
        <v>kgCO2e/room per night</v>
      </c>
      <c r="O11" s="191">
        <f t="shared" ref="O11:O74" si="1">+IFERROR((K11*L11*M11)/1000,0)</f>
        <v>0.25560000000000005</v>
      </c>
      <c r="AB11" s="192" t="s">
        <v>174</v>
      </c>
    </row>
    <row r="12" spans="1:28" x14ac:dyDescent="0.7">
      <c r="B12" s="189" t="s">
        <v>172</v>
      </c>
      <c r="C12" s="189" t="s">
        <v>170</v>
      </c>
      <c r="D12" s="189">
        <v>17320</v>
      </c>
      <c r="E12" s="200" t="s">
        <v>125</v>
      </c>
      <c r="F12" s="190">
        <f>+VLOOKUP(E12,'EF-S3'!$B$17:$C$21,2,)</f>
        <v>8.1170000000000006E-2</v>
      </c>
      <c r="G12" s="198" t="str">
        <f>+'EF-S3'!$C$16</f>
        <v>kg CO2e/km</v>
      </c>
      <c r="H12" s="191">
        <f t="shared" si="0"/>
        <v>1.4058644000000002</v>
      </c>
      <c r="J12" s="200" t="s">
        <v>175</v>
      </c>
      <c r="K12" s="189">
        <v>2</v>
      </c>
      <c r="L12" s="189">
        <v>5</v>
      </c>
      <c r="M12" s="190">
        <f>+VLOOKUP(J12,'EF-S3'!$B$38:$C$88,2,)</f>
        <v>19.7</v>
      </c>
      <c r="N12" s="190" t="str">
        <f>+countries[[#Headers],[kgCO2e/room per night]]</f>
        <v>kgCO2e/room per night</v>
      </c>
      <c r="O12" s="191">
        <f t="shared" si="1"/>
        <v>0.19700000000000001</v>
      </c>
      <c r="AB12" s="186" t="s">
        <v>176</v>
      </c>
    </row>
    <row r="13" spans="1:28" x14ac:dyDescent="0.7">
      <c r="B13" s="189" t="s">
        <v>170</v>
      </c>
      <c r="C13" s="189" t="s">
        <v>177</v>
      </c>
      <c r="D13" s="189">
        <v>5470</v>
      </c>
      <c r="E13" s="200" t="s">
        <v>125</v>
      </c>
      <c r="F13" s="190">
        <f>+VLOOKUP(E13,'EF-S3'!$B$17:$C$21,2,)</f>
        <v>8.1170000000000006E-2</v>
      </c>
      <c r="G13" s="198" t="str">
        <f>+'EF-S3'!$C$16</f>
        <v>kg CO2e/km</v>
      </c>
      <c r="H13" s="191">
        <f t="shared" si="0"/>
        <v>0.4439999</v>
      </c>
      <c r="J13" s="200" t="s">
        <v>178</v>
      </c>
      <c r="K13" s="189">
        <v>2</v>
      </c>
      <c r="L13" s="189">
        <v>2</v>
      </c>
      <c r="M13" s="190">
        <f>+VLOOKUP(J13,'EF-S3'!$B$38:$C$88,2,)</f>
        <v>61.2</v>
      </c>
      <c r="N13" s="190" t="str">
        <f>+countries[[#Headers],[kgCO2e/room per night]]</f>
        <v>kgCO2e/room per night</v>
      </c>
      <c r="O13" s="191">
        <f t="shared" si="1"/>
        <v>0.24480000000000002</v>
      </c>
      <c r="AB13" s="186" t="s">
        <v>179</v>
      </c>
    </row>
    <row r="14" spans="1:28" x14ac:dyDescent="0.7">
      <c r="B14" s="189" t="s">
        <v>177</v>
      </c>
      <c r="C14" s="189" t="s">
        <v>170</v>
      </c>
      <c r="D14" s="189">
        <v>5470</v>
      </c>
      <c r="E14" s="200" t="s">
        <v>125</v>
      </c>
      <c r="F14" s="190">
        <f>+VLOOKUP(E14,'EF-S3'!$B$17:$C$21,2,)</f>
        <v>8.1170000000000006E-2</v>
      </c>
      <c r="G14" s="198" t="str">
        <f>+'EF-S3'!$C$16</f>
        <v>kg CO2e/km</v>
      </c>
      <c r="H14" s="191">
        <f t="shared" si="0"/>
        <v>0.4439999</v>
      </c>
      <c r="J14" s="200" t="s">
        <v>180</v>
      </c>
      <c r="K14" s="189">
        <v>2</v>
      </c>
      <c r="L14" s="189">
        <v>2</v>
      </c>
      <c r="M14" s="190">
        <f>+VLOOKUP(J14,'EF-S3'!$B$38:$C$88,2,)</f>
        <v>20.9</v>
      </c>
      <c r="N14" s="190" t="str">
        <f>+countries[[#Headers],[kgCO2e/room per night]]</f>
        <v>kgCO2e/room per night</v>
      </c>
      <c r="O14" s="191">
        <f t="shared" si="1"/>
        <v>8.3599999999999994E-2</v>
      </c>
    </row>
    <row r="15" spans="1:28" x14ac:dyDescent="0.7">
      <c r="B15" s="189" t="s">
        <v>170</v>
      </c>
      <c r="C15" s="189" t="s">
        <v>181</v>
      </c>
      <c r="D15" s="189">
        <v>9990.4</v>
      </c>
      <c r="E15" s="200" t="s">
        <v>125</v>
      </c>
      <c r="F15" s="190">
        <f>+VLOOKUP(E15,'EF-S3'!$B$17:$C$21,2,)</f>
        <v>8.1170000000000006E-2</v>
      </c>
      <c r="G15" s="198" t="str">
        <f>+'EF-S3'!$C$16</f>
        <v>kg CO2e/km</v>
      </c>
      <c r="H15" s="191">
        <f t="shared" si="0"/>
        <v>0.81092076800000001</v>
      </c>
      <c r="J15" s="200" t="s">
        <v>182</v>
      </c>
      <c r="K15" s="189">
        <v>3</v>
      </c>
      <c r="L15" s="189">
        <v>6</v>
      </c>
      <c r="M15" s="190">
        <f>+VLOOKUP(J15,'EF-S3'!$B$38:$C$88,2,)</f>
        <v>114.4</v>
      </c>
      <c r="N15" s="190" t="str">
        <f>+countries[[#Headers],[kgCO2e/room per night]]</f>
        <v>kgCO2e/room per night</v>
      </c>
      <c r="O15" s="191">
        <f t="shared" si="1"/>
        <v>2.0592000000000001</v>
      </c>
    </row>
    <row r="16" spans="1:28" x14ac:dyDescent="0.7">
      <c r="A16" s="161"/>
      <c r="B16" s="189" t="s">
        <v>181</v>
      </c>
      <c r="C16" s="189" t="s">
        <v>183</v>
      </c>
      <c r="D16" s="189">
        <v>8629</v>
      </c>
      <c r="E16" s="200" t="s">
        <v>125</v>
      </c>
      <c r="F16" s="190">
        <f>+VLOOKUP(E16,'EF-S3'!$B$17:$C$21,2,)</f>
        <v>8.1170000000000006E-2</v>
      </c>
      <c r="G16" s="198" t="str">
        <f>+'EF-S3'!$C$16</f>
        <v>kg CO2e/km</v>
      </c>
      <c r="H16" s="191">
        <f t="shared" si="0"/>
        <v>0.70041593000000002</v>
      </c>
      <c r="J16" s="200" t="s">
        <v>184</v>
      </c>
      <c r="K16" s="189">
        <v>3</v>
      </c>
      <c r="L16" s="189">
        <v>4</v>
      </c>
      <c r="M16" s="190">
        <f>+VLOOKUP(J16,'EF-S3'!$B$38:$C$88,2,)</f>
        <v>114.5</v>
      </c>
      <c r="N16" s="190" t="str">
        <f>+countries[[#Headers],[kgCO2e/room per night]]</f>
        <v>kgCO2e/room per night</v>
      </c>
      <c r="O16" s="191">
        <f t="shared" si="1"/>
        <v>1.3740000000000001</v>
      </c>
    </row>
    <row r="17" spans="1:15" x14ac:dyDescent="0.7">
      <c r="A17" s="161"/>
      <c r="B17" s="189" t="s">
        <v>183</v>
      </c>
      <c r="C17" s="189" t="s">
        <v>170</v>
      </c>
      <c r="D17" s="189">
        <v>2063.36</v>
      </c>
      <c r="E17" s="200" t="s">
        <v>125</v>
      </c>
      <c r="F17" s="190">
        <f>+VLOOKUP(E17,'EF-S3'!$B$17:$C$21,2,)</f>
        <v>8.1170000000000006E-2</v>
      </c>
      <c r="G17" s="198" t="str">
        <f>+'EF-S3'!$C$16</f>
        <v>kg CO2e/km</v>
      </c>
      <c r="H17" s="191">
        <f t="shared" si="0"/>
        <v>0.16748293120000002</v>
      </c>
      <c r="J17" s="200" t="s">
        <v>185</v>
      </c>
      <c r="K17" s="189">
        <v>2</v>
      </c>
      <c r="L17" s="189">
        <v>1</v>
      </c>
      <c r="M17" s="190">
        <f>+VLOOKUP(J17,'EF-S3'!$B$38:$C$88,2,)</f>
        <v>6.5</v>
      </c>
      <c r="N17" s="190" t="str">
        <f>+countries[[#Headers],[kgCO2e/room per night]]</f>
        <v>kgCO2e/room per night</v>
      </c>
      <c r="O17" s="191">
        <f t="shared" si="1"/>
        <v>1.2999999999999999E-2</v>
      </c>
    </row>
    <row r="18" spans="1:15" x14ac:dyDescent="0.7">
      <c r="A18" s="161"/>
      <c r="B18" s="189" t="s">
        <v>170</v>
      </c>
      <c r="C18" s="189" t="s">
        <v>186</v>
      </c>
      <c r="D18" s="189">
        <v>2063.36</v>
      </c>
      <c r="E18" s="200" t="s">
        <v>125</v>
      </c>
      <c r="F18" s="190">
        <f>+VLOOKUP(E18,'EF-S3'!$B$17:$C$21,2,)</f>
        <v>8.1170000000000006E-2</v>
      </c>
      <c r="G18" s="198" t="str">
        <f>+'EF-S3'!$C$16</f>
        <v>kg CO2e/km</v>
      </c>
      <c r="H18" s="191">
        <f t="shared" si="0"/>
        <v>0.16748293120000002</v>
      </c>
      <c r="J18" s="200" t="s">
        <v>187</v>
      </c>
      <c r="K18" s="189">
        <v>5</v>
      </c>
      <c r="L18" s="189">
        <v>5</v>
      </c>
      <c r="M18" s="190">
        <f>+VLOOKUP(J18,'EF-S3'!$B$38:$C$88,2,)</f>
        <v>17</v>
      </c>
      <c r="N18" s="190" t="str">
        <f>+countries[[#Headers],[kgCO2e/room per night]]</f>
        <v>kgCO2e/room per night</v>
      </c>
      <c r="O18" s="191">
        <f t="shared" si="1"/>
        <v>0.42499999999999999</v>
      </c>
    </row>
    <row r="19" spans="1:15" x14ac:dyDescent="0.7">
      <c r="A19" s="161"/>
      <c r="B19" s="189" t="s">
        <v>188</v>
      </c>
      <c r="C19" s="189" t="s">
        <v>189</v>
      </c>
      <c r="D19" s="189">
        <v>926.9</v>
      </c>
      <c r="E19" s="200" t="s">
        <v>125</v>
      </c>
      <c r="F19" s="190">
        <f>+VLOOKUP(E19,'EF-S3'!$B$17:$C$21,2,)</f>
        <v>8.1170000000000006E-2</v>
      </c>
      <c r="G19" s="198" t="str">
        <f>+'EF-S3'!$C$16</f>
        <v>kg CO2e/km</v>
      </c>
      <c r="H19" s="191">
        <f t="shared" si="0"/>
        <v>7.5236472999999998E-2</v>
      </c>
      <c r="J19" s="200"/>
      <c r="K19" s="189"/>
      <c r="L19" s="189"/>
      <c r="M19" s="190" t="e">
        <f>+VLOOKUP(J19,'EF-S3'!$B$38:$C$88,2,)</f>
        <v>#N/A</v>
      </c>
      <c r="N19" s="190" t="str">
        <f>+countries[[#Headers],[kgCO2e/room per night]]</f>
        <v>kgCO2e/room per night</v>
      </c>
      <c r="O19" s="191">
        <f t="shared" si="1"/>
        <v>0</v>
      </c>
    </row>
    <row r="20" spans="1:15" x14ac:dyDescent="0.7">
      <c r="A20" s="161"/>
      <c r="B20" s="189" t="s">
        <v>170</v>
      </c>
      <c r="C20" s="189" t="s">
        <v>190</v>
      </c>
      <c r="D20" s="189">
        <v>1050</v>
      </c>
      <c r="E20" s="200" t="s">
        <v>125</v>
      </c>
      <c r="F20" s="190">
        <f>+VLOOKUP(E20,'EF-S3'!$B$17:$C$21,2,)</f>
        <v>8.1170000000000006E-2</v>
      </c>
      <c r="G20" s="198" t="str">
        <f>+'EF-S3'!$C$16</f>
        <v>kg CO2e/km</v>
      </c>
      <c r="H20" s="191">
        <f t="shared" si="0"/>
        <v>8.5228500000000013E-2</v>
      </c>
      <c r="J20" s="200"/>
      <c r="K20" s="189"/>
      <c r="L20" s="189"/>
      <c r="M20" s="190" t="e">
        <f>+VLOOKUP(J20,'EF-S3'!$B$38:$C$88,2,)</f>
        <v>#N/A</v>
      </c>
      <c r="N20" s="190" t="str">
        <f>+countries[[#Headers],[kgCO2e/room per night]]</f>
        <v>kgCO2e/room per night</v>
      </c>
      <c r="O20" s="191">
        <f t="shared" si="1"/>
        <v>0</v>
      </c>
    </row>
    <row r="21" spans="1:15" x14ac:dyDescent="0.7">
      <c r="A21" s="161"/>
      <c r="B21" s="189" t="s">
        <v>190</v>
      </c>
      <c r="C21" s="189" t="s">
        <v>170</v>
      </c>
      <c r="D21" s="189">
        <v>1050</v>
      </c>
      <c r="E21" s="200" t="s">
        <v>125</v>
      </c>
      <c r="F21" s="190">
        <f>+VLOOKUP(E21,'EF-S3'!$B$17:$C$21,2,)</f>
        <v>8.1170000000000006E-2</v>
      </c>
      <c r="G21" s="198" t="str">
        <f>+'EF-S3'!$C$16</f>
        <v>kg CO2e/km</v>
      </c>
      <c r="H21" s="191">
        <f t="shared" si="0"/>
        <v>8.5228500000000013E-2</v>
      </c>
      <c r="J21" s="200"/>
      <c r="K21" s="189"/>
      <c r="L21" s="189"/>
      <c r="M21" s="190" t="e">
        <f>+VLOOKUP(J21,'EF-S3'!$B$38:$C$88,2,)</f>
        <v>#N/A</v>
      </c>
      <c r="N21" s="190" t="str">
        <f>+countries[[#Headers],[kgCO2e/room per night]]</f>
        <v>kgCO2e/room per night</v>
      </c>
      <c r="O21" s="191">
        <f t="shared" si="1"/>
        <v>0</v>
      </c>
    </row>
    <row r="22" spans="1:15" x14ac:dyDescent="0.7">
      <c r="A22" s="161"/>
      <c r="B22" s="189" t="s">
        <v>170</v>
      </c>
      <c r="C22" s="189" t="s">
        <v>191</v>
      </c>
      <c r="D22" s="189">
        <v>1353.43</v>
      </c>
      <c r="E22" s="200" t="s">
        <v>125</v>
      </c>
      <c r="F22" s="190">
        <f>+VLOOKUP(E22,'EF-S3'!$B$17:$C$21,2,)</f>
        <v>8.1170000000000006E-2</v>
      </c>
      <c r="G22" s="198" t="str">
        <f>+'EF-S3'!$C$16</f>
        <v>kg CO2e/km</v>
      </c>
      <c r="H22" s="191">
        <f t="shared" si="0"/>
        <v>0.10985791310000002</v>
      </c>
      <c r="J22" s="200"/>
      <c r="K22" s="189"/>
      <c r="L22" s="189"/>
      <c r="M22" s="190" t="e">
        <f>+VLOOKUP(J22,'EF-S3'!$B$38:$C$88,2,)</f>
        <v>#N/A</v>
      </c>
      <c r="N22" s="190" t="str">
        <f>+countries[[#Headers],[kgCO2e/room per night]]</f>
        <v>kgCO2e/room per night</v>
      </c>
      <c r="O22" s="191">
        <f t="shared" si="1"/>
        <v>0</v>
      </c>
    </row>
    <row r="23" spans="1:15" x14ac:dyDescent="0.7">
      <c r="B23" s="189" t="s">
        <v>191</v>
      </c>
      <c r="C23" s="189" t="s">
        <v>170</v>
      </c>
      <c r="D23" s="189">
        <v>1353.43</v>
      </c>
      <c r="E23" s="200" t="s">
        <v>125</v>
      </c>
      <c r="F23" s="190">
        <f>+VLOOKUP(E23,'EF-S3'!$B$17:$C$21,2,)</f>
        <v>8.1170000000000006E-2</v>
      </c>
      <c r="G23" s="198" t="str">
        <f>+'EF-S3'!$C$16</f>
        <v>kg CO2e/km</v>
      </c>
      <c r="H23" s="191">
        <f t="shared" si="0"/>
        <v>0.10985791310000002</v>
      </c>
      <c r="J23" s="200"/>
      <c r="K23" s="189"/>
      <c r="L23" s="189"/>
      <c r="M23" s="190" t="e">
        <f>+VLOOKUP(J23,'EF-S3'!$B$38:$C$88,2,)</f>
        <v>#N/A</v>
      </c>
      <c r="N23" s="190" t="str">
        <f>+countries[[#Headers],[kgCO2e/room per night]]</f>
        <v>kgCO2e/room per night</v>
      </c>
      <c r="O23" s="191">
        <f t="shared" si="1"/>
        <v>0</v>
      </c>
    </row>
    <row r="24" spans="1:15" x14ac:dyDescent="0.7">
      <c r="B24" s="189" t="s">
        <v>170</v>
      </c>
      <c r="C24" s="189" t="s">
        <v>192</v>
      </c>
      <c r="D24" s="189">
        <v>5615</v>
      </c>
      <c r="E24" s="200" t="s">
        <v>125</v>
      </c>
      <c r="F24" s="190">
        <f>+VLOOKUP(E24,'EF-S3'!$B$17:$C$21,2,)</f>
        <v>8.1170000000000006E-2</v>
      </c>
      <c r="G24" s="198" t="str">
        <f>+'EF-S3'!$C$16</f>
        <v>kg CO2e/km</v>
      </c>
      <c r="H24" s="191">
        <f t="shared" si="0"/>
        <v>0.45576955000000002</v>
      </c>
      <c r="J24" s="200"/>
      <c r="K24" s="189"/>
      <c r="L24" s="189"/>
      <c r="M24" s="190" t="e">
        <f>+VLOOKUP(J24,'EF-S3'!$B$38:$C$88,2,)</f>
        <v>#N/A</v>
      </c>
      <c r="N24" s="190" t="str">
        <f>+countries[[#Headers],[kgCO2e/room per night]]</f>
        <v>kgCO2e/room per night</v>
      </c>
      <c r="O24" s="191">
        <f t="shared" si="1"/>
        <v>0</v>
      </c>
    </row>
    <row r="25" spans="1:15" x14ac:dyDescent="0.7">
      <c r="B25" s="189" t="s">
        <v>192</v>
      </c>
      <c r="C25" s="189" t="s">
        <v>193</v>
      </c>
      <c r="D25" s="189">
        <v>1579</v>
      </c>
      <c r="E25" s="200" t="s">
        <v>125</v>
      </c>
      <c r="F25" s="190">
        <f>+VLOOKUP(E25,'EF-S3'!$B$17:$C$21,2,)</f>
        <v>8.1170000000000006E-2</v>
      </c>
      <c r="G25" s="198" t="str">
        <f>+'EF-S3'!$C$16</f>
        <v>kg CO2e/km</v>
      </c>
      <c r="H25" s="191">
        <f t="shared" si="0"/>
        <v>0.12816743</v>
      </c>
      <c r="J25" s="200"/>
      <c r="K25" s="189"/>
      <c r="L25" s="189"/>
      <c r="M25" s="190" t="e">
        <f>+VLOOKUP(J25,'EF-S3'!$B$38:$C$88,2,)</f>
        <v>#N/A</v>
      </c>
      <c r="N25" s="190" t="str">
        <f>+countries[[#Headers],[kgCO2e/room per night]]</f>
        <v>kgCO2e/room per night</v>
      </c>
      <c r="O25" s="191">
        <f t="shared" si="1"/>
        <v>0</v>
      </c>
    </row>
    <row r="26" spans="1:15" x14ac:dyDescent="0.7">
      <c r="B26" s="189" t="s">
        <v>194</v>
      </c>
      <c r="C26" s="189" t="s">
        <v>170</v>
      </c>
      <c r="D26" s="189">
        <v>3902</v>
      </c>
      <c r="E26" s="200" t="s">
        <v>125</v>
      </c>
      <c r="F26" s="190">
        <f>+VLOOKUP(E26,'EF-S3'!$B$17:$C$21,2,)</f>
        <v>8.1170000000000006E-2</v>
      </c>
      <c r="G26" s="198" t="str">
        <f>+'EF-S3'!$C$16</f>
        <v>kg CO2e/km</v>
      </c>
      <c r="H26" s="191">
        <f t="shared" si="0"/>
        <v>0.31672534000000002</v>
      </c>
      <c r="J26" s="200"/>
      <c r="K26" s="189"/>
      <c r="L26" s="189"/>
      <c r="M26" s="190" t="e">
        <f>+VLOOKUP(J26,'EF-S3'!$B$38:$C$88,2,)</f>
        <v>#N/A</v>
      </c>
      <c r="N26" s="190" t="str">
        <f>+countries[[#Headers],[kgCO2e/room per night]]</f>
        <v>kgCO2e/room per night</v>
      </c>
      <c r="O26" s="191">
        <f t="shared" si="1"/>
        <v>0</v>
      </c>
    </row>
    <row r="27" spans="1:15" x14ac:dyDescent="0.7">
      <c r="B27" s="189" t="s">
        <v>195</v>
      </c>
      <c r="C27" s="189" t="s">
        <v>196</v>
      </c>
      <c r="D27" s="189">
        <v>1447.2</v>
      </c>
      <c r="E27" s="200" t="s">
        <v>125</v>
      </c>
      <c r="F27" s="190">
        <f>+VLOOKUP(E27,'EF-S3'!$B$17:$C$21,2,)</f>
        <v>8.1170000000000006E-2</v>
      </c>
      <c r="G27" s="198" t="str">
        <f>+'EF-S3'!$C$16</f>
        <v>kg CO2e/km</v>
      </c>
      <c r="H27" s="191">
        <f t="shared" si="0"/>
        <v>0.11746922400000001</v>
      </c>
      <c r="J27" s="200"/>
      <c r="K27" s="189"/>
      <c r="L27" s="189"/>
      <c r="M27" s="190" t="e">
        <f>+VLOOKUP(J27,'EF-S3'!$B$38:$C$88,2,)</f>
        <v>#N/A</v>
      </c>
      <c r="N27" s="190" t="str">
        <f>+countries[[#Headers],[kgCO2e/room per night]]</f>
        <v>kgCO2e/room per night</v>
      </c>
      <c r="O27" s="191">
        <f t="shared" si="1"/>
        <v>0</v>
      </c>
    </row>
    <row r="28" spans="1:15" x14ac:dyDescent="0.7">
      <c r="B28" s="189" t="s">
        <v>196</v>
      </c>
      <c r="C28" s="189" t="s">
        <v>170</v>
      </c>
      <c r="D28" s="189">
        <v>1447.2</v>
      </c>
      <c r="E28" s="200" t="s">
        <v>125</v>
      </c>
      <c r="F28" s="190">
        <f>+VLOOKUP(E28,'EF-S3'!$B$17:$C$21,2,)</f>
        <v>8.1170000000000006E-2</v>
      </c>
      <c r="G28" s="198" t="str">
        <f>+'EF-S3'!$C$16</f>
        <v>kg CO2e/km</v>
      </c>
      <c r="H28" s="191">
        <f t="shared" si="0"/>
        <v>0.11746922400000001</v>
      </c>
      <c r="J28" s="200"/>
      <c r="K28" s="189"/>
      <c r="L28" s="189"/>
      <c r="M28" s="190" t="e">
        <f>+VLOOKUP(J28,'EF-S3'!$B$38:$C$88,2,)</f>
        <v>#N/A</v>
      </c>
      <c r="N28" s="190" t="str">
        <f>+countries[[#Headers],[kgCO2e/room per night]]</f>
        <v>kgCO2e/room per night</v>
      </c>
      <c r="O28" s="191">
        <f t="shared" si="1"/>
        <v>0</v>
      </c>
    </row>
    <row r="29" spans="1:15" x14ac:dyDescent="0.7">
      <c r="B29" s="189" t="s">
        <v>195</v>
      </c>
      <c r="C29" s="189" t="s">
        <v>197</v>
      </c>
      <c r="D29" s="189">
        <v>505</v>
      </c>
      <c r="E29" s="200" t="s">
        <v>174</v>
      </c>
      <c r="F29" s="190">
        <f>+VLOOKUP(E29,'EF-S3'!$B$17:$C$21,2,)</f>
        <v>3.5490000000000001E-2</v>
      </c>
      <c r="G29" s="198" t="str">
        <f>+'EF-S3'!$C$16</f>
        <v>kg CO2e/km</v>
      </c>
      <c r="H29" s="191">
        <f t="shared" si="0"/>
        <v>1.7922450000000003E-2</v>
      </c>
      <c r="J29" s="200"/>
      <c r="K29" s="189"/>
      <c r="L29" s="189"/>
      <c r="M29" s="190" t="e">
        <f>+VLOOKUP(J29,'EF-S3'!$B$38:$C$88,2,)</f>
        <v>#N/A</v>
      </c>
      <c r="N29" s="190" t="str">
        <f>+countries[[#Headers],[kgCO2e/room per night]]</f>
        <v>kgCO2e/room per night</v>
      </c>
      <c r="O29" s="191">
        <f t="shared" si="1"/>
        <v>0</v>
      </c>
    </row>
    <row r="30" spans="1:15" x14ac:dyDescent="0.7">
      <c r="B30" s="189" t="s">
        <v>197</v>
      </c>
      <c r="C30" s="189" t="s">
        <v>170</v>
      </c>
      <c r="D30" s="189">
        <v>505</v>
      </c>
      <c r="E30" s="200" t="s">
        <v>174</v>
      </c>
      <c r="F30" s="190">
        <f>+VLOOKUP(E30,'EF-S3'!$B$17:$C$21,2,)</f>
        <v>3.5490000000000001E-2</v>
      </c>
      <c r="G30" s="198" t="str">
        <f>+'EF-S3'!$C$16</f>
        <v>kg CO2e/km</v>
      </c>
      <c r="H30" s="191">
        <f t="shared" si="0"/>
        <v>1.7922450000000003E-2</v>
      </c>
      <c r="J30" s="200"/>
      <c r="K30" s="189"/>
      <c r="L30" s="189"/>
      <c r="M30" s="190" t="e">
        <f>+VLOOKUP(J30,'EF-S3'!$B$38:$C$88,2,)</f>
        <v>#N/A</v>
      </c>
      <c r="N30" s="190" t="str">
        <f>+countries[[#Headers],[kgCO2e/room per night]]</f>
        <v>kgCO2e/room per night</v>
      </c>
      <c r="O30" s="191">
        <f t="shared" si="1"/>
        <v>0</v>
      </c>
    </row>
    <row r="31" spans="1:15" x14ac:dyDescent="0.7">
      <c r="B31" s="189" t="s">
        <v>170</v>
      </c>
      <c r="C31" s="189" t="s">
        <v>198</v>
      </c>
      <c r="D31" s="189">
        <v>1420.05</v>
      </c>
      <c r="E31" s="200" t="s">
        <v>125</v>
      </c>
      <c r="F31" s="190">
        <f>+VLOOKUP(E31,'EF-S3'!$B$17:$C$21,2,)</f>
        <v>8.1170000000000006E-2</v>
      </c>
      <c r="G31" s="198" t="str">
        <f>+'EF-S3'!$C$16</f>
        <v>kg CO2e/km</v>
      </c>
      <c r="H31" s="191">
        <f t="shared" si="0"/>
        <v>0.11526545850000001</v>
      </c>
      <c r="J31" s="200"/>
      <c r="K31" s="189"/>
      <c r="L31" s="189"/>
      <c r="M31" s="190" t="e">
        <f>+VLOOKUP(J31,'EF-S3'!$B$38:$C$88,2,)</f>
        <v>#N/A</v>
      </c>
      <c r="N31" s="190" t="str">
        <f>+countries[[#Headers],[kgCO2e/room per night]]</f>
        <v>kgCO2e/room per night</v>
      </c>
      <c r="O31" s="191">
        <f t="shared" si="1"/>
        <v>0</v>
      </c>
    </row>
    <row r="32" spans="1:15" x14ac:dyDescent="0.7">
      <c r="B32" s="189" t="s">
        <v>198</v>
      </c>
      <c r="C32" s="189" t="s">
        <v>170</v>
      </c>
      <c r="D32" s="189">
        <v>1420.05</v>
      </c>
      <c r="E32" s="200" t="s">
        <v>125</v>
      </c>
      <c r="F32" s="190">
        <f>+VLOOKUP(E32,'EF-S3'!$B$17:$C$21,2,)</f>
        <v>8.1170000000000006E-2</v>
      </c>
      <c r="G32" s="198" t="str">
        <f>+'EF-S3'!$C$16</f>
        <v>kg CO2e/km</v>
      </c>
      <c r="H32" s="191">
        <f t="shared" si="0"/>
        <v>0.11526545850000001</v>
      </c>
      <c r="J32" s="200"/>
      <c r="K32" s="189"/>
      <c r="L32" s="189"/>
      <c r="M32" s="190" t="e">
        <f>+VLOOKUP(J32,'EF-S3'!$B$38:$C$88,2,)</f>
        <v>#N/A</v>
      </c>
      <c r="N32" s="190" t="str">
        <f>+countries[[#Headers],[kgCO2e/room per night]]</f>
        <v>kgCO2e/room per night</v>
      </c>
      <c r="O32" s="191">
        <f t="shared" si="1"/>
        <v>0</v>
      </c>
    </row>
    <row r="33" spans="2:15" x14ac:dyDescent="0.7">
      <c r="B33" s="189" t="s">
        <v>170</v>
      </c>
      <c r="C33" s="189" t="s">
        <v>199</v>
      </c>
      <c r="D33" s="189">
        <v>1973.8</v>
      </c>
      <c r="E33" s="200" t="s">
        <v>125</v>
      </c>
      <c r="F33" s="190">
        <f>+VLOOKUP(E33,'EF-S3'!$B$17:$C$21,2,)</f>
        <v>8.1170000000000006E-2</v>
      </c>
      <c r="G33" s="198" t="str">
        <f>+'EF-S3'!$C$16</f>
        <v>kg CO2e/km</v>
      </c>
      <c r="H33" s="191">
        <f t="shared" si="0"/>
        <v>0.16021334600000001</v>
      </c>
      <c r="J33" s="200"/>
      <c r="K33" s="189"/>
      <c r="L33" s="189"/>
      <c r="M33" s="190" t="e">
        <f>+VLOOKUP(J33,'EF-S3'!$B$38:$C$88,2,)</f>
        <v>#N/A</v>
      </c>
      <c r="N33" s="190" t="str">
        <f>+countries[[#Headers],[kgCO2e/room per night]]</f>
        <v>kgCO2e/room per night</v>
      </c>
      <c r="O33" s="191">
        <f t="shared" si="1"/>
        <v>0</v>
      </c>
    </row>
    <row r="34" spans="2:15" x14ac:dyDescent="0.7">
      <c r="B34" s="189" t="s">
        <v>199</v>
      </c>
      <c r="C34" s="189" t="s">
        <v>170</v>
      </c>
      <c r="D34" s="189">
        <v>1973.8</v>
      </c>
      <c r="E34" s="200" t="s">
        <v>125</v>
      </c>
      <c r="F34" s="190">
        <f>+VLOOKUP(E34,'EF-S3'!$B$17:$C$21,2,)</f>
        <v>8.1170000000000006E-2</v>
      </c>
      <c r="G34" s="198" t="str">
        <f>+'EF-S3'!$C$16</f>
        <v>kg CO2e/km</v>
      </c>
      <c r="H34" s="191">
        <f t="shared" si="0"/>
        <v>0.16021334600000001</v>
      </c>
      <c r="J34" s="200"/>
      <c r="K34" s="189"/>
      <c r="L34" s="189"/>
      <c r="M34" s="190" t="e">
        <f>+VLOOKUP(J34,'EF-S3'!$B$38:$C$88,2,)</f>
        <v>#N/A</v>
      </c>
      <c r="N34" s="190" t="str">
        <f>+countries[[#Headers],[kgCO2e/room per night]]</f>
        <v>kgCO2e/room per night</v>
      </c>
      <c r="O34" s="191">
        <f t="shared" si="1"/>
        <v>0</v>
      </c>
    </row>
    <row r="35" spans="2:15" x14ac:dyDescent="0.7">
      <c r="B35" s="189" t="s">
        <v>170</v>
      </c>
      <c r="C35" s="189" t="s">
        <v>200</v>
      </c>
      <c r="D35" s="189">
        <v>500.82</v>
      </c>
      <c r="E35" s="200" t="s">
        <v>125</v>
      </c>
      <c r="F35" s="190">
        <f>+VLOOKUP(E35,'EF-S3'!$B$17:$C$21,2,)</f>
        <v>8.1170000000000006E-2</v>
      </c>
      <c r="G35" s="198" t="str">
        <f>+'EF-S3'!$C$16</f>
        <v>kg CO2e/km</v>
      </c>
      <c r="H35" s="191">
        <f t="shared" si="0"/>
        <v>4.0651559400000002E-2</v>
      </c>
      <c r="J35" s="200"/>
      <c r="K35" s="189"/>
      <c r="L35" s="189"/>
      <c r="M35" s="190" t="e">
        <f>+VLOOKUP(J35,'EF-S3'!$B$38:$C$88,2,)</f>
        <v>#N/A</v>
      </c>
      <c r="N35" s="190" t="str">
        <f>+countries[[#Headers],[kgCO2e/room per night]]</f>
        <v>kgCO2e/room per night</v>
      </c>
      <c r="O35" s="191">
        <f t="shared" si="1"/>
        <v>0</v>
      </c>
    </row>
    <row r="36" spans="2:15" x14ac:dyDescent="0.7">
      <c r="B36" s="189" t="s">
        <v>200</v>
      </c>
      <c r="C36" s="189" t="s">
        <v>170</v>
      </c>
      <c r="D36" s="189">
        <v>500.82</v>
      </c>
      <c r="E36" s="200" t="s">
        <v>125</v>
      </c>
      <c r="F36" s="190">
        <f>+VLOOKUP(E36,'EF-S3'!$B$17:$C$21,2,)</f>
        <v>8.1170000000000006E-2</v>
      </c>
      <c r="G36" s="198" t="str">
        <f>+'EF-S3'!$C$16</f>
        <v>kg CO2e/km</v>
      </c>
      <c r="H36" s="191">
        <f t="shared" si="0"/>
        <v>4.0651559400000002E-2</v>
      </c>
      <c r="J36" s="200"/>
      <c r="K36" s="189"/>
      <c r="L36" s="189"/>
      <c r="M36" s="190" t="e">
        <f>+VLOOKUP(J36,'EF-S3'!$B$38:$C$88,2,)</f>
        <v>#N/A</v>
      </c>
      <c r="N36" s="190" t="str">
        <f>+countries[[#Headers],[kgCO2e/room per night]]</f>
        <v>kgCO2e/room per night</v>
      </c>
      <c r="O36" s="191">
        <f t="shared" si="1"/>
        <v>0</v>
      </c>
    </row>
    <row r="37" spans="2:15" x14ac:dyDescent="0.7">
      <c r="B37" s="189" t="s">
        <v>170</v>
      </c>
      <c r="C37" s="189" t="s">
        <v>201</v>
      </c>
      <c r="D37" s="189">
        <v>397</v>
      </c>
      <c r="E37" s="200" t="s">
        <v>169</v>
      </c>
      <c r="F37" s="190">
        <f>+VLOOKUP(E37,'EF-S3'!$B$17:$C$21,2,)</f>
        <v>0.17147999999999999</v>
      </c>
      <c r="G37" s="198" t="str">
        <f>+'EF-S3'!$C$16</f>
        <v>kg CO2e/km</v>
      </c>
      <c r="H37" s="191">
        <f t="shared" si="0"/>
        <v>6.8077559999999995E-2</v>
      </c>
      <c r="J37" s="200"/>
      <c r="K37" s="189"/>
      <c r="L37" s="189"/>
      <c r="M37" s="190" t="e">
        <f>+VLOOKUP(J37,'EF-S3'!$B$38:$C$88,2,)</f>
        <v>#N/A</v>
      </c>
      <c r="N37" s="190" t="str">
        <f>+countries[[#Headers],[kgCO2e/room per night]]</f>
        <v>kgCO2e/room per night</v>
      </c>
      <c r="O37" s="191">
        <f t="shared" si="1"/>
        <v>0</v>
      </c>
    </row>
    <row r="38" spans="2:15" x14ac:dyDescent="0.7">
      <c r="B38" s="189" t="s">
        <v>201</v>
      </c>
      <c r="C38" s="189" t="s">
        <v>170</v>
      </c>
      <c r="D38" s="189">
        <v>397</v>
      </c>
      <c r="E38" s="200" t="s">
        <v>169</v>
      </c>
      <c r="F38" s="190">
        <f>+VLOOKUP(E38,'EF-S3'!$B$17:$C$21,2,)</f>
        <v>0.17147999999999999</v>
      </c>
      <c r="G38" s="198" t="str">
        <f>+'EF-S3'!$C$16</f>
        <v>kg CO2e/km</v>
      </c>
      <c r="H38" s="191">
        <f t="shared" si="0"/>
        <v>6.8077559999999995E-2</v>
      </c>
      <c r="J38" s="200"/>
      <c r="K38" s="189"/>
      <c r="L38" s="189"/>
      <c r="M38" s="190" t="e">
        <f>+VLOOKUP(J38,'EF-S3'!$B$38:$C$88,2,)</f>
        <v>#N/A</v>
      </c>
      <c r="N38" s="190" t="str">
        <f>+countries[[#Headers],[kgCO2e/room per night]]</f>
        <v>kgCO2e/room per night</v>
      </c>
      <c r="O38" s="191">
        <f t="shared" si="1"/>
        <v>0</v>
      </c>
    </row>
    <row r="39" spans="2:15" x14ac:dyDescent="0.7">
      <c r="B39" s="189" t="s">
        <v>170</v>
      </c>
      <c r="C39" s="189" t="s">
        <v>202</v>
      </c>
      <c r="D39" s="189">
        <v>1714.9</v>
      </c>
      <c r="E39" s="200" t="s">
        <v>125</v>
      </c>
      <c r="F39" s="190">
        <f>+VLOOKUP(E39,'EF-S3'!$B$17:$C$21,2,)</f>
        <v>8.1170000000000006E-2</v>
      </c>
      <c r="G39" s="198" t="str">
        <f>+'EF-S3'!$C$16</f>
        <v>kg CO2e/km</v>
      </c>
      <c r="H39" s="191">
        <f t="shared" si="0"/>
        <v>0.13919843300000001</v>
      </c>
      <c r="J39" s="200"/>
      <c r="K39" s="189"/>
      <c r="L39" s="189"/>
      <c r="M39" s="190" t="e">
        <f>+VLOOKUP(J39,'EF-S3'!$B$38:$C$88,2,)</f>
        <v>#N/A</v>
      </c>
      <c r="N39" s="190" t="str">
        <f>+countries[[#Headers],[kgCO2e/room per night]]</f>
        <v>kgCO2e/room per night</v>
      </c>
      <c r="O39" s="191">
        <f t="shared" si="1"/>
        <v>0</v>
      </c>
    </row>
    <row r="40" spans="2:15" x14ac:dyDescent="0.7">
      <c r="B40" s="189" t="s">
        <v>202</v>
      </c>
      <c r="C40" s="189" t="s">
        <v>170</v>
      </c>
      <c r="D40" s="189">
        <v>1714.9</v>
      </c>
      <c r="E40" s="200" t="s">
        <v>125</v>
      </c>
      <c r="F40" s="190">
        <f>+VLOOKUP(E40,'EF-S3'!$B$17:$C$21,2,)</f>
        <v>8.1170000000000006E-2</v>
      </c>
      <c r="G40" s="198" t="str">
        <f>+'EF-S3'!$C$16</f>
        <v>kg CO2e/km</v>
      </c>
      <c r="H40" s="191">
        <f t="shared" si="0"/>
        <v>0.13919843300000001</v>
      </c>
      <c r="J40" s="200"/>
      <c r="K40" s="189"/>
      <c r="L40" s="189"/>
      <c r="M40" s="190" t="e">
        <f>+VLOOKUP(J40,'EF-S3'!$B$38:$C$88,2,)</f>
        <v>#N/A</v>
      </c>
      <c r="N40" s="190" t="str">
        <f>+countries[[#Headers],[kgCO2e/room per night]]</f>
        <v>kgCO2e/room per night</v>
      </c>
      <c r="O40" s="191">
        <f t="shared" si="1"/>
        <v>0</v>
      </c>
    </row>
    <row r="41" spans="2:15" x14ac:dyDescent="0.7">
      <c r="B41" s="189"/>
      <c r="C41" s="189"/>
      <c r="D41" s="189"/>
      <c r="E41" s="200"/>
      <c r="F41" s="190" t="e">
        <f>+VLOOKUP(E41,'EF-S3'!$B$17:$C$21,2,)</f>
        <v>#N/A</v>
      </c>
      <c r="G41" s="198" t="str">
        <f>+'EF-S3'!$C$16</f>
        <v>kg CO2e/km</v>
      </c>
      <c r="H41" s="191">
        <f t="shared" si="0"/>
        <v>0</v>
      </c>
      <c r="J41" s="200"/>
      <c r="K41" s="189"/>
      <c r="L41" s="189"/>
      <c r="M41" s="190" t="e">
        <f>+VLOOKUP(J41,'EF-S3'!$B$38:$C$88,2,)</f>
        <v>#N/A</v>
      </c>
      <c r="N41" s="190" t="str">
        <f>+countries[[#Headers],[kgCO2e/room per night]]</f>
        <v>kgCO2e/room per night</v>
      </c>
      <c r="O41" s="191">
        <f t="shared" si="1"/>
        <v>0</v>
      </c>
    </row>
    <row r="42" spans="2:15" x14ac:dyDescent="0.7">
      <c r="B42" s="189"/>
      <c r="C42" s="189"/>
      <c r="D42" s="189"/>
      <c r="E42" s="200"/>
      <c r="F42" s="190" t="e">
        <f>+VLOOKUP(E42,'EF-S3'!$B$17:$C$21,2,)</f>
        <v>#N/A</v>
      </c>
      <c r="G42" s="198" t="str">
        <f>+'EF-S3'!$C$16</f>
        <v>kg CO2e/km</v>
      </c>
      <c r="H42" s="191">
        <f t="shared" si="0"/>
        <v>0</v>
      </c>
      <c r="J42" s="200"/>
      <c r="K42" s="189"/>
      <c r="L42" s="189"/>
      <c r="M42" s="190" t="e">
        <f>+VLOOKUP(J42,'EF-S3'!$B$38:$C$88,2,)</f>
        <v>#N/A</v>
      </c>
      <c r="N42" s="190" t="str">
        <f>+countries[[#Headers],[kgCO2e/room per night]]</f>
        <v>kgCO2e/room per night</v>
      </c>
      <c r="O42" s="191">
        <f t="shared" si="1"/>
        <v>0</v>
      </c>
    </row>
    <row r="43" spans="2:15" x14ac:dyDescent="0.7">
      <c r="B43" s="189"/>
      <c r="C43" s="189"/>
      <c r="D43" s="189"/>
      <c r="E43" s="200"/>
      <c r="F43" s="190" t="e">
        <f>+VLOOKUP(E43,'EF-S3'!$B$17:$C$21,2,)</f>
        <v>#N/A</v>
      </c>
      <c r="G43" s="198" t="str">
        <f>+'EF-S3'!$C$16</f>
        <v>kg CO2e/km</v>
      </c>
      <c r="H43" s="191">
        <f t="shared" si="0"/>
        <v>0</v>
      </c>
      <c r="J43" s="200"/>
      <c r="K43" s="189"/>
      <c r="L43" s="189"/>
      <c r="M43" s="190" t="e">
        <f>+VLOOKUP(J43,'EF-S3'!$B$38:$C$88,2,)</f>
        <v>#N/A</v>
      </c>
      <c r="N43" s="190" t="str">
        <f>+countries[[#Headers],[kgCO2e/room per night]]</f>
        <v>kgCO2e/room per night</v>
      </c>
      <c r="O43" s="191">
        <f t="shared" si="1"/>
        <v>0</v>
      </c>
    </row>
    <row r="44" spans="2:15" x14ac:dyDescent="0.7">
      <c r="B44" s="189"/>
      <c r="C44" s="189"/>
      <c r="D44" s="189"/>
      <c r="E44" s="200"/>
      <c r="F44" s="190" t="e">
        <f>+VLOOKUP(E44,'EF-S3'!$B$17:$C$21,2,)</f>
        <v>#N/A</v>
      </c>
      <c r="G44" s="198" t="str">
        <f>+'EF-S3'!$C$16</f>
        <v>kg CO2e/km</v>
      </c>
      <c r="H44" s="191">
        <f t="shared" si="0"/>
        <v>0</v>
      </c>
      <c r="J44" s="200"/>
      <c r="K44" s="189"/>
      <c r="L44" s="189"/>
      <c r="M44" s="190" t="e">
        <f>+VLOOKUP(J44,'EF-S3'!$B$38:$C$88,2,)</f>
        <v>#N/A</v>
      </c>
      <c r="N44" s="190" t="str">
        <f>+countries[[#Headers],[kgCO2e/room per night]]</f>
        <v>kgCO2e/room per night</v>
      </c>
      <c r="O44" s="191">
        <f t="shared" si="1"/>
        <v>0</v>
      </c>
    </row>
    <row r="45" spans="2:15" x14ac:dyDescent="0.7">
      <c r="B45" s="189"/>
      <c r="C45" s="189"/>
      <c r="D45" s="189"/>
      <c r="E45" s="200"/>
      <c r="F45" s="190" t="e">
        <f>+VLOOKUP(E45,'EF-S3'!$B$17:$C$21,2,)</f>
        <v>#N/A</v>
      </c>
      <c r="G45" s="198" t="str">
        <f>+'EF-S3'!$C$16</f>
        <v>kg CO2e/km</v>
      </c>
      <c r="H45" s="191">
        <f t="shared" si="0"/>
        <v>0</v>
      </c>
      <c r="J45" s="200"/>
      <c r="K45" s="189"/>
      <c r="L45" s="189"/>
      <c r="M45" s="190" t="e">
        <f>+VLOOKUP(J45,'EF-S3'!$B$38:$C$88,2,)</f>
        <v>#N/A</v>
      </c>
      <c r="N45" s="190" t="str">
        <f>+countries[[#Headers],[kgCO2e/room per night]]</f>
        <v>kgCO2e/room per night</v>
      </c>
      <c r="O45" s="191">
        <f t="shared" si="1"/>
        <v>0</v>
      </c>
    </row>
    <row r="46" spans="2:15" x14ac:dyDescent="0.7">
      <c r="B46" s="189"/>
      <c r="C46" s="189"/>
      <c r="D46" s="189"/>
      <c r="E46" s="200"/>
      <c r="F46" s="190" t="e">
        <f>+VLOOKUP(E46,'EF-S3'!$B$17:$C$21,2,)</f>
        <v>#N/A</v>
      </c>
      <c r="G46" s="198" t="str">
        <f>+'EF-S3'!$C$16</f>
        <v>kg CO2e/km</v>
      </c>
      <c r="H46" s="191">
        <f t="shared" si="0"/>
        <v>0</v>
      </c>
      <c r="J46" s="200"/>
      <c r="K46" s="189"/>
      <c r="L46" s="189"/>
      <c r="M46" s="190" t="e">
        <f>+VLOOKUP(J46,'EF-S3'!$B$38:$C$88,2,)</f>
        <v>#N/A</v>
      </c>
      <c r="N46" s="190" t="str">
        <f>+countries[[#Headers],[kgCO2e/room per night]]</f>
        <v>kgCO2e/room per night</v>
      </c>
      <c r="O46" s="191">
        <f t="shared" si="1"/>
        <v>0</v>
      </c>
    </row>
    <row r="47" spans="2:15" x14ac:dyDescent="0.7">
      <c r="B47" s="189"/>
      <c r="C47" s="189"/>
      <c r="D47" s="189"/>
      <c r="E47" s="200"/>
      <c r="F47" s="190" t="e">
        <f>+VLOOKUP(E47,'EF-S3'!$B$17:$C$21,2,)</f>
        <v>#N/A</v>
      </c>
      <c r="G47" s="198" t="str">
        <f>+'EF-S3'!$C$16</f>
        <v>kg CO2e/km</v>
      </c>
      <c r="H47" s="191">
        <f t="shared" si="0"/>
        <v>0</v>
      </c>
      <c r="J47" s="200"/>
      <c r="K47" s="189"/>
      <c r="L47" s="189"/>
      <c r="M47" s="190" t="e">
        <f>+VLOOKUP(J47,'EF-S3'!$B$38:$C$88,2,)</f>
        <v>#N/A</v>
      </c>
      <c r="N47" s="190" t="str">
        <f>+countries[[#Headers],[kgCO2e/room per night]]</f>
        <v>kgCO2e/room per night</v>
      </c>
      <c r="O47" s="191">
        <f t="shared" si="1"/>
        <v>0</v>
      </c>
    </row>
    <row r="48" spans="2:15" x14ac:dyDescent="0.7">
      <c r="B48" s="189"/>
      <c r="C48" s="189"/>
      <c r="D48" s="189"/>
      <c r="E48" s="200"/>
      <c r="F48" s="190" t="e">
        <f>+VLOOKUP(E48,'EF-S3'!$B$17:$C$21,2,)</f>
        <v>#N/A</v>
      </c>
      <c r="G48" s="198" t="str">
        <f>+'EF-S3'!$C$16</f>
        <v>kg CO2e/km</v>
      </c>
      <c r="H48" s="191">
        <f t="shared" si="0"/>
        <v>0</v>
      </c>
      <c r="J48" s="200"/>
      <c r="K48" s="189"/>
      <c r="L48" s="189"/>
      <c r="M48" s="190" t="e">
        <f>+VLOOKUP(J48,'EF-S3'!$B$38:$C$88,2,)</f>
        <v>#N/A</v>
      </c>
      <c r="N48" s="190" t="str">
        <f>+countries[[#Headers],[kgCO2e/room per night]]</f>
        <v>kgCO2e/room per night</v>
      </c>
      <c r="O48" s="191">
        <f t="shared" si="1"/>
        <v>0</v>
      </c>
    </row>
    <row r="49" spans="2:15" x14ac:dyDescent="0.7">
      <c r="B49" s="189"/>
      <c r="C49" s="189"/>
      <c r="D49" s="189"/>
      <c r="E49" s="200"/>
      <c r="F49" s="190" t="e">
        <f>+VLOOKUP(E49,'EF-S3'!$B$17:$C$21,2,)</f>
        <v>#N/A</v>
      </c>
      <c r="G49" s="198" t="str">
        <f>+'EF-S3'!$C$16</f>
        <v>kg CO2e/km</v>
      </c>
      <c r="H49" s="191">
        <f t="shared" si="0"/>
        <v>0</v>
      </c>
      <c r="J49" s="200"/>
      <c r="K49" s="189"/>
      <c r="L49" s="189"/>
      <c r="M49" s="190" t="e">
        <f>+VLOOKUP(J49,'EF-S3'!$B$38:$C$88,2,)</f>
        <v>#N/A</v>
      </c>
      <c r="N49" s="190" t="str">
        <f>+countries[[#Headers],[kgCO2e/room per night]]</f>
        <v>kgCO2e/room per night</v>
      </c>
      <c r="O49" s="191">
        <f t="shared" si="1"/>
        <v>0</v>
      </c>
    </row>
    <row r="50" spans="2:15" x14ac:dyDescent="0.7">
      <c r="B50" s="189"/>
      <c r="C50" s="189"/>
      <c r="D50" s="189"/>
      <c r="E50" s="200"/>
      <c r="F50" s="190" t="e">
        <f>+VLOOKUP(E50,'EF-S3'!$B$17:$C$21,2,)</f>
        <v>#N/A</v>
      </c>
      <c r="G50" s="198" t="str">
        <f>+'EF-S3'!$C$16</f>
        <v>kg CO2e/km</v>
      </c>
      <c r="H50" s="191">
        <f t="shared" si="0"/>
        <v>0</v>
      </c>
      <c r="J50" s="200"/>
      <c r="K50" s="189"/>
      <c r="L50" s="189"/>
      <c r="M50" s="190" t="e">
        <f>+VLOOKUP(J50,'EF-S3'!$B$38:$C$88,2,)</f>
        <v>#N/A</v>
      </c>
      <c r="N50" s="190" t="str">
        <f>+countries[[#Headers],[kgCO2e/room per night]]</f>
        <v>kgCO2e/room per night</v>
      </c>
      <c r="O50" s="191">
        <f t="shared" si="1"/>
        <v>0</v>
      </c>
    </row>
    <row r="51" spans="2:15" x14ac:dyDescent="0.7">
      <c r="B51" s="189"/>
      <c r="C51" s="189"/>
      <c r="D51" s="189"/>
      <c r="E51" s="200"/>
      <c r="F51" s="190" t="e">
        <f>+VLOOKUP(E51,'EF-S3'!$B$17:$C$21,2,)</f>
        <v>#N/A</v>
      </c>
      <c r="G51" s="198" t="str">
        <f>+'EF-S3'!$C$16</f>
        <v>kg CO2e/km</v>
      </c>
      <c r="H51" s="191">
        <f t="shared" si="0"/>
        <v>0</v>
      </c>
      <c r="J51" s="200"/>
      <c r="K51" s="189"/>
      <c r="L51" s="189"/>
      <c r="M51" s="190" t="e">
        <f>+VLOOKUP(J51,'EF-S3'!$B$38:$C$88,2,)</f>
        <v>#N/A</v>
      </c>
      <c r="N51" s="190" t="str">
        <f>+countries[[#Headers],[kgCO2e/room per night]]</f>
        <v>kgCO2e/room per night</v>
      </c>
      <c r="O51" s="191">
        <f t="shared" si="1"/>
        <v>0</v>
      </c>
    </row>
    <row r="52" spans="2:15" x14ac:dyDescent="0.7">
      <c r="B52" s="189"/>
      <c r="C52" s="189"/>
      <c r="D52" s="189"/>
      <c r="E52" s="200"/>
      <c r="F52" s="190" t="e">
        <f>+VLOOKUP(E52,'EF-S3'!$B$17:$C$21,2,)</f>
        <v>#N/A</v>
      </c>
      <c r="G52" s="198" t="str">
        <f>+'EF-S3'!$C$16</f>
        <v>kg CO2e/km</v>
      </c>
      <c r="H52" s="191">
        <f t="shared" si="0"/>
        <v>0</v>
      </c>
      <c r="J52" s="200"/>
      <c r="K52" s="189"/>
      <c r="L52" s="189"/>
      <c r="M52" s="190" t="e">
        <f>+VLOOKUP(J52,'EF-S3'!$B$38:$C$88,2,)</f>
        <v>#N/A</v>
      </c>
      <c r="N52" s="190" t="str">
        <f>+countries[[#Headers],[kgCO2e/room per night]]</f>
        <v>kgCO2e/room per night</v>
      </c>
      <c r="O52" s="191">
        <f t="shared" si="1"/>
        <v>0</v>
      </c>
    </row>
    <row r="53" spans="2:15" x14ac:dyDescent="0.7">
      <c r="B53" s="189"/>
      <c r="C53" s="189"/>
      <c r="D53" s="189"/>
      <c r="E53" s="200"/>
      <c r="F53" s="190" t="e">
        <f>+VLOOKUP(E53,'EF-S3'!$B$17:$C$21,2,)</f>
        <v>#N/A</v>
      </c>
      <c r="G53" s="198" t="str">
        <f>+'EF-S3'!$C$16</f>
        <v>kg CO2e/km</v>
      </c>
      <c r="H53" s="191">
        <f t="shared" si="0"/>
        <v>0</v>
      </c>
      <c r="J53" s="200"/>
      <c r="K53" s="189"/>
      <c r="L53" s="189"/>
      <c r="M53" s="190" t="e">
        <f>+VLOOKUP(J53,'EF-S3'!$B$38:$C$88,2,)</f>
        <v>#N/A</v>
      </c>
      <c r="N53" s="190" t="str">
        <f>+countries[[#Headers],[kgCO2e/room per night]]</f>
        <v>kgCO2e/room per night</v>
      </c>
      <c r="O53" s="191">
        <f t="shared" si="1"/>
        <v>0</v>
      </c>
    </row>
    <row r="54" spans="2:15" x14ac:dyDescent="0.7">
      <c r="B54" s="189"/>
      <c r="C54" s="189"/>
      <c r="D54" s="189"/>
      <c r="E54" s="200"/>
      <c r="F54" s="190" t="e">
        <f>+VLOOKUP(E54,'EF-S3'!$B$17:$C$21,2,)</f>
        <v>#N/A</v>
      </c>
      <c r="G54" s="198" t="str">
        <f>+'EF-S3'!$C$16</f>
        <v>kg CO2e/km</v>
      </c>
      <c r="H54" s="191">
        <f t="shared" si="0"/>
        <v>0</v>
      </c>
      <c r="J54" s="200"/>
      <c r="K54" s="189"/>
      <c r="L54" s="189"/>
      <c r="M54" s="190" t="e">
        <f>+VLOOKUP(J54,'EF-S3'!$B$38:$C$88,2,)</f>
        <v>#N/A</v>
      </c>
      <c r="N54" s="190" t="str">
        <f>+countries[[#Headers],[kgCO2e/room per night]]</f>
        <v>kgCO2e/room per night</v>
      </c>
      <c r="O54" s="191">
        <f t="shared" si="1"/>
        <v>0</v>
      </c>
    </row>
    <row r="55" spans="2:15" x14ac:dyDescent="0.7">
      <c r="B55" s="189"/>
      <c r="C55" s="189"/>
      <c r="D55" s="189"/>
      <c r="E55" s="200"/>
      <c r="F55" s="190" t="e">
        <f>+VLOOKUP(E55,'EF-S3'!$B$17:$C$21,2,)</f>
        <v>#N/A</v>
      </c>
      <c r="G55" s="198" t="str">
        <f>+'EF-S3'!$C$16</f>
        <v>kg CO2e/km</v>
      </c>
      <c r="H55" s="191">
        <f t="shared" si="0"/>
        <v>0</v>
      </c>
      <c r="J55" s="200"/>
      <c r="K55" s="189"/>
      <c r="L55" s="189"/>
      <c r="M55" s="190" t="e">
        <f>+VLOOKUP(J55,'EF-S3'!$B$38:$C$88,2,)</f>
        <v>#N/A</v>
      </c>
      <c r="N55" s="190" t="str">
        <f>+countries[[#Headers],[kgCO2e/room per night]]</f>
        <v>kgCO2e/room per night</v>
      </c>
      <c r="O55" s="191">
        <f t="shared" si="1"/>
        <v>0</v>
      </c>
    </row>
    <row r="56" spans="2:15" x14ac:dyDescent="0.7">
      <c r="B56" s="189"/>
      <c r="C56" s="189"/>
      <c r="D56" s="189"/>
      <c r="E56" s="200"/>
      <c r="F56" s="190" t="e">
        <f>+VLOOKUP(E56,'EF-S3'!$B$17:$C$21,2,)</f>
        <v>#N/A</v>
      </c>
      <c r="G56" s="198" t="str">
        <f>+'EF-S3'!$C$16</f>
        <v>kg CO2e/km</v>
      </c>
      <c r="H56" s="191">
        <f t="shared" si="0"/>
        <v>0</v>
      </c>
      <c r="J56" s="200"/>
      <c r="K56" s="189"/>
      <c r="L56" s="189"/>
      <c r="M56" s="190" t="e">
        <f>+VLOOKUP(J56,'EF-S3'!$B$38:$C$88,2,)</f>
        <v>#N/A</v>
      </c>
      <c r="N56" s="190" t="str">
        <f>+countries[[#Headers],[kgCO2e/room per night]]</f>
        <v>kgCO2e/room per night</v>
      </c>
      <c r="O56" s="191">
        <f t="shared" si="1"/>
        <v>0</v>
      </c>
    </row>
    <row r="57" spans="2:15" x14ac:dyDescent="0.7">
      <c r="B57" s="189"/>
      <c r="C57" s="189"/>
      <c r="D57" s="189"/>
      <c r="E57" s="200"/>
      <c r="F57" s="190" t="e">
        <f>+VLOOKUP(E57,'EF-S3'!$B$17:$C$21,2,)</f>
        <v>#N/A</v>
      </c>
      <c r="G57" s="198" t="str">
        <f>+'EF-S3'!$C$16</f>
        <v>kg CO2e/km</v>
      </c>
      <c r="H57" s="191">
        <f t="shared" si="0"/>
        <v>0</v>
      </c>
      <c r="J57" s="200"/>
      <c r="K57" s="189"/>
      <c r="L57" s="189"/>
      <c r="M57" s="190" t="e">
        <f>+VLOOKUP(J57,'EF-S3'!$B$38:$C$88,2,)</f>
        <v>#N/A</v>
      </c>
      <c r="N57" s="190" t="str">
        <f>+countries[[#Headers],[kgCO2e/room per night]]</f>
        <v>kgCO2e/room per night</v>
      </c>
      <c r="O57" s="191">
        <f t="shared" si="1"/>
        <v>0</v>
      </c>
    </row>
    <row r="58" spans="2:15" x14ac:dyDescent="0.7">
      <c r="B58" s="189"/>
      <c r="C58" s="189"/>
      <c r="D58" s="189"/>
      <c r="E58" s="200"/>
      <c r="F58" s="190" t="e">
        <f>+VLOOKUP(E58,'EF-S3'!$B$17:$C$21,2,)</f>
        <v>#N/A</v>
      </c>
      <c r="G58" s="198" t="str">
        <f>+'EF-S3'!$C$16</f>
        <v>kg CO2e/km</v>
      </c>
      <c r="H58" s="191">
        <f t="shared" si="0"/>
        <v>0</v>
      </c>
      <c r="J58" s="200"/>
      <c r="K58" s="189"/>
      <c r="L58" s="189"/>
      <c r="M58" s="190" t="e">
        <f>+VLOOKUP(J58,'EF-S3'!$B$38:$C$88,2,)</f>
        <v>#N/A</v>
      </c>
      <c r="N58" s="190" t="str">
        <f>+countries[[#Headers],[kgCO2e/room per night]]</f>
        <v>kgCO2e/room per night</v>
      </c>
      <c r="O58" s="191">
        <f t="shared" si="1"/>
        <v>0</v>
      </c>
    </row>
    <row r="59" spans="2:15" x14ac:dyDescent="0.7">
      <c r="B59" s="189"/>
      <c r="C59" s="189"/>
      <c r="D59" s="189"/>
      <c r="E59" s="200"/>
      <c r="F59" s="190" t="e">
        <f>+VLOOKUP(E59,'EF-S3'!$B$17:$C$21,2,)</f>
        <v>#N/A</v>
      </c>
      <c r="G59" s="198" t="str">
        <f>+'EF-S3'!$C$16</f>
        <v>kg CO2e/km</v>
      </c>
      <c r="H59" s="191">
        <f t="shared" si="0"/>
        <v>0</v>
      </c>
      <c r="J59" s="200"/>
      <c r="K59" s="189"/>
      <c r="L59" s="189"/>
      <c r="M59" s="190" t="e">
        <f>+VLOOKUP(J59,'EF-S3'!$B$38:$C$88,2,)</f>
        <v>#N/A</v>
      </c>
      <c r="N59" s="190" t="str">
        <f>+countries[[#Headers],[kgCO2e/room per night]]</f>
        <v>kgCO2e/room per night</v>
      </c>
      <c r="O59" s="191">
        <f t="shared" si="1"/>
        <v>0</v>
      </c>
    </row>
    <row r="60" spans="2:15" x14ac:dyDescent="0.7">
      <c r="B60" s="189"/>
      <c r="C60" s="189"/>
      <c r="D60" s="189"/>
      <c r="E60" s="200"/>
      <c r="F60" s="190" t="e">
        <f>+VLOOKUP(E60,'EF-S3'!$B$17:$C$21,2,)</f>
        <v>#N/A</v>
      </c>
      <c r="G60" s="198" t="str">
        <f>+'EF-S3'!$C$16</f>
        <v>kg CO2e/km</v>
      </c>
      <c r="H60" s="191">
        <f t="shared" si="0"/>
        <v>0</v>
      </c>
      <c r="J60" s="200"/>
      <c r="K60" s="189"/>
      <c r="L60" s="189"/>
      <c r="M60" s="190" t="e">
        <f>+VLOOKUP(J60,'EF-S3'!$B$38:$C$88,2,)</f>
        <v>#N/A</v>
      </c>
      <c r="N60" s="190" t="str">
        <f>+countries[[#Headers],[kgCO2e/room per night]]</f>
        <v>kgCO2e/room per night</v>
      </c>
      <c r="O60" s="191">
        <f t="shared" si="1"/>
        <v>0</v>
      </c>
    </row>
    <row r="61" spans="2:15" x14ac:dyDescent="0.7">
      <c r="B61" s="189"/>
      <c r="C61" s="189"/>
      <c r="D61" s="189"/>
      <c r="E61" s="200"/>
      <c r="F61" s="190" t="e">
        <f>+VLOOKUP(E61,'EF-S3'!$B$17:$C$21,2,)</f>
        <v>#N/A</v>
      </c>
      <c r="G61" s="198" t="str">
        <f>+'EF-S3'!$C$16</f>
        <v>kg CO2e/km</v>
      </c>
      <c r="H61" s="191">
        <f t="shared" si="0"/>
        <v>0</v>
      </c>
      <c r="J61" s="200"/>
      <c r="K61" s="189"/>
      <c r="L61" s="189"/>
      <c r="M61" s="190" t="e">
        <f>+VLOOKUP(J61,'EF-S3'!$B$38:$C$88,2,)</f>
        <v>#N/A</v>
      </c>
      <c r="N61" s="190" t="str">
        <f>+countries[[#Headers],[kgCO2e/room per night]]</f>
        <v>kgCO2e/room per night</v>
      </c>
      <c r="O61" s="191">
        <f t="shared" si="1"/>
        <v>0</v>
      </c>
    </row>
    <row r="62" spans="2:15" x14ac:dyDescent="0.7">
      <c r="B62" s="189"/>
      <c r="C62" s="189"/>
      <c r="D62" s="189"/>
      <c r="E62" s="200"/>
      <c r="F62" s="190" t="e">
        <f>+VLOOKUP(E62,'EF-S3'!$B$17:$C$21,2,)</f>
        <v>#N/A</v>
      </c>
      <c r="G62" s="198" t="str">
        <f>+'EF-S3'!$C$16</f>
        <v>kg CO2e/km</v>
      </c>
      <c r="H62" s="191">
        <f t="shared" si="0"/>
        <v>0</v>
      </c>
      <c r="J62" s="200"/>
      <c r="K62" s="189"/>
      <c r="L62" s="189"/>
      <c r="M62" s="190" t="e">
        <f>+VLOOKUP(J62,'EF-S3'!$B$38:$C$88,2,)</f>
        <v>#N/A</v>
      </c>
      <c r="N62" s="190" t="str">
        <f>+countries[[#Headers],[kgCO2e/room per night]]</f>
        <v>kgCO2e/room per night</v>
      </c>
      <c r="O62" s="191">
        <f t="shared" si="1"/>
        <v>0</v>
      </c>
    </row>
    <row r="63" spans="2:15" x14ac:dyDescent="0.7">
      <c r="B63" s="189"/>
      <c r="C63" s="189"/>
      <c r="D63" s="189"/>
      <c r="E63" s="200"/>
      <c r="F63" s="190" t="e">
        <f>+VLOOKUP(E63,'EF-S3'!$B$17:$C$21,2,)</f>
        <v>#N/A</v>
      </c>
      <c r="G63" s="198" t="str">
        <f>+'EF-S3'!$C$16</f>
        <v>kg CO2e/km</v>
      </c>
      <c r="H63" s="191">
        <f t="shared" si="0"/>
        <v>0</v>
      </c>
      <c r="J63" s="200"/>
      <c r="K63" s="189"/>
      <c r="L63" s="189"/>
      <c r="M63" s="190" t="e">
        <f>+VLOOKUP(J63,'EF-S3'!$B$38:$C$88,2,)</f>
        <v>#N/A</v>
      </c>
      <c r="N63" s="190" t="str">
        <f>+countries[[#Headers],[kgCO2e/room per night]]</f>
        <v>kgCO2e/room per night</v>
      </c>
      <c r="O63" s="191">
        <f t="shared" si="1"/>
        <v>0</v>
      </c>
    </row>
    <row r="64" spans="2:15" x14ac:dyDescent="0.7">
      <c r="B64" s="189"/>
      <c r="C64" s="189"/>
      <c r="D64" s="189"/>
      <c r="E64" s="200"/>
      <c r="F64" s="190" t="e">
        <f>+VLOOKUP(E64,'EF-S3'!$B$17:$C$21,2,)</f>
        <v>#N/A</v>
      </c>
      <c r="G64" s="198" t="str">
        <f>+'EF-S3'!$C$16</f>
        <v>kg CO2e/km</v>
      </c>
      <c r="H64" s="191">
        <f t="shared" si="0"/>
        <v>0</v>
      </c>
      <c r="J64" s="200"/>
      <c r="K64" s="189"/>
      <c r="L64" s="189"/>
      <c r="M64" s="190" t="e">
        <f>+VLOOKUP(J64,'EF-S3'!$B$38:$C$88,2,)</f>
        <v>#N/A</v>
      </c>
      <c r="N64" s="190" t="str">
        <f>+countries[[#Headers],[kgCO2e/room per night]]</f>
        <v>kgCO2e/room per night</v>
      </c>
      <c r="O64" s="191">
        <f t="shared" si="1"/>
        <v>0</v>
      </c>
    </row>
    <row r="65" spans="2:15" x14ac:dyDescent="0.7">
      <c r="B65" s="189"/>
      <c r="C65" s="189"/>
      <c r="D65" s="189"/>
      <c r="E65" s="200"/>
      <c r="F65" s="190" t="e">
        <f>+VLOOKUP(E65,'EF-S3'!$B$17:$C$21,2,)</f>
        <v>#N/A</v>
      </c>
      <c r="G65" s="198" t="str">
        <f>+'EF-S3'!$C$16</f>
        <v>kg CO2e/km</v>
      </c>
      <c r="H65" s="191">
        <f t="shared" si="0"/>
        <v>0</v>
      </c>
      <c r="J65" s="200"/>
      <c r="K65" s="189"/>
      <c r="L65" s="189"/>
      <c r="M65" s="190" t="e">
        <f>+VLOOKUP(J65,'EF-S3'!$B$38:$C$88,2,)</f>
        <v>#N/A</v>
      </c>
      <c r="N65" s="190" t="str">
        <f>+countries[[#Headers],[kgCO2e/room per night]]</f>
        <v>kgCO2e/room per night</v>
      </c>
      <c r="O65" s="191">
        <f t="shared" si="1"/>
        <v>0</v>
      </c>
    </row>
    <row r="66" spans="2:15" x14ac:dyDescent="0.7">
      <c r="B66" s="189"/>
      <c r="C66" s="189"/>
      <c r="D66" s="189"/>
      <c r="E66" s="200"/>
      <c r="F66" s="190" t="e">
        <f>+VLOOKUP(E66,'EF-S3'!$B$17:$C$21,2,)</f>
        <v>#N/A</v>
      </c>
      <c r="G66" s="198" t="str">
        <f>+'EF-S3'!$C$16</f>
        <v>kg CO2e/km</v>
      </c>
      <c r="H66" s="191">
        <f t="shared" si="0"/>
        <v>0</v>
      </c>
      <c r="J66" s="200"/>
      <c r="K66" s="189"/>
      <c r="L66" s="189"/>
      <c r="M66" s="190" t="e">
        <f>+VLOOKUP(J66,'EF-S3'!$B$38:$C$88,2,)</f>
        <v>#N/A</v>
      </c>
      <c r="N66" s="190" t="str">
        <f>+countries[[#Headers],[kgCO2e/room per night]]</f>
        <v>kgCO2e/room per night</v>
      </c>
      <c r="O66" s="191">
        <f t="shared" si="1"/>
        <v>0</v>
      </c>
    </row>
    <row r="67" spans="2:15" x14ac:dyDescent="0.7">
      <c r="B67" s="189"/>
      <c r="C67" s="189"/>
      <c r="D67" s="189"/>
      <c r="E67" s="200"/>
      <c r="F67" s="190" t="e">
        <f>+VLOOKUP(E67,'EF-S3'!$B$17:$C$21,2,)</f>
        <v>#N/A</v>
      </c>
      <c r="G67" s="198" t="str">
        <f>+'EF-S3'!$C$16</f>
        <v>kg CO2e/km</v>
      </c>
      <c r="H67" s="191">
        <f t="shared" si="0"/>
        <v>0</v>
      </c>
      <c r="J67" s="200"/>
      <c r="K67" s="189"/>
      <c r="L67" s="189"/>
      <c r="M67" s="190" t="e">
        <f>+VLOOKUP(J67,'EF-S3'!$B$38:$C$88,2,)</f>
        <v>#N/A</v>
      </c>
      <c r="N67" s="190" t="str">
        <f>+countries[[#Headers],[kgCO2e/room per night]]</f>
        <v>kgCO2e/room per night</v>
      </c>
      <c r="O67" s="191">
        <f t="shared" si="1"/>
        <v>0</v>
      </c>
    </row>
    <row r="68" spans="2:15" x14ac:dyDescent="0.7">
      <c r="B68" s="189"/>
      <c r="C68" s="189"/>
      <c r="D68" s="189"/>
      <c r="E68" s="200"/>
      <c r="F68" s="190" t="e">
        <f>+VLOOKUP(E68,'EF-S3'!$B$17:$C$21,2,)</f>
        <v>#N/A</v>
      </c>
      <c r="G68" s="198" t="str">
        <f>+'EF-S3'!$C$16</f>
        <v>kg CO2e/km</v>
      </c>
      <c r="H68" s="191">
        <f t="shared" si="0"/>
        <v>0</v>
      </c>
      <c r="J68" s="200"/>
      <c r="K68" s="189"/>
      <c r="L68" s="189"/>
      <c r="M68" s="190" t="e">
        <f>+VLOOKUP(J68,'EF-S3'!$B$38:$C$88,2,)</f>
        <v>#N/A</v>
      </c>
      <c r="N68" s="190" t="str">
        <f>+countries[[#Headers],[kgCO2e/room per night]]</f>
        <v>kgCO2e/room per night</v>
      </c>
      <c r="O68" s="191">
        <f t="shared" si="1"/>
        <v>0</v>
      </c>
    </row>
    <row r="69" spans="2:15" x14ac:dyDescent="0.7">
      <c r="B69" s="189"/>
      <c r="C69" s="189"/>
      <c r="D69" s="189"/>
      <c r="E69" s="200"/>
      <c r="F69" s="190" t="e">
        <f>+VLOOKUP(E69,'EF-S3'!$B$17:$C$21,2,)</f>
        <v>#N/A</v>
      </c>
      <c r="G69" s="198" t="str">
        <f>+'EF-S3'!$C$16</f>
        <v>kg CO2e/km</v>
      </c>
      <c r="H69" s="191">
        <f t="shared" si="0"/>
        <v>0</v>
      </c>
      <c r="J69" s="200"/>
      <c r="K69" s="189"/>
      <c r="L69" s="189"/>
      <c r="M69" s="190" t="e">
        <f>+VLOOKUP(J69,'EF-S3'!$B$38:$C$88,2,)</f>
        <v>#N/A</v>
      </c>
      <c r="N69" s="190" t="str">
        <f>+countries[[#Headers],[kgCO2e/room per night]]</f>
        <v>kgCO2e/room per night</v>
      </c>
      <c r="O69" s="191">
        <f t="shared" si="1"/>
        <v>0</v>
      </c>
    </row>
    <row r="70" spans="2:15" x14ac:dyDescent="0.7">
      <c r="B70" s="189"/>
      <c r="C70" s="189"/>
      <c r="D70" s="189"/>
      <c r="E70" s="200"/>
      <c r="F70" s="190" t="e">
        <f>+VLOOKUP(E70,'EF-S3'!$B$17:$C$21,2,)</f>
        <v>#N/A</v>
      </c>
      <c r="G70" s="198" t="str">
        <f>+'EF-S3'!$C$16</f>
        <v>kg CO2e/km</v>
      </c>
      <c r="H70" s="191">
        <f t="shared" si="0"/>
        <v>0</v>
      </c>
      <c r="J70" s="200"/>
      <c r="K70" s="189"/>
      <c r="L70" s="189"/>
      <c r="M70" s="190" t="e">
        <f>+VLOOKUP(J70,'EF-S3'!$B$38:$C$88,2,)</f>
        <v>#N/A</v>
      </c>
      <c r="N70" s="190" t="str">
        <f>+countries[[#Headers],[kgCO2e/room per night]]</f>
        <v>kgCO2e/room per night</v>
      </c>
      <c r="O70" s="191">
        <f t="shared" si="1"/>
        <v>0</v>
      </c>
    </row>
    <row r="71" spans="2:15" x14ac:dyDescent="0.7">
      <c r="B71" s="189"/>
      <c r="C71" s="189"/>
      <c r="D71" s="189"/>
      <c r="E71" s="200"/>
      <c r="F71" s="190" t="e">
        <f>+VLOOKUP(E71,'EF-S3'!$B$17:$C$21,2,)</f>
        <v>#N/A</v>
      </c>
      <c r="G71" s="198" t="str">
        <f>+'EF-S3'!$C$16</f>
        <v>kg CO2e/km</v>
      </c>
      <c r="H71" s="191">
        <f t="shared" si="0"/>
        <v>0</v>
      </c>
      <c r="J71" s="200"/>
      <c r="K71" s="189"/>
      <c r="L71" s="189"/>
      <c r="M71" s="190" t="e">
        <f>+VLOOKUP(J71,'EF-S3'!$B$38:$C$88,2,)</f>
        <v>#N/A</v>
      </c>
      <c r="N71" s="190" t="str">
        <f>+countries[[#Headers],[kgCO2e/room per night]]</f>
        <v>kgCO2e/room per night</v>
      </c>
      <c r="O71" s="191">
        <f t="shared" si="1"/>
        <v>0</v>
      </c>
    </row>
    <row r="72" spans="2:15" x14ac:dyDescent="0.7">
      <c r="B72" s="189"/>
      <c r="C72" s="189"/>
      <c r="D72" s="189"/>
      <c r="E72" s="200"/>
      <c r="F72" s="190" t="e">
        <f>+VLOOKUP(E72,'EF-S3'!$B$17:$C$21,2,)</f>
        <v>#N/A</v>
      </c>
      <c r="G72" s="198" t="str">
        <f>+'EF-S3'!$C$16</f>
        <v>kg CO2e/km</v>
      </c>
      <c r="H72" s="191">
        <f t="shared" si="0"/>
        <v>0</v>
      </c>
      <c r="J72" s="200"/>
      <c r="K72" s="189"/>
      <c r="L72" s="189"/>
      <c r="M72" s="190" t="e">
        <f>+VLOOKUP(J72,'EF-S3'!$B$38:$C$88,2,)</f>
        <v>#N/A</v>
      </c>
      <c r="N72" s="190" t="str">
        <f>+countries[[#Headers],[kgCO2e/room per night]]</f>
        <v>kgCO2e/room per night</v>
      </c>
      <c r="O72" s="191">
        <f t="shared" si="1"/>
        <v>0</v>
      </c>
    </row>
    <row r="73" spans="2:15" x14ac:dyDescent="0.7">
      <c r="B73" s="189"/>
      <c r="C73" s="189"/>
      <c r="D73" s="189"/>
      <c r="E73" s="200"/>
      <c r="F73" s="190" t="e">
        <f>+VLOOKUP(E73,'EF-S3'!$B$17:$C$21,2,)</f>
        <v>#N/A</v>
      </c>
      <c r="G73" s="198" t="str">
        <f>+'EF-S3'!$C$16</f>
        <v>kg CO2e/km</v>
      </c>
      <c r="H73" s="191">
        <f t="shared" si="0"/>
        <v>0</v>
      </c>
      <c r="J73" s="200"/>
      <c r="K73" s="189"/>
      <c r="L73" s="189"/>
      <c r="M73" s="190" t="e">
        <f>+VLOOKUP(J73,'EF-S3'!$B$38:$C$88,2,)</f>
        <v>#N/A</v>
      </c>
      <c r="N73" s="190" t="str">
        <f>+countries[[#Headers],[kgCO2e/room per night]]</f>
        <v>kgCO2e/room per night</v>
      </c>
      <c r="O73" s="191">
        <f t="shared" si="1"/>
        <v>0</v>
      </c>
    </row>
    <row r="74" spans="2:15" x14ac:dyDescent="0.7">
      <c r="B74" s="189"/>
      <c r="C74" s="189"/>
      <c r="D74" s="189"/>
      <c r="E74" s="200"/>
      <c r="F74" s="190" t="e">
        <f>+VLOOKUP(E74,'EF-S3'!$B$17:$C$21,2,)</f>
        <v>#N/A</v>
      </c>
      <c r="G74" s="198" t="str">
        <f>+'EF-S3'!$C$16</f>
        <v>kg CO2e/km</v>
      </c>
      <c r="H74" s="191">
        <f t="shared" si="0"/>
        <v>0</v>
      </c>
      <c r="J74" s="200"/>
      <c r="K74" s="189"/>
      <c r="L74" s="189"/>
      <c r="M74" s="190" t="e">
        <f>+VLOOKUP(J74,'EF-S3'!$B$38:$C$88,2,)</f>
        <v>#N/A</v>
      </c>
      <c r="N74" s="190" t="str">
        <f>+countries[[#Headers],[kgCO2e/room per night]]</f>
        <v>kgCO2e/room per night</v>
      </c>
      <c r="O74" s="191">
        <f t="shared" si="1"/>
        <v>0</v>
      </c>
    </row>
    <row r="75" spans="2:15" x14ac:dyDescent="0.7">
      <c r="B75" s="189"/>
      <c r="C75" s="189"/>
      <c r="D75" s="189"/>
      <c r="E75" s="200"/>
      <c r="F75" s="190" t="e">
        <f>+VLOOKUP(E75,'EF-S3'!$B$17:$C$21,2,)</f>
        <v>#N/A</v>
      </c>
      <c r="G75" s="198" t="str">
        <f>+'EF-S3'!$C$16</f>
        <v>kg CO2e/km</v>
      </c>
      <c r="H75" s="191">
        <f t="shared" ref="H75:H104" si="2">+IFERROR((D75*F75)/1000,0)</f>
        <v>0</v>
      </c>
      <c r="J75" s="200"/>
      <c r="K75" s="189"/>
      <c r="L75" s="189"/>
      <c r="M75" s="190" t="e">
        <f>+VLOOKUP(J75,'EF-S3'!$B$38:$C$88,2,)</f>
        <v>#N/A</v>
      </c>
      <c r="N75" s="190" t="str">
        <f>+countries[[#Headers],[kgCO2e/room per night]]</f>
        <v>kgCO2e/room per night</v>
      </c>
      <c r="O75" s="191">
        <f t="shared" ref="O75:O104" si="3">+IFERROR((K75*L75*M75)/1000,0)</f>
        <v>0</v>
      </c>
    </row>
    <row r="76" spans="2:15" x14ac:dyDescent="0.7">
      <c r="B76" s="189"/>
      <c r="C76" s="189"/>
      <c r="D76" s="189"/>
      <c r="E76" s="200"/>
      <c r="F76" s="190" t="e">
        <f>+VLOOKUP(E76,'EF-S3'!$B$17:$C$21,2,)</f>
        <v>#N/A</v>
      </c>
      <c r="G76" s="198" t="str">
        <f>+'EF-S3'!$C$16</f>
        <v>kg CO2e/km</v>
      </c>
      <c r="H76" s="191">
        <f t="shared" si="2"/>
        <v>0</v>
      </c>
      <c r="J76" s="200"/>
      <c r="K76" s="189"/>
      <c r="L76" s="189"/>
      <c r="M76" s="190" t="e">
        <f>+VLOOKUP(J76,'EF-S3'!$B$38:$C$88,2,)</f>
        <v>#N/A</v>
      </c>
      <c r="N76" s="190" t="str">
        <f>+countries[[#Headers],[kgCO2e/room per night]]</f>
        <v>kgCO2e/room per night</v>
      </c>
      <c r="O76" s="191">
        <f t="shared" si="3"/>
        <v>0</v>
      </c>
    </row>
    <row r="77" spans="2:15" x14ac:dyDescent="0.7">
      <c r="B77" s="189"/>
      <c r="C77" s="189"/>
      <c r="D77" s="189"/>
      <c r="E77" s="200"/>
      <c r="F77" s="190" t="e">
        <f>+VLOOKUP(E77,'EF-S3'!$B$17:$C$21,2,)</f>
        <v>#N/A</v>
      </c>
      <c r="G77" s="198" t="str">
        <f>+'EF-S3'!$C$16</f>
        <v>kg CO2e/km</v>
      </c>
      <c r="H77" s="191">
        <f t="shared" si="2"/>
        <v>0</v>
      </c>
      <c r="J77" s="200"/>
      <c r="K77" s="189"/>
      <c r="L77" s="189"/>
      <c r="M77" s="190" t="e">
        <f>+VLOOKUP(J77,'EF-S3'!$B$38:$C$88,2,)</f>
        <v>#N/A</v>
      </c>
      <c r="N77" s="190" t="str">
        <f>+countries[[#Headers],[kgCO2e/room per night]]</f>
        <v>kgCO2e/room per night</v>
      </c>
      <c r="O77" s="191">
        <f t="shared" si="3"/>
        <v>0</v>
      </c>
    </row>
    <row r="78" spans="2:15" x14ac:dyDescent="0.7">
      <c r="B78" s="189"/>
      <c r="C78" s="189"/>
      <c r="D78" s="189"/>
      <c r="E78" s="200"/>
      <c r="F78" s="190" t="e">
        <f>+VLOOKUP(E78,'EF-S3'!$B$17:$C$21,2,)</f>
        <v>#N/A</v>
      </c>
      <c r="G78" s="198" t="str">
        <f>+'EF-S3'!$C$16</f>
        <v>kg CO2e/km</v>
      </c>
      <c r="H78" s="191">
        <f t="shared" si="2"/>
        <v>0</v>
      </c>
      <c r="J78" s="200"/>
      <c r="K78" s="189"/>
      <c r="L78" s="189"/>
      <c r="M78" s="190" t="e">
        <f>+VLOOKUP(J78,'EF-S3'!$B$38:$C$88,2,)</f>
        <v>#N/A</v>
      </c>
      <c r="N78" s="190" t="str">
        <f>+countries[[#Headers],[kgCO2e/room per night]]</f>
        <v>kgCO2e/room per night</v>
      </c>
      <c r="O78" s="191">
        <f t="shared" si="3"/>
        <v>0</v>
      </c>
    </row>
    <row r="79" spans="2:15" x14ac:dyDescent="0.7">
      <c r="B79" s="189"/>
      <c r="C79" s="189"/>
      <c r="D79" s="189"/>
      <c r="E79" s="200"/>
      <c r="F79" s="190" t="e">
        <f>+VLOOKUP(E79,'EF-S3'!$B$17:$C$21,2,)</f>
        <v>#N/A</v>
      </c>
      <c r="G79" s="198" t="str">
        <f>+'EF-S3'!$C$16</f>
        <v>kg CO2e/km</v>
      </c>
      <c r="H79" s="191">
        <f t="shared" si="2"/>
        <v>0</v>
      </c>
      <c r="J79" s="200"/>
      <c r="K79" s="189"/>
      <c r="L79" s="189"/>
      <c r="M79" s="190" t="e">
        <f>+VLOOKUP(J79,'EF-S3'!$B$38:$C$88,2,)</f>
        <v>#N/A</v>
      </c>
      <c r="N79" s="190" t="str">
        <f>+countries[[#Headers],[kgCO2e/room per night]]</f>
        <v>kgCO2e/room per night</v>
      </c>
      <c r="O79" s="191">
        <f t="shared" si="3"/>
        <v>0</v>
      </c>
    </row>
    <row r="80" spans="2:15" x14ac:dyDescent="0.7">
      <c r="B80" s="189"/>
      <c r="C80" s="189"/>
      <c r="D80" s="189"/>
      <c r="E80" s="200"/>
      <c r="F80" s="190" t="e">
        <f>+VLOOKUP(E80,'EF-S3'!$B$17:$C$21,2,)</f>
        <v>#N/A</v>
      </c>
      <c r="G80" s="198" t="str">
        <f>+'EF-S3'!$C$16</f>
        <v>kg CO2e/km</v>
      </c>
      <c r="H80" s="191">
        <f t="shared" si="2"/>
        <v>0</v>
      </c>
      <c r="J80" s="200"/>
      <c r="K80" s="189"/>
      <c r="L80" s="189"/>
      <c r="M80" s="190" t="e">
        <f>+VLOOKUP(J80,'EF-S3'!$B$38:$C$88,2,)</f>
        <v>#N/A</v>
      </c>
      <c r="N80" s="190" t="str">
        <f>+countries[[#Headers],[kgCO2e/room per night]]</f>
        <v>kgCO2e/room per night</v>
      </c>
      <c r="O80" s="191">
        <f t="shared" si="3"/>
        <v>0</v>
      </c>
    </row>
    <row r="81" spans="2:15" x14ac:dyDescent="0.7">
      <c r="B81" s="189"/>
      <c r="C81" s="189"/>
      <c r="D81" s="189"/>
      <c r="E81" s="200"/>
      <c r="F81" s="190" t="e">
        <f>+VLOOKUP(E81,'EF-S3'!$B$17:$C$21,2,)</f>
        <v>#N/A</v>
      </c>
      <c r="G81" s="198" t="str">
        <f>+'EF-S3'!$C$16</f>
        <v>kg CO2e/km</v>
      </c>
      <c r="H81" s="191">
        <f t="shared" si="2"/>
        <v>0</v>
      </c>
      <c r="J81" s="200"/>
      <c r="K81" s="189"/>
      <c r="L81" s="189"/>
      <c r="M81" s="190" t="e">
        <f>+VLOOKUP(J81,'EF-S3'!$B$38:$C$88,2,)</f>
        <v>#N/A</v>
      </c>
      <c r="N81" s="190" t="str">
        <f>+countries[[#Headers],[kgCO2e/room per night]]</f>
        <v>kgCO2e/room per night</v>
      </c>
      <c r="O81" s="191">
        <f t="shared" si="3"/>
        <v>0</v>
      </c>
    </row>
    <row r="82" spans="2:15" x14ac:dyDescent="0.7">
      <c r="B82" s="189"/>
      <c r="C82" s="189"/>
      <c r="D82" s="189"/>
      <c r="E82" s="200"/>
      <c r="F82" s="190" t="e">
        <f>+VLOOKUP(E82,'EF-S3'!$B$17:$C$21,2,)</f>
        <v>#N/A</v>
      </c>
      <c r="G82" s="198" t="str">
        <f>+'EF-S3'!$C$16</f>
        <v>kg CO2e/km</v>
      </c>
      <c r="H82" s="191">
        <f t="shared" si="2"/>
        <v>0</v>
      </c>
      <c r="J82" s="200"/>
      <c r="K82" s="189"/>
      <c r="L82" s="189"/>
      <c r="M82" s="190" t="e">
        <f>+VLOOKUP(J82,'EF-S3'!$B$38:$C$88,2,)</f>
        <v>#N/A</v>
      </c>
      <c r="N82" s="190" t="str">
        <f>+countries[[#Headers],[kgCO2e/room per night]]</f>
        <v>kgCO2e/room per night</v>
      </c>
      <c r="O82" s="191">
        <f t="shared" si="3"/>
        <v>0</v>
      </c>
    </row>
    <row r="83" spans="2:15" x14ac:dyDescent="0.7">
      <c r="B83" s="189"/>
      <c r="C83" s="189"/>
      <c r="D83" s="189"/>
      <c r="E83" s="200"/>
      <c r="F83" s="190" t="e">
        <f>+VLOOKUP(E83,'EF-S3'!$B$17:$C$21,2,)</f>
        <v>#N/A</v>
      </c>
      <c r="G83" s="198" t="str">
        <f>+'EF-S3'!$C$16</f>
        <v>kg CO2e/km</v>
      </c>
      <c r="H83" s="191">
        <f t="shared" si="2"/>
        <v>0</v>
      </c>
      <c r="J83" s="200"/>
      <c r="K83" s="189"/>
      <c r="L83" s="189"/>
      <c r="M83" s="190" t="e">
        <f>+VLOOKUP(J83,'EF-S3'!$B$38:$C$88,2,)</f>
        <v>#N/A</v>
      </c>
      <c r="N83" s="190" t="str">
        <f>+countries[[#Headers],[kgCO2e/room per night]]</f>
        <v>kgCO2e/room per night</v>
      </c>
      <c r="O83" s="191">
        <f t="shared" si="3"/>
        <v>0</v>
      </c>
    </row>
    <row r="84" spans="2:15" x14ac:dyDescent="0.7">
      <c r="B84" s="189"/>
      <c r="C84" s="189"/>
      <c r="D84" s="189"/>
      <c r="E84" s="200"/>
      <c r="F84" s="190" t="e">
        <f>+VLOOKUP(E84,'EF-S3'!$B$17:$C$21,2,)</f>
        <v>#N/A</v>
      </c>
      <c r="G84" s="198" t="str">
        <f>+'EF-S3'!$C$16</f>
        <v>kg CO2e/km</v>
      </c>
      <c r="H84" s="191">
        <f t="shared" si="2"/>
        <v>0</v>
      </c>
      <c r="J84" s="200"/>
      <c r="K84" s="189"/>
      <c r="L84" s="189"/>
      <c r="M84" s="190" t="e">
        <f>+VLOOKUP(J84,'EF-S3'!$B$38:$C$88,2,)</f>
        <v>#N/A</v>
      </c>
      <c r="N84" s="190" t="str">
        <f>+countries[[#Headers],[kgCO2e/room per night]]</f>
        <v>kgCO2e/room per night</v>
      </c>
      <c r="O84" s="191">
        <f t="shared" si="3"/>
        <v>0</v>
      </c>
    </row>
    <row r="85" spans="2:15" x14ac:dyDescent="0.7">
      <c r="B85" s="189"/>
      <c r="C85" s="189"/>
      <c r="D85" s="189"/>
      <c r="E85" s="200"/>
      <c r="F85" s="190" t="e">
        <f>+VLOOKUP(E85,'EF-S3'!$B$17:$C$21,2,)</f>
        <v>#N/A</v>
      </c>
      <c r="G85" s="198" t="str">
        <f>+'EF-S3'!$C$16</f>
        <v>kg CO2e/km</v>
      </c>
      <c r="H85" s="191">
        <f t="shared" si="2"/>
        <v>0</v>
      </c>
      <c r="J85" s="200"/>
      <c r="K85" s="189"/>
      <c r="L85" s="189"/>
      <c r="M85" s="190" t="e">
        <f>+VLOOKUP(J85,'EF-S3'!$B$38:$C$88,2,)</f>
        <v>#N/A</v>
      </c>
      <c r="N85" s="190" t="str">
        <f>+countries[[#Headers],[kgCO2e/room per night]]</f>
        <v>kgCO2e/room per night</v>
      </c>
      <c r="O85" s="191">
        <f t="shared" si="3"/>
        <v>0</v>
      </c>
    </row>
    <row r="86" spans="2:15" x14ac:dyDescent="0.7">
      <c r="B86" s="189"/>
      <c r="C86" s="189"/>
      <c r="D86" s="189"/>
      <c r="E86" s="200"/>
      <c r="F86" s="190" t="e">
        <f>+VLOOKUP(E86,'EF-S3'!$B$17:$C$21,2,)</f>
        <v>#N/A</v>
      </c>
      <c r="G86" s="198" t="str">
        <f>+'EF-S3'!$C$16</f>
        <v>kg CO2e/km</v>
      </c>
      <c r="H86" s="191">
        <f t="shared" si="2"/>
        <v>0</v>
      </c>
      <c r="J86" s="200"/>
      <c r="K86" s="189"/>
      <c r="L86" s="189"/>
      <c r="M86" s="190" t="e">
        <f>+VLOOKUP(J86,'EF-S3'!$B$38:$C$88,2,)</f>
        <v>#N/A</v>
      </c>
      <c r="N86" s="190" t="str">
        <f>+countries[[#Headers],[kgCO2e/room per night]]</f>
        <v>kgCO2e/room per night</v>
      </c>
      <c r="O86" s="191">
        <f t="shared" si="3"/>
        <v>0</v>
      </c>
    </row>
    <row r="87" spans="2:15" x14ac:dyDescent="0.7">
      <c r="B87" s="189"/>
      <c r="C87" s="189"/>
      <c r="D87" s="189"/>
      <c r="E87" s="200"/>
      <c r="F87" s="190" t="e">
        <f>+VLOOKUP(E87,'EF-S3'!$B$17:$C$21,2,)</f>
        <v>#N/A</v>
      </c>
      <c r="G87" s="198" t="str">
        <f>+'EF-S3'!$C$16</f>
        <v>kg CO2e/km</v>
      </c>
      <c r="H87" s="191">
        <f t="shared" si="2"/>
        <v>0</v>
      </c>
      <c r="J87" s="200"/>
      <c r="K87" s="189"/>
      <c r="L87" s="189"/>
      <c r="M87" s="190" t="e">
        <f>+VLOOKUP(J87,'EF-S3'!$B$38:$C$88,2,)</f>
        <v>#N/A</v>
      </c>
      <c r="N87" s="190" t="str">
        <f>+countries[[#Headers],[kgCO2e/room per night]]</f>
        <v>kgCO2e/room per night</v>
      </c>
      <c r="O87" s="191">
        <f t="shared" si="3"/>
        <v>0</v>
      </c>
    </row>
    <row r="88" spans="2:15" x14ac:dyDescent="0.7">
      <c r="B88" s="189"/>
      <c r="C88" s="189"/>
      <c r="D88" s="189"/>
      <c r="E88" s="200"/>
      <c r="F88" s="190" t="e">
        <f>+VLOOKUP(E88,'EF-S3'!$B$17:$C$21,2,)</f>
        <v>#N/A</v>
      </c>
      <c r="G88" s="198" t="str">
        <f>+'EF-S3'!$C$16</f>
        <v>kg CO2e/km</v>
      </c>
      <c r="H88" s="191">
        <f t="shared" si="2"/>
        <v>0</v>
      </c>
      <c r="J88" s="200"/>
      <c r="K88" s="189"/>
      <c r="L88" s="189"/>
      <c r="M88" s="190" t="e">
        <f>+VLOOKUP(J88,'EF-S3'!$B$38:$C$88,2,)</f>
        <v>#N/A</v>
      </c>
      <c r="N88" s="190" t="str">
        <f>+countries[[#Headers],[kgCO2e/room per night]]</f>
        <v>kgCO2e/room per night</v>
      </c>
      <c r="O88" s="191">
        <f t="shared" si="3"/>
        <v>0</v>
      </c>
    </row>
    <row r="89" spans="2:15" x14ac:dyDescent="0.7">
      <c r="B89" s="189"/>
      <c r="C89" s="189"/>
      <c r="D89" s="189"/>
      <c r="E89" s="200"/>
      <c r="F89" s="190" t="e">
        <f>+VLOOKUP(E89,'EF-S3'!$B$17:$C$21,2,)</f>
        <v>#N/A</v>
      </c>
      <c r="G89" s="198" t="str">
        <f>+'EF-S3'!$C$16</f>
        <v>kg CO2e/km</v>
      </c>
      <c r="H89" s="191">
        <f t="shared" si="2"/>
        <v>0</v>
      </c>
      <c r="J89" s="200"/>
      <c r="K89" s="189"/>
      <c r="L89" s="189"/>
      <c r="M89" s="190" t="e">
        <f>+VLOOKUP(J89,'EF-S3'!$B$38:$C$88,2,)</f>
        <v>#N/A</v>
      </c>
      <c r="N89" s="190" t="str">
        <f>+countries[[#Headers],[kgCO2e/room per night]]</f>
        <v>kgCO2e/room per night</v>
      </c>
      <c r="O89" s="191">
        <f t="shared" si="3"/>
        <v>0</v>
      </c>
    </row>
    <row r="90" spans="2:15" x14ac:dyDescent="0.7">
      <c r="B90" s="189"/>
      <c r="C90" s="189"/>
      <c r="D90" s="189"/>
      <c r="E90" s="200"/>
      <c r="F90" s="190" t="e">
        <f>+VLOOKUP(E90,'EF-S3'!$B$17:$C$21,2,)</f>
        <v>#N/A</v>
      </c>
      <c r="G90" s="198" t="str">
        <f>+'EF-S3'!$C$16</f>
        <v>kg CO2e/km</v>
      </c>
      <c r="H90" s="191">
        <f t="shared" si="2"/>
        <v>0</v>
      </c>
      <c r="J90" s="200"/>
      <c r="K90" s="189"/>
      <c r="L90" s="189"/>
      <c r="M90" s="190" t="e">
        <f>+VLOOKUP(J90,'EF-S3'!$B$38:$C$88,2,)</f>
        <v>#N/A</v>
      </c>
      <c r="N90" s="190" t="str">
        <f>+countries[[#Headers],[kgCO2e/room per night]]</f>
        <v>kgCO2e/room per night</v>
      </c>
      <c r="O90" s="191">
        <f t="shared" si="3"/>
        <v>0</v>
      </c>
    </row>
    <row r="91" spans="2:15" x14ac:dyDescent="0.7">
      <c r="B91" s="189"/>
      <c r="C91" s="189"/>
      <c r="D91" s="189"/>
      <c r="E91" s="200"/>
      <c r="F91" s="190" t="e">
        <f>+VLOOKUP(E91,'EF-S3'!$B$17:$C$21,2,)</f>
        <v>#N/A</v>
      </c>
      <c r="G91" s="198" t="str">
        <f>+'EF-S3'!$C$16</f>
        <v>kg CO2e/km</v>
      </c>
      <c r="H91" s="191">
        <f t="shared" si="2"/>
        <v>0</v>
      </c>
      <c r="J91" s="200"/>
      <c r="K91" s="189"/>
      <c r="L91" s="189"/>
      <c r="M91" s="190" t="e">
        <f>+VLOOKUP(J91,'EF-S3'!$B$38:$C$88,2,)</f>
        <v>#N/A</v>
      </c>
      <c r="N91" s="190" t="str">
        <f>+countries[[#Headers],[kgCO2e/room per night]]</f>
        <v>kgCO2e/room per night</v>
      </c>
      <c r="O91" s="191">
        <f t="shared" si="3"/>
        <v>0</v>
      </c>
    </row>
    <row r="92" spans="2:15" x14ac:dyDescent="0.7">
      <c r="B92" s="189"/>
      <c r="C92" s="189"/>
      <c r="D92" s="189"/>
      <c r="E92" s="200"/>
      <c r="F92" s="190" t="e">
        <f>+VLOOKUP(E92,'EF-S3'!$B$17:$C$21,2,)</f>
        <v>#N/A</v>
      </c>
      <c r="G92" s="198" t="str">
        <f>+'EF-S3'!$C$16</f>
        <v>kg CO2e/km</v>
      </c>
      <c r="H92" s="191">
        <f t="shared" si="2"/>
        <v>0</v>
      </c>
      <c r="J92" s="200"/>
      <c r="K92" s="189"/>
      <c r="L92" s="189"/>
      <c r="M92" s="190" t="e">
        <f>+VLOOKUP(J92,'EF-S3'!$B$38:$C$88,2,)</f>
        <v>#N/A</v>
      </c>
      <c r="N92" s="190" t="str">
        <f>+countries[[#Headers],[kgCO2e/room per night]]</f>
        <v>kgCO2e/room per night</v>
      </c>
      <c r="O92" s="191">
        <f t="shared" si="3"/>
        <v>0</v>
      </c>
    </row>
    <row r="93" spans="2:15" x14ac:dyDescent="0.7">
      <c r="B93" s="189"/>
      <c r="C93" s="189"/>
      <c r="D93" s="189"/>
      <c r="E93" s="200"/>
      <c r="F93" s="190" t="e">
        <f>+VLOOKUP(E93,'EF-S3'!$B$17:$C$21,2,)</f>
        <v>#N/A</v>
      </c>
      <c r="G93" s="198" t="str">
        <f>+'EF-S3'!$C$16</f>
        <v>kg CO2e/km</v>
      </c>
      <c r="H93" s="191">
        <f t="shared" si="2"/>
        <v>0</v>
      </c>
      <c r="J93" s="200"/>
      <c r="K93" s="189"/>
      <c r="L93" s="189"/>
      <c r="M93" s="190" t="e">
        <f>+VLOOKUP(J93,'EF-S3'!$B$38:$C$88,2,)</f>
        <v>#N/A</v>
      </c>
      <c r="N93" s="190" t="str">
        <f>+countries[[#Headers],[kgCO2e/room per night]]</f>
        <v>kgCO2e/room per night</v>
      </c>
      <c r="O93" s="191">
        <f t="shared" si="3"/>
        <v>0</v>
      </c>
    </row>
    <row r="94" spans="2:15" x14ac:dyDescent="0.7">
      <c r="B94" s="189"/>
      <c r="C94" s="189"/>
      <c r="D94" s="189"/>
      <c r="E94" s="200"/>
      <c r="F94" s="190" t="e">
        <f>+VLOOKUP(E94,'EF-S3'!$B$17:$C$21,2,)</f>
        <v>#N/A</v>
      </c>
      <c r="G94" s="198" t="str">
        <f>+'EF-S3'!$C$16</f>
        <v>kg CO2e/km</v>
      </c>
      <c r="H94" s="191">
        <f t="shared" si="2"/>
        <v>0</v>
      </c>
      <c r="J94" s="200"/>
      <c r="K94" s="189"/>
      <c r="L94" s="189"/>
      <c r="M94" s="190" t="e">
        <f>+VLOOKUP(J94,'EF-S3'!$B$38:$C$88,2,)</f>
        <v>#N/A</v>
      </c>
      <c r="N94" s="190" t="str">
        <f>+countries[[#Headers],[kgCO2e/room per night]]</f>
        <v>kgCO2e/room per night</v>
      </c>
      <c r="O94" s="191">
        <f t="shared" si="3"/>
        <v>0</v>
      </c>
    </row>
    <row r="95" spans="2:15" x14ac:dyDescent="0.7">
      <c r="B95" s="189"/>
      <c r="C95" s="189"/>
      <c r="D95" s="189"/>
      <c r="E95" s="200"/>
      <c r="F95" s="190" t="e">
        <f>+VLOOKUP(E95,'EF-S3'!$B$17:$C$21,2,)</f>
        <v>#N/A</v>
      </c>
      <c r="G95" s="198" t="str">
        <f>+'EF-S3'!$C$16</f>
        <v>kg CO2e/km</v>
      </c>
      <c r="H95" s="191">
        <f t="shared" si="2"/>
        <v>0</v>
      </c>
      <c r="J95" s="200"/>
      <c r="K95" s="189"/>
      <c r="L95" s="189"/>
      <c r="M95" s="190" t="e">
        <f>+VLOOKUP(J95,'EF-S3'!$B$38:$C$88,2,)</f>
        <v>#N/A</v>
      </c>
      <c r="N95" s="190" t="str">
        <f>+countries[[#Headers],[kgCO2e/room per night]]</f>
        <v>kgCO2e/room per night</v>
      </c>
      <c r="O95" s="191">
        <f t="shared" si="3"/>
        <v>0</v>
      </c>
    </row>
    <row r="96" spans="2:15" x14ac:dyDescent="0.7">
      <c r="B96" s="189"/>
      <c r="C96" s="189"/>
      <c r="D96" s="189"/>
      <c r="E96" s="200"/>
      <c r="F96" s="190" t="e">
        <f>+VLOOKUP(E96,'EF-S3'!$B$17:$C$21,2,)</f>
        <v>#N/A</v>
      </c>
      <c r="G96" s="198" t="str">
        <f>+'EF-S3'!$C$16</f>
        <v>kg CO2e/km</v>
      </c>
      <c r="H96" s="191">
        <f t="shared" si="2"/>
        <v>0</v>
      </c>
      <c r="J96" s="200"/>
      <c r="K96" s="189"/>
      <c r="L96" s="189"/>
      <c r="M96" s="190" t="e">
        <f>+VLOOKUP(J96,'EF-S3'!$B$38:$C$88,2,)</f>
        <v>#N/A</v>
      </c>
      <c r="N96" s="190" t="str">
        <f>+countries[[#Headers],[kgCO2e/room per night]]</f>
        <v>kgCO2e/room per night</v>
      </c>
      <c r="O96" s="191">
        <f t="shared" si="3"/>
        <v>0</v>
      </c>
    </row>
    <row r="97" spans="2:15" x14ac:dyDescent="0.7">
      <c r="B97" s="189"/>
      <c r="C97" s="189"/>
      <c r="D97" s="189"/>
      <c r="E97" s="200"/>
      <c r="F97" s="190" t="e">
        <f>+VLOOKUP(E97,'EF-S3'!$B$17:$C$21,2,)</f>
        <v>#N/A</v>
      </c>
      <c r="G97" s="198" t="str">
        <f>+'EF-S3'!$C$16</f>
        <v>kg CO2e/km</v>
      </c>
      <c r="H97" s="191">
        <f t="shared" si="2"/>
        <v>0</v>
      </c>
      <c r="J97" s="200"/>
      <c r="K97" s="189"/>
      <c r="L97" s="189"/>
      <c r="M97" s="190" t="e">
        <f>+VLOOKUP(J97,'EF-S3'!$B$38:$C$88,2,)</f>
        <v>#N/A</v>
      </c>
      <c r="N97" s="190" t="str">
        <f>+countries[[#Headers],[kgCO2e/room per night]]</f>
        <v>kgCO2e/room per night</v>
      </c>
      <c r="O97" s="191">
        <f t="shared" si="3"/>
        <v>0</v>
      </c>
    </row>
    <row r="98" spans="2:15" x14ac:dyDescent="0.7">
      <c r="B98" s="189"/>
      <c r="C98" s="189"/>
      <c r="D98" s="189"/>
      <c r="E98" s="200"/>
      <c r="F98" s="190" t="e">
        <f>+VLOOKUP(E98,'EF-S3'!$B$17:$C$21,2,)</f>
        <v>#N/A</v>
      </c>
      <c r="G98" s="198" t="str">
        <f>+'EF-S3'!$C$16</f>
        <v>kg CO2e/km</v>
      </c>
      <c r="H98" s="191">
        <f t="shared" si="2"/>
        <v>0</v>
      </c>
      <c r="J98" s="200"/>
      <c r="K98" s="189"/>
      <c r="L98" s="189"/>
      <c r="M98" s="190" t="e">
        <f>+VLOOKUP(J98,'EF-S3'!$B$38:$C$88,2,)</f>
        <v>#N/A</v>
      </c>
      <c r="N98" s="190" t="str">
        <f>+countries[[#Headers],[kgCO2e/room per night]]</f>
        <v>kgCO2e/room per night</v>
      </c>
      <c r="O98" s="191">
        <f t="shared" si="3"/>
        <v>0</v>
      </c>
    </row>
    <row r="99" spans="2:15" x14ac:dyDescent="0.7">
      <c r="B99" s="189"/>
      <c r="C99" s="189"/>
      <c r="D99" s="189"/>
      <c r="E99" s="200"/>
      <c r="F99" s="190" t="e">
        <f>+VLOOKUP(E99,'EF-S3'!$B$17:$C$21,2,)</f>
        <v>#N/A</v>
      </c>
      <c r="G99" s="198" t="str">
        <f>+'EF-S3'!$C$16</f>
        <v>kg CO2e/km</v>
      </c>
      <c r="H99" s="191">
        <f t="shared" si="2"/>
        <v>0</v>
      </c>
      <c r="J99" s="200"/>
      <c r="K99" s="189"/>
      <c r="L99" s="189"/>
      <c r="M99" s="190" t="e">
        <f>+VLOOKUP(J99,'EF-S3'!$B$38:$C$88,2,)</f>
        <v>#N/A</v>
      </c>
      <c r="N99" s="190" t="str">
        <f>+countries[[#Headers],[kgCO2e/room per night]]</f>
        <v>kgCO2e/room per night</v>
      </c>
      <c r="O99" s="191">
        <f t="shared" si="3"/>
        <v>0</v>
      </c>
    </row>
    <row r="100" spans="2:15" x14ac:dyDescent="0.7">
      <c r="B100" s="189"/>
      <c r="C100" s="189"/>
      <c r="D100" s="189"/>
      <c r="E100" s="200"/>
      <c r="F100" s="190" t="e">
        <f>+VLOOKUP(E100,'EF-S3'!$B$17:$C$21,2,)</f>
        <v>#N/A</v>
      </c>
      <c r="G100" s="198" t="str">
        <f>+'EF-S3'!$C$16</f>
        <v>kg CO2e/km</v>
      </c>
      <c r="H100" s="191">
        <f t="shared" si="2"/>
        <v>0</v>
      </c>
      <c r="J100" s="200"/>
      <c r="K100" s="189"/>
      <c r="L100" s="189"/>
      <c r="M100" s="190" t="e">
        <f>+VLOOKUP(J100,'EF-S3'!$B$38:$C$88,2,)</f>
        <v>#N/A</v>
      </c>
      <c r="N100" s="190" t="str">
        <f>+countries[[#Headers],[kgCO2e/room per night]]</f>
        <v>kgCO2e/room per night</v>
      </c>
      <c r="O100" s="191">
        <f t="shared" si="3"/>
        <v>0</v>
      </c>
    </row>
    <row r="101" spans="2:15" x14ac:dyDescent="0.7">
      <c r="B101" s="189"/>
      <c r="C101" s="189"/>
      <c r="D101" s="189"/>
      <c r="E101" s="200"/>
      <c r="F101" s="190" t="e">
        <f>+VLOOKUP(E101,'EF-S3'!$B$17:$C$21,2,)</f>
        <v>#N/A</v>
      </c>
      <c r="G101" s="198" t="str">
        <f>+'EF-S3'!$C$16</f>
        <v>kg CO2e/km</v>
      </c>
      <c r="H101" s="191">
        <f t="shared" si="2"/>
        <v>0</v>
      </c>
      <c r="J101" s="200"/>
      <c r="K101" s="189"/>
      <c r="L101" s="189"/>
      <c r="M101" s="190" t="e">
        <f>+VLOOKUP(J101,'EF-S3'!$B$38:$C$88,2,)</f>
        <v>#N/A</v>
      </c>
      <c r="N101" s="190" t="str">
        <f>+countries[[#Headers],[kgCO2e/room per night]]</f>
        <v>kgCO2e/room per night</v>
      </c>
      <c r="O101" s="191">
        <f t="shared" si="3"/>
        <v>0</v>
      </c>
    </row>
    <row r="102" spans="2:15" x14ac:dyDescent="0.7">
      <c r="B102" s="189"/>
      <c r="C102" s="189"/>
      <c r="D102" s="189"/>
      <c r="E102" s="200"/>
      <c r="F102" s="190" t="e">
        <f>+VLOOKUP(E102,'EF-S3'!$B$17:$C$21,2,)</f>
        <v>#N/A</v>
      </c>
      <c r="G102" s="198" t="str">
        <f>+'EF-S3'!$C$16</f>
        <v>kg CO2e/km</v>
      </c>
      <c r="H102" s="191">
        <f t="shared" si="2"/>
        <v>0</v>
      </c>
      <c r="J102" s="200"/>
      <c r="K102" s="189"/>
      <c r="L102" s="189"/>
      <c r="M102" s="190" t="e">
        <f>+VLOOKUP(J102,'EF-S3'!$B$38:$C$88,2,)</f>
        <v>#N/A</v>
      </c>
      <c r="N102" s="190" t="str">
        <f>+countries[[#Headers],[kgCO2e/room per night]]</f>
        <v>kgCO2e/room per night</v>
      </c>
      <c r="O102" s="191">
        <f t="shared" si="3"/>
        <v>0</v>
      </c>
    </row>
    <row r="103" spans="2:15" x14ac:dyDescent="0.7">
      <c r="B103" s="189"/>
      <c r="C103" s="189"/>
      <c r="D103" s="189"/>
      <c r="E103" s="200"/>
      <c r="F103" s="190" t="e">
        <f>+VLOOKUP(E103,'EF-S3'!$B$17:$C$21,2,)</f>
        <v>#N/A</v>
      </c>
      <c r="G103" s="198" t="str">
        <f>+'EF-S3'!$C$16</f>
        <v>kg CO2e/km</v>
      </c>
      <c r="H103" s="191">
        <f t="shared" si="2"/>
        <v>0</v>
      </c>
      <c r="J103" s="200"/>
      <c r="K103" s="189"/>
      <c r="L103" s="189"/>
      <c r="M103" s="190" t="e">
        <f>+VLOOKUP(J103,'EF-S3'!$B$38:$C$88,2,)</f>
        <v>#N/A</v>
      </c>
      <c r="N103" s="190" t="str">
        <f>+countries[[#Headers],[kgCO2e/room per night]]</f>
        <v>kgCO2e/room per night</v>
      </c>
      <c r="O103" s="191">
        <f t="shared" si="3"/>
        <v>0</v>
      </c>
    </row>
    <row r="104" spans="2:15" x14ac:dyDescent="0.7">
      <c r="B104" s="189"/>
      <c r="C104" s="189"/>
      <c r="D104" s="189"/>
      <c r="E104" s="200"/>
      <c r="F104" s="190" t="e">
        <f>+VLOOKUP(E104,'EF-S3'!$B$17:$C$21,2,)</f>
        <v>#N/A</v>
      </c>
      <c r="G104" s="198" t="str">
        <f>+'EF-S3'!$C$16</f>
        <v>kg CO2e/km</v>
      </c>
      <c r="H104" s="191">
        <f t="shared" si="2"/>
        <v>0</v>
      </c>
      <c r="J104" s="200"/>
      <c r="K104" s="189"/>
      <c r="L104" s="189"/>
      <c r="M104" s="190" t="e">
        <f>+VLOOKUP(J104,'EF-S3'!$B$38:$C$88,2,)</f>
        <v>#N/A</v>
      </c>
      <c r="N104" s="190" t="str">
        <f>+countries[[#Headers],[kgCO2e/room per night]]</f>
        <v>kgCO2e/room per night</v>
      </c>
      <c r="O104" s="191">
        <f t="shared" si="3"/>
        <v>0</v>
      </c>
    </row>
  </sheetData>
  <sheetProtection algorithmName="SHA-512" hashValue="/ccT3xdLbzcIFZO+G/zDorNXA9L9FhmP+pcBNtPjwx1I3DkshaAo7uCuVJ5pU9WGqZxA2xVUM5Mz37HZ193IrA==" saltValue="Oe2NylUHrOzcJiA93qLAQg==" spinCount="100000" sheet="1" objects="1" scenarios="1"/>
  <protectedRanges>
    <protectedRange sqref="B10:E104 J10:L104" name="Rango1"/>
  </protectedRanges>
  <mergeCells count="5">
    <mergeCell ref="M8:N8"/>
    <mergeCell ref="J8:L8"/>
    <mergeCell ref="F8:G8"/>
    <mergeCell ref="B8:E8"/>
    <mergeCell ref="A6:O6"/>
  </mergeCells>
  <dataValidations count="5">
    <dataValidation type="list" allowBlank="1" showInputMessage="1" showErrorMessage="1" sqref="J10:J104" xr:uid="{1157F853-216C-4275-B512-A99A019BEBDA}">
      <formula1>country</formula1>
    </dataValidation>
    <dataValidation type="list" allowBlank="1" showInputMessage="1" showErrorMessage="1" sqref="E10:E104" xr:uid="{70F2A467-2890-42B6-B668-C3EA47C37D20}">
      <formula1>businesstransport</formula1>
    </dataValidation>
    <dataValidation type="textLength" allowBlank="1" showInputMessage="1" showErrorMessage="1" sqref="B10:C104" xr:uid="{3F250ECF-8459-4C9C-81F3-7D1E6AA7C94D}">
      <formula1>0</formula1>
      <formula2>1000</formula2>
    </dataValidation>
    <dataValidation type="decimal" allowBlank="1" showInputMessage="1" showErrorMessage="1" sqref="D10:D104" xr:uid="{D62C6122-46E7-4046-A09F-7A4101A535C8}">
      <formula1>0</formula1>
      <formula2>999999</formula2>
    </dataValidation>
    <dataValidation type="whole" allowBlank="1" showInputMessage="1" showErrorMessage="1" sqref="K10:L104" xr:uid="{582B3E5C-7C80-44A8-B395-111C07C4D378}">
      <formula1>0</formula1>
      <formula2>999999</formula2>
    </dataValidation>
  </dataValidations>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C2C97-4E3F-498D-8076-3CE17ECF1F03}">
  <sheetPr>
    <tabColor rgb="FF083C12"/>
  </sheetPr>
  <dimension ref="A5:H103"/>
  <sheetViews>
    <sheetView topLeftCell="A7" zoomScale="49" zoomScaleNormal="49" workbookViewId="0">
      <selection activeCell="C18" sqref="C18"/>
    </sheetView>
  </sheetViews>
  <sheetFormatPr baseColWidth="10" defaultColWidth="10.88671875" defaultRowHeight="36.6" x14ac:dyDescent="0.7"/>
  <cols>
    <col min="1" max="1" width="3.88671875" style="162" customWidth="1"/>
    <col min="2" max="2" width="79" style="162" customWidth="1"/>
    <col min="3" max="3" width="96.88671875" style="162" bestFit="1" customWidth="1"/>
    <col min="4" max="4" width="74.109375" style="162" customWidth="1"/>
    <col min="5" max="5" width="50.33203125" style="162" customWidth="1"/>
    <col min="6" max="6" width="28.109375" style="162" customWidth="1"/>
    <col min="7" max="7" width="47.5546875" style="162" customWidth="1"/>
    <col min="8" max="8" width="48.109375" style="162" customWidth="1"/>
    <col min="9" max="16384" width="10.88671875" style="162"/>
  </cols>
  <sheetData>
    <row r="5" spans="1:8" x14ac:dyDescent="0.7">
      <c r="A5" s="286" t="s">
        <v>203</v>
      </c>
      <c r="B5" s="286"/>
      <c r="C5" s="286"/>
      <c r="D5" s="286"/>
      <c r="E5" s="286"/>
    </row>
    <row r="6" spans="1:8" x14ac:dyDescent="0.7">
      <c r="A6" s="149"/>
      <c r="B6" s="149"/>
      <c r="C6" s="149"/>
      <c r="D6" s="149"/>
      <c r="E6" s="194"/>
    </row>
    <row r="7" spans="1:8" ht="29.1" customHeight="1" x14ac:dyDescent="0.7">
      <c r="A7" s="149"/>
      <c r="B7" s="298" t="s">
        <v>204</v>
      </c>
      <c r="C7" s="299"/>
      <c r="D7" s="195"/>
      <c r="F7" s="182"/>
    </row>
    <row r="8" spans="1:8" x14ac:dyDescent="0.7">
      <c r="A8" s="149"/>
      <c r="B8" s="300">
        <v>223</v>
      </c>
      <c r="C8" s="300"/>
      <c r="F8" s="182"/>
    </row>
    <row r="9" spans="1:8" x14ac:dyDescent="0.7">
      <c r="A9" s="149"/>
      <c r="B9" s="149"/>
      <c r="C9" s="149"/>
      <c r="D9" s="149"/>
      <c r="E9" s="149"/>
      <c r="F9" s="149"/>
      <c r="G9" s="149"/>
    </row>
    <row r="10" spans="1:8" x14ac:dyDescent="0.7">
      <c r="A10" s="194"/>
      <c r="B10" s="294" t="s">
        <v>59</v>
      </c>
      <c r="C10" s="292"/>
      <c r="D10" s="292"/>
      <c r="E10" s="292"/>
      <c r="F10" s="287" t="s">
        <v>60</v>
      </c>
      <c r="G10" s="288"/>
      <c r="H10" s="241" t="s">
        <v>61</v>
      </c>
    </row>
    <row r="11" spans="1:8" ht="73.2" x14ac:dyDescent="0.7">
      <c r="B11" s="185" t="s">
        <v>114</v>
      </c>
      <c r="C11" s="185" t="s">
        <v>205</v>
      </c>
      <c r="D11" s="185" t="s">
        <v>206</v>
      </c>
      <c r="E11" s="185" t="s">
        <v>207</v>
      </c>
      <c r="F11" s="242" t="s">
        <v>111</v>
      </c>
      <c r="G11" s="242" t="s">
        <v>32</v>
      </c>
      <c r="H11" s="243" t="s">
        <v>74</v>
      </c>
    </row>
    <row r="12" spans="1:8" x14ac:dyDescent="0.7">
      <c r="B12" s="188" t="s">
        <v>208</v>
      </c>
      <c r="C12" s="196">
        <v>26</v>
      </c>
      <c r="D12" s="188">
        <v>2</v>
      </c>
      <c r="E12" s="197">
        <f>2*C12*$B$8*(1-D12/20)</f>
        <v>10436.4</v>
      </c>
      <c r="F12" s="190">
        <f>+VLOOKUP(B12,'EF-S3'!$B$25:$D$33,2,)</f>
        <v>0.16843</v>
      </c>
      <c r="G12" s="198" t="str">
        <f>+'EF-S3'!$C$24</f>
        <v>kg CO2e/km</v>
      </c>
      <c r="H12" s="191">
        <f>+IFERROR(E12*F12,0)</f>
        <v>1757.8028519999998</v>
      </c>
    </row>
    <row r="13" spans="1:8" x14ac:dyDescent="0.7">
      <c r="B13" s="188" t="s">
        <v>208</v>
      </c>
      <c r="C13" s="196">
        <v>25</v>
      </c>
      <c r="D13" s="188">
        <v>2</v>
      </c>
      <c r="E13" s="197">
        <f t="shared" ref="E13:E17" si="0">2*C13*$B$8*(1-D13/20)</f>
        <v>10035</v>
      </c>
      <c r="F13" s="190">
        <f>+VLOOKUP(B13,'EF-S3'!$B$25:$D$33,2,)</f>
        <v>0.16843</v>
      </c>
      <c r="G13" s="198" t="str">
        <f>+'EF-S3'!$C$24</f>
        <v>kg CO2e/km</v>
      </c>
      <c r="H13" s="191">
        <f t="shared" ref="H13:H76" si="1">+IFERROR(E13*F13,0)</f>
        <v>1690.19505</v>
      </c>
    </row>
    <row r="14" spans="1:8" x14ac:dyDescent="0.7">
      <c r="B14" s="188" t="s">
        <v>209</v>
      </c>
      <c r="C14" s="196">
        <v>50</v>
      </c>
      <c r="D14" s="188">
        <v>2</v>
      </c>
      <c r="E14" s="197">
        <f t="shared" si="0"/>
        <v>20070</v>
      </c>
      <c r="F14" s="190">
        <f>+VLOOKUP(B14,'EF-S3'!$B$25:$D$33,2,)</f>
        <v>0.11952</v>
      </c>
      <c r="G14" s="198" t="str">
        <f>+'EF-S3'!$C$24</f>
        <v>kg CO2e/km</v>
      </c>
      <c r="H14" s="191">
        <f t="shared" si="1"/>
        <v>2398.7664</v>
      </c>
    </row>
    <row r="15" spans="1:8" x14ac:dyDescent="0.7">
      <c r="A15" s="161"/>
      <c r="B15" s="188" t="s">
        <v>208</v>
      </c>
      <c r="C15" s="196">
        <v>10</v>
      </c>
      <c r="D15" s="188">
        <v>2</v>
      </c>
      <c r="E15" s="197">
        <f t="shared" si="0"/>
        <v>4014</v>
      </c>
      <c r="F15" s="190">
        <f>+VLOOKUP(B15,'EF-S3'!$B$25:$D$33,2,)</f>
        <v>0.16843</v>
      </c>
      <c r="G15" s="198" t="str">
        <f>+'EF-S3'!$C$24</f>
        <v>kg CO2e/km</v>
      </c>
      <c r="H15" s="191">
        <f t="shared" si="1"/>
        <v>676.07802000000004</v>
      </c>
    </row>
    <row r="16" spans="1:8" x14ac:dyDescent="0.7">
      <c r="A16" s="161"/>
      <c r="B16" s="188" t="s">
        <v>210</v>
      </c>
      <c r="C16" s="196">
        <v>10</v>
      </c>
      <c r="D16" s="188">
        <v>2</v>
      </c>
      <c r="E16" s="197">
        <f t="shared" si="0"/>
        <v>4014</v>
      </c>
      <c r="F16" s="190">
        <f>+VLOOKUP(B16,'EF-S3'!$B$25:$D$33,2,)</f>
        <v>0.17430999999999999</v>
      </c>
      <c r="G16" s="198" t="str">
        <f>+'EF-S3'!$C$24</f>
        <v>kg CO2e/km</v>
      </c>
      <c r="H16" s="191">
        <f t="shared" si="1"/>
        <v>699.68034</v>
      </c>
    </row>
    <row r="17" spans="1:8" x14ac:dyDescent="0.7">
      <c r="A17" s="161"/>
      <c r="B17" s="188" t="s">
        <v>208</v>
      </c>
      <c r="C17" s="196">
        <v>10</v>
      </c>
      <c r="D17" s="188">
        <v>2</v>
      </c>
      <c r="E17" s="197">
        <f t="shared" si="0"/>
        <v>4014</v>
      </c>
      <c r="F17" s="190">
        <f>+VLOOKUP(B17,'EF-S3'!$B$25:$D$33,2,)</f>
        <v>0.16843</v>
      </c>
      <c r="G17" s="198" t="str">
        <f>+'EF-S3'!$C$24</f>
        <v>kg CO2e/km</v>
      </c>
      <c r="H17" s="191">
        <f t="shared" si="1"/>
        <v>676.07802000000004</v>
      </c>
    </row>
    <row r="18" spans="1:8" x14ac:dyDescent="0.7">
      <c r="B18" s="188" t="s">
        <v>176</v>
      </c>
      <c r="C18" s="196">
        <v>24.5</v>
      </c>
      <c r="D18" s="188">
        <v>2</v>
      </c>
      <c r="E18" s="197">
        <f t="shared" ref="E18:E81" si="2">2*C18*$B$8*(1-D18/20)</f>
        <v>9834.3000000000011</v>
      </c>
      <c r="F18" s="190">
        <f>+VLOOKUP(B18,'EF-S3'!$B$25:$D$33,2,)</f>
        <v>0.1009</v>
      </c>
      <c r="G18" s="198" t="str">
        <f>+'EF-S3'!$C$24</f>
        <v>kg CO2e/km</v>
      </c>
      <c r="H18" s="191">
        <f t="shared" si="1"/>
        <v>992.28087000000016</v>
      </c>
    </row>
    <row r="19" spans="1:8" x14ac:dyDescent="0.7">
      <c r="B19" s="188"/>
      <c r="C19" s="196"/>
      <c r="D19" s="188"/>
      <c r="E19" s="197">
        <f t="shared" si="2"/>
        <v>0</v>
      </c>
      <c r="F19" s="190" t="e">
        <f>+VLOOKUP(B19,'EF-S3'!$B$25:$D$33,2,)</f>
        <v>#N/A</v>
      </c>
      <c r="G19" s="198" t="str">
        <f>+'EF-S3'!$C$24</f>
        <v>kg CO2e/km</v>
      </c>
      <c r="H19" s="191">
        <f t="shared" si="1"/>
        <v>0</v>
      </c>
    </row>
    <row r="20" spans="1:8" x14ac:dyDescent="0.7">
      <c r="B20" s="188"/>
      <c r="C20" s="196"/>
      <c r="D20" s="188"/>
      <c r="E20" s="197">
        <f t="shared" si="2"/>
        <v>0</v>
      </c>
      <c r="F20" s="190" t="e">
        <f>+VLOOKUP(B20,'EF-S3'!$B$25:$D$33,2,)</f>
        <v>#N/A</v>
      </c>
      <c r="G20" s="198" t="str">
        <f>+'EF-S3'!$C$24</f>
        <v>kg CO2e/km</v>
      </c>
      <c r="H20" s="191">
        <f t="shared" si="1"/>
        <v>0</v>
      </c>
    </row>
    <row r="21" spans="1:8" x14ac:dyDescent="0.7">
      <c r="B21" s="188"/>
      <c r="C21" s="196"/>
      <c r="D21" s="188"/>
      <c r="E21" s="197">
        <f t="shared" si="2"/>
        <v>0</v>
      </c>
      <c r="F21" s="190" t="e">
        <f>+VLOOKUP(B21,'EF-S3'!$B$25:$D$33,2,)</f>
        <v>#N/A</v>
      </c>
      <c r="G21" s="198" t="str">
        <f>+'EF-S3'!$C$24</f>
        <v>kg CO2e/km</v>
      </c>
      <c r="H21" s="191">
        <f t="shared" si="1"/>
        <v>0</v>
      </c>
    </row>
    <row r="22" spans="1:8" x14ac:dyDescent="0.7">
      <c r="B22" s="188"/>
      <c r="C22" s="196"/>
      <c r="D22" s="188"/>
      <c r="E22" s="197">
        <f t="shared" si="2"/>
        <v>0</v>
      </c>
      <c r="F22" s="190" t="e">
        <f>+VLOOKUP(B22,'EF-S3'!$B$25:$D$33,2,)</f>
        <v>#N/A</v>
      </c>
      <c r="G22" s="198" t="str">
        <f>+'EF-S3'!$C$24</f>
        <v>kg CO2e/km</v>
      </c>
      <c r="H22" s="191">
        <f t="shared" si="1"/>
        <v>0</v>
      </c>
    </row>
    <row r="23" spans="1:8" x14ac:dyDescent="0.7">
      <c r="B23" s="188"/>
      <c r="C23" s="196"/>
      <c r="D23" s="188"/>
      <c r="E23" s="197">
        <f t="shared" si="2"/>
        <v>0</v>
      </c>
      <c r="F23" s="190" t="e">
        <f>+VLOOKUP(B23,'EF-S3'!$B$25:$D$33,2,)</f>
        <v>#N/A</v>
      </c>
      <c r="G23" s="198" t="str">
        <f>+'EF-S3'!$C$24</f>
        <v>kg CO2e/km</v>
      </c>
      <c r="H23" s="191">
        <f t="shared" si="1"/>
        <v>0</v>
      </c>
    </row>
    <row r="24" spans="1:8" x14ac:dyDescent="0.7">
      <c r="B24" s="188"/>
      <c r="C24" s="196"/>
      <c r="D24" s="188"/>
      <c r="E24" s="197">
        <f t="shared" si="2"/>
        <v>0</v>
      </c>
      <c r="F24" s="190" t="e">
        <f>+VLOOKUP(B24,'EF-S3'!$B$25:$D$33,2,)</f>
        <v>#N/A</v>
      </c>
      <c r="G24" s="198" t="str">
        <f>+'EF-S3'!$C$24</f>
        <v>kg CO2e/km</v>
      </c>
      <c r="H24" s="191">
        <f t="shared" si="1"/>
        <v>0</v>
      </c>
    </row>
    <row r="25" spans="1:8" x14ac:dyDescent="0.7">
      <c r="B25" s="188"/>
      <c r="C25" s="196"/>
      <c r="D25" s="188"/>
      <c r="E25" s="197">
        <f t="shared" si="2"/>
        <v>0</v>
      </c>
      <c r="F25" s="190" t="e">
        <f>+VLOOKUP(B25,'EF-S3'!$B$25:$D$33,2,)</f>
        <v>#N/A</v>
      </c>
      <c r="G25" s="198" t="str">
        <f>+'EF-S3'!$C$24</f>
        <v>kg CO2e/km</v>
      </c>
      <c r="H25" s="191">
        <f t="shared" si="1"/>
        <v>0</v>
      </c>
    </row>
    <row r="26" spans="1:8" x14ac:dyDescent="0.7">
      <c r="B26" s="188"/>
      <c r="C26" s="196"/>
      <c r="D26" s="188"/>
      <c r="E26" s="197">
        <f t="shared" si="2"/>
        <v>0</v>
      </c>
      <c r="F26" s="190" t="e">
        <f>+VLOOKUP(B26,'EF-S3'!$B$25:$D$33,2,)</f>
        <v>#N/A</v>
      </c>
      <c r="G26" s="198" t="str">
        <f>+'EF-S3'!$C$24</f>
        <v>kg CO2e/km</v>
      </c>
      <c r="H26" s="191">
        <f t="shared" si="1"/>
        <v>0</v>
      </c>
    </row>
    <row r="27" spans="1:8" x14ac:dyDescent="0.7">
      <c r="B27" s="188"/>
      <c r="C27" s="196"/>
      <c r="D27" s="188"/>
      <c r="E27" s="197">
        <f t="shared" si="2"/>
        <v>0</v>
      </c>
      <c r="F27" s="190" t="e">
        <f>+VLOOKUP(B27,'EF-S3'!$B$25:$D$33,2,)</f>
        <v>#N/A</v>
      </c>
      <c r="G27" s="198" t="str">
        <f>+'EF-S3'!$C$24</f>
        <v>kg CO2e/km</v>
      </c>
      <c r="H27" s="191">
        <f t="shared" si="1"/>
        <v>0</v>
      </c>
    </row>
    <row r="28" spans="1:8" x14ac:dyDescent="0.7">
      <c r="B28" s="188"/>
      <c r="C28" s="196"/>
      <c r="D28" s="188"/>
      <c r="E28" s="197">
        <f t="shared" si="2"/>
        <v>0</v>
      </c>
      <c r="F28" s="190" t="e">
        <f>+VLOOKUP(B28,'EF-S3'!$B$25:$D$33,2,)</f>
        <v>#N/A</v>
      </c>
      <c r="G28" s="198" t="str">
        <f>+'EF-S3'!$C$24</f>
        <v>kg CO2e/km</v>
      </c>
      <c r="H28" s="191">
        <f t="shared" si="1"/>
        <v>0</v>
      </c>
    </row>
    <row r="29" spans="1:8" x14ac:dyDescent="0.7">
      <c r="B29" s="188"/>
      <c r="C29" s="196"/>
      <c r="D29" s="188"/>
      <c r="E29" s="197">
        <f t="shared" si="2"/>
        <v>0</v>
      </c>
      <c r="F29" s="190" t="e">
        <f>+VLOOKUP(B29,'EF-S3'!$B$25:$D$33,2,)</f>
        <v>#N/A</v>
      </c>
      <c r="G29" s="198" t="str">
        <f>+'EF-S3'!$C$24</f>
        <v>kg CO2e/km</v>
      </c>
      <c r="H29" s="191">
        <f t="shared" si="1"/>
        <v>0</v>
      </c>
    </row>
    <row r="30" spans="1:8" x14ac:dyDescent="0.7">
      <c r="B30" s="188"/>
      <c r="C30" s="196"/>
      <c r="D30" s="188"/>
      <c r="E30" s="197">
        <f t="shared" si="2"/>
        <v>0</v>
      </c>
      <c r="F30" s="190" t="e">
        <f>+VLOOKUP(B30,'EF-S3'!$B$25:$D$33,2,)</f>
        <v>#N/A</v>
      </c>
      <c r="G30" s="198" t="str">
        <f>+'EF-S3'!$C$24</f>
        <v>kg CO2e/km</v>
      </c>
      <c r="H30" s="191">
        <f t="shared" si="1"/>
        <v>0</v>
      </c>
    </row>
    <row r="31" spans="1:8" x14ac:dyDescent="0.7">
      <c r="B31" s="188"/>
      <c r="C31" s="196"/>
      <c r="D31" s="188"/>
      <c r="E31" s="197">
        <f t="shared" si="2"/>
        <v>0</v>
      </c>
      <c r="F31" s="190" t="e">
        <f>+VLOOKUP(B31,'EF-S3'!$B$25:$D$33,2,)</f>
        <v>#N/A</v>
      </c>
      <c r="G31" s="198" t="str">
        <f>+'EF-S3'!$C$24</f>
        <v>kg CO2e/km</v>
      </c>
      <c r="H31" s="191">
        <f t="shared" si="1"/>
        <v>0</v>
      </c>
    </row>
    <row r="32" spans="1:8" x14ac:dyDescent="0.7">
      <c r="B32" s="188"/>
      <c r="C32" s="196"/>
      <c r="D32" s="188"/>
      <c r="E32" s="197">
        <f t="shared" si="2"/>
        <v>0</v>
      </c>
      <c r="F32" s="190" t="e">
        <f>+VLOOKUP(B32,'EF-S3'!$B$25:$D$33,2,)</f>
        <v>#N/A</v>
      </c>
      <c r="G32" s="198" t="str">
        <f>+'EF-S3'!$C$24</f>
        <v>kg CO2e/km</v>
      </c>
      <c r="H32" s="191">
        <f t="shared" si="1"/>
        <v>0</v>
      </c>
    </row>
    <row r="33" spans="2:8" x14ac:dyDescent="0.7">
      <c r="B33" s="188"/>
      <c r="C33" s="196"/>
      <c r="D33" s="188"/>
      <c r="E33" s="197">
        <f t="shared" si="2"/>
        <v>0</v>
      </c>
      <c r="F33" s="190" t="e">
        <f>+VLOOKUP(B33,'EF-S3'!$B$25:$D$33,2,)</f>
        <v>#N/A</v>
      </c>
      <c r="G33" s="198" t="str">
        <f>+'EF-S3'!$C$24</f>
        <v>kg CO2e/km</v>
      </c>
      <c r="H33" s="191">
        <f t="shared" si="1"/>
        <v>0</v>
      </c>
    </row>
    <row r="34" spans="2:8" x14ac:dyDescent="0.7">
      <c r="B34" s="188"/>
      <c r="C34" s="196"/>
      <c r="D34" s="188"/>
      <c r="E34" s="197">
        <f t="shared" si="2"/>
        <v>0</v>
      </c>
      <c r="F34" s="190" t="e">
        <f>+VLOOKUP(B34,'EF-S3'!$B$25:$D$33,2,)</f>
        <v>#N/A</v>
      </c>
      <c r="G34" s="198" t="str">
        <f>+'EF-S3'!$C$24</f>
        <v>kg CO2e/km</v>
      </c>
      <c r="H34" s="191">
        <f t="shared" si="1"/>
        <v>0</v>
      </c>
    </row>
    <row r="35" spans="2:8" x14ac:dyDescent="0.7">
      <c r="B35" s="188"/>
      <c r="C35" s="196"/>
      <c r="D35" s="188"/>
      <c r="E35" s="197">
        <f t="shared" si="2"/>
        <v>0</v>
      </c>
      <c r="F35" s="190" t="e">
        <f>+VLOOKUP(B35,'EF-S3'!$B$25:$D$33,2,)</f>
        <v>#N/A</v>
      </c>
      <c r="G35" s="198" t="str">
        <f>+'EF-S3'!$C$24</f>
        <v>kg CO2e/km</v>
      </c>
      <c r="H35" s="191">
        <f t="shared" si="1"/>
        <v>0</v>
      </c>
    </row>
    <row r="36" spans="2:8" x14ac:dyDescent="0.7">
      <c r="B36" s="188"/>
      <c r="C36" s="196"/>
      <c r="D36" s="188"/>
      <c r="E36" s="197">
        <f t="shared" si="2"/>
        <v>0</v>
      </c>
      <c r="F36" s="190" t="e">
        <f>+VLOOKUP(B36,'EF-S3'!$B$25:$D$33,2,)</f>
        <v>#N/A</v>
      </c>
      <c r="G36" s="198" t="str">
        <f>+'EF-S3'!$C$24</f>
        <v>kg CO2e/km</v>
      </c>
      <c r="H36" s="191">
        <f t="shared" si="1"/>
        <v>0</v>
      </c>
    </row>
    <row r="37" spans="2:8" x14ac:dyDescent="0.7">
      <c r="B37" s="188"/>
      <c r="C37" s="196"/>
      <c r="D37" s="188"/>
      <c r="E37" s="197">
        <f t="shared" si="2"/>
        <v>0</v>
      </c>
      <c r="F37" s="190" t="e">
        <f>+VLOOKUP(B37,'EF-S3'!$B$25:$D$33,2,)</f>
        <v>#N/A</v>
      </c>
      <c r="G37" s="198" t="str">
        <f>+'EF-S3'!$C$24</f>
        <v>kg CO2e/km</v>
      </c>
      <c r="H37" s="191">
        <f t="shared" si="1"/>
        <v>0</v>
      </c>
    </row>
    <row r="38" spans="2:8" x14ac:dyDescent="0.7">
      <c r="B38" s="188"/>
      <c r="C38" s="196"/>
      <c r="D38" s="188"/>
      <c r="E38" s="197">
        <f t="shared" si="2"/>
        <v>0</v>
      </c>
      <c r="F38" s="190" t="e">
        <f>+VLOOKUP(B38,'EF-S3'!$B$25:$D$33,2,)</f>
        <v>#N/A</v>
      </c>
      <c r="G38" s="198" t="str">
        <f>+'EF-S3'!$C$24</f>
        <v>kg CO2e/km</v>
      </c>
      <c r="H38" s="191">
        <f t="shared" si="1"/>
        <v>0</v>
      </c>
    </row>
    <row r="39" spans="2:8" x14ac:dyDescent="0.7">
      <c r="B39" s="188"/>
      <c r="C39" s="196"/>
      <c r="D39" s="188"/>
      <c r="E39" s="197">
        <f t="shared" si="2"/>
        <v>0</v>
      </c>
      <c r="F39" s="190" t="e">
        <f>+VLOOKUP(B39,'EF-S3'!$B$25:$D$33,2,)</f>
        <v>#N/A</v>
      </c>
      <c r="G39" s="198" t="str">
        <f>+'EF-S3'!$C$24</f>
        <v>kg CO2e/km</v>
      </c>
      <c r="H39" s="191">
        <f t="shared" si="1"/>
        <v>0</v>
      </c>
    </row>
    <row r="40" spans="2:8" x14ac:dyDescent="0.7">
      <c r="B40" s="188"/>
      <c r="C40" s="196"/>
      <c r="D40" s="188"/>
      <c r="E40" s="197">
        <f t="shared" si="2"/>
        <v>0</v>
      </c>
      <c r="F40" s="190" t="e">
        <f>+VLOOKUP(B40,'EF-S3'!$B$25:$D$33,2,)</f>
        <v>#N/A</v>
      </c>
      <c r="G40" s="198" t="str">
        <f>+'EF-S3'!$C$24</f>
        <v>kg CO2e/km</v>
      </c>
      <c r="H40" s="191">
        <f t="shared" si="1"/>
        <v>0</v>
      </c>
    </row>
    <row r="41" spans="2:8" x14ac:dyDescent="0.7">
      <c r="B41" s="188"/>
      <c r="C41" s="196"/>
      <c r="D41" s="188"/>
      <c r="E41" s="197">
        <f t="shared" si="2"/>
        <v>0</v>
      </c>
      <c r="F41" s="190" t="e">
        <f>+VLOOKUP(B41,'EF-S3'!$B$25:$D$33,2,)</f>
        <v>#N/A</v>
      </c>
      <c r="G41" s="198" t="str">
        <f>+'EF-S3'!$C$24</f>
        <v>kg CO2e/km</v>
      </c>
      <c r="H41" s="191">
        <f t="shared" si="1"/>
        <v>0</v>
      </c>
    </row>
    <row r="42" spans="2:8" x14ac:dyDescent="0.7">
      <c r="B42" s="188"/>
      <c r="C42" s="196"/>
      <c r="D42" s="188"/>
      <c r="E42" s="197">
        <f t="shared" si="2"/>
        <v>0</v>
      </c>
      <c r="F42" s="190" t="e">
        <f>+VLOOKUP(B42,'EF-S3'!$B$25:$D$33,2,)</f>
        <v>#N/A</v>
      </c>
      <c r="G42" s="198" t="str">
        <f>+'EF-S3'!$C$24</f>
        <v>kg CO2e/km</v>
      </c>
      <c r="H42" s="191">
        <f t="shared" si="1"/>
        <v>0</v>
      </c>
    </row>
    <row r="43" spans="2:8" x14ac:dyDescent="0.7">
      <c r="B43" s="188"/>
      <c r="C43" s="196"/>
      <c r="D43" s="188"/>
      <c r="E43" s="197">
        <f t="shared" si="2"/>
        <v>0</v>
      </c>
      <c r="F43" s="190" t="e">
        <f>+VLOOKUP(B43,'EF-S3'!$B$25:$D$33,2,)</f>
        <v>#N/A</v>
      </c>
      <c r="G43" s="198" t="str">
        <f>+'EF-S3'!$C$24</f>
        <v>kg CO2e/km</v>
      </c>
      <c r="H43" s="191">
        <f t="shared" si="1"/>
        <v>0</v>
      </c>
    </row>
    <row r="44" spans="2:8" x14ac:dyDescent="0.7">
      <c r="B44" s="188"/>
      <c r="C44" s="196"/>
      <c r="D44" s="188"/>
      <c r="E44" s="197">
        <f t="shared" si="2"/>
        <v>0</v>
      </c>
      <c r="F44" s="190" t="e">
        <f>+VLOOKUP(B44,'EF-S3'!$B$25:$D$33,2,)</f>
        <v>#N/A</v>
      </c>
      <c r="G44" s="198" t="str">
        <f>+'EF-S3'!$C$24</f>
        <v>kg CO2e/km</v>
      </c>
      <c r="H44" s="191">
        <f t="shared" si="1"/>
        <v>0</v>
      </c>
    </row>
    <row r="45" spans="2:8" x14ac:dyDescent="0.7">
      <c r="B45" s="188"/>
      <c r="C45" s="196"/>
      <c r="D45" s="188"/>
      <c r="E45" s="197">
        <f t="shared" si="2"/>
        <v>0</v>
      </c>
      <c r="F45" s="190" t="e">
        <f>+VLOOKUP(B45,'EF-S3'!$B$25:$D$33,2,)</f>
        <v>#N/A</v>
      </c>
      <c r="G45" s="198" t="str">
        <f>+'EF-S3'!$C$24</f>
        <v>kg CO2e/km</v>
      </c>
      <c r="H45" s="191">
        <f t="shared" si="1"/>
        <v>0</v>
      </c>
    </row>
    <row r="46" spans="2:8" x14ac:dyDescent="0.7">
      <c r="B46" s="188"/>
      <c r="C46" s="196"/>
      <c r="D46" s="188"/>
      <c r="E46" s="197">
        <f t="shared" si="2"/>
        <v>0</v>
      </c>
      <c r="F46" s="190" t="e">
        <f>+VLOOKUP(B46,'EF-S3'!$B$25:$D$33,2,)</f>
        <v>#N/A</v>
      </c>
      <c r="G46" s="198" t="str">
        <f>+'EF-S3'!$C$24</f>
        <v>kg CO2e/km</v>
      </c>
      <c r="H46" s="191">
        <f t="shared" si="1"/>
        <v>0</v>
      </c>
    </row>
    <row r="47" spans="2:8" x14ac:dyDescent="0.7">
      <c r="B47" s="188"/>
      <c r="C47" s="196"/>
      <c r="D47" s="188"/>
      <c r="E47" s="197">
        <f t="shared" si="2"/>
        <v>0</v>
      </c>
      <c r="F47" s="190" t="e">
        <f>+VLOOKUP(B47,'EF-S3'!$B$25:$D$33,2,)</f>
        <v>#N/A</v>
      </c>
      <c r="G47" s="198" t="str">
        <f>+'EF-S3'!$C$24</f>
        <v>kg CO2e/km</v>
      </c>
      <c r="H47" s="191">
        <f t="shared" si="1"/>
        <v>0</v>
      </c>
    </row>
    <row r="48" spans="2:8" x14ac:dyDescent="0.7">
      <c r="B48" s="188"/>
      <c r="C48" s="196"/>
      <c r="D48" s="188"/>
      <c r="E48" s="197">
        <f t="shared" si="2"/>
        <v>0</v>
      </c>
      <c r="F48" s="190" t="e">
        <f>+VLOOKUP(B48,'EF-S3'!$B$25:$D$33,2,)</f>
        <v>#N/A</v>
      </c>
      <c r="G48" s="198" t="str">
        <f>+'EF-S3'!$C$24</f>
        <v>kg CO2e/km</v>
      </c>
      <c r="H48" s="191">
        <f t="shared" si="1"/>
        <v>0</v>
      </c>
    </row>
    <row r="49" spans="2:8" x14ac:dyDescent="0.7">
      <c r="B49" s="188"/>
      <c r="C49" s="196"/>
      <c r="D49" s="188"/>
      <c r="E49" s="197">
        <f t="shared" si="2"/>
        <v>0</v>
      </c>
      <c r="F49" s="190" t="e">
        <f>+VLOOKUP(B49,'EF-S3'!$B$25:$D$33,2,)</f>
        <v>#N/A</v>
      </c>
      <c r="G49" s="198" t="str">
        <f>+'EF-S3'!$C$24</f>
        <v>kg CO2e/km</v>
      </c>
      <c r="H49" s="191">
        <f t="shared" si="1"/>
        <v>0</v>
      </c>
    </row>
    <row r="50" spans="2:8" x14ac:dyDescent="0.7">
      <c r="B50" s="188"/>
      <c r="C50" s="196"/>
      <c r="D50" s="188"/>
      <c r="E50" s="197">
        <f t="shared" si="2"/>
        <v>0</v>
      </c>
      <c r="F50" s="190" t="e">
        <f>+VLOOKUP(B50,'EF-S3'!$B$25:$D$33,2,)</f>
        <v>#N/A</v>
      </c>
      <c r="G50" s="198" t="str">
        <f>+'EF-S3'!$C$24</f>
        <v>kg CO2e/km</v>
      </c>
      <c r="H50" s="191">
        <f t="shared" si="1"/>
        <v>0</v>
      </c>
    </row>
    <row r="51" spans="2:8" x14ac:dyDescent="0.7">
      <c r="B51" s="188"/>
      <c r="C51" s="196"/>
      <c r="D51" s="188"/>
      <c r="E51" s="197">
        <f t="shared" si="2"/>
        <v>0</v>
      </c>
      <c r="F51" s="190" t="e">
        <f>+VLOOKUP(B51,'EF-S3'!$B$25:$D$33,2,)</f>
        <v>#N/A</v>
      </c>
      <c r="G51" s="198" t="str">
        <f>+'EF-S3'!$C$24</f>
        <v>kg CO2e/km</v>
      </c>
      <c r="H51" s="191">
        <f t="shared" si="1"/>
        <v>0</v>
      </c>
    </row>
    <row r="52" spans="2:8" x14ac:dyDescent="0.7">
      <c r="B52" s="188"/>
      <c r="C52" s="196"/>
      <c r="D52" s="188"/>
      <c r="E52" s="197">
        <f t="shared" si="2"/>
        <v>0</v>
      </c>
      <c r="F52" s="190" t="e">
        <f>+VLOOKUP(B52,'EF-S3'!$B$25:$D$33,2,)</f>
        <v>#N/A</v>
      </c>
      <c r="G52" s="198" t="str">
        <f>+'EF-S3'!$C$24</f>
        <v>kg CO2e/km</v>
      </c>
      <c r="H52" s="191">
        <f t="shared" si="1"/>
        <v>0</v>
      </c>
    </row>
    <row r="53" spans="2:8" x14ac:dyDescent="0.7">
      <c r="B53" s="188"/>
      <c r="C53" s="196"/>
      <c r="D53" s="188"/>
      <c r="E53" s="197">
        <f t="shared" si="2"/>
        <v>0</v>
      </c>
      <c r="F53" s="190" t="e">
        <f>+VLOOKUP(B53,'EF-S3'!$B$25:$D$33,2,)</f>
        <v>#N/A</v>
      </c>
      <c r="G53" s="198" t="str">
        <f>+'EF-S3'!$C$24</f>
        <v>kg CO2e/km</v>
      </c>
      <c r="H53" s="191">
        <f t="shared" si="1"/>
        <v>0</v>
      </c>
    </row>
    <row r="54" spans="2:8" x14ac:dyDescent="0.7">
      <c r="B54" s="188"/>
      <c r="C54" s="196"/>
      <c r="D54" s="188"/>
      <c r="E54" s="197">
        <f t="shared" si="2"/>
        <v>0</v>
      </c>
      <c r="F54" s="190" t="e">
        <f>+VLOOKUP(B54,'EF-S3'!$B$25:$D$33,2,)</f>
        <v>#N/A</v>
      </c>
      <c r="G54" s="198" t="str">
        <f>+'EF-S3'!$C$24</f>
        <v>kg CO2e/km</v>
      </c>
      <c r="H54" s="191">
        <f t="shared" si="1"/>
        <v>0</v>
      </c>
    </row>
    <row r="55" spans="2:8" x14ac:dyDescent="0.7">
      <c r="B55" s="188"/>
      <c r="C55" s="196"/>
      <c r="D55" s="188"/>
      <c r="E55" s="197">
        <f t="shared" si="2"/>
        <v>0</v>
      </c>
      <c r="F55" s="190" t="e">
        <f>+VLOOKUP(B55,'EF-S3'!$B$25:$D$33,2,)</f>
        <v>#N/A</v>
      </c>
      <c r="G55" s="198" t="str">
        <f>+'EF-S3'!$C$24</f>
        <v>kg CO2e/km</v>
      </c>
      <c r="H55" s="191">
        <f t="shared" si="1"/>
        <v>0</v>
      </c>
    </row>
    <row r="56" spans="2:8" x14ac:dyDescent="0.7">
      <c r="B56" s="188"/>
      <c r="C56" s="196"/>
      <c r="D56" s="188"/>
      <c r="E56" s="197">
        <f t="shared" si="2"/>
        <v>0</v>
      </c>
      <c r="F56" s="190" t="e">
        <f>+VLOOKUP(B56,'EF-S3'!$B$25:$D$33,2,)</f>
        <v>#N/A</v>
      </c>
      <c r="G56" s="198" t="str">
        <f>+'EF-S3'!$C$24</f>
        <v>kg CO2e/km</v>
      </c>
      <c r="H56" s="191">
        <f t="shared" si="1"/>
        <v>0</v>
      </c>
    </row>
    <row r="57" spans="2:8" x14ac:dyDescent="0.7">
      <c r="B57" s="188"/>
      <c r="C57" s="196"/>
      <c r="D57" s="188"/>
      <c r="E57" s="197">
        <f t="shared" si="2"/>
        <v>0</v>
      </c>
      <c r="F57" s="190" t="e">
        <f>+VLOOKUP(B57,'EF-S3'!$B$25:$D$33,2,)</f>
        <v>#N/A</v>
      </c>
      <c r="G57" s="198" t="str">
        <f>+'EF-S3'!$C$24</f>
        <v>kg CO2e/km</v>
      </c>
      <c r="H57" s="191">
        <f t="shared" si="1"/>
        <v>0</v>
      </c>
    </row>
    <row r="58" spans="2:8" x14ac:dyDescent="0.7">
      <c r="B58" s="188"/>
      <c r="C58" s="196"/>
      <c r="D58" s="188"/>
      <c r="E58" s="197">
        <f t="shared" si="2"/>
        <v>0</v>
      </c>
      <c r="F58" s="190" t="e">
        <f>+VLOOKUP(B58,'EF-S3'!$B$25:$D$33,2,)</f>
        <v>#N/A</v>
      </c>
      <c r="G58" s="198" t="str">
        <f>+'EF-S3'!$C$24</f>
        <v>kg CO2e/km</v>
      </c>
      <c r="H58" s="191">
        <f t="shared" si="1"/>
        <v>0</v>
      </c>
    </row>
    <row r="59" spans="2:8" x14ac:dyDescent="0.7">
      <c r="B59" s="188"/>
      <c r="C59" s="196"/>
      <c r="D59" s="188"/>
      <c r="E59" s="197">
        <f t="shared" si="2"/>
        <v>0</v>
      </c>
      <c r="F59" s="190" t="e">
        <f>+VLOOKUP(B59,'EF-S3'!$B$25:$D$33,2,)</f>
        <v>#N/A</v>
      </c>
      <c r="G59" s="198" t="str">
        <f>+'EF-S3'!$C$24</f>
        <v>kg CO2e/km</v>
      </c>
      <c r="H59" s="191">
        <f t="shared" si="1"/>
        <v>0</v>
      </c>
    </row>
    <row r="60" spans="2:8" x14ac:dyDescent="0.7">
      <c r="B60" s="188"/>
      <c r="C60" s="196"/>
      <c r="D60" s="188"/>
      <c r="E60" s="197">
        <f t="shared" si="2"/>
        <v>0</v>
      </c>
      <c r="F60" s="190" t="e">
        <f>+VLOOKUP(B60,'EF-S3'!$B$25:$D$33,2,)</f>
        <v>#N/A</v>
      </c>
      <c r="G60" s="198" t="str">
        <f>+'EF-S3'!$C$24</f>
        <v>kg CO2e/km</v>
      </c>
      <c r="H60" s="191">
        <f t="shared" si="1"/>
        <v>0</v>
      </c>
    </row>
    <row r="61" spans="2:8" x14ac:dyDescent="0.7">
      <c r="B61" s="188"/>
      <c r="C61" s="196"/>
      <c r="D61" s="188"/>
      <c r="E61" s="197">
        <f t="shared" si="2"/>
        <v>0</v>
      </c>
      <c r="F61" s="190" t="e">
        <f>+VLOOKUP(B61,'EF-S3'!$B$25:$D$33,2,)</f>
        <v>#N/A</v>
      </c>
      <c r="G61" s="198" t="str">
        <f>+'EF-S3'!$C$24</f>
        <v>kg CO2e/km</v>
      </c>
      <c r="H61" s="191">
        <f t="shared" si="1"/>
        <v>0</v>
      </c>
    </row>
    <row r="62" spans="2:8" x14ac:dyDescent="0.7">
      <c r="B62" s="188"/>
      <c r="C62" s="196"/>
      <c r="D62" s="188"/>
      <c r="E62" s="197">
        <f t="shared" si="2"/>
        <v>0</v>
      </c>
      <c r="F62" s="190" t="e">
        <f>+VLOOKUP(B62,'EF-S3'!$B$25:$D$33,2,)</f>
        <v>#N/A</v>
      </c>
      <c r="G62" s="198" t="str">
        <f>+'EF-S3'!$C$24</f>
        <v>kg CO2e/km</v>
      </c>
      <c r="H62" s="191">
        <f t="shared" si="1"/>
        <v>0</v>
      </c>
    </row>
    <row r="63" spans="2:8" x14ac:dyDescent="0.7">
      <c r="B63" s="188"/>
      <c r="C63" s="196"/>
      <c r="D63" s="188"/>
      <c r="E63" s="197">
        <f t="shared" si="2"/>
        <v>0</v>
      </c>
      <c r="F63" s="190" t="e">
        <f>+VLOOKUP(B63,'EF-S3'!$B$25:$D$33,2,)</f>
        <v>#N/A</v>
      </c>
      <c r="G63" s="198" t="str">
        <f>+'EF-S3'!$C$24</f>
        <v>kg CO2e/km</v>
      </c>
      <c r="H63" s="191">
        <f t="shared" si="1"/>
        <v>0</v>
      </c>
    </row>
    <row r="64" spans="2:8" x14ac:dyDescent="0.7">
      <c r="B64" s="188"/>
      <c r="C64" s="196"/>
      <c r="D64" s="188"/>
      <c r="E64" s="197">
        <f t="shared" si="2"/>
        <v>0</v>
      </c>
      <c r="F64" s="190" t="e">
        <f>+VLOOKUP(B64,'EF-S3'!$B$25:$D$33,2,)</f>
        <v>#N/A</v>
      </c>
      <c r="G64" s="198" t="str">
        <f>+'EF-S3'!$C$24</f>
        <v>kg CO2e/km</v>
      </c>
      <c r="H64" s="191">
        <f t="shared" si="1"/>
        <v>0</v>
      </c>
    </row>
    <row r="65" spans="2:8" x14ac:dyDescent="0.7">
      <c r="B65" s="188"/>
      <c r="C65" s="196"/>
      <c r="D65" s="188"/>
      <c r="E65" s="197">
        <f t="shared" si="2"/>
        <v>0</v>
      </c>
      <c r="F65" s="190" t="e">
        <f>+VLOOKUP(B65,'EF-S3'!$B$25:$D$33,2,)</f>
        <v>#N/A</v>
      </c>
      <c r="G65" s="198" t="str">
        <f>+'EF-S3'!$C$24</f>
        <v>kg CO2e/km</v>
      </c>
      <c r="H65" s="191">
        <f t="shared" si="1"/>
        <v>0</v>
      </c>
    </row>
    <row r="66" spans="2:8" x14ac:dyDescent="0.7">
      <c r="B66" s="188"/>
      <c r="C66" s="196"/>
      <c r="D66" s="188"/>
      <c r="E66" s="197">
        <f t="shared" si="2"/>
        <v>0</v>
      </c>
      <c r="F66" s="190" t="e">
        <f>+VLOOKUP(B66,'EF-S3'!$B$25:$D$33,2,)</f>
        <v>#N/A</v>
      </c>
      <c r="G66" s="198" t="str">
        <f>+'EF-S3'!$C$24</f>
        <v>kg CO2e/km</v>
      </c>
      <c r="H66" s="191">
        <f t="shared" si="1"/>
        <v>0</v>
      </c>
    </row>
    <row r="67" spans="2:8" x14ac:dyDescent="0.7">
      <c r="B67" s="188"/>
      <c r="C67" s="196"/>
      <c r="D67" s="188"/>
      <c r="E67" s="197">
        <f t="shared" si="2"/>
        <v>0</v>
      </c>
      <c r="F67" s="190" t="e">
        <f>+VLOOKUP(B67,'EF-S3'!$B$25:$D$33,2,)</f>
        <v>#N/A</v>
      </c>
      <c r="G67" s="198" t="str">
        <f>+'EF-S3'!$C$24</f>
        <v>kg CO2e/km</v>
      </c>
      <c r="H67" s="191">
        <f t="shared" si="1"/>
        <v>0</v>
      </c>
    </row>
    <row r="68" spans="2:8" x14ac:dyDescent="0.7">
      <c r="B68" s="188"/>
      <c r="C68" s="196"/>
      <c r="D68" s="188"/>
      <c r="E68" s="197">
        <f t="shared" si="2"/>
        <v>0</v>
      </c>
      <c r="F68" s="190" t="e">
        <f>+VLOOKUP(B68,'EF-S3'!$B$25:$D$33,2,)</f>
        <v>#N/A</v>
      </c>
      <c r="G68" s="198" t="str">
        <f>+'EF-S3'!$C$24</f>
        <v>kg CO2e/km</v>
      </c>
      <c r="H68" s="191">
        <f t="shared" si="1"/>
        <v>0</v>
      </c>
    </row>
    <row r="69" spans="2:8" x14ac:dyDescent="0.7">
      <c r="B69" s="188"/>
      <c r="C69" s="196"/>
      <c r="D69" s="188"/>
      <c r="E69" s="197">
        <f t="shared" si="2"/>
        <v>0</v>
      </c>
      <c r="F69" s="190" t="e">
        <f>+VLOOKUP(B69,'EF-S3'!$B$25:$D$33,2,)</f>
        <v>#N/A</v>
      </c>
      <c r="G69" s="198" t="str">
        <f>+'EF-S3'!$C$24</f>
        <v>kg CO2e/km</v>
      </c>
      <c r="H69" s="191">
        <f t="shared" si="1"/>
        <v>0</v>
      </c>
    </row>
    <row r="70" spans="2:8" x14ac:dyDescent="0.7">
      <c r="B70" s="188"/>
      <c r="C70" s="196"/>
      <c r="D70" s="188"/>
      <c r="E70" s="197">
        <f t="shared" si="2"/>
        <v>0</v>
      </c>
      <c r="F70" s="190" t="e">
        <f>+VLOOKUP(B70,'EF-S3'!$B$25:$D$33,2,)</f>
        <v>#N/A</v>
      </c>
      <c r="G70" s="198" t="str">
        <f>+'EF-S3'!$C$24</f>
        <v>kg CO2e/km</v>
      </c>
      <c r="H70" s="191">
        <f t="shared" si="1"/>
        <v>0</v>
      </c>
    </row>
    <row r="71" spans="2:8" x14ac:dyDescent="0.7">
      <c r="B71" s="188"/>
      <c r="C71" s="196"/>
      <c r="D71" s="188"/>
      <c r="E71" s="197">
        <f t="shared" si="2"/>
        <v>0</v>
      </c>
      <c r="F71" s="190" t="e">
        <f>+VLOOKUP(B71,'EF-S3'!$B$25:$D$33,2,)</f>
        <v>#N/A</v>
      </c>
      <c r="G71" s="198" t="str">
        <f>+'EF-S3'!$C$24</f>
        <v>kg CO2e/km</v>
      </c>
      <c r="H71" s="191">
        <f t="shared" si="1"/>
        <v>0</v>
      </c>
    </row>
    <row r="72" spans="2:8" x14ac:dyDescent="0.7">
      <c r="B72" s="188"/>
      <c r="C72" s="196"/>
      <c r="D72" s="188"/>
      <c r="E72" s="197">
        <f t="shared" si="2"/>
        <v>0</v>
      </c>
      <c r="F72" s="190" t="e">
        <f>+VLOOKUP(B72,'EF-S3'!$B$25:$D$33,2,)</f>
        <v>#N/A</v>
      </c>
      <c r="G72" s="198" t="str">
        <f>+'EF-S3'!$C$24</f>
        <v>kg CO2e/km</v>
      </c>
      <c r="H72" s="191">
        <f t="shared" si="1"/>
        <v>0</v>
      </c>
    </row>
    <row r="73" spans="2:8" x14ac:dyDescent="0.7">
      <c r="B73" s="188"/>
      <c r="C73" s="196"/>
      <c r="D73" s="188"/>
      <c r="E73" s="197">
        <f t="shared" si="2"/>
        <v>0</v>
      </c>
      <c r="F73" s="190" t="e">
        <f>+VLOOKUP(B73,'EF-S3'!$B$25:$D$33,2,)</f>
        <v>#N/A</v>
      </c>
      <c r="G73" s="198" t="str">
        <f>+'EF-S3'!$C$24</f>
        <v>kg CO2e/km</v>
      </c>
      <c r="H73" s="191">
        <f t="shared" si="1"/>
        <v>0</v>
      </c>
    </row>
    <row r="74" spans="2:8" x14ac:dyDescent="0.7">
      <c r="B74" s="188"/>
      <c r="C74" s="196"/>
      <c r="D74" s="188"/>
      <c r="E74" s="197">
        <f t="shared" si="2"/>
        <v>0</v>
      </c>
      <c r="F74" s="190" t="e">
        <f>+VLOOKUP(B74,'EF-S3'!$B$25:$D$33,2,)</f>
        <v>#N/A</v>
      </c>
      <c r="G74" s="198" t="str">
        <f>+'EF-S3'!$C$24</f>
        <v>kg CO2e/km</v>
      </c>
      <c r="H74" s="191">
        <f t="shared" si="1"/>
        <v>0</v>
      </c>
    </row>
    <row r="75" spans="2:8" x14ac:dyDescent="0.7">
      <c r="B75" s="188"/>
      <c r="C75" s="196"/>
      <c r="D75" s="188"/>
      <c r="E75" s="197">
        <f t="shared" si="2"/>
        <v>0</v>
      </c>
      <c r="F75" s="190" t="e">
        <f>+VLOOKUP(B75,'EF-S3'!$B$25:$D$33,2,)</f>
        <v>#N/A</v>
      </c>
      <c r="G75" s="198" t="str">
        <f>+'EF-S3'!$C$24</f>
        <v>kg CO2e/km</v>
      </c>
      <c r="H75" s="191">
        <f t="shared" si="1"/>
        <v>0</v>
      </c>
    </row>
    <row r="76" spans="2:8" x14ac:dyDescent="0.7">
      <c r="B76" s="188"/>
      <c r="C76" s="196"/>
      <c r="D76" s="188"/>
      <c r="E76" s="197">
        <f t="shared" si="2"/>
        <v>0</v>
      </c>
      <c r="F76" s="190" t="e">
        <f>+VLOOKUP(B76,'EF-S3'!$B$25:$D$33,2,)</f>
        <v>#N/A</v>
      </c>
      <c r="G76" s="198" t="str">
        <f>+'EF-S3'!$C$24</f>
        <v>kg CO2e/km</v>
      </c>
      <c r="H76" s="191">
        <f t="shared" si="1"/>
        <v>0</v>
      </c>
    </row>
    <row r="77" spans="2:8" x14ac:dyDescent="0.7">
      <c r="B77" s="188"/>
      <c r="C77" s="196"/>
      <c r="D77" s="188"/>
      <c r="E77" s="197">
        <f t="shared" si="2"/>
        <v>0</v>
      </c>
      <c r="F77" s="190" t="e">
        <f>+VLOOKUP(B77,'EF-S3'!$B$25:$D$33,2,)</f>
        <v>#N/A</v>
      </c>
      <c r="G77" s="198" t="str">
        <f>+'EF-S3'!$C$24</f>
        <v>kg CO2e/km</v>
      </c>
      <c r="H77" s="191">
        <f t="shared" ref="H77:H103" si="3">+IFERROR(E77*F77,0)</f>
        <v>0</v>
      </c>
    </row>
    <row r="78" spans="2:8" x14ac:dyDescent="0.7">
      <c r="B78" s="188"/>
      <c r="C78" s="196"/>
      <c r="D78" s="188"/>
      <c r="E78" s="197">
        <f t="shared" si="2"/>
        <v>0</v>
      </c>
      <c r="F78" s="190" t="e">
        <f>+VLOOKUP(B78,'EF-S3'!$B$25:$D$33,2,)</f>
        <v>#N/A</v>
      </c>
      <c r="G78" s="198" t="str">
        <f>+'EF-S3'!$C$24</f>
        <v>kg CO2e/km</v>
      </c>
      <c r="H78" s="191">
        <f t="shared" si="3"/>
        <v>0</v>
      </c>
    </row>
    <row r="79" spans="2:8" x14ac:dyDescent="0.7">
      <c r="B79" s="188"/>
      <c r="C79" s="196"/>
      <c r="D79" s="188"/>
      <c r="E79" s="197">
        <f t="shared" si="2"/>
        <v>0</v>
      </c>
      <c r="F79" s="190" t="e">
        <f>+VLOOKUP(B79,'EF-S3'!$B$25:$D$33,2,)</f>
        <v>#N/A</v>
      </c>
      <c r="G79" s="198" t="str">
        <f>+'EF-S3'!$C$24</f>
        <v>kg CO2e/km</v>
      </c>
      <c r="H79" s="191">
        <f t="shared" si="3"/>
        <v>0</v>
      </c>
    </row>
    <row r="80" spans="2:8" x14ac:dyDescent="0.7">
      <c r="B80" s="188"/>
      <c r="C80" s="196"/>
      <c r="D80" s="188"/>
      <c r="E80" s="197">
        <f t="shared" si="2"/>
        <v>0</v>
      </c>
      <c r="F80" s="190" t="e">
        <f>+VLOOKUP(B80,'EF-S3'!$B$25:$D$33,2,)</f>
        <v>#N/A</v>
      </c>
      <c r="G80" s="198" t="str">
        <f>+'EF-S3'!$C$24</f>
        <v>kg CO2e/km</v>
      </c>
      <c r="H80" s="191">
        <f t="shared" si="3"/>
        <v>0</v>
      </c>
    </row>
    <row r="81" spans="2:8" x14ac:dyDescent="0.7">
      <c r="B81" s="188"/>
      <c r="C81" s="196"/>
      <c r="D81" s="188"/>
      <c r="E81" s="197">
        <f t="shared" si="2"/>
        <v>0</v>
      </c>
      <c r="F81" s="190" t="e">
        <f>+VLOOKUP(B81,'EF-S3'!$B$25:$D$33,2,)</f>
        <v>#N/A</v>
      </c>
      <c r="G81" s="198" t="str">
        <f>+'EF-S3'!$C$24</f>
        <v>kg CO2e/km</v>
      </c>
      <c r="H81" s="191">
        <f t="shared" si="3"/>
        <v>0</v>
      </c>
    </row>
    <row r="82" spans="2:8" x14ac:dyDescent="0.7">
      <c r="B82" s="188"/>
      <c r="C82" s="196"/>
      <c r="D82" s="188"/>
      <c r="E82" s="197">
        <f t="shared" ref="E82:E103" si="4">2*C82*$B$8*(1-D82/20)</f>
        <v>0</v>
      </c>
      <c r="F82" s="190" t="e">
        <f>+VLOOKUP(B82,'EF-S3'!$B$25:$D$33,2,)</f>
        <v>#N/A</v>
      </c>
      <c r="G82" s="198" t="str">
        <f>+'EF-S3'!$C$24</f>
        <v>kg CO2e/km</v>
      </c>
      <c r="H82" s="191">
        <f t="shared" si="3"/>
        <v>0</v>
      </c>
    </row>
    <row r="83" spans="2:8" x14ac:dyDescent="0.7">
      <c r="B83" s="188"/>
      <c r="C83" s="196"/>
      <c r="D83" s="188"/>
      <c r="E83" s="197">
        <f t="shared" si="4"/>
        <v>0</v>
      </c>
      <c r="F83" s="190" t="e">
        <f>+VLOOKUP(B83,'EF-S3'!$B$25:$D$33,2,)</f>
        <v>#N/A</v>
      </c>
      <c r="G83" s="198" t="str">
        <f>+'EF-S3'!$C$24</f>
        <v>kg CO2e/km</v>
      </c>
      <c r="H83" s="191">
        <f t="shared" si="3"/>
        <v>0</v>
      </c>
    </row>
    <row r="84" spans="2:8" x14ac:dyDescent="0.7">
      <c r="B84" s="188"/>
      <c r="C84" s="196"/>
      <c r="D84" s="188"/>
      <c r="E84" s="197">
        <f t="shared" si="4"/>
        <v>0</v>
      </c>
      <c r="F84" s="190" t="e">
        <f>+VLOOKUP(B84,'EF-S3'!$B$25:$D$33,2,)</f>
        <v>#N/A</v>
      </c>
      <c r="G84" s="198" t="str">
        <f>+'EF-S3'!$C$24</f>
        <v>kg CO2e/km</v>
      </c>
      <c r="H84" s="191">
        <f t="shared" si="3"/>
        <v>0</v>
      </c>
    </row>
    <row r="85" spans="2:8" x14ac:dyDescent="0.7">
      <c r="B85" s="188"/>
      <c r="C85" s="196"/>
      <c r="D85" s="188"/>
      <c r="E85" s="197">
        <f t="shared" si="4"/>
        <v>0</v>
      </c>
      <c r="F85" s="190" t="e">
        <f>+VLOOKUP(B85,'EF-S3'!$B$25:$D$33,2,)</f>
        <v>#N/A</v>
      </c>
      <c r="G85" s="198" t="str">
        <f>+'EF-S3'!$C$24</f>
        <v>kg CO2e/km</v>
      </c>
      <c r="H85" s="191">
        <f t="shared" si="3"/>
        <v>0</v>
      </c>
    </row>
    <row r="86" spans="2:8" x14ac:dyDescent="0.7">
      <c r="B86" s="188"/>
      <c r="C86" s="196"/>
      <c r="D86" s="188"/>
      <c r="E86" s="197">
        <f t="shared" si="4"/>
        <v>0</v>
      </c>
      <c r="F86" s="190" t="e">
        <f>+VLOOKUP(B86,'EF-S3'!$B$25:$D$33,2,)</f>
        <v>#N/A</v>
      </c>
      <c r="G86" s="198" t="str">
        <f>+'EF-S3'!$C$24</f>
        <v>kg CO2e/km</v>
      </c>
      <c r="H86" s="191">
        <f t="shared" si="3"/>
        <v>0</v>
      </c>
    </row>
    <row r="87" spans="2:8" x14ac:dyDescent="0.7">
      <c r="B87" s="188"/>
      <c r="C87" s="196"/>
      <c r="D87" s="188"/>
      <c r="E87" s="197">
        <f t="shared" si="4"/>
        <v>0</v>
      </c>
      <c r="F87" s="190" t="e">
        <f>+VLOOKUP(B87,'EF-S3'!$B$25:$D$33,2,)</f>
        <v>#N/A</v>
      </c>
      <c r="G87" s="198" t="str">
        <f>+'EF-S3'!$C$24</f>
        <v>kg CO2e/km</v>
      </c>
      <c r="H87" s="191">
        <f t="shared" si="3"/>
        <v>0</v>
      </c>
    </row>
    <row r="88" spans="2:8" x14ac:dyDescent="0.7">
      <c r="B88" s="188"/>
      <c r="C88" s="196"/>
      <c r="D88" s="188"/>
      <c r="E88" s="197">
        <f t="shared" si="4"/>
        <v>0</v>
      </c>
      <c r="F88" s="190" t="e">
        <f>+VLOOKUP(B88,'EF-S3'!$B$25:$D$33,2,)</f>
        <v>#N/A</v>
      </c>
      <c r="G88" s="198" t="str">
        <f>+'EF-S3'!$C$24</f>
        <v>kg CO2e/km</v>
      </c>
      <c r="H88" s="191">
        <f t="shared" si="3"/>
        <v>0</v>
      </c>
    </row>
    <row r="89" spans="2:8" x14ac:dyDescent="0.7">
      <c r="B89" s="188"/>
      <c r="C89" s="196"/>
      <c r="D89" s="188"/>
      <c r="E89" s="197">
        <f t="shared" si="4"/>
        <v>0</v>
      </c>
      <c r="F89" s="190" t="e">
        <f>+VLOOKUP(B89,'EF-S3'!$B$25:$D$33,2,)</f>
        <v>#N/A</v>
      </c>
      <c r="G89" s="198" t="str">
        <f>+'EF-S3'!$C$24</f>
        <v>kg CO2e/km</v>
      </c>
      <c r="H89" s="191">
        <f t="shared" si="3"/>
        <v>0</v>
      </c>
    </row>
    <row r="90" spans="2:8" x14ac:dyDescent="0.7">
      <c r="B90" s="188"/>
      <c r="C90" s="196"/>
      <c r="D90" s="188"/>
      <c r="E90" s="197">
        <f t="shared" si="4"/>
        <v>0</v>
      </c>
      <c r="F90" s="190" t="e">
        <f>+VLOOKUP(B90,'EF-S3'!$B$25:$D$33,2,)</f>
        <v>#N/A</v>
      </c>
      <c r="G90" s="198" t="str">
        <f>+'EF-S3'!$C$24</f>
        <v>kg CO2e/km</v>
      </c>
      <c r="H90" s="191">
        <f t="shared" si="3"/>
        <v>0</v>
      </c>
    </row>
    <row r="91" spans="2:8" x14ac:dyDescent="0.7">
      <c r="B91" s="188"/>
      <c r="C91" s="196"/>
      <c r="D91" s="188"/>
      <c r="E91" s="197">
        <f t="shared" si="4"/>
        <v>0</v>
      </c>
      <c r="F91" s="190" t="e">
        <f>+VLOOKUP(B91,'EF-S3'!$B$25:$D$33,2,)</f>
        <v>#N/A</v>
      </c>
      <c r="G91" s="198" t="str">
        <f>+'EF-S3'!$C$24</f>
        <v>kg CO2e/km</v>
      </c>
      <c r="H91" s="191">
        <f t="shared" si="3"/>
        <v>0</v>
      </c>
    </row>
    <row r="92" spans="2:8" x14ac:dyDescent="0.7">
      <c r="B92" s="188"/>
      <c r="C92" s="196"/>
      <c r="D92" s="188"/>
      <c r="E92" s="197">
        <f t="shared" si="4"/>
        <v>0</v>
      </c>
      <c r="F92" s="190" t="e">
        <f>+VLOOKUP(B92,'EF-S3'!$B$25:$D$33,2,)</f>
        <v>#N/A</v>
      </c>
      <c r="G92" s="198" t="str">
        <f>+'EF-S3'!$C$24</f>
        <v>kg CO2e/km</v>
      </c>
      <c r="H92" s="191">
        <f t="shared" si="3"/>
        <v>0</v>
      </c>
    </row>
    <row r="93" spans="2:8" x14ac:dyDescent="0.7">
      <c r="B93" s="188"/>
      <c r="C93" s="196"/>
      <c r="D93" s="188"/>
      <c r="E93" s="197">
        <f t="shared" si="4"/>
        <v>0</v>
      </c>
      <c r="F93" s="190" t="e">
        <f>+VLOOKUP(B93,'EF-S3'!$B$25:$D$33,2,)</f>
        <v>#N/A</v>
      </c>
      <c r="G93" s="198" t="str">
        <f>+'EF-S3'!$C$24</f>
        <v>kg CO2e/km</v>
      </c>
      <c r="H93" s="191">
        <f t="shared" si="3"/>
        <v>0</v>
      </c>
    </row>
    <row r="94" spans="2:8" x14ac:dyDescent="0.7">
      <c r="B94" s="188"/>
      <c r="C94" s="196"/>
      <c r="D94" s="188"/>
      <c r="E94" s="197">
        <f t="shared" si="4"/>
        <v>0</v>
      </c>
      <c r="F94" s="190" t="e">
        <f>+VLOOKUP(B94,'EF-S3'!$B$25:$D$33,2,)</f>
        <v>#N/A</v>
      </c>
      <c r="G94" s="198" t="str">
        <f>+'EF-S3'!$C$24</f>
        <v>kg CO2e/km</v>
      </c>
      <c r="H94" s="191">
        <f t="shared" si="3"/>
        <v>0</v>
      </c>
    </row>
    <row r="95" spans="2:8" x14ac:dyDescent="0.7">
      <c r="B95" s="188"/>
      <c r="C95" s="196"/>
      <c r="D95" s="188"/>
      <c r="E95" s="197">
        <f t="shared" si="4"/>
        <v>0</v>
      </c>
      <c r="F95" s="190" t="e">
        <f>+VLOOKUP(B95,'EF-S3'!$B$25:$D$33,2,)</f>
        <v>#N/A</v>
      </c>
      <c r="G95" s="198" t="str">
        <f>+'EF-S3'!$C$24</f>
        <v>kg CO2e/km</v>
      </c>
      <c r="H95" s="191">
        <f t="shared" si="3"/>
        <v>0</v>
      </c>
    </row>
    <row r="96" spans="2:8" x14ac:dyDescent="0.7">
      <c r="B96" s="188"/>
      <c r="C96" s="196"/>
      <c r="D96" s="188"/>
      <c r="E96" s="197">
        <f t="shared" si="4"/>
        <v>0</v>
      </c>
      <c r="F96" s="190" t="e">
        <f>+VLOOKUP(B96,'EF-S3'!$B$25:$D$33,2,)</f>
        <v>#N/A</v>
      </c>
      <c r="G96" s="198" t="str">
        <f>+'EF-S3'!$C$24</f>
        <v>kg CO2e/km</v>
      </c>
      <c r="H96" s="191">
        <f t="shared" si="3"/>
        <v>0</v>
      </c>
    </row>
    <row r="97" spans="2:8" x14ac:dyDescent="0.7">
      <c r="B97" s="188"/>
      <c r="C97" s="196"/>
      <c r="D97" s="188"/>
      <c r="E97" s="197">
        <f t="shared" si="4"/>
        <v>0</v>
      </c>
      <c r="F97" s="190" t="e">
        <f>+VLOOKUP(B97,'EF-S3'!$B$25:$D$33,2,)</f>
        <v>#N/A</v>
      </c>
      <c r="G97" s="198" t="str">
        <f>+'EF-S3'!$C$24</f>
        <v>kg CO2e/km</v>
      </c>
      <c r="H97" s="191">
        <f t="shared" si="3"/>
        <v>0</v>
      </c>
    </row>
    <row r="98" spans="2:8" x14ac:dyDescent="0.7">
      <c r="B98" s="188"/>
      <c r="C98" s="196"/>
      <c r="D98" s="188"/>
      <c r="E98" s="197">
        <f t="shared" si="4"/>
        <v>0</v>
      </c>
      <c r="F98" s="190" t="e">
        <f>+VLOOKUP(B98,'EF-S3'!$B$25:$D$33,2,)</f>
        <v>#N/A</v>
      </c>
      <c r="G98" s="198" t="str">
        <f>+'EF-S3'!$C$24</f>
        <v>kg CO2e/km</v>
      </c>
      <c r="H98" s="191">
        <f t="shared" si="3"/>
        <v>0</v>
      </c>
    </row>
    <row r="99" spans="2:8" x14ac:dyDescent="0.7">
      <c r="B99" s="188"/>
      <c r="C99" s="196"/>
      <c r="D99" s="188"/>
      <c r="E99" s="197">
        <f t="shared" si="4"/>
        <v>0</v>
      </c>
      <c r="F99" s="190" t="e">
        <f>+VLOOKUP(B99,'EF-S3'!$B$25:$D$33,2,)</f>
        <v>#N/A</v>
      </c>
      <c r="G99" s="198" t="str">
        <f>+'EF-S3'!$C$24</f>
        <v>kg CO2e/km</v>
      </c>
      <c r="H99" s="191">
        <f t="shared" si="3"/>
        <v>0</v>
      </c>
    </row>
    <row r="100" spans="2:8" x14ac:dyDescent="0.7">
      <c r="B100" s="188"/>
      <c r="C100" s="196"/>
      <c r="D100" s="188"/>
      <c r="E100" s="197">
        <f t="shared" si="4"/>
        <v>0</v>
      </c>
      <c r="F100" s="190" t="e">
        <f>+VLOOKUP(B100,'EF-S3'!$B$25:$D$33,2,)</f>
        <v>#N/A</v>
      </c>
      <c r="G100" s="198" t="str">
        <f>+'EF-S3'!$C$24</f>
        <v>kg CO2e/km</v>
      </c>
      <c r="H100" s="191">
        <f t="shared" si="3"/>
        <v>0</v>
      </c>
    </row>
    <row r="101" spans="2:8" x14ac:dyDescent="0.7">
      <c r="B101" s="188"/>
      <c r="C101" s="196"/>
      <c r="D101" s="188"/>
      <c r="E101" s="197">
        <f t="shared" si="4"/>
        <v>0</v>
      </c>
      <c r="F101" s="190" t="e">
        <f>+VLOOKUP(B101,'EF-S3'!$B$25:$D$33,2,)</f>
        <v>#N/A</v>
      </c>
      <c r="G101" s="198" t="str">
        <f>+'EF-S3'!$C$24</f>
        <v>kg CO2e/km</v>
      </c>
      <c r="H101" s="191">
        <f t="shared" si="3"/>
        <v>0</v>
      </c>
    </row>
    <row r="102" spans="2:8" x14ac:dyDescent="0.7">
      <c r="B102" s="188"/>
      <c r="C102" s="196"/>
      <c r="D102" s="188"/>
      <c r="E102" s="197">
        <f t="shared" si="4"/>
        <v>0</v>
      </c>
      <c r="F102" s="190" t="e">
        <f>+VLOOKUP(B102,'EF-S3'!$B$25:$D$33,2,)</f>
        <v>#N/A</v>
      </c>
      <c r="G102" s="198" t="str">
        <f>+'EF-S3'!$C$24</f>
        <v>kg CO2e/km</v>
      </c>
      <c r="H102" s="191">
        <f t="shared" si="3"/>
        <v>0</v>
      </c>
    </row>
    <row r="103" spans="2:8" x14ac:dyDescent="0.7">
      <c r="B103" s="188"/>
      <c r="C103" s="196"/>
      <c r="D103" s="188"/>
      <c r="E103" s="197">
        <f t="shared" si="4"/>
        <v>0</v>
      </c>
      <c r="F103" s="190" t="e">
        <f>+VLOOKUP(B103,'EF-S3'!$B$25:$D$33,2,)</f>
        <v>#N/A</v>
      </c>
      <c r="G103" s="198" t="str">
        <f>+'EF-S3'!$C$24</f>
        <v>kg CO2e/km</v>
      </c>
      <c r="H103" s="191">
        <f t="shared" si="3"/>
        <v>0</v>
      </c>
    </row>
  </sheetData>
  <sheetProtection algorithmName="SHA-512" hashValue="6Aa/L6LaebpP7+L6J04cCJasam+vrK/ohSEzkbmXP4lYY+jCZ5Sf1dcfbKPTWm0p2uBO3y/9M87G5YJkMeZMYQ==" saltValue="k0XrLGEtIpIsFIo/8fMvRg==" spinCount="100000" sheet="1" objects="1" scenarios="1"/>
  <protectedRanges>
    <protectedRange sqref="B8:C8" name="Rango2"/>
    <protectedRange sqref="B12:D103" name="Rango1"/>
  </protectedRanges>
  <mergeCells count="5">
    <mergeCell ref="A5:E5"/>
    <mergeCell ref="B7:C7"/>
    <mergeCell ref="B8:C8"/>
    <mergeCell ref="B10:E10"/>
    <mergeCell ref="F10:G10"/>
  </mergeCells>
  <dataValidations count="4">
    <dataValidation type="list" allowBlank="1" showInputMessage="1" showErrorMessage="1" sqref="B12:B103" xr:uid="{779863A8-64C3-4FEB-B8E2-BB15D0A2C630}">
      <formula1>E_commut</formula1>
    </dataValidation>
    <dataValidation type="whole" allowBlank="1" showInputMessage="1" showErrorMessage="1" sqref="D12" xr:uid="{8262276E-0BFA-4D09-B343-D0ADBEE2314E}">
      <formula1>0</formula1>
      <formula2>20</formula2>
    </dataValidation>
    <dataValidation type="decimal" allowBlank="1" showInputMessage="1" showErrorMessage="1" sqref="C12:C103" xr:uid="{75E3F016-87F9-47B8-A36A-FF69BA79FAC8}">
      <formula1>0</formula1>
      <formula2>999999</formula2>
    </dataValidation>
    <dataValidation type="decimal" allowBlank="1" showInputMessage="1" showErrorMessage="1" sqref="B8:C8" xr:uid="{693FEF52-7616-4C9F-B14D-1014A5BD5CC2}">
      <formula1>0</formula1>
      <formula2>366</formula2>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7D9A-1D19-44A3-A51C-51BB07129EA1}">
  <sheetPr>
    <tabColor rgb="FF1A6332"/>
  </sheetPr>
  <dimension ref="B2:K23"/>
  <sheetViews>
    <sheetView zoomScale="30" zoomScaleNormal="30" workbookViewId="0">
      <selection activeCell="D14" sqref="D14"/>
    </sheetView>
  </sheetViews>
  <sheetFormatPr baseColWidth="10" defaultColWidth="10.88671875" defaultRowHeight="36.6" x14ac:dyDescent="0.7"/>
  <cols>
    <col min="1" max="1" width="10.88671875" style="162"/>
    <col min="2" max="2" width="46.33203125" style="162" customWidth="1"/>
    <col min="3" max="3" width="74.88671875" style="162" customWidth="1"/>
    <col min="4" max="4" width="58" style="162" customWidth="1"/>
    <col min="5" max="5" width="50.33203125" style="162" customWidth="1"/>
    <col min="6" max="6" width="42.109375" style="162" customWidth="1"/>
    <col min="7" max="7" width="10.88671875" style="162"/>
    <col min="8" max="8" width="50.88671875" style="162" customWidth="1"/>
    <col min="9" max="9" width="83.33203125" style="162" customWidth="1"/>
    <col min="10" max="10" width="48.88671875" style="162" customWidth="1"/>
    <col min="11" max="16384" width="10.88671875" style="162"/>
  </cols>
  <sheetData>
    <row r="2" spans="2:11" x14ac:dyDescent="0.7">
      <c r="B2" s="161"/>
      <c r="C2" s="161"/>
      <c r="D2" s="161"/>
      <c r="E2" s="161"/>
      <c r="F2" s="161"/>
      <c r="H2" s="161"/>
      <c r="I2" s="161"/>
      <c r="J2" s="161"/>
    </row>
    <row r="3" spans="2:11" x14ac:dyDescent="0.7">
      <c r="B3" s="303" t="s">
        <v>211</v>
      </c>
      <c r="C3" s="304"/>
      <c r="D3" s="304"/>
      <c r="E3" s="304"/>
      <c r="F3" s="305"/>
      <c r="G3" s="201"/>
      <c r="H3" s="301" t="s">
        <v>212</v>
      </c>
      <c r="I3" s="302"/>
      <c r="J3" s="302"/>
      <c r="K3" s="202"/>
    </row>
    <row r="4" spans="2:11" x14ac:dyDescent="0.7">
      <c r="B4" s="244" t="s">
        <v>213</v>
      </c>
      <c r="C4" s="245" t="s">
        <v>214</v>
      </c>
      <c r="D4" s="248" t="s">
        <v>215</v>
      </c>
      <c r="E4" s="248" t="s">
        <v>216</v>
      </c>
      <c r="F4" s="249" t="s">
        <v>217</v>
      </c>
      <c r="H4" s="246" t="s">
        <v>213</v>
      </c>
      <c r="I4" s="246" t="s">
        <v>214</v>
      </c>
      <c r="J4" s="250" t="s">
        <v>215</v>
      </c>
    </row>
    <row r="5" spans="2:11" x14ac:dyDescent="0.7">
      <c r="B5" s="308" t="s">
        <v>4</v>
      </c>
      <c r="C5" s="209" t="s">
        <v>218</v>
      </c>
      <c r="D5" s="215">
        <f>+SUM('Scope 1'!P29:P104)</f>
        <v>0</v>
      </c>
      <c r="E5" s="216">
        <f>+IFERROR(D5/D$8,0)</f>
        <v>0</v>
      </c>
      <c r="F5" s="217">
        <f>+IFERROR(D5/D$23,0)</f>
        <v>0</v>
      </c>
      <c r="H5" s="247" t="s">
        <v>4</v>
      </c>
      <c r="I5" s="204" t="s">
        <v>219</v>
      </c>
      <c r="J5" s="205">
        <f>+D8</f>
        <v>0</v>
      </c>
      <c r="K5" s="182"/>
    </row>
    <row r="6" spans="2:11" x14ac:dyDescent="0.7">
      <c r="B6" s="309"/>
      <c r="C6" s="211" t="s">
        <v>220</v>
      </c>
      <c r="D6" s="218">
        <f>+SUM('Scope 1'!AG29:AG104)</f>
        <v>0</v>
      </c>
      <c r="E6" s="219">
        <f t="shared" ref="E6:E7" si="0">+IFERROR(D6/D$8,0)</f>
        <v>0</v>
      </c>
      <c r="F6" s="220">
        <f t="shared" ref="F6:F7" si="1">+IFERROR(D6/D$23,0)</f>
        <v>0</v>
      </c>
      <c r="H6" s="206"/>
      <c r="I6" s="206"/>
      <c r="J6" s="206"/>
    </row>
    <row r="7" spans="2:11" x14ac:dyDescent="0.7">
      <c r="B7" s="309"/>
      <c r="C7" s="211" t="s">
        <v>221</v>
      </c>
      <c r="D7" s="218">
        <f>+SUM('Scope 1'!AQ29:AQ104)</f>
        <v>0</v>
      </c>
      <c r="E7" s="219">
        <f t="shared" si="0"/>
        <v>0</v>
      </c>
      <c r="F7" s="220">
        <f t="shared" si="1"/>
        <v>0</v>
      </c>
      <c r="H7" s="247" t="s">
        <v>7</v>
      </c>
      <c r="I7" s="204" t="s">
        <v>222</v>
      </c>
      <c r="J7" s="205">
        <f>+D12</f>
        <v>2.3477134320000004</v>
      </c>
      <c r="K7" s="182"/>
    </row>
    <row r="8" spans="2:11" x14ac:dyDescent="0.7">
      <c r="B8" s="310"/>
      <c r="C8" s="221" t="s">
        <v>223</v>
      </c>
      <c r="D8" s="222">
        <f>+SUM(D5:D7)</f>
        <v>0</v>
      </c>
      <c r="E8" s="223">
        <f>+IFERROR(D8/D$8,0)</f>
        <v>0</v>
      </c>
      <c r="F8" s="224">
        <f>+IFERROR(D8/D$23,0)</f>
        <v>0</v>
      </c>
      <c r="G8" s="203"/>
      <c r="H8" s="207"/>
      <c r="I8" s="206"/>
      <c r="J8" s="208"/>
    </row>
    <row r="9" spans="2:11" x14ac:dyDescent="0.7">
      <c r="B9" s="225"/>
      <c r="C9" s="225"/>
      <c r="D9" s="225"/>
      <c r="E9" s="225"/>
      <c r="F9" s="225"/>
      <c r="G9" s="203"/>
      <c r="H9" s="308" t="s">
        <v>224</v>
      </c>
      <c r="I9" s="209" t="s">
        <v>225</v>
      </c>
      <c r="J9" s="210">
        <f>+SUM(D14:D15)</f>
        <v>9.4033478260869552E-2</v>
      </c>
      <c r="K9" s="182"/>
    </row>
    <row r="10" spans="2:11" x14ac:dyDescent="0.7">
      <c r="B10" s="308" t="s">
        <v>226</v>
      </c>
      <c r="C10" s="209" t="s">
        <v>227</v>
      </c>
      <c r="D10" s="215">
        <f>+SUM('Scope 2'!M9:M103)</f>
        <v>2.3477134320000004</v>
      </c>
      <c r="E10" s="216">
        <f>+IFERROR(D10/D$12,0)</f>
        <v>1</v>
      </c>
      <c r="F10" s="217">
        <f>+IFERROR(D10/D$23,0)</f>
        <v>2.6359725362786032E-4</v>
      </c>
      <c r="G10" s="203"/>
      <c r="H10" s="309"/>
      <c r="I10" s="211" t="s">
        <v>228</v>
      </c>
      <c r="J10" s="212">
        <f>+D16</f>
        <v>0</v>
      </c>
      <c r="K10" s="182"/>
    </row>
    <row r="11" spans="2:11" x14ac:dyDescent="0.7">
      <c r="B11" s="309"/>
      <c r="C11" s="211" t="s">
        <v>229</v>
      </c>
      <c r="D11" s="218">
        <f>+SUM('Scope 2'!AB9:AB103)</f>
        <v>0</v>
      </c>
      <c r="E11" s="219">
        <f>+IFERROR(D11/D$12,0)</f>
        <v>0</v>
      </c>
      <c r="F11" s="220">
        <f>+IFERROR(D11/D$23,0)</f>
        <v>0</v>
      </c>
      <c r="G11" s="203"/>
      <c r="H11" s="309"/>
      <c r="I11" s="211" t="s">
        <v>230</v>
      </c>
      <c r="J11" s="212">
        <f>+D18</f>
        <v>0</v>
      </c>
      <c r="K11" s="182"/>
    </row>
    <row r="12" spans="2:11" x14ac:dyDescent="0.7">
      <c r="B12" s="310"/>
      <c r="C12" s="226" t="s">
        <v>223</v>
      </c>
      <c r="D12" s="222">
        <f>+SUM(D10:D11)</f>
        <v>2.3477134320000004</v>
      </c>
      <c r="E12" s="223">
        <f>+IFERROR(D12/D$12,0)</f>
        <v>1</v>
      </c>
      <c r="F12" s="224">
        <f>+IFERROR(D12/D$23,0)</f>
        <v>2.6359725362786032E-4</v>
      </c>
      <c r="G12" s="203"/>
      <c r="H12" s="309"/>
      <c r="I12" s="211" t="s">
        <v>231</v>
      </c>
      <c r="J12" s="212">
        <f>+D19</f>
        <v>13.117871051400002</v>
      </c>
      <c r="K12" s="182"/>
    </row>
    <row r="13" spans="2:11" x14ac:dyDescent="0.7">
      <c r="B13" s="227"/>
      <c r="C13" s="228"/>
      <c r="D13" s="227"/>
      <c r="E13" s="229"/>
      <c r="F13" s="227"/>
      <c r="G13" s="203"/>
      <c r="H13" s="309"/>
      <c r="I13" s="211" t="s">
        <v>232</v>
      </c>
      <c r="J13" s="212">
        <f>+D20</f>
        <v>8890.8815519999989</v>
      </c>
      <c r="K13" s="182"/>
    </row>
    <row r="14" spans="2:11" x14ac:dyDescent="0.7">
      <c r="B14" s="308" t="s">
        <v>224</v>
      </c>
      <c r="C14" s="209" t="s">
        <v>233</v>
      </c>
      <c r="D14" s="215">
        <f>+SUM('Scope 3-Water consumption'!F8:F102)</f>
        <v>8.9399999999999993E-2</v>
      </c>
      <c r="E14" s="216">
        <f t="shared" ref="E14:E21" si="2">+IFERROR(D14/D$21,0)</f>
        <v>1.004032588342164E-5</v>
      </c>
      <c r="F14" s="217">
        <f t="shared" ref="F14:F21" si="3">+IFERROR(D14/D$23,0)</f>
        <v>1.0037679281093242E-5</v>
      </c>
      <c r="G14" s="203"/>
      <c r="H14" s="310"/>
      <c r="I14" s="213" t="s">
        <v>234</v>
      </c>
      <c r="J14" s="214">
        <f>+D17</f>
        <v>0</v>
      </c>
      <c r="K14" s="182"/>
    </row>
    <row r="15" spans="2:11" x14ac:dyDescent="0.7">
      <c r="B15" s="309"/>
      <c r="C15" s="211" t="s">
        <v>235</v>
      </c>
      <c r="D15" s="230">
        <f>+SUM('Scope 3-Raw materials'!G10:G102)</f>
        <v>4.6334782608695654E-3</v>
      </c>
      <c r="E15" s="219">
        <f t="shared" si="2"/>
        <v>5.2037619365637797E-7</v>
      </c>
      <c r="F15" s="220">
        <f t="shared" si="3"/>
        <v>5.2023902392087676E-7</v>
      </c>
      <c r="H15" s="149"/>
      <c r="I15" s="149"/>
      <c r="J15" s="149"/>
    </row>
    <row r="16" spans="2:11" x14ac:dyDescent="0.7">
      <c r="B16" s="309"/>
      <c r="C16" s="211" t="s">
        <v>228</v>
      </c>
      <c r="D16" s="218">
        <f>+SUM('Scope 3-Upstream transp.'!M9:M103)</f>
        <v>0</v>
      </c>
      <c r="E16" s="219">
        <f t="shared" si="2"/>
        <v>0</v>
      </c>
      <c r="F16" s="220">
        <f t="shared" si="3"/>
        <v>0</v>
      </c>
    </row>
    <row r="17" spans="2:6" x14ac:dyDescent="0.7">
      <c r="B17" s="309"/>
      <c r="C17" s="211" t="s">
        <v>234</v>
      </c>
      <c r="D17" s="218">
        <f>+SUM('Scope 3-Downstream transp.'!L11:L104)</f>
        <v>0</v>
      </c>
      <c r="E17" s="219">
        <f t="shared" si="2"/>
        <v>0</v>
      </c>
      <c r="F17" s="220">
        <f t="shared" si="3"/>
        <v>0</v>
      </c>
    </row>
    <row r="18" spans="2:6" x14ac:dyDescent="0.7">
      <c r="B18" s="309"/>
      <c r="C18" s="231" t="s">
        <v>236</v>
      </c>
      <c r="D18" s="218">
        <f>+SUM('Scope 3-Waste generation'!I10:I103)</f>
        <v>0</v>
      </c>
      <c r="E18" s="219">
        <f t="shared" si="2"/>
        <v>0</v>
      </c>
      <c r="F18" s="220">
        <f t="shared" si="3"/>
        <v>0</v>
      </c>
    </row>
    <row r="19" spans="2:6" x14ac:dyDescent="0.7">
      <c r="B19" s="309"/>
      <c r="C19" s="211" t="s">
        <v>231</v>
      </c>
      <c r="D19" s="218">
        <f>+SUM('Scope 3-Business travel'!H10:H104)+SUM('Scope 3-Business travel'!O10:O104)</f>
        <v>13.117871051400002</v>
      </c>
      <c r="E19" s="219">
        <f t="shared" si="2"/>
        <v>1.4732404949973029E-3</v>
      </c>
      <c r="F19" s="220">
        <f t="shared" si="3"/>
        <v>1.4728521528488882E-3</v>
      </c>
    </row>
    <row r="20" spans="2:6" x14ac:dyDescent="0.7">
      <c r="B20" s="309"/>
      <c r="C20" s="211" t="s">
        <v>232</v>
      </c>
      <c r="D20" s="218">
        <f>+SUM('Scope 3-Employee commuting'!H12:H103)</f>
        <v>8890.8815519999989</v>
      </c>
      <c r="E20" s="219">
        <f t="shared" si="2"/>
        <v>0.99851619880292564</v>
      </c>
      <c r="F20" s="220">
        <f t="shared" si="3"/>
        <v>0.99825299267521828</v>
      </c>
    </row>
    <row r="21" spans="2:6" x14ac:dyDescent="0.7">
      <c r="B21" s="310"/>
      <c r="C21" s="226" t="s">
        <v>223</v>
      </c>
      <c r="D21" s="232">
        <f>+SUM(D14:D20)</f>
        <v>8904.0934565296593</v>
      </c>
      <c r="E21" s="223">
        <f t="shared" si="2"/>
        <v>1</v>
      </c>
      <c r="F21" s="224">
        <f t="shared" si="3"/>
        <v>0.9997364027463721</v>
      </c>
    </row>
    <row r="22" spans="2:6" x14ac:dyDescent="0.7">
      <c r="B22" s="225"/>
      <c r="C22" s="225"/>
      <c r="D22" s="225"/>
      <c r="E22" s="225"/>
      <c r="F22" s="225"/>
    </row>
    <row r="23" spans="2:6" x14ac:dyDescent="0.7">
      <c r="B23" s="306" t="s">
        <v>237</v>
      </c>
      <c r="C23" s="307"/>
      <c r="D23" s="251">
        <f>+SUM(D8,D12,D21)</f>
        <v>8906.4411699616594</v>
      </c>
      <c r="E23" s="225"/>
      <c r="F23" s="225"/>
    </row>
  </sheetData>
  <mergeCells count="7">
    <mergeCell ref="H3:J3"/>
    <mergeCell ref="B3:F3"/>
    <mergeCell ref="B23:C23"/>
    <mergeCell ref="B14:B21"/>
    <mergeCell ref="B5:B8"/>
    <mergeCell ref="B10:B12"/>
    <mergeCell ref="H9:H14"/>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40940-FEBE-47D8-9904-0E99C3461617}">
  <sheetPr>
    <tabColor rgb="FFF4F4F4"/>
  </sheetPr>
  <dimension ref="A1:X47"/>
  <sheetViews>
    <sheetView zoomScale="70" zoomScaleNormal="70" workbookViewId="0">
      <selection activeCell="O38" sqref="O38"/>
    </sheetView>
  </sheetViews>
  <sheetFormatPr baseColWidth="10" defaultColWidth="10.88671875" defaultRowHeight="13.8" x14ac:dyDescent="0.3"/>
  <cols>
    <col min="1" max="1" width="10.88671875" style="13"/>
    <col min="2" max="2" width="17.109375" style="13" customWidth="1"/>
    <col min="3" max="5" width="12.33203125" style="13" bestFit="1" customWidth="1"/>
    <col min="6" max="9" width="10.88671875" style="13"/>
    <col min="10" max="10" width="15" style="13" customWidth="1"/>
    <col min="11" max="13" width="12.5546875" style="13" bestFit="1" customWidth="1"/>
    <col min="14" max="14" width="11.6640625" style="13" customWidth="1"/>
    <col min="15" max="15" width="15.109375" style="13" bestFit="1" customWidth="1"/>
    <col min="16" max="17" width="10.88671875" style="13"/>
    <col min="18" max="18" width="13.44140625" style="13" customWidth="1"/>
    <col min="19" max="20" width="10.88671875" style="13"/>
    <col min="21" max="21" width="20" style="13" bestFit="1" customWidth="1"/>
    <col min="22" max="23" width="10.88671875" style="13"/>
    <col min="24" max="24" width="25.44140625" style="13" customWidth="1"/>
    <col min="25" max="16384" width="10.88671875" style="13"/>
  </cols>
  <sheetData>
    <row r="1" spans="1:24" x14ac:dyDescent="0.3">
      <c r="B1" s="14"/>
      <c r="C1" s="14"/>
      <c r="D1" s="14"/>
      <c r="E1" s="14"/>
      <c r="F1" s="14"/>
      <c r="G1" s="14"/>
      <c r="H1" s="14"/>
      <c r="J1" s="14"/>
      <c r="K1" s="14"/>
      <c r="L1" s="14"/>
      <c r="M1" s="14"/>
      <c r="N1" s="14"/>
      <c r="O1" s="14"/>
      <c r="P1" s="14"/>
    </row>
    <row r="2" spans="1:24" x14ac:dyDescent="0.3">
      <c r="B2" s="14"/>
      <c r="C2" s="14"/>
      <c r="D2" s="14"/>
      <c r="E2" s="14"/>
      <c r="F2" s="14"/>
      <c r="G2" s="14"/>
      <c r="H2" s="14"/>
      <c r="J2" s="14"/>
      <c r="K2" s="14"/>
      <c r="L2" s="14"/>
      <c r="M2" s="14"/>
      <c r="N2" s="14"/>
      <c r="O2" s="14"/>
      <c r="P2" s="14"/>
    </row>
    <row r="3" spans="1:24" x14ac:dyDescent="0.3">
      <c r="B3" s="14"/>
      <c r="C3" s="14"/>
      <c r="D3" s="14"/>
      <c r="E3" s="14"/>
      <c r="F3" s="14"/>
      <c r="G3" s="14"/>
      <c r="H3" s="14"/>
      <c r="J3" s="14"/>
      <c r="K3" s="14"/>
      <c r="L3" s="14"/>
      <c r="M3" s="14"/>
      <c r="N3" s="14"/>
      <c r="O3" s="14"/>
      <c r="P3" s="14"/>
    </row>
    <row r="4" spans="1:24" x14ac:dyDescent="0.3">
      <c r="B4" s="14"/>
      <c r="C4" s="14"/>
      <c r="D4" s="14"/>
      <c r="E4" s="14"/>
      <c r="F4" s="14"/>
      <c r="G4" s="14"/>
      <c r="H4" s="14"/>
      <c r="J4" s="14"/>
      <c r="K4" s="14"/>
      <c r="L4" s="14"/>
      <c r="M4" s="14"/>
      <c r="N4" s="14"/>
      <c r="O4" s="14"/>
      <c r="P4" s="14"/>
    </row>
    <row r="5" spans="1:24" x14ac:dyDescent="0.3">
      <c r="B5" s="14"/>
      <c r="C5" s="14"/>
      <c r="D5" s="14"/>
      <c r="E5" s="14"/>
      <c r="F5" s="14"/>
      <c r="G5" s="14"/>
      <c r="H5" s="14"/>
      <c r="J5" s="14"/>
      <c r="K5" s="14"/>
      <c r="L5" s="14"/>
      <c r="M5" s="14"/>
      <c r="N5" s="14"/>
      <c r="O5" s="14"/>
      <c r="P5" s="14"/>
    </row>
    <row r="6" spans="1:24" x14ac:dyDescent="0.3">
      <c r="B6" s="14"/>
      <c r="C6" s="14"/>
      <c r="D6" s="14"/>
      <c r="E6" s="14"/>
      <c r="F6" s="14"/>
      <c r="G6" s="14"/>
      <c r="H6" s="14"/>
      <c r="J6" s="14"/>
      <c r="K6" s="14"/>
      <c r="L6" s="14"/>
      <c r="M6" s="14"/>
      <c r="N6" s="14"/>
      <c r="O6" s="14"/>
      <c r="P6" s="14"/>
    </row>
    <row r="7" spans="1:24" x14ac:dyDescent="0.3">
      <c r="B7" s="14"/>
      <c r="C7" s="14"/>
      <c r="D7" s="14"/>
      <c r="E7" s="14"/>
      <c r="F7" s="14"/>
      <c r="G7" s="14"/>
      <c r="H7" s="14"/>
      <c r="J7" s="14"/>
      <c r="K7" s="14"/>
      <c r="L7" s="14"/>
      <c r="M7" s="14"/>
      <c r="N7" s="14"/>
      <c r="O7" s="14"/>
      <c r="P7" s="14"/>
    </row>
    <row r="8" spans="1:24" ht="14.4" customHeight="1" x14ac:dyDescent="0.3">
      <c r="A8" s="15"/>
      <c r="B8" s="321" t="s">
        <v>27</v>
      </c>
      <c r="C8" s="321"/>
      <c r="D8" s="321"/>
      <c r="E8" s="321"/>
      <c r="F8" s="321"/>
      <c r="G8" s="321"/>
      <c r="H8" s="321"/>
      <c r="J8" s="318" t="s">
        <v>238</v>
      </c>
      <c r="K8" s="318"/>
      <c r="L8" s="318"/>
      <c r="M8" s="318"/>
      <c r="N8" s="318"/>
      <c r="O8" s="318"/>
      <c r="P8" s="318"/>
      <c r="Q8" s="16"/>
      <c r="U8" s="324" t="s">
        <v>239</v>
      </c>
      <c r="V8" s="325"/>
      <c r="W8" s="325"/>
      <c r="X8" s="326"/>
    </row>
    <row r="9" spans="1:24" ht="15" x14ac:dyDescent="0.3">
      <c r="B9" s="101" t="s">
        <v>240</v>
      </c>
      <c r="C9" s="17" t="s">
        <v>241</v>
      </c>
      <c r="D9" s="17" t="s">
        <v>242</v>
      </c>
      <c r="E9" s="17" t="s">
        <v>243</v>
      </c>
      <c r="F9" s="317" t="s">
        <v>105</v>
      </c>
      <c r="G9" s="317"/>
      <c r="H9" s="317"/>
      <c r="J9" s="17" t="s">
        <v>240</v>
      </c>
      <c r="K9" s="17" t="s">
        <v>244</v>
      </c>
      <c r="L9" s="17" t="s">
        <v>245</v>
      </c>
      <c r="M9" s="17" t="s">
        <v>246</v>
      </c>
      <c r="N9" s="317" t="s">
        <v>105</v>
      </c>
      <c r="O9" s="317"/>
      <c r="P9" s="317"/>
      <c r="R9" s="35" t="s">
        <v>247</v>
      </c>
      <c r="S9" s="38" t="s">
        <v>248</v>
      </c>
      <c r="U9" s="112" t="s">
        <v>249</v>
      </c>
      <c r="V9" s="18" t="s">
        <v>248</v>
      </c>
      <c r="W9" s="327" t="s">
        <v>105</v>
      </c>
      <c r="X9" s="327"/>
    </row>
    <row r="10" spans="1:24" ht="15.6" x14ac:dyDescent="0.3">
      <c r="B10" s="103" t="s">
        <v>36</v>
      </c>
      <c r="C10" s="20">
        <v>56100</v>
      </c>
      <c r="D10" s="21">
        <v>1</v>
      </c>
      <c r="E10" s="21">
        <v>0.1</v>
      </c>
      <c r="F10" s="320" t="s">
        <v>250</v>
      </c>
      <c r="G10" s="320"/>
      <c r="H10" s="320"/>
      <c r="J10" s="19" t="s">
        <v>38</v>
      </c>
      <c r="K10" s="25">
        <v>0.17363000000000001</v>
      </c>
      <c r="L10" s="26">
        <v>1.1399999999999999E-5</v>
      </c>
      <c r="M10" s="26">
        <v>1.3999999999999999E-6</v>
      </c>
      <c r="N10" s="319" t="s">
        <v>251</v>
      </c>
      <c r="O10" s="319"/>
      <c r="P10" s="319"/>
      <c r="Q10" s="16"/>
      <c r="R10" s="33" t="s">
        <v>252</v>
      </c>
      <c r="S10" s="39">
        <v>1</v>
      </c>
      <c r="U10" s="114" t="s">
        <v>253</v>
      </c>
      <c r="V10" s="22">
        <v>2024</v>
      </c>
      <c r="W10" s="322" t="s">
        <v>254</v>
      </c>
      <c r="X10" s="323"/>
    </row>
    <row r="11" spans="1:24" ht="15.6" x14ac:dyDescent="0.3">
      <c r="B11" s="103" t="s">
        <v>41</v>
      </c>
      <c r="C11" s="20">
        <v>74100</v>
      </c>
      <c r="D11" s="21">
        <v>3</v>
      </c>
      <c r="E11" s="21">
        <v>0.6</v>
      </c>
      <c r="F11" s="320"/>
      <c r="G11" s="320"/>
      <c r="H11" s="320"/>
      <c r="J11" s="19" t="s">
        <v>41</v>
      </c>
      <c r="K11" s="25">
        <v>0.16655</v>
      </c>
      <c r="L11" s="26">
        <v>9.9999999999999995E-8</v>
      </c>
      <c r="M11" s="26">
        <v>7.0999999999999998E-6</v>
      </c>
      <c r="N11" s="319" t="s">
        <v>255</v>
      </c>
      <c r="O11" s="319"/>
      <c r="P11" s="319"/>
      <c r="R11" s="34" t="s">
        <v>256</v>
      </c>
      <c r="S11" s="36">
        <v>28</v>
      </c>
      <c r="U11" s="114" t="s">
        <v>257</v>
      </c>
      <c r="V11" s="22">
        <v>2127</v>
      </c>
      <c r="W11" s="322" t="s">
        <v>254</v>
      </c>
      <c r="X11" s="323"/>
    </row>
    <row r="12" spans="1:24" ht="14.1" customHeight="1" x14ac:dyDescent="0.3">
      <c r="B12" s="103" t="s">
        <v>44</v>
      </c>
      <c r="C12" s="20">
        <v>69300</v>
      </c>
      <c r="D12" s="21">
        <v>3</v>
      </c>
      <c r="E12" s="21">
        <v>0.6</v>
      </c>
      <c r="F12" s="320"/>
      <c r="G12" s="320"/>
      <c r="H12" s="320"/>
      <c r="J12" s="19" t="s">
        <v>46</v>
      </c>
      <c r="K12" s="25">
        <v>0.11824999999999999</v>
      </c>
      <c r="L12" s="26">
        <v>6.1E-6</v>
      </c>
      <c r="M12" s="26">
        <v>4.1999999999999996E-6</v>
      </c>
      <c r="N12" s="319" t="s">
        <v>258</v>
      </c>
      <c r="O12" s="319"/>
      <c r="P12" s="319"/>
      <c r="R12" s="33" t="s">
        <v>259</v>
      </c>
      <c r="S12" s="37">
        <v>265</v>
      </c>
      <c r="U12" s="114" t="s">
        <v>260</v>
      </c>
      <c r="V12" s="22">
        <v>1760</v>
      </c>
      <c r="W12" s="322" t="s">
        <v>254</v>
      </c>
      <c r="X12" s="323"/>
    </row>
    <row r="13" spans="1:24" x14ac:dyDescent="0.3">
      <c r="B13" s="102" t="s">
        <v>47</v>
      </c>
      <c r="C13" s="20">
        <v>63100</v>
      </c>
      <c r="D13" s="21">
        <v>1</v>
      </c>
      <c r="E13" s="21">
        <v>0.1</v>
      </c>
      <c r="F13" s="320"/>
      <c r="G13" s="320"/>
      <c r="H13" s="320"/>
      <c r="J13" s="19" t="s">
        <v>50</v>
      </c>
      <c r="K13" s="25">
        <v>9.622E-2</v>
      </c>
      <c r="L13" s="26">
        <v>1.1800000000000001E-5</v>
      </c>
      <c r="M13" s="26">
        <v>1.5E-6</v>
      </c>
      <c r="N13" s="319" t="s">
        <v>261</v>
      </c>
      <c r="O13" s="319"/>
      <c r="P13" s="319"/>
      <c r="U13" s="114" t="s">
        <v>262</v>
      </c>
      <c r="V13" s="22">
        <v>1624</v>
      </c>
      <c r="W13" s="322" t="s">
        <v>254</v>
      </c>
      <c r="X13" s="323"/>
    </row>
    <row r="14" spans="1:24" x14ac:dyDescent="0.3">
      <c r="B14" s="14"/>
      <c r="C14" s="14"/>
      <c r="D14" s="14"/>
      <c r="E14" s="14"/>
      <c r="F14" s="23"/>
      <c r="G14" s="23"/>
      <c r="H14" s="23"/>
      <c r="J14" s="19" t="s">
        <v>52</v>
      </c>
      <c r="K14" s="25">
        <v>5.4210000000000001E-2</v>
      </c>
      <c r="L14" s="26">
        <v>7.5000000000000002E-6</v>
      </c>
      <c r="M14" s="26">
        <v>1.3E-6</v>
      </c>
      <c r="N14" s="319" t="s">
        <v>263</v>
      </c>
      <c r="O14" s="319"/>
      <c r="P14" s="319"/>
      <c r="U14" s="114" t="s">
        <v>264</v>
      </c>
      <c r="V14" s="22">
        <v>1300</v>
      </c>
      <c r="W14" s="322" t="s">
        <v>254</v>
      </c>
      <c r="X14" s="323"/>
    </row>
    <row r="15" spans="1:24" x14ac:dyDescent="0.3">
      <c r="A15" s="15"/>
      <c r="B15" s="321" t="s">
        <v>42</v>
      </c>
      <c r="C15" s="321"/>
      <c r="D15" s="321"/>
      <c r="E15" s="321"/>
      <c r="F15" s="321"/>
      <c r="G15" s="321"/>
      <c r="H15" s="321"/>
      <c r="J15" s="19" t="s">
        <v>53</v>
      </c>
      <c r="K15" s="25">
        <v>0.17424999999999999</v>
      </c>
      <c r="L15" s="26">
        <v>5.6400000000000002E-5</v>
      </c>
      <c r="M15" s="26">
        <v>1.5E-6</v>
      </c>
      <c r="N15" s="319" t="s">
        <v>265</v>
      </c>
      <c r="O15" s="319"/>
      <c r="P15" s="319"/>
      <c r="U15" s="114" t="s">
        <v>266</v>
      </c>
      <c r="V15" s="22">
        <v>1924</v>
      </c>
      <c r="W15" s="322" t="s">
        <v>254</v>
      </c>
      <c r="X15" s="323"/>
    </row>
    <row r="16" spans="1:24" ht="15" x14ac:dyDescent="0.3">
      <c r="B16" s="101" t="s">
        <v>240</v>
      </c>
      <c r="C16" s="17" t="s">
        <v>241</v>
      </c>
      <c r="D16" s="17" t="s">
        <v>242</v>
      </c>
      <c r="E16" s="17" t="s">
        <v>243</v>
      </c>
      <c r="F16" s="317" t="s">
        <v>105</v>
      </c>
      <c r="G16" s="317"/>
      <c r="H16" s="317"/>
      <c r="J16" s="19" t="s">
        <v>54</v>
      </c>
      <c r="K16" s="25">
        <v>0.17021</v>
      </c>
      <c r="L16" s="26">
        <v>6.1E-6</v>
      </c>
      <c r="M16" s="26">
        <v>4.1999999999999996E-6</v>
      </c>
      <c r="N16" s="319" t="s">
        <v>267</v>
      </c>
      <c r="O16" s="319"/>
      <c r="P16" s="319"/>
      <c r="U16" s="114" t="s">
        <v>268</v>
      </c>
      <c r="V16" s="22">
        <v>3075</v>
      </c>
      <c r="W16" s="322" t="s">
        <v>254</v>
      </c>
      <c r="X16" s="323"/>
    </row>
    <row r="17" spans="1:24" x14ac:dyDescent="0.3">
      <c r="B17" s="103" t="s">
        <v>36</v>
      </c>
      <c r="C17" s="20">
        <v>56100</v>
      </c>
      <c r="D17" s="21">
        <v>1</v>
      </c>
      <c r="E17" s="21">
        <v>0.1</v>
      </c>
      <c r="F17" s="320" t="s">
        <v>250</v>
      </c>
      <c r="G17" s="320"/>
      <c r="H17" s="320"/>
      <c r="U17" s="114" t="s">
        <v>269</v>
      </c>
      <c r="V17" s="22">
        <v>2847</v>
      </c>
      <c r="W17" s="322" t="s">
        <v>254</v>
      </c>
      <c r="X17" s="323"/>
    </row>
    <row r="18" spans="1:24" x14ac:dyDescent="0.3">
      <c r="B18" s="103" t="s">
        <v>41</v>
      </c>
      <c r="C18" s="20">
        <v>74100</v>
      </c>
      <c r="D18" s="21">
        <v>3</v>
      </c>
      <c r="E18" s="21">
        <v>0.6</v>
      </c>
      <c r="F18" s="320"/>
      <c r="G18" s="320"/>
      <c r="H18" s="320"/>
      <c r="N18" s="24"/>
      <c r="U18" s="114" t="s">
        <v>270</v>
      </c>
      <c r="V18" s="22">
        <v>2473</v>
      </c>
      <c r="W18" s="322" t="s">
        <v>254</v>
      </c>
      <c r="X18" s="323"/>
    </row>
    <row r="19" spans="1:24" x14ac:dyDescent="0.3">
      <c r="B19" s="103" t="s">
        <v>44</v>
      </c>
      <c r="C19" s="20">
        <v>69300</v>
      </c>
      <c r="D19" s="21">
        <v>3</v>
      </c>
      <c r="E19" s="21">
        <v>0.6</v>
      </c>
      <c r="F19" s="320"/>
      <c r="G19" s="320"/>
      <c r="H19" s="320"/>
      <c r="J19" s="318" t="s">
        <v>271</v>
      </c>
      <c r="K19" s="318"/>
      <c r="L19" s="318"/>
      <c r="M19" s="318"/>
      <c r="N19" s="318"/>
      <c r="O19" s="318"/>
      <c r="P19" s="318"/>
      <c r="U19" s="114" t="s">
        <v>272</v>
      </c>
      <c r="V19" s="22">
        <v>1945</v>
      </c>
      <c r="W19" s="322" t="s">
        <v>254</v>
      </c>
      <c r="X19" s="323"/>
    </row>
    <row r="20" spans="1:24" ht="27.6" x14ac:dyDescent="0.3">
      <c r="B20" s="102" t="s">
        <v>47</v>
      </c>
      <c r="C20" s="20">
        <v>63100</v>
      </c>
      <c r="D20" s="21">
        <v>1</v>
      </c>
      <c r="E20" s="21">
        <v>0.1</v>
      </c>
      <c r="F20" s="320"/>
      <c r="G20" s="320"/>
      <c r="H20" s="320"/>
      <c r="J20" s="17" t="s">
        <v>240</v>
      </c>
      <c r="K20" s="17" t="s">
        <v>241</v>
      </c>
      <c r="L20" s="17" t="s">
        <v>242</v>
      </c>
      <c r="M20" s="17" t="s">
        <v>243</v>
      </c>
      <c r="N20" s="17" t="s">
        <v>273</v>
      </c>
      <c r="O20" s="17" t="s">
        <v>274</v>
      </c>
      <c r="P20" s="17" t="s">
        <v>105</v>
      </c>
      <c r="U20" s="114" t="s">
        <v>275</v>
      </c>
      <c r="V20" s="22">
        <v>3943</v>
      </c>
      <c r="W20" s="322" t="s">
        <v>254</v>
      </c>
      <c r="X20" s="323"/>
    </row>
    <row r="21" spans="1:24" x14ac:dyDescent="0.3">
      <c r="B21" s="14"/>
      <c r="C21" s="14"/>
      <c r="D21" s="14"/>
      <c r="E21" s="14"/>
      <c r="F21" s="14"/>
      <c r="G21" s="14"/>
      <c r="H21" s="14"/>
      <c r="J21" s="19" t="s">
        <v>276</v>
      </c>
      <c r="K21" s="21">
        <v>69300</v>
      </c>
      <c r="L21" s="21">
        <v>25</v>
      </c>
      <c r="M21" s="21">
        <v>8</v>
      </c>
      <c r="N21" s="21">
        <f>+AVERAGE(720,775)</f>
        <v>747.5</v>
      </c>
      <c r="O21" s="21">
        <v>44.3</v>
      </c>
      <c r="P21" s="27" t="s">
        <v>250</v>
      </c>
      <c r="U21" s="114" t="s">
        <v>277</v>
      </c>
      <c r="V21" s="22">
        <v>1386</v>
      </c>
      <c r="W21" s="322" t="s">
        <v>278</v>
      </c>
      <c r="X21" s="323"/>
    </row>
    <row r="22" spans="1:24" x14ac:dyDescent="0.3">
      <c r="A22" s="15"/>
      <c r="B22" s="321" t="s">
        <v>45</v>
      </c>
      <c r="C22" s="321"/>
      <c r="D22" s="321"/>
      <c r="E22" s="321"/>
      <c r="F22" s="321"/>
      <c r="G22" s="321"/>
      <c r="H22" s="321"/>
      <c r="J22" s="19" t="s">
        <v>41</v>
      </c>
      <c r="K22" s="21">
        <v>74100</v>
      </c>
      <c r="L22" s="21">
        <v>3.9</v>
      </c>
      <c r="M22" s="21">
        <v>3.9</v>
      </c>
      <c r="N22" s="21">
        <f>+AVERAGE(820,845)</f>
        <v>832.5</v>
      </c>
      <c r="O22" s="21">
        <v>43</v>
      </c>
      <c r="P22" s="27" t="s">
        <v>250</v>
      </c>
      <c r="U22" s="110" t="s">
        <v>279</v>
      </c>
      <c r="V22" s="22">
        <v>2229</v>
      </c>
      <c r="W22" s="322" t="s">
        <v>278</v>
      </c>
      <c r="X22" s="323"/>
    </row>
    <row r="23" spans="1:24" ht="15" x14ac:dyDescent="0.3">
      <c r="B23" s="101" t="s">
        <v>240</v>
      </c>
      <c r="C23" s="17" t="s">
        <v>241</v>
      </c>
      <c r="D23" s="17" t="s">
        <v>242</v>
      </c>
      <c r="E23" s="17" t="s">
        <v>243</v>
      </c>
      <c r="F23" s="317" t="s">
        <v>105</v>
      </c>
      <c r="G23" s="317"/>
      <c r="H23" s="317"/>
      <c r="J23" s="19" t="s">
        <v>47</v>
      </c>
      <c r="K23" s="21">
        <v>63100</v>
      </c>
      <c r="L23" s="21">
        <v>62</v>
      </c>
      <c r="M23" s="21">
        <v>0.2</v>
      </c>
      <c r="N23" s="21">
        <f>+AVERAGE(502,535,560)</f>
        <v>532.33333333333337</v>
      </c>
      <c r="O23" s="21">
        <v>47.3</v>
      </c>
      <c r="P23" s="27" t="s">
        <v>250</v>
      </c>
      <c r="U23" s="114" t="s">
        <v>280</v>
      </c>
      <c r="V23" s="22">
        <v>675</v>
      </c>
      <c r="W23" s="322" t="s">
        <v>254</v>
      </c>
      <c r="X23" s="323"/>
    </row>
    <row r="24" spans="1:24" x14ac:dyDescent="0.3">
      <c r="B24" s="103" t="s">
        <v>36</v>
      </c>
      <c r="C24" s="20">
        <v>56100</v>
      </c>
      <c r="D24" s="21">
        <v>5</v>
      </c>
      <c r="E24" s="21">
        <v>0.1</v>
      </c>
      <c r="F24" s="320" t="s">
        <v>250</v>
      </c>
      <c r="G24" s="320"/>
      <c r="H24" s="320"/>
      <c r="J24" s="19" t="s">
        <v>55</v>
      </c>
      <c r="K24" s="21">
        <v>56100</v>
      </c>
      <c r="L24" s="21">
        <v>92</v>
      </c>
      <c r="M24" s="21">
        <v>3</v>
      </c>
      <c r="N24" s="21">
        <v>158.49</v>
      </c>
      <c r="O24" s="21">
        <v>48</v>
      </c>
      <c r="P24" s="27" t="s">
        <v>250</v>
      </c>
      <c r="U24" s="115" t="s">
        <v>281</v>
      </c>
      <c r="V24" s="22">
        <v>4800</v>
      </c>
      <c r="W24" s="322" t="s">
        <v>254</v>
      </c>
      <c r="X24" s="323"/>
    </row>
    <row r="25" spans="1:24" ht="15" x14ac:dyDescent="0.3">
      <c r="B25" s="103" t="s">
        <v>41</v>
      </c>
      <c r="C25" s="20">
        <v>74100</v>
      </c>
      <c r="D25" s="21">
        <v>10</v>
      </c>
      <c r="E25" s="21">
        <v>0.6</v>
      </c>
      <c r="F25" s="320"/>
      <c r="G25" s="320"/>
      <c r="H25" s="320"/>
      <c r="J25" s="17" t="s">
        <v>240</v>
      </c>
      <c r="K25" s="17" t="s">
        <v>282</v>
      </c>
      <c r="L25" s="17" t="s">
        <v>283</v>
      </c>
      <c r="M25" s="17" t="s">
        <v>284</v>
      </c>
      <c r="N25" s="17"/>
      <c r="O25" s="17"/>
      <c r="P25" s="17"/>
    </row>
    <row r="26" spans="1:24" x14ac:dyDescent="0.3">
      <c r="B26" s="103" t="s">
        <v>44</v>
      </c>
      <c r="C26" s="20">
        <v>69300</v>
      </c>
      <c r="D26" s="21">
        <v>10</v>
      </c>
      <c r="E26" s="21">
        <v>0.6</v>
      </c>
      <c r="F26" s="320"/>
      <c r="G26" s="320"/>
      <c r="H26" s="320"/>
      <c r="J26" s="19" t="s">
        <v>38</v>
      </c>
      <c r="K26" s="21">
        <f>+K21*$O21*$S$10/10^6*($N21/1000)</f>
        <v>2.2948175250000005</v>
      </c>
      <c r="L26" s="21">
        <f>+L21*$O21*$S$11/10^6*($N21/1000)</f>
        <v>2.3179975000000002E-2</v>
      </c>
      <c r="M26" s="21">
        <f>+M21*$O21*$S$12/10^6*($N21/1000)</f>
        <v>7.0202210000000001E-2</v>
      </c>
      <c r="N26" s="21"/>
      <c r="O26" s="21"/>
      <c r="P26" s="21"/>
    </row>
    <row r="27" spans="1:24" x14ac:dyDescent="0.3">
      <c r="B27" s="102" t="s">
        <v>47</v>
      </c>
      <c r="C27" s="20">
        <v>63100</v>
      </c>
      <c r="D27" s="21">
        <v>5</v>
      </c>
      <c r="E27" s="21">
        <v>0.1</v>
      </c>
      <c r="F27" s="320"/>
      <c r="G27" s="320"/>
      <c r="H27" s="320"/>
      <c r="J27" s="19" t="s">
        <v>41</v>
      </c>
      <c r="K27" s="21">
        <f t="shared" ref="K27:K29" si="0">+K22*$O22*$S$10/10^6*($N22/1000)</f>
        <v>2.65259475</v>
      </c>
      <c r="L27" s="21">
        <f>+L22*$O22*$S$11/10^6*($N22/1000)</f>
        <v>3.9090869999999995E-3</v>
      </c>
      <c r="M27" s="21">
        <f>+M22*$O22*$S$12/10^6*($N22/1000)</f>
        <v>3.6996716249999999E-2</v>
      </c>
      <c r="N27" s="21"/>
      <c r="O27" s="21"/>
      <c r="P27" s="21"/>
    </row>
    <row r="28" spans="1:24" x14ac:dyDescent="0.3">
      <c r="B28" s="14"/>
      <c r="C28" s="14"/>
      <c r="D28" s="14"/>
      <c r="E28" s="14"/>
      <c r="F28" s="14"/>
      <c r="G28" s="14"/>
      <c r="H28" s="14"/>
      <c r="J28" s="19" t="s">
        <v>47</v>
      </c>
      <c r="K28" s="21">
        <f t="shared" si="0"/>
        <v>1.5888180366666667</v>
      </c>
      <c r="L28" s="21">
        <f>+L23*$O23*$S$11/10^6*($N23/1000)</f>
        <v>4.371138053333333E-2</v>
      </c>
      <c r="M28" s="21">
        <f>+M23*$O23*$S$12/10^6*($N23/1000)</f>
        <v>1.3345064333333333E-3</v>
      </c>
      <c r="N28" s="21"/>
      <c r="O28" s="21"/>
      <c r="P28" s="21"/>
    </row>
    <row r="29" spans="1:24" x14ac:dyDescent="0.3">
      <c r="A29" s="15"/>
      <c r="B29" s="321" t="s">
        <v>48</v>
      </c>
      <c r="C29" s="321"/>
      <c r="D29" s="321"/>
      <c r="E29" s="321"/>
      <c r="F29" s="321"/>
      <c r="G29" s="321"/>
      <c r="H29" s="321"/>
      <c r="J29" s="19" t="s">
        <v>55</v>
      </c>
      <c r="K29" s="21">
        <f t="shared" si="0"/>
        <v>0.42678187200000006</v>
      </c>
      <c r="L29" s="21">
        <f>+L24*$O24*$S$11/10^6*($N24/1000)</f>
        <v>1.9596971520000003E-2</v>
      </c>
      <c r="M29" s="21">
        <f>+M24*$O24*$S$12/10^6*($N24/1000)</f>
        <v>6.0479784000000009E-3</v>
      </c>
      <c r="N29" s="21"/>
      <c r="O29" s="21"/>
      <c r="P29" s="21"/>
    </row>
    <row r="30" spans="1:24" ht="15" x14ac:dyDescent="0.3">
      <c r="B30" s="101" t="s">
        <v>240</v>
      </c>
      <c r="C30" s="17" t="s">
        <v>241</v>
      </c>
      <c r="D30" s="17" t="s">
        <v>242</v>
      </c>
      <c r="E30" s="17" t="s">
        <v>243</v>
      </c>
      <c r="F30" s="317" t="s">
        <v>105</v>
      </c>
      <c r="G30" s="317"/>
      <c r="H30" s="317"/>
    </row>
    <row r="31" spans="1:24" x14ac:dyDescent="0.3">
      <c r="B31" s="103" t="s">
        <v>36</v>
      </c>
      <c r="C31" s="20">
        <v>56100</v>
      </c>
      <c r="D31" s="21">
        <v>5</v>
      </c>
      <c r="E31" s="21">
        <v>0.1</v>
      </c>
      <c r="F31" s="320" t="s">
        <v>250</v>
      </c>
      <c r="G31" s="320"/>
      <c r="H31" s="320"/>
    </row>
    <row r="32" spans="1:24" x14ac:dyDescent="0.3">
      <c r="B32" s="103" t="s">
        <v>41</v>
      </c>
      <c r="C32" s="20">
        <v>74100</v>
      </c>
      <c r="D32" s="21">
        <v>10</v>
      </c>
      <c r="E32" s="21">
        <v>0.6</v>
      </c>
      <c r="F32" s="320"/>
      <c r="G32" s="320"/>
      <c r="H32" s="320"/>
    </row>
    <row r="33" spans="2:8" x14ac:dyDescent="0.3">
      <c r="B33" s="103" t="s">
        <v>44</v>
      </c>
      <c r="C33" s="20">
        <v>69300</v>
      </c>
      <c r="D33" s="21">
        <v>10</v>
      </c>
      <c r="E33" s="21">
        <v>0.6</v>
      </c>
      <c r="F33" s="320"/>
      <c r="G33" s="320"/>
      <c r="H33" s="320"/>
    </row>
    <row r="34" spans="2:8" x14ac:dyDescent="0.3">
      <c r="B34" s="102" t="s">
        <v>47</v>
      </c>
      <c r="C34" s="20">
        <v>63100</v>
      </c>
      <c r="D34" s="21">
        <v>5</v>
      </c>
      <c r="E34" s="21">
        <v>0.1</v>
      </c>
      <c r="F34" s="320"/>
      <c r="G34" s="320"/>
      <c r="H34" s="320"/>
    </row>
    <row r="36" spans="2:8" ht="12.9" customHeight="1" x14ac:dyDescent="0.3">
      <c r="B36" s="314" t="s">
        <v>285</v>
      </c>
      <c r="C36" s="315"/>
      <c r="D36" s="315"/>
      <c r="E36" s="315"/>
      <c r="F36" s="316"/>
    </row>
    <row r="37" spans="2:8" x14ac:dyDescent="0.3">
      <c r="B37" s="17" t="s">
        <v>240</v>
      </c>
      <c r="C37" s="17" t="s">
        <v>286</v>
      </c>
      <c r="D37" s="17" t="s">
        <v>287</v>
      </c>
      <c r="E37" s="17" t="s">
        <v>288</v>
      </c>
      <c r="F37" s="17" t="s">
        <v>105</v>
      </c>
    </row>
    <row r="38" spans="2:8" x14ac:dyDescent="0.3">
      <c r="B38" s="19" t="s">
        <v>36</v>
      </c>
      <c r="C38" s="111">
        <v>11.7</v>
      </c>
      <c r="D38" s="111">
        <v>15.75</v>
      </c>
      <c r="E38" s="111">
        <v>0.74299999999999999</v>
      </c>
      <c r="F38" s="311" t="s">
        <v>289</v>
      </c>
      <c r="G38" s="16"/>
    </row>
    <row r="39" spans="2:8" ht="14.4" customHeight="1" x14ac:dyDescent="0.3">
      <c r="B39" s="19" t="s">
        <v>41</v>
      </c>
      <c r="C39" s="111">
        <v>10260</v>
      </c>
      <c r="D39" s="111">
        <v>12.14</v>
      </c>
      <c r="E39" s="111">
        <v>845</v>
      </c>
      <c r="F39" s="312"/>
      <c r="G39" s="16"/>
    </row>
    <row r="40" spans="2:8" x14ac:dyDescent="0.3">
      <c r="B40" s="19" t="s">
        <v>44</v>
      </c>
      <c r="C40" s="111">
        <v>9230</v>
      </c>
      <c r="D40" s="111">
        <v>12.39</v>
      </c>
      <c r="E40" s="111">
        <v>745</v>
      </c>
      <c r="F40" s="312"/>
      <c r="G40" s="16"/>
    </row>
    <row r="41" spans="2:8" x14ac:dyDescent="0.3">
      <c r="B41" s="19" t="s">
        <v>47</v>
      </c>
      <c r="C41" s="111">
        <v>7730</v>
      </c>
      <c r="D41" s="111">
        <v>13.8</v>
      </c>
      <c r="E41" s="111">
        <v>560</v>
      </c>
      <c r="F41" s="313"/>
      <c r="G41" s="16"/>
    </row>
    <row r="42" spans="2:8" x14ac:dyDescent="0.3">
      <c r="F42" s="113"/>
    </row>
    <row r="45" spans="2:8" x14ac:dyDescent="0.3">
      <c r="B45" s="19" t="s">
        <v>290</v>
      </c>
      <c r="C45" s="19">
        <v>1</v>
      </c>
      <c r="D45" s="19" t="s">
        <v>291</v>
      </c>
      <c r="E45" s="19">
        <v>277777.77776999999</v>
      </c>
      <c r="F45" s="19" t="s">
        <v>43</v>
      </c>
    </row>
    <row r="46" spans="2:8" x14ac:dyDescent="0.3">
      <c r="C46" s="19">
        <v>1</v>
      </c>
      <c r="D46" s="19" t="s">
        <v>43</v>
      </c>
      <c r="E46" s="19">
        <v>3.6</v>
      </c>
      <c r="F46" s="19" t="s">
        <v>292</v>
      </c>
    </row>
    <row r="47" spans="2:8" x14ac:dyDescent="0.3">
      <c r="C47" s="19">
        <v>1</v>
      </c>
      <c r="D47" s="19" t="s">
        <v>37</v>
      </c>
      <c r="E47" s="19">
        <v>1000</v>
      </c>
      <c r="F47" s="19" t="s">
        <v>39</v>
      </c>
    </row>
  </sheetData>
  <sheetProtection algorithmName="SHA-512" hashValue="fFdNW9BD2+xLjn0ruoAxH0xQIfLRd02nAnASMeVmGSxkTDYAro4coZWx/WSntRia/05p3vbfEb3O5ALVAMYFiw==" saltValue="RAZsuKEUp+6X7ZjaEb+sHA==" spinCount="100000" sheet="1" objects="1" scenarios="1" selectLockedCells="1" selectUnlockedCells="1"/>
  <mergeCells count="41">
    <mergeCell ref="U8:X8"/>
    <mergeCell ref="W9:X9"/>
    <mergeCell ref="W10:X10"/>
    <mergeCell ref="W11:X11"/>
    <mergeCell ref="W20:X20"/>
    <mergeCell ref="W12:X12"/>
    <mergeCell ref="W13:X13"/>
    <mergeCell ref="W14:X14"/>
    <mergeCell ref="W19:X19"/>
    <mergeCell ref="W24:X24"/>
    <mergeCell ref="W23:X23"/>
    <mergeCell ref="B15:H15"/>
    <mergeCell ref="F16:H16"/>
    <mergeCell ref="F17:H20"/>
    <mergeCell ref="B22:H22"/>
    <mergeCell ref="F23:H23"/>
    <mergeCell ref="N15:P15"/>
    <mergeCell ref="N16:P16"/>
    <mergeCell ref="J19:P19"/>
    <mergeCell ref="W21:X21"/>
    <mergeCell ref="W22:X22"/>
    <mergeCell ref="W15:X15"/>
    <mergeCell ref="W16:X16"/>
    <mergeCell ref="W17:X17"/>
    <mergeCell ref="W18:X18"/>
    <mergeCell ref="F38:F41"/>
    <mergeCell ref="B36:F36"/>
    <mergeCell ref="N9:P9"/>
    <mergeCell ref="J8:P8"/>
    <mergeCell ref="N10:P10"/>
    <mergeCell ref="N11:P11"/>
    <mergeCell ref="N12:P12"/>
    <mergeCell ref="N13:P13"/>
    <mergeCell ref="N14:P14"/>
    <mergeCell ref="F24:H27"/>
    <mergeCell ref="B29:H29"/>
    <mergeCell ref="F30:H30"/>
    <mergeCell ref="F31:H34"/>
    <mergeCell ref="B8:H8"/>
    <mergeCell ref="F9:H9"/>
    <mergeCell ref="F10:H13"/>
  </mergeCells>
  <phoneticPr fontId="29" type="noConversion"/>
  <pageMargins left="0.7" right="0.7" top="0.75" bottom="0.75" header="0.3" footer="0.3"/>
  <pageSetup paperSize="9" orientation="portrait" r:id="rId1"/>
  <drawing r:id="rId2"/>
  <legacyDrawing r:id="rId3"/>
  <tableParts count="5">
    <tablePart r:id="rId4"/>
    <tablePart r:id="rId5"/>
    <tablePart r:id="rId6"/>
    <tablePart r:id="rId7"/>
    <tablePart r:id="rId8"/>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53DFE-9A24-4EEA-8AAE-1C7C0B9D73B5}">
  <sheetPr>
    <tabColor rgb="FFF4F4F4"/>
  </sheetPr>
  <dimension ref="A1:N198"/>
  <sheetViews>
    <sheetView zoomScale="80" zoomScaleNormal="80" workbookViewId="0">
      <selection activeCell="M25" sqref="M25"/>
    </sheetView>
  </sheetViews>
  <sheetFormatPr baseColWidth="10" defaultColWidth="10.88671875" defaultRowHeight="13.8" x14ac:dyDescent="0.3"/>
  <cols>
    <col min="1" max="10" width="10.88671875" style="7"/>
    <col min="11" max="11" width="20.109375" style="7" customWidth="1"/>
    <col min="12" max="12" width="16" style="7" customWidth="1"/>
    <col min="13" max="13" width="20.88671875" style="7" customWidth="1"/>
    <col min="14" max="14" width="24.44140625" style="7" customWidth="1"/>
    <col min="15" max="15" width="10.88671875" style="7"/>
    <col min="16" max="16" width="48.33203125" style="7" customWidth="1"/>
    <col min="17" max="16384" width="10.88671875" style="7"/>
  </cols>
  <sheetData>
    <row r="1" spans="1:14" x14ac:dyDescent="0.3">
      <c r="A1" s="5"/>
      <c r="B1" s="5"/>
      <c r="C1" s="5"/>
      <c r="D1" s="5"/>
      <c r="E1" s="5"/>
      <c r="F1" s="5"/>
      <c r="G1" s="5"/>
      <c r="H1" s="5"/>
      <c r="I1" s="5"/>
      <c r="J1" s="5"/>
      <c r="K1" s="5"/>
      <c r="L1" s="5"/>
      <c r="M1" s="5"/>
      <c r="N1" s="5"/>
    </row>
    <row r="2" spans="1:14" x14ac:dyDescent="0.3">
      <c r="A2" s="5"/>
      <c r="B2" s="5"/>
      <c r="C2" s="5"/>
      <c r="D2" s="5"/>
      <c r="E2" s="5"/>
      <c r="F2" s="5"/>
      <c r="G2" s="5"/>
      <c r="H2" s="5"/>
      <c r="I2" s="5"/>
      <c r="J2" s="5"/>
      <c r="K2" s="5"/>
      <c r="L2" s="5"/>
      <c r="M2" s="5"/>
      <c r="N2" s="5"/>
    </row>
    <row r="3" spans="1:14" x14ac:dyDescent="0.3">
      <c r="A3" s="5"/>
      <c r="B3" s="5"/>
      <c r="C3" s="5"/>
      <c r="D3" s="5"/>
      <c r="E3" s="5"/>
      <c r="F3" s="5"/>
      <c r="G3" s="5"/>
      <c r="H3" s="5"/>
      <c r="I3" s="5"/>
      <c r="J3" s="5"/>
      <c r="K3" s="5"/>
      <c r="L3" s="5"/>
      <c r="M3" s="5"/>
      <c r="N3" s="5"/>
    </row>
    <row r="4" spans="1:14" x14ac:dyDescent="0.3">
      <c r="A4" s="5"/>
      <c r="B4" s="5"/>
      <c r="C4" s="5"/>
      <c r="D4" s="5"/>
      <c r="E4" s="5"/>
      <c r="F4" s="5"/>
      <c r="G4" s="5"/>
      <c r="H4" s="5"/>
      <c r="I4" s="5"/>
      <c r="J4" s="5"/>
      <c r="K4" s="5"/>
      <c r="L4" s="5"/>
      <c r="M4" s="5"/>
      <c r="N4" s="5"/>
    </row>
    <row r="5" spans="1:14" x14ac:dyDescent="0.3">
      <c r="A5" s="5"/>
      <c r="B5" s="5"/>
      <c r="C5" s="5"/>
      <c r="D5" s="5"/>
      <c r="E5" s="5"/>
      <c r="F5" s="5"/>
      <c r="G5" s="5"/>
      <c r="H5" s="5"/>
      <c r="I5" s="5"/>
      <c r="J5" s="5"/>
      <c r="K5" s="5"/>
      <c r="L5" s="5"/>
      <c r="M5" s="5"/>
      <c r="N5" s="5"/>
    </row>
    <row r="6" spans="1:14" x14ac:dyDescent="0.3">
      <c r="A6" s="5"/>
      <c r="B6" s="5"/>
      <c r="C6" s="5"/>
      <c r="D6" s="5"/>
      <c r="E6" s="5"/>
      <c r="F6" s="5"/>
      <c r="G6" s="5"/>
      <c r="H6" s="5"/>
      <c r="I6" s="5"/>
      <c r="J6" s="5"/>
      <c r="K6" s="5"/>
      <c r="L6" s="5"/>
      <c r="M6" s="5"/>
      <c r="N6" s="5"/>
    </row>
    <row r="7" spans="1:14" x14ac:dyDescent="0.3">
      <c r="A7" s="5"/>
      <c r="B7" s="5"/>
      <c r="C7" s="5"/>
      <c r="D7" s="5"/>
      <c r="E7" s="5"/>
      <c r="F7" s="5"/>
      <c r="G7" s="5"/>
      <c r="H7" s="5"/>
      <c r="I7" s="5"/>
      <c r="J7" s="5"/>
      <c r="K7" s="5"/>
      <c r="L7" s="5"/>
      <c r="M7" s="5"/>
      <c r="N7" s="5"/>
    </row>
    <row r="8" spans="1:14" ht="14.4" customHeight="1" x14ac:dyDescent="0.3">
      <c r="A8" s="5"/>
      <c r="B8" s="334" t="s">
        <v>293</v>
      </c>
      <c r="C8" s="334"/>
      <c r="D8" s="334"/>
      <c r="E8" s="334"/>
      <c r="F8" s="334"/>
      <c r="G8" s="334"/>
      <c r="H8" s="334"/>
      <c r="I8" s="334"/>
      <c r="J8" s="6"/>
      <c r="K8" s="331" t="s">
        <v>229</v>
      </c>
      <c r="L8" s="332"/>
      <c r="M8" s="8" t="s">
        <v>105</v>
      </c>
    </row>
    <row r="9" spans="1:14" ht="12.6" customHeight="1" x14ac:dyDescent="0.3">
      <c r="A9" s="5"/>
      <c r="B9" s="333" t="s">
        <v>294</v>
      </c>
      <c r="C9" s="333"/>
      <c r="D9" s="12"/>
      <c r="E9" s="333" t="s">
        <v>295</v>
      </c>
      <c r="F9" s="333"/>
      <c r="G9" s="12"/>
      <c r="H9" s="333" t="s">
        <v>296</v>
      </c>
      <c r="I9" s="333"/>
      <c r="J9" s="11"/>
      <c r="K9" s="8" t="s">
        <v>297</v>
      </c>
      <c r="L9" s="10">
        <v>0.17072999999999999</v>
      </c>
      <c r="M9" s="328" t="s">
        <v>298</v>
      </c>
    </row>
    <row r="10" spans="1:14" x14ac:dyDescent="0.3">
      <c r="B10" s="9"/>
      <c r="C10" s="9"/>
      <c r="E10" s="9"/>
      <c r="F10" s="9"/>
      <c r="H10" s="9"/>
      <c r="I10" s="9"/>
      <c r="K10" s="8" t="s">
        <v>299</v>
      </c>
      <c r="L10" s="10">
        <v>0.16905999999999999</v>
      </c>
      <c r="M10" s="329"/>
    </row>
    <row r="11" spans="1:14" x14ac:dyDescent="0.3">
      <c r="B11" s="7" t="s">
        <v>300</v>
      </c>
      <c r="C11" s="7">
        <v>474.8</v>
      </c>
      <c r="E11" s="7" t="s">
        <v>300</v>
      </c>
      <c r="F11" s="7">
        <v>0.3</v>
      </c>
      <c r="H11" s="7" t="s">
        <v>300</v>
      </c>
      <c r="I11" s="7">
        <v>1.9</v>
      </c>
      <c r="K11" s="8" t="s">
        <v>301</v>
      </c>
      <c r="L11" s="10">
        <v>1.09E-3</v>
      </c>
      <c r="M11" s="329"/>
    </row>
    <row r="12" spans="1:14" x14ac:dyDescent="0.3">
      <c r="B12" s="7" t="s">
        <v>302</v>
      </c>
      <c r="C12" s="7">
        <v>344.6</v>
      </c>
      <c r="E12" s="7" t="s">
        <v>302</v>
      </c>
      <c r="F12" s="7">
        <v>0.2</v>
      </c>
      <c r="H12" s="7" t="s">
        <v>302</v>
      </c>
      <c r="I12" s="7">
        <v>1.2</v>
      </c>
      <c r="J12" s="5"/>
      <c r="K12" s="8" t="s">
        <v>303</v>
      </c>
      <c r="L12" s="10">
        <v>5.8E-4</v>
      </c>
      <c r="M12" s="330"/>
      <c r="N12" s="11"/>
    </row>
    <row r="13" spans="1:14" ht="12.6" customHeight="1" x14ac:dyDescent="0.3">
      <c r="B13" s="7" t="s">
        <v>304</v>
      </c>
      <c r="C13" s="7">
        <v>351.9</v>
      </c>
      <c r="E13" s="7" t="s">
        <v>304</v>
      </c>
      <c r="F13" s="7">
        <v>0.2</v>
      </c>
      <c r="H13" s="7" t="s">
        <v>304</v>
      </c>
      <c r="I13" s="7">
        <v>1.2</v>
      </c>
      <c r="N13" s="11"/>
    </row>
    <row r="14" spans="1:14" ht="12.6" customHeight="1" x14ac:dyDescent="0.3">
      <c r="B14" s="7" t="s">
        <v>305</v>
      </c>
      <c r="C14" s="7">
        <v>512.6</v>
      </c>
      <c r="E14" s="7" t="s">
        <v>305</v>
      </c>
      <c r="F14" s="7">
        <v>0.3</v>
      </c>
      <c r="H14" s="7" t="s">
        <v>305</v>
      </c>
      <c r="I14" s="7">
        <v>1.8</v>
      </c>
      <c r="N14" s="11"/>
    </row>
    <row r="15" spans="1:14" x14ac:dyDescent="0.3">
      <c r="B15" s="7" t="s">
        <v>306</v>
      </c>
      <c r="C15" s="7">
        <v>241.1</v>
      </c>
      <c r="E15" s="7" t="s">
        <v>306</v>
      </c>
      <c r="F15" s="7">
        <v>0.3</v>
      </c>
      <c r="H15" s="7" t="s">
        <v>306</v>
      </c>
      <c r="I15" s="7">
        <v>1</v>
      </c>
      <c r="N15" s="11"/>
    </row>
    <row r="16" spans="1:14" x14ac:dyDescent="0.3">
      <c r="B16" s="7" t="s">
        <v>307</v>
      </c>
      <c r="C16" s="7">
        <v>588.4</v>
      </c>
      <c r="E16" s="7" t="s">
        <v>307</v>
      </c>
      <c r="F16" s="7">
        <v>0.3</v>
      </c>
      <c r="H16" s="7" t="s">
        <v>307</v>
      </c>
      <c r="I16" s="7">
        <v>1.8</v>
      </c>
      <c r="N16" s="11"/>
    </row>
    <row r="17" spans="2:13" x14ac:dyDescent="0.3">
      <c r="B17" s="7" t="s">
        <v>308</v>
      </c>
      <c r="C17" s="7">
        <v>184</v>
      </c>
      <c r="E17" s="7" t="s">
        <v>308</v>
      </c>
      <c r="F17" s="7">
        <v>0.2</v>
      </c>
      <c r="H17" s="7" t="s">
        <v>308</v>
      </c>
      <c r="I17" s="7">
        <v>0.5</v>
      </c>
      <c r="M17" s="9"/>
    </row>
    <row r="18" spans="2:13" x14ac:dyDescent="0.3">
      <c r="B18" s="7" t="s">
        <v>309</v>
      </c>
      <c r="C18" s="7">
        <v>566.20000000000005</v>
      </c>
      <c r="E18" s="7" t="s">
        <v>309</v>
      </c>
      <c r="F18" s="7">
        <v>0.4</v>
      </c>
      <c r="H18" s="7" t="s">
        <v>309</v>
      </c>
      <c r="I18" s="7">
        <v>0.7</v>
      </c>
    </row>
    <row r="19" spans="2:13" x14ac:dyDescent="0.3">
      <c r="B19" s="7" t="s">
        <v>310</v>
      </c>
      <c r="C19" s="7">
        <v>405.6</v>
      </c>
      <c r="E19" s="7" t="s">
        <v>310</v>
      </c>
      <c r="F19" s="7">
        <v>0.2</v>
      </c>
      <c r="H19" s="7" t="s">
        <v>310</v>
      </c>
      <c r="I19" s="7">
        <v>1</v>
      </c>
    </row>
    <row r="20" spans="2:13" x14ac:dyDescent="0.3">
      <c r="B20" s="7" t="s">
        <v>311</v>
      </c>
      <c r="C20" s="7">
        <v>649.29999999999995</v>
      </c>
      <c r="E20" s="7" t="s">
        <v>311</v>
      </c>
      <c r="F20" s="7">
        <v>0.4</v>
      </c>
      <c r="H20" s="7" t="s">
        <v>311</v>
      </c>
      <c r="I20" s="7">
        <v>2.9</v>
      </c>
    </row>
    <row r="21" spans="2:13" x14ac:dyDescent="0.3">
      <c r="B21" s="7" t="s">
        <v>312</v>
      </c>
      <c r="C21" s="7">
        <v>623.29999999999995</v>
      </c>
      <c r="E21" s="7" t="s">
        <v>312</v>
      </c>
      <c r="F21" s="7">
        <v>0.3</v>
      </c>
      <c r="H21" s="7" t="s">
        <v>312</v>
      </c>
      <c r="I21" s="7">
        <v>3</v>
      </c>
    </row>
    <row r="22" spans="2:13" x14ac:dyDescent="0.3">
      <c r="B22" s="7" t="s">
        <v>313</v>
      </c>
      <c r="C22" s="7">
        <v>0</v>
      </c>
      <c r="E22" s="7" t="s">
        <v>313</v>
      </c>
      <c r="F22" s="7">
        <v>0</v>
      </c>
      <c r="H22" s="7" t="s">
        <v>313</v>
      </c>
      <c r="I22" s="7">
        <v>0</v>
      </c>
    </row>
    <row r="23" spans="2:13" x14ac:dyDescent="0.3">
      <c r="B23" s="7" t="s">
        <v>314</v>
      </c>
      <c r="C23" s="7">
        <v>483.8</v>
      </c>
      <c r="E23" s="7" t="s">
        <v>314</v>
      </c>
      <c r="F23" s="7">
        <v>0.2</v>
      </c>
      <c r="H23" s="7" t="s">
        <v>314</v>
      </c>
      <c r="I23" s="7">
        <v>0.3</v>
      </c>
    </row>
    <row r="24" spans="2:13" x14ac:dyDescent="0.3">
      <c r="B24" s="7" t="s">
        <v>315</v>
      </c>
      <c r="C24" s="7">
        <v>298.39999999999998</v>
      </c>
      <c r="E24" s="7" t="s">
        <v>315</v>
      </c>
      <c r="F24" s="7">
        <v>0.3</v>
      </c>
      <c r="H24" s="7" t="s">
        <v>315</v>
      </c>
      <c r="I24" s="7">
        <v>0.6</v>
      </c>
    </row>
    <row r="25" spans="2:13" x14ac:dyDescent="0.3">
      <c r="B25" s="7" t="s">
        <v>316</v>
      </c>
      <c r="C25" s="7">
        <v>287.2</v>
      </c>
      <c r="E25" s="7" t="s">
        <v>316</v>
      </c>
      <c r="F25" s="7">
        <v>0.3</v>
      </c>
      <c r="H25" s="7" t="s">
        <v>316</v>
      </c>
      <c r="I25" s="7">
        <v>0.5</v>
      </c>
    </row>
    <row r="26" spans="2:13" x14ac:dyDescent="0.3">
      <c r="B26" s="7" t="s">
        <v>317</v>
      </c>
      <c r="C26" s="7">
        <v>176</v>
      </c>
      <c r="E26" s="7" t="s">
        <v>317</v>
      </c>
      <c r="F26" s="7">
        <v>0.1</v>
      </c>
      <c r="H26" s="7" t="s">
        <v>317</v>
      </c>
      <c r="I26" s="7">
        <v>0.1</v>
      </c>
    </row>
    <row r="27" spans="2:13" x14ac:dyDescent="0.3">
      <c r="B27" s="7" t="s">
        <v>173</v>
      </c>
      <c r="C27" s="7">
        <v>684.9</v>
      </c>
      <c r="E27" s="7" t="s">
        <v>173</v>
      </c>
      <c r="F27" s="7">
        <v>0.2</v>
      </c>
      <c r="H27" s="7" t="s">
        <v>173</v>
      </c>
      <c r="I27" s="7">
        <v>2.7</v>
      </c>
    </row>
    <row r="28" spans="2:13" x14ac:dyDescent="0.3">
      <c r="B28" s="7" t="s">
        <v>318</v>
      </c>
      <c r="C28" s="7">
        <v>135.9</v>
      </c>
      <c r="E28" s="7" t="s">
        <v>318</v>
      </c>
      <c r="F28" s="7">
        <v>0.2</v>
      </c>
      <c r="H28" s="7" t="s">
        <v>318</v>
      </c>
      <c r="I28" s="7">
        <v>0.4</v>
      </c>
    </row>
    <row r="29" spans="2:13" x14ac:dyDescent="0.3">
      <c r="B29" s="7" t="s">
        <v>319</v>
      </c>
      <c r="C29" s="7">
        <v>439.4</v>
      </c>
      <c r="E29" s="7" t="s">
        <v>319</v>
      </c>
      <c r="F29" s="7">
        <v>0.3</v>
      </c>
      <c r="H29" s="7" t="s">
        <v>319</v>
      </c>
      <c r="I29" s="7">
        <v>0.4</v>
      </c>
    </row>
    <row r="30" spans="2:13" x14ac:dyDescent="0.3">
      <c r="B30" s="7" t="s">
        <v>320</v>
      </c>
      <c r="C30" s="7">
        <v>688.1</v>
      </c>
      <c r="E30" s="7" t="s">
        <v>320</v>
      </c>
      <c r="F30" s="7">
        <v>0.3</v>
      </c>
      <c r="H30" s="7" t="s">
        <v>320</v>
      </c>
      <c r="I30" s="7">
        <v>0.4</v>
      </c>
    </row>
    <row r="31" spans="2:13" x14ac:dyDescent="0.3">
      <c r="B31" s="7" t="s">
        <v>321</v>
      </c>
      <c r="C31" s="7">
        <v>465.3</v>
      </c>
      <c r="E31" s="7" t="s">
        <v>321</v>
      </c>
      <c r="F31" s="7">
        <v>0.2</v>
      </c>
      <c r="H31" s="7" t="s">
        <v>321</v>
      </c>
      <c r="I31" s="7">
        <v>0.4</v>
      </c>
    </row>
    <row r="32" spans="2:13" x14ac:dyDescent="0.3">
      <c r="B32" s="7" t="s">
        <v>322</v>
      </c>
      <c r="C32" s="7">
        <v>365.4</v>
      </c>
      <c r="E32" s="7" t="s">
        <v>322</v>
      </c>
      <c r="F32" s="7">
        <v>0.2</v>
      </c>
      <c r="H32" s="7" t="s">
        <v>322</v>
      </c>
      <c r="I32" s="7">
        <v>0.2</v>
      </c>
    </row>
    <row r="33" spans="2:9" x14ac:dyDescent="0.3">
      <c r="B33" s="7" t="s">
        <v>323</v>
      </c>
      <c r="C33" s="7">
        <v>165.1</v>
      </c>
      <c r="E33" s="7" t="s">
        <v>323</v>
      </c>
      <c r="F33" s="7">
        <v>0.4</v>
      </c>
      <c r="H33" s="7" t="s">
        <v>323</v>
      </c>
      <c r="I33" s="7">
        <v>0.6</v>
      </c>
    </row>
    <row r="34" spans="2:9" x14ac:dyDescent="0.3">
      <c r="B34" s="7" t="s">
        <v>324</v>
      </c>
      <c r="C34" s="7">
        <v>515.79999999999995</v>
      </c>
      <c r="E34" s="7" t="s">
        <v>324</v>
      </c>
      <c r="F34" s="7">
        <v>0.4</v>
      </c>
      <c r="H34" s="7" t="s">
        <v>324</v>
      </c>
      <c r="I34" s="7">
        <v>0.8</v>
      </c>
    </row>
    <row r="35" spans="2:9" x14ac:dyDescent="0.3">
      <c r="B35" s="7" t="s">
        <v>325</v>
      </c>
      <c r="C35" s="7">
        <v>331.7</v>
      </c>
      <c r="E35" s="7" t="s">
        <v>325</v>
      </c>
      <c r="F35" s="7">
        <v>0.7</v>
      </c>
      <c r="H35" s="7" t="s">
        <v>325</v>
      </c>
      <c r="I35" s="7">
        <v>1.1000000000000001</v>
      </c>
    </row>
    <row r="36" spans="2:9" x14ac:dyDescent="0.3">
      <c r="B36" s="7" t="s">
        <v>326</v>
      </c>
      <c r="C36" s="7">
        <v>731.3</v>
      </c>
      <c r="E36" s="7" t="s">
        <v>326</v>
      </c>
      <c r="F36" s="7">
        <v>0.2</v>
      </c>
      <c r="H36" s="7" t="s">
        <v>326</v>
      </c>
      <c r="I36" s="7">
        <v>3.2</v>
      </c>
    </row>
    <row r="37" spans="2:9" x14ac:dyDescent="0.3">
      <c r="B37" s="7" t="s">
        <v>327</v>
      </c>
      <c r="C37" s="7">
        <v>1258</v>
      </c>
      <c r="E37" s="7" t="s">
        <v>327</v>
      </c>
      <c r="F37" s="7">
        <v>0.3</v>
      </c>
      <c r="H37" s="7" t="s">
        <v>327</v>
      </c>
      <c r="I37" s="7">
        <v>5.9</v>
      </c>
    </row>
    <row r="38" spans="2:9" x14ac:dyDescent="0.3">
      <c r="B38" s="7" t="s">
        <v>328</v>
      </c>
      <c r="C38" s="7">
        <v>104.1</v>
      </c>
      <c r="E38" s="7" t="s">
        <v>328</v>
      </c>
      <c r="F38" s="7">
        <v>0.1</v>
      </c>
      <c r="H38" s="7" t="s">
        <v>328</v>
      </c>
      <c r="I38" s="7">
        <v>0.2</v>
      </c>
    </row>
    <row r="39" spans="2:9" x14ac:dyDescent="0.3">
      <c r="B39" s="7" t="s">
        <v>329</v>
      </c>
      <c r="C39" s="7">
        <v>685.4</v>
      </c>
      <c r="E39" s="7" t="s">
        <v>329</v>
      </c>
      <c r="F39" s="7">
        <v>0.3</v>
      </c>
      <c r="H39" s="7" t="s">
        <v>329</v>
      </c>
      <c r="I39" s="7">
        <v>0.9</v>
      </c>
    </row>
    <row r="40" spans="2:9" x14ac:dyDescent="0.3">
      <c r="B40" s="7" t="s">
        <v>330</v>
      </c>
      <c r="C40" s="7">
        <v>435.1</v>
      </c>
      <c r="E40" s="7" t="s">
        <v>330</v>
      </c>
      <c r="F40" s="7">
        <v>0.2</v>
      </c>
      <c r="H40" s="7" t="s">
        <v>330</v>
      </c>
      <c r="I40" s="7">
        <v>2</v>
      </c>
    </row>
    <row r="41" spans="2:9" x14ac:dyDescent="0.3">
      <c r="B41" s="7" t="s">
        <v>331</v>
      </c>
      <c r="C41" s="7">
        <v>538.79999999999995</v>
      </c>
      <c r="E41" s="7" t="s">
        <v>331</v>
      </c>
      <c r="F41" s="7">
        <v>0.4</v>
      </c>
      <c r="H41" s="7" t="s">
        <v>331</v>
      </c>
      <c r="I41" s="7">
        <v>2.6</v>
      </c>
    </row>
    <row r="42" spans="2:9" x14ac:dyDescent="0.3">
      <c r="B42" s="7" t="s">
        <v>332</v>
      </c>
      <c r="C42" s="7">
        <v>272.7</v>
      </c>
      <c r="E42" s="7" t="s">
        <v>332</v>
      </c>
      <c r="F42" s="7">
        <v>0.2</v>
      </c>
      <c r="H42" s="7" t="s">
        <v>332</v>
      </c>
      <c r="I42" s="7">
        <v>0.4</v>
      </c>
    </row>
    <row r="43" spans="2:9" x14ac:dyDescent="0.3">
      <c r="B43" s="7" t="s">
        <v>333</v>
      </c>
      <c r="C43" s="7">
        <v>129.1</v>
      </c>
      <c r="E43" s="7" t="s">
        <v>333</v>
      </c>
      <c r="F43" s="7">
        <v>0.2</v>
      </c>
      <c r="H43" s="7" t="s">
        <v>333</v>
      </c>
      <c r="I43" s="7">
        <v>0.5</v>
      </c>
    </row>
    <row r="44" spans="2:9" x14ac:dyDescent="0.3">
      <c r="B44" s="7" t="s">
        <v>334</v>
      </c>
      <c r="C44" s="7">
        <v>441.8</v>
      </c>
      <c r="E44" s="7" t="s">
        <v>334</v>
      </c>
      <c r="F44" s="7">
        <v>0.1</v>
      </c>
      <c r="H44" s="7" t="s">
        <v>334</v>
      </c>
      <c r="I44" s="7">
        <v>1.7</v>
      </c>
    </row>
    <row r="45" spans="2:9" x14ac:dyDescent="0.3">
      <c r="B45" s="7" t="s">
        <v>335</v>
      </c>
      <c r="C45" s="7">
        <v>622.4</v>
      </c>
      <c r="E45" s="7" t="s">
        <v>335</v>
      </c>
      <c r="F45" s="7">
        <v>0.3</v>
      </c>
      <c r="H45" s="7" t="s">
        <v>335</v>
      </c>
      <c r="I45" s="7">
        <v>3</v>
      </c>
    </row>
    <row r="46" spans="2:9" x14ac:dyDescent="0.3">
      <c r="B46" s="7" t="s">
        <v>336</v>
      </c>
      <c r="C46" s="7">
        <v>191.5</v>
      </c>
      <c r="E46" s="7" t="s">
        <v>336</v>
      </c>
      <c r="F46" s="7">
        <v>0.3</v>
      </c>
      <c r="H46" s="7" t="s">
        <v>336</v>
      </c>
      <c r="I46" s="7">
        <v>0.9</v>
      </c>
    </row>
    <row r="47" spans="2:9" x14ac:dyDescent="0.3">
      <c r="B47" s="7" t="s">
        <v>337</v>
      </c>
      <c r="C47" s="7">
        <v>583</v>
      </c>
      <c r="E47" s="7" t="s">
        <v>337</v>
      </c>
      <c r="F47" s="7">
        <v>0.3</v>
      </c>
      <c r="H47" s="7" t="s">
        <v>337</v>
      </c>
      <c r="I47" s="7">
        <v>0.4</v>
      </c>
    </row>
    <row r="48" spans="2:9" x14ac:dyDescent="0.3">
      <c r="B48" s="7" t="s">
        <v>338</v>
      </c>
      <c r="C48" s="7">
        <v>0.4</v>
      </c>
      <c r="E48" s="7" t="s">
        <v>338</v>
      </c>
      <c r="F48" s="7">
        <v>0.3</v>
      </c>
      <c r="H48" s="7" t="s">
        <v>338</v>
      </c>
      <c r="I48" s="7">
        <v>0.4</v>
      </c>
    </row>
    <row r="49" spans="2:9" x14ac:dyDescent="0.3">
      <c r="B49" s="7" t="s">
        <v>339</v>
      </c>
      <c r="C49" s="7">
        <v>5.9</v>
      </c>
      <c r="E49" s="7" t="s">
        <v>339</v>
      </c>
      <c r="F49" s="7">
        <v>0</v>
      </c>
      <c r="H49" s="7" t="s">
        <v>339</v>
      </c>
      <c r="I49" s="7">
        <v>0</v>
      </c>
    </row>
    <row r="50" spans="2:9" x14ac:dyDescent="0.3">
      <c r="B50" s="7" t="s">
        <v>340</v>
      </c>
      <c r="C50" s="7">
        <v>332.9</v>
      </c>
      <c r="E50" s="7" t="s">
        <v>340</v>
      </c>
      <c r="F50" s="7">
        <v>0.3</v>
      </c>
      <c r="H50" s="7" t="s">
        <v>340</v>
      </c>
      <c r="I50" s="7">
        <v>0.4</v>
      </c>
    </row>
    <row r="51" spans="2:9" x14ac:dyDescent="0.3">
      <c r="B51" s="7" t="s">
        <v>341</v>
      </c>
      <c r="C51" s="7">
        <v>177.8</v>
      </c>
      <c r="E51" s="7" t="s">
        <v>341</v>
      </c>
      <c r="F51" s="7">
        <v>0.1</v>
      </c>
      <c r="H51" s="7" t="s">
        <v>341</v>
      </c>
      <c r="I51" s="7">
        <v>0.5</v>
      </c>
    </row>
    <row r="52" spans="2:9" x14ac:dyDescent="0.3">
      <c r="B52" s="7" t="s">
        <v>342</v>
      </c>
      <c r="C52" s="7">
        <v>643.70000000000005</v>
      </c>
      <c r="E52" s="7" t="s">
        <v>342</v>
      </c>
      <c r="F52" s="7">
        <v>1.1000000000000001</v>
      </c>
      <c r="H52" s="7" t="s">
        <v>342</v>
      </c>
      <c r="I52" s="7">
        <v>2.2000000000000002</v>
      </c>
    </row>
    <row r="53" spans="2:9" x14ac:dyDescent="0.3">
      <c r="B53" s="7" t="s">
        <v>343</v>
      </c>
      <c r="C53" s="7">
        <v>619</v>
      </c>
      <c r="E53" s="7" t="s">
        <v>343</v>
      </c>
      <c r="F53" s="7">
        <v>0.6</v>
      </c>
      <c r="H53" s="7" t="s">
        <v>343</v>
      </c>
      <c r="I53" s="7">
        <v>1.5</v>
      </c>
    </row>
    <row r="54" spans="2:9" x14ac:dyDescent="0.3">
      <c r="B54" s="7" t="s">
        <v>344</v>
      </c>
      <c r="C54" s="7">
        <v>632.29999999999995</v>
      </c>
      <c r="E54" s="7" t="s">
        <v>344</v>
      </c>
      <c r="F54" s="7">
        <v>0.6</v>
      </c>
      <c r="H54" s="7" t="s">
        <v>344</v>
      </c>
      <c r="I54" s="7">
        <v>1.5</v>
      </c>
    </row>
    <row r="55" spans="2:9" x14ac:dyDescent="0.3">
      <c r="B55" s="7" t="s">
        <v>345</v>
      </c>
      <c r="C55" s="7">
        <v>440.8</v>
      </c>
      <c r="E55" s="7" t="s">
        <v>345</v>
      </c>
      <c r="F55" s="7">
        <v>0.1</v>
      </c>
      <c r="H55" s="7" t="s">
        <v>345</v>
      </c>
      <c r="I55" s="7">
        <v>1.8</v>
      </c>
    </row>
    <row r="56" spans="2:9" x14ac:dyDescent="0.3">
      <c r="B56" s="7" t="s">
        <v>346</v>
      </c>
      <c r="C56" s="7">
        <v>96.7</v>
      </c>
      <c r="E56" s="7" t="s">
        <v>346</v>
      </c>
      <c r="F56" s="7">
        <v>0.1</v>
      </c>
      <c r="H56" s="7" t="s">
        <v>346</v>
      </c>
      <c r="I56" s="7">
        <v>0.4</v>
      </c>
    </row>
    <row r="57" spans="2:9" x14ac:dyDescent="0.3">
      <c r="B57" s="7" t="s">
        <v>347</v>
      </c>
      <c r="C57" s="7">
        <v>587</v>
      </c>
      <c r="E57" s="7" t="s">
        <v>347</v>
      </c>
      <c r="F57" s="7">
        <v>0.5</v>
      </c>
      <c r="H57" s="7" t="s">
        <v>347</v>
      </c>
      <c r="I57" s="7">
        <v>1.7</v>
      </c>
    </row>
    <row r="58" spans="2:9" x14ac:dyDescent="0.3">
      <c r="B58" s="7" t="s">
        <v>348</v>
      </c>
      <c r="C58" s="7">
        <v>149.69999999999999</v>
      </c>
      <c r="E58" s="7" t="s">
        <v>348</v>
      </c>
      <c r="F58" s="7">
        <v>0.2</v>
      </c>
      <c r="H58" s="7" t="s">
        <v>348</v>
      </c>
      <c r="I58" s="7">
        <v>0.4</v>
      </c>
    </row>
    <row r="59" spans="2:9" x14ac:dyDescent="0.3">
      <c r="B59" s="7" t="s">
        <v>349</v>
      </c>
      <c r="C59" s="7">
        <v>503</v>
      </c>
      <c r="E59" s="7" t="s">
        <v>349</v>
      </c>
      <c r="F59" s="7">
        <v>0.3</v>
      </c>
      <c r="H59" s="7" t="s">
        <v>349</v>
      </c>
      <c r="I59" s="7">
        <v>0.5</v>
      </c>
    </row>
    <row r="60" spans="2:9" x14ac:dyDescent="0.3">
      <c r="B60" s="7" t="s">
        <v>350</v>
      </c>
      <c r="C60" s="7">
        <v>191.7</v>
      </c>
      <c r="E60" s="7" t="s">
        <v>350</v>
      </c>
      <c r="F60" s="7">
        <v>2</v>
      </c>
      <c r="H60" s="7" t="s">
        <v>350</v>
      </c>
      <c r="I60" s="7">
        <v>3.3</v>
      </c>
    </row>
    <row r="61" spans="2:9" x14ac:dyDescent="0.3">
      <c r="B61" s="7" t="s">
        <v>351</v>
      </c>
      <c r="C61" s="7">
        <v>408</v>
      </c>
      <c r="E61" s="7" t="s">
        <v>351</v>
      </c>
      <c r="F61" s="7">
        <v>0.2</v>
      </c>
      <c r="H61" s="7" t="s">
        <v>351</v>
      </c>
      <c r="I61" s="7">
        <v>0.3</v>
      </c>
    </row>
    <row r="62" spans="2:9" x14ac:dyDescent="0.3">
      <c r="B62" s="7" t="s">
        <v>352</v>
      </c>
      <c r="C62" s="7">
        <v>849.2</v>
      </c>
      <c r="E62" s="7" t="s">
        <v>352</v>
      </c>
      <c r="F62" s="7">
        <v>0.8</v>
      </c>
      <c r="H62" s="7" t="s">
        <v>352</v>
      </c>
      <c r="I62" s="7">
        <v>2</v>
      </c>
    </row>
    <row r="63" spans="2:9" x14ac:dyDescent="0.3">
      <c r="B63" s="7" t="s">
        <v>353</v>
      </c>
      <c r="C63" s="7">
        <v>670.9</v>
      </c>
      <c r="E63" s="7" t="s">
        <v>353</v>
      </c>
      <c r="F63" s="7">
        <v>0.5</v>
      </c>
      <c r="H63" s="7" t="s">
        <v>353</v>
      </c>
      <c r="I63" s="7">
        <v>3</v>
      </c>
    </row>
    <row r="64" spans="2:9" x14ac:dyDescent="0.3">
      <c r="B64" s="7" t="s">
        <v>354</v>
      </c>
      <c r="C64" s="7">
        <v>0.3</v>
      </c>
      <c r="E64" s="7" t="s">
        <v>354</v>
      </c>
      <c r="F64" s="7">
        <v>0</v>
      </c>
      <c r="H64" s="7" t="s">
        <v>354</v>
      </c>
      <c r="I64" s="7">
        <v>0</v>
      </c>
    </row>
    <row r="65" spans="2:9" x14ac:dyDescent="0.3">
      <c r="B65" s="7" t="s">
        <v>355</v>
      </c>
      <c r="C65" s="7">
        <v>92.1</v>
      </c>
      <c r="E65" s="7" t="s">
        <v>355</v>
      </c>
      <c r="F65" s="7">
        <v>0.2</v>
      </c>
      <c r="H65" s="7" t="s">
        <v>355</v>
      </c>
      <c r="I65" s="7">
        <v>0.6</v>
      </c>
    </row>
    <row r="66" spans="2:9" x14ac:dyDescent="0.3">
      <c r="B66" s="7" t="s">
        <v>185</v>
      </c>
      <c r="C66" s="7">
        <v>53.5</v>
      </c>
      <c r="E66" s="7" t="s">
        <v>185</v>
      </c>
      <c r="F66" s="7">
        <v>0.1</v>
      </c>
      <c r="H66" s="7" t="s">
        <v>185</v>
      </c>
      <c r="I66" s="7">
        <v>0.2</v>
      </c>
    </row>
    <row r="67" spans="2:9" x14ac:dyDescent="0.3">
      <c r="B67" s="7" t="s">
        <v>356</v>
      </c>
      <c r="C67" s="7">
        <v>577</v>
      </c>
      <c r="E67" s="7" t="s">
        <v>356</v>
      </c>
      <c r="F67" s="7">
        <v>0.5</v>
      </c>
      <c r="H67" s="7" t="s">
        <v>356</v>
      </c>
      <c r="I67" s="7">
        <v>0.9</v>
      </c>
    </row>
    <row r="68" spans="2:9" x14ac:dyDescent="0.3">
      <c r="B68" s="7" t="s">
        <v>357</v>
      </c>
      <c r="C68" s="7">
        <v>113.5</v>
      </c>
      <c r="E68" s="7" t="s">
        <v>357</v>
      </c>
      <c r="F68" s="7">
        <v>0.1</v>
      </c>
      <c r="H68" s="7" t="s">
        <v>357</v>
      </c>
      <c r="I68" s="7">
        <v>0.1</v>
      </c>
    </row>
    <row r="69" spans="2:9" x14ac:dyDescent="0.3">
      <c r="B69" s="7" t="s">
        <v>187</v>
      </c>
      <c r="C69" s="7">
        <v>344.5</v>
      </c>
      <c r="E69" s="7" t="s">
        <v>187</v>
      </c>
      <c r="F69" s="7">
        <v>0.3</v>
      </c>
      <c r="H69" s="7" t="s">
        <v>187</v>
      </c>
      <c r="I69" s="7">
        <v>1.5</v>
      </c>
    </row>
    <row r="70" spans="2:9" x14ac:dyDescent="0.3">
      <c r="B70" s="7" t="s">
        <v>358</v>
      </c>
      <c r="C70" s="7">
        <v>338</v>
      </c>
      <c r="E70" s="7" t="s">
        <v>358</v>
      </c>
      <c r="F70" s="7">
        <v>0.2</v>
      </c>
      <c r="H70" s="7" t="s">
        <v>358</v>
      </c>
      <c r="I70" s="7">
        <v>0.4</v>
      </c>
    </row>
    <row r="71" spans="2:9" x14ac:dyDescent="0.3">
      <c r="B71" s="7" t="s">
        <v>359</v>
      </c>
      <c r="C71" s="7">
        <v>660.5</v>
      </c>
      <c r="E71" s="7" t="s">
        <v>359</v>
      </c>
      <c r="F71" s="7">
        <v>0.6</v>
      </c>
      <c r="H71" s="7" t="s">
        <v>359</v>
      </c>
      <c r="I71" s="7">
        <v>1.2</v>
      </c>
    </row>
    <row r="72" spans="2:9" x14ac:dyDescent="0.3">
      <c r="B72" s="7" t="s">
        <v>360</v>
      </c>
      <c r="C72" s="7">
        <v>495.5</v>
      </c>
      <c r="E72" s="7" t="s">
        <v>360</v>
      </c>
      <c r="F72" s="7">
        <v>0.2</v>
      </c>
      <c r="H72" s="7" t="s">
        <v>360</v>
      </c>
      <c r="I72" s="7">
        <v>1.5</v>
      </c>
    </row>
    <row r="73" spans="2:9" x14ac:dyDescent="0.3">
      <c r="B73" s="7" t="s">
        <v>361</v>
      </c>
      <c r="C73" s="7">
        <v>402.3</v>
      </c>
      <c r="E73" s="7" t="s">
        <v>361</v>
      </c>
      <c r="F73" s="7">
        <v>3</v>
      </c>
      <c r="H73" s="7" t="s">
        <v>361</v>
      </c>
      <c r="I73" s="7">
        <v>6.2</v>
      </c>
    </row>
    <row r="74" spans="2:9" x14ac:dyDescent="0.3">
      <c r="B74" s="7" t="s">
        <v>362</v>
      </c>
      <c r="C74" s="7">
        <v>815.2</v>
      </c>
      <c r="E74" s="7" t="s">
        <v>362</v>
      </c>
      <c r="F74" s="7">
        <v>0.8</v>
      </c>
      <c r="H74" s="7" t="s">
        <v>362</v>
      </c>
      <c r="I74" s="7">
        <v>1.9</v>
      </c>
    </row>
    <row r="75" spans="2:9" x14ac:dyDescent="0.3">
      <c r="B75" s="7" t="s">
        <v>363</v>
      </c>
      <c r="C75" s="7">
        <v>330.1</v>
      </c>
      <c r="E75" s="7" t="s">
        <v>363</v>
      </c>
      <c r="F75" s="7">
        <v>1.8</v>
      </c>
      <c r="H75" s="7" t="s">
        <v>363</v>
      </c>
      <c r="I75" s="7">
        <v>3.1</v>
      </c>
    </row>
    <row r="76" spans="2:9" x14ac:dyDescent="0.3">
      <c r="B76" s="7" t="s">
        <v>364</v>
      </c>
      <c r="C76" s="7">
        <v>819</v>
      </c>
      <c r="E76" s="7" t="s">
        <v>364</v>
      </c>
      <c r="F76" s="7">
        <v>0.3</v>
      </c>
      <c r="H76" s="7" t="s">
        <v>364</v>
      </c>
      <c r="I76" s="7">
        <v>3.3</v>
      </c>
    </row>
    <row r="77" spans="2:9" x14ac:dyDescent="0.3">
      <c r="B77" s="7" t="s">
        <v>365</v>
      </c>
      <c r="C77" s="7">
        <v>227.2</v>
      </c>
      <c r="E77" s="7" t="s">
        <v>365</v>
      </c>
      <c r="F77" s="7">
        <v>0.5</v>
      </c>
      <c r="H77" s="7" t="s">
        <v>365</v>
      </c>
      <c r="I77" s="7">
        <v>1.3</v>
      </c>
    </row>
    <row r="78" spans="2:9" x14ac:dyDescent="0.3">
      <c r="B78" s="7" t="s">
        <v>366</v>
      </c>
      <c r="C78" s="7">
        <v>0.2</v>
      </c>
      <c r="E78" s="7" t="s">
        <v>366</v>
      </c>
      <c r="F78" s="7">
        <v>0</v>
      </c>
      <c r="H78" s="7" t="s">
        <v>366</v>
      </c>
      <c r="I78" s="7">
        <v>0</v>
      </c>
    </row>
    <row r="79" spans="2:9" x14ac:dyDescent="0.3">
      <c r="B79" s="7" t="s">
        <v>367</v>
      </c>
      <c r="C79" s="7">
        <v>722.4</v>
      </c>
      <c r="E79" s="7" t="s">
        <v>367</v>
      </c>
      <c r="F79" s="7">
        <v>0.3</v>
      </c>
      <c r="H79" s="7" t="s">
        <v>367</v>
      </c>
      <c r="I79" s="7">
        <v>3.4</v>
      </c>
    </row>
    <row r="80" spans="2:9" x14ac:dyDescent="0.3">
      <c r="B80" s="7" t="s">
        <v>368</v>
      </c>
      <c r="C80" s="7">
        <v>761.7</v>
      </c>
      <c r="E80" s="7" t="s">
        <v>368</v>
      </c>
      <c r="F80" s="7">
        <v>0.8</v>
      </c>
      <c r="H80" s="7" t="s">
        <v>368</v>
      </c>
      <c r="I80" s="7">
        <v>3.8</v>
      </c>
    </row>
    <row r="81" spans="2:9" x14ac:dyDescent="0.3">
      <c r="B81" s="7" t="s">
        <v>369</v>
      </c>
      <c r="C81" s="7">
        <v>492.2</v>
      </c>
      <c r="E81" s="7" t="s">
        <v>369</v>
      </c>
      <c r="F81" s="7">
        <v>0.3</v>
      </c>
      <c r="H81" s="7" t="s">
        <v>369</v>
      </c>
      <c r="I81" s="7">
        <v>0.4</v>
      </c>
    </row>
    <row r="82" spans="2:9" x14ac:dyDescent="0.3">
      <c r="B82" s="7" t="s">
        <v>370</v>
      </c>
      <c r="C82" s="7">
        <v>716.8</v>
      </c>
      <c r="E82" s="7" t="s">
        <v>370</v>
      </c>
      <c r="F82" s="7">
        <v>0.5</v>
      </c>
      <c r="H82" s="7" t="s">
        <v>370</v>
      </c>
      <c r="I82" s="7">
        <v>1.1000000000000001</v>
      </c>
    </row>
    <row r="83" spans="2:9" x14ac:dyDescent="0.3">
      <c r="B83" s="7" t="s">
        <v>371</v>
      </c>
      <c r="C83" s="7">
        <v>294.10000000000002</v>
      </c>
      <c r="E83" s="7" t="s">
        <v>371</v>
      </c>
      <c r="F83" s="7">
        <v>0.4</v>
      </c>
      <c r="H83" s="7" t="s">
        <v>371</v>
      </c>
      <c r="I83" s="7">
        <v>0.9</v>
      </c>
    </row>
    <row r="84" spans="2:9" x14ac:dyDescent="0.3">
      <c r="B84" s="7" t="s">
        <v>372</v>
      </c>
      <c r="C84" s="7">
        <v>478.3</v>
      </c>
      <c r="E84" s="7" t="s">
        <v>372</v>
      </c>
      <c r="F84" s="7">
        <v>0.2</v>
      </c>
      <c r="H84" s="7" t="s">
        <v>372</v>
      </c>
      <c r="I84" s="7">
        <v>1.4</v>
      </c>
    </row>
    <row r="85" spans="2:9" x14ac:dyDescent="0.3">
      <c r="B85" s="7" t="s">
        <v>373</v>
      </c>
      <c r="C85" s="7">
        <v>285</v>
      </c>
      <c r="E85" s="7" t="s">
        <v>373</v>
      </c>
      <c r="F85" s="7">
        <v>0.3</v>
      </c>
      <c r="H85" s="7" t="s">
        <v>373</v>
      </c>
      <c r="I85" s="7">
        <v>0.8</v>
      </c>
    </row>
    <row r="86" spans="2:9" x14ac:dyDescent="0.3">
      <c r="B86" s="7" t="s">
        <v>374</v>
      </c>
      <c r="C86" s="7">
        <v>651.1</v>
      </c>
      <c r="E86" s="7" t="s">
        <v>374</v>
      </c>
      <c r="F86" s="7">
        <v>0.6</v>
      </c>
      <c r="H86" s="7" t="s">
        <v>374</v>
      </c>
      <c r="I86" s="7">
        <v>1.3</v>
      </c>
    </row>
    <row r="87" spans="2:9" x14ac:dyDescent="0.3">
      <c r="B87" s="7" t="s">
        <v>375</v>
      </c>
      <c r="C87" s="7">
        <v>486.7</v>
      </c>
      <c r="E87" s="7" t="s">
        <v>375</v>
      </c>
      <c r="F87" s="7">
        <v>0.4</v>
      </c>
      <c r="H87" s="7" t="s">
        <v>375</v>
      </c>
      <c r="I87" s="7">
        <v>1.7</v>
      </c>
    </row>
    <row r="88" spans="2:9" x14ac:dyDescent="0.3">
      <c r="B88" s="7" t="s">
        <v>376</v>
      </c>
      <c r="C88" s="7">
        <v>419.8</v>
      </c>
      <c r="E88" s="7" t="s">
        <v>376</v>
      </c>
      <c r="F88" s="7">
        <v>0.2</v>
      </c>
      <c r="H88" s="7" t="s">
        <v>376</v>
      </c>
      <c r="I88" s="7">
        <v>0.3</v>
      </c>
    </row>
    <row r="89" spans="2:9" x14ac:dyDescent="0.3">
      <c r="B89" s="7" t="s">
        <v>377</v>
      </c>
      <c r="C89" s="7">
        <v>637.4</v>
      </c>
      <c r="E89" s="7" t="s">
        <v>377</v>
      </c>
      <c r="F89" s="7">
        <v>0.2</v>
      </c>
      <c r="H89" s="7" t="s">
        <v>377</v>
      </c>
      <c r="I89" s="7">
        <v>2.4</v>
      </c>
    </row>
    <row r="90" spans="2:9" x14ac:dyDescent="0.3">
      <c r="B90" s="7" t="s">
        <v>378</v>
      </c>
      <c r="C90" s="7">
        <v>106.9</v>
      </c>
      <c r="E90" s="7" t="s">
        <v>378</v>
      </c>
      <c r="F90" s="7">
        <v>0.2</v>
      </c>
      <c r="H90" s="7" t="s">
        <v>378</v>
      </c>
      <c r="I90" s="7">
        <v>0.5</v>
      </c>
    </row>
    <row r="91" spans="2:9" x14ac:dyDescent="0.3">
      <c r="B91" s="7" t="s">
        <v>178</v>
      </c>
      <c r="C91" s="7">
        <v>515.20000000000005</v>
      </c>
      <c r="E91" s="7" t="s">
        <v>178</v>
      </c>
      <c r="F91" s="7">
        <v>0.2</v>
      </c>
      <c r="H91" s="7" t="s">
        <v>178</v>
      </c>
      <c r="I91" s="7">
        <v>1.9</v>
      </c>
    </row>
    <row r="92" spans="2:9" x14ac:dyDescent="0.3">
      <c r="B92" s="7" t="s">
        <v>379</v>
      </c>
      <c r="C92" s="7">
        <v>243.8</v>
      </c>
      <c r="E92" s="7" t="s">
        <v>379</v>
      </c>
      <c r="F92" s="7">
        <v>0.1</v>
      </c>
      <c r="H92" s="7" t="s">
        <v>379</v>
      </c>
      <c r="I92" s="7">
        <v>0.9</v>
      </c>
    </row>
    <row r="93" spans="2:9" x14ac:dyDescent="0.3">
      <c r="B93" s="7" t="s">
        <v>380</v>
      </c>
      <c r="C93" s="7">
        <v>990.8</v>
      </c>
      <c r="E93" s="7" t="s">
        <v>380</v>
      </c>
      <c r="F93" s="7">
        <v>0.2</v>
      </c>
      <c r="H93" s="7" t="s">
        <v>380</v>
      </c>
      <c r="I93" s="7">
        <v>4.4000000000000004</v>
      </c>
    </row>
    <row r="94" spans="2:9" x14ac:dyDescent="0.3">
      <c r="B94" s="7" t="s">
        <v>381</v>
      </c>
      <c r="C94" s="7">
        <v>607.70000000000005</v>
      </c>
      <c r="E94" s="7" t="s">
        <v>381</v>
      </c>
      <c r="F94" s="7">
        <v>0.4</v>
      </c>
      <c r="H94" s="7" t="s">
        <v>381</v>
      </c>
      <c r="I94" s="7">
        <v>0.9</v>
      </c>
    </row>
    <row r="95" spans="2:9" x14ac:dyDescent="0.3">
      <c r="B95" s="7" t="s">
        <v>382</v>
      </c>
      <c r="C95" s="7">
        <v>55.6</v>
      </c>
      <c r="E95" s="7" t="s">
        <v>382</v>
      </c>
      <c r="F95" s="7">
        <v>0</v>
      </c>
      <c r="H95" s="7" t="s">
        <v>382</v>
      </c>
      <c r="I95" s="7">
        <v>0.2</v>
      </c>
    </row>
    <row r="96" spans="2:9" x14ac:dyDescent="0.3">
      <c r="B96" s="7" t="s">
        <v>383</v>
      </c>
      <c r="C96" s="7">
        <v>448.1</v>
      </c>
      <c r="E96" s="7" t="s">
        <v>383</v>
      </c>
      <c r="F96" s="7">
        <v>0.1</v>
      </c>
      <c r="H96" s="7" t="s">
        <v>383</v>
      </c>
      <c r="I96" s="7">
        <v>2</v>
      </c>
    </row>
    <row r="97" spans="2:9" x14ac:dyDescent="0.3">
      <c r="B97" s="7" t="s">
        <v>384</v>
      </c>
      <c r="C97" s="7">
        <v>157</v>
      </c>
      <c r="E97" s="7" t="s">
        <v>384</v>
      </c>
      <c r="F97" s="7">
        <v>0.1</v>
      </c>
      <c r="H97" s="7" t="s">
        <v>384</v>
      </c>
      <c r="I97" s="7">
        <v>0.1</v>
      </c>
    </row>
    <row r="98" spans="2:9" x14ac:dyDescent="0.3">
      <c r="B98" s="7" t="s">
        <v>385</v>
      </c>
      <c r="C98" s="7">
        <v>718.7</v>
      </c>
      <c r="E98" s="7" t="s">
        <v>385</v>
      </c>
      <c r="F98" s="7">
        <v>0.7</v>
      </c>
      <c r="H98" s="7" t="s">
        <v>385</v>
      </c>
      <c r="I98" s="7">
        <v>1.7</v>
      </c>
    </row>
    <row r="99" spans="2:9" x14ac:dyDescent="0.3">
      <c r="B99" s="7" t="s">
        <v>386</v>
      </c>
      <c r="C99" s="7">
        <v>641.29999999999995</v>
      </c>
      <c r="E99" s="7" t="s">
        <v>386</v>
      </c>
      <c r="F99" s="7">
        <v>0.4</v>
      </c>
      <c r="H99" s="7" t="s">
        <v>386</v>
      </c>
      <c r="I99" s="7">
        <v>0.8</v>
      </c>
    </row>
    <row r="100" spans="2:9" x14ac:dyDescent="0.3">
      <c r="B100" s="7" t="s">
        <v>387</v>
      </c>
      <c r="C100" s="7">
        <v>65</v>
      </c>
      <c r="E100" s="7" t="s">
        <v>387</v>
      </c>
      <c r="F100" s="7">
        <v>0.1</v>
      </c>
      <c r="H100" s="7" t="s">
        <v>387</v>
      </c>
      <c r="I100" s="7">
        <v>0.2</v>
      </c>
    </row>
    <row r="101" spans="2:9" x14ac:dyDescent="0.3">
      <c r="B101" s="7" t="s">
        <v>388</v>
      </c>
      <c r="C101" s="7">
        <v>138</v>
      </c>
      <c r="E101" s="7" t="s">
        <v>388</v>
      </c>
      <c r="F101" s="7">
        <v>1.1000000000000001</v>
      </c>
      <c r="H101" s="7" t="s">
        <v>388</v>
      </c>
      <c r="I101" s="7">
        <v>1.8</v>
      </c>
    </row>
    <row r="102" spans="2:9" x14ac:dyDescent="0.3">
      <c r="B102" s="7" t="s">
        <v>389</v>
      </c>
      <c r="C102" s="7">
        <v>662.1</v>
      </c>
      <c r="E102" s="7" t="s">
        <v>389</v>
      </c>
      <c r="F102" s="7">
        <v>0.3</v>
      </c>
      <c r="H102" s="7" t="s">
        <v>389</v>
      </c>
      <c r="I102" s="7">
        <v>2.5</v>
      </c>
    </row>
    <row r="103" spans="2:9" x14ac:dyDescent="0.3">
      <c r="B103" s="7" t="s">
        <v>390</v>
      </c>
      <c r="C103" s="7">
        <v>360.4</v>
      </c>
      <c r="E103" s="7" t="s">
        <v>390</v>
      </c>
      <c r="F103" s="7">
        <v>0.2</v>
      </c>
      <c r="H103" s="7" t="s">
        <v>390</v>
      </c>
      <c r="I103" s="7">
        <v>0.2</v>
      </c>
    </row>
    <row r="104" spans="2:9" x14ac:dyDescent="0.3">
      <c r="B104" s="7" t="s">
        <v>391</v>
      </c>
      <c r="C104" s="7">
        <v>747.9</v>
      </c>
      <c r="E104" s="7" t="s">
        <v>391</v>
      </c>
      <c r="F104" s="7">
        <v>1.9</v>
      </c>
      <c r="H104" s="7" t="s">
        <v>391</v>
      </c>
      <c r="I104" s="7">
        <v>5.4</v>
      </c>
    </row>
    <row r="105" spans="2:9" x14ac:dyDescent="0.3">
      <c r="B105" s="7" t="s">
        <v>392</v>
      </c>
      <c r="C105" s="7">
        <v>397.2</v>
      </c>
      <c r="E105" s="7" t="s">
        <v>392</v>
      </c>
      <c r="F105" s="7">
        <v>0.3</v>
      </c>
      <c r="H105" s="7" t="s">
        <v>392</v>
      </c>
      <c r="I105" s="7">
        <v>0.9</v>
      </c>
    </row>
    <row r="106" spans="2:9" x14ac:dyDescent="0.3">
      <c r="B106" s="7" t="s">
        <v>393</v>
      </c>
      <c r="C106" s="7">
        <v>488.6</v>
      </c>
      <c r="E106" s="7" t="s">
        <v>393</v>
      </c>
      <c r="F106" s="7">
        <v>0.2</v>
      </c>
      <c r="H106" s="7" t="s">
        <v>393</v>
      </c>
      <c r="I106" s="7">
        <v>0.3</v>
      </c>
    </row>
    <row r="107" spans="2:9" x14ac:dyDescent="0.3">
      <c r="B107" s="7" t="s">
        <v>394</v>
      </c>
      <c r="C107" s="7">
        <v>1090.8</v>
      </c>
      <c r="E107" s="7" t="s">
        <v>394</v>
      </c>
      <c r="F107" s="7">
        <v>0.3</v>
      </c>
      <c r="H107" s="7" t="s">
        <v>394</v>
      </c>
      <c r="I107" s="7">
        <v>4.8</v>
      </c>
    </row>
    <row r="108" spans="2:9" x14ac:dyDescent="0.3">
      <c r="B108" s="7" t="s">
        <v>395</v>
      </c>
      <c r="C108" s="7">
        <v>444.8</v>
      </c>
      <c r="E108" s="7" t="s">
        <v>395</v>
      </c>
      <c r="F108" s="7">
        <v>0.1</v>
      </c>
      <c r="H108" s="7" t="s">
        <v>395</v>
      </c>
      <c r="I108" s="7">
        <v>2</v>
      </c>
    </row>
    <row r="109" spans="2:9" x14ac:dyDescent="0.3">
      <c r="B109" s="7" t="s">
        <v>396</v>
      </c>
      <c r="C109" s="7">
        <v>695.6</v>
      </c>
      <c r="E109" s="7" t="s">
        <v>396</v>
      </c>
      <c r="F109" s="7">
        <v>0.2</v>
      </c>
      <c r="H109" s="7" t="s">
        <v>396</v>
      </c>
      <c r="I109" s="7">
        <v>3.1</v>
      </c>
    </row>
    <row r="110" spans="2:9" x14ac:dyDescent="0.3">
      <c r="B110" s="7" t="s">
        <v>397</v>
      </c>
      <c r="C110" s="7">
        <v>84.9</v>
      </c>
      <c r="E110" s="7" t="s">
        <v>397</v>
      </c>
      <c r="F110" s="7">
        <v>0.2</v>
      </c>
      <c r="H110" s="7" t="s">
        <v>397</v>
      </c>
      <c r="I110" s="7">
        <v>0.2</v>
      </c>
    </row>
    <row r="111" spans="2:9" x14ac:dyDescent="0.3">
      <c r="B111" s="7" t="s">
        <v>398</v>
      </c>
      <c r="C111" s="7">
        <v>473.3</v>
      </c>
      <c r="E111" s="7" t="s">
        <v>398</v>
      </c>
      <c r="F111" s="7">
        <v>0.2</v>
      </c>
      <c r="H111" s="7" t="s">
        <v>398</v>
      </c>
      <c r="I111" s="7">
        <v>0.7</v>
      </c>
    </row>
    <row r="112" spans="2:9" x14ac:dyDescent="0.3">
      <c r="B112" s="7" t="s">
        <v>399</v>
      </c>
      <c r="C112" s="7">
        <v>64.7</v>
      </c>
      <c r="E112" s="7" t="s">
        <v>399</v>
      </c>
      <c r="F112" s="7">
        <v>0</v>
      </c>
      <c r="H112" s="7" t="s">
        <v>399</v>
      </c>
      <c r="I112" s="7">
        <v>0.3</v>
      </c>
    </row>
    <row r="113" spans="2:9" x14ac:dyDescent="0.3">
      <c r="B113" s="7" t="s">
        <v>400</v>
      </c>
      <c r="C113" s="7">
        <v>0</v>
      </c>
      <c r="E113" s="7" t="s">
        <v>400</v>
      </c>
      <c r="F113" s="7">
        <v>0</v>
      </c>
      <c r="H113" s="7" t="s">
        <v>400</v>
      </c>
      <c r="I113" s="7">
        <v>0</v>
      </c>
    </row>
    <row r="114" spans="2:9" x14ac:dyDescent="0.3">
      <c r="B114" s="7" t="s">
        <v>180</v>
      </c>
      <c r="C114" s="7">
        <v>368.1</v>
      </c>
      <c r="E114" s="7" t="s">
        <v>180</v>
      </c>
      <c r="F114" s="7">
        <v>0.3</v>
      </c>
      <c r="H114" s="7" t="s">
        <v>180</v>
      </c>
      <c r="I114" s="7">
        <v>1</v>
      </c>
    </row>
    <row r="115" spans="2:9" x14ac:dyDescent="0.3">
      <c r="B115" s="7" t="s">
        <v>401</v>
      </c>
      <c r="C115" s="7">
        <v>122.4</v>
      </c>
      <c r="E115" s="7" t="s">
        <v>401</v>
      </c>
      <c r="F115" s="7">
        <v>0</v>
      </c>
      <c r="H115" s="7" t="s">
        <v>401</v>
      </c>
      <c r="I115" s="7">
        <v>0.2</v>
      </c>
    </row>
    <row r="116" spans="2:9" x14ac:dyDescent="0.3">
      <c r="B116" s="7" t="s">
        <v>402</v>
      </c>
      <c r="C116" s="7">
        <v>304</v>
      </c>
      <c r="E116" s="7" t="s">
        <v>402</v>
      </c>
      <c r="F116" s="7">
        <v>3</v>
      </c>
      <c r="H116" s="7" t="s">
        <v>402</v>
      </c>
      <c r="I116" s="7">
        <v>5</v>
      </c>
    </row>
    <row r="117" spans="2:9" x14ac:dyDescent="0.3">
      <c r="B117" s="7" t="s">
        <v>403</v>
      </c>
      <c r="C117" s="7">
        <v>962.2</v>
      </c>
      <c r="E117" s="7" t="s">
        <v>403</v>
      </c>
      <c r="F117" s="7">
        <v>0.6</v>
      </c>
      <c r="H117" s="7" t="s">
        <v>403</v>
      </c>
      <c r="I117" s="7">
        <v>2.7</v>
      </c>
    </row>
    <row r="118" spans="2:9" x14ac:dyDescent="0.3">
      <c r="B118" s="7" t="s">
        <v>404</v>
      </c>
      <c r="C118" s="7">
        <v>409.5</v>
      </c>
      <c r="E118" s="7" t="s">
        <v>404</v>
      </c>
      <c r="F118" s="7">
        <v>0.2</v>
      </c>
      <c r="H118" s="7" t="s">
        <v>404</v>
      </c>
      <c r="I118" s="7">
        <v>0.2</v>
      </c>
    </row>
    <row r="119" spans="2:9" x14ac:dyDescent="0.3">
      <c r="B119" s="7" t="s">
        <v>405</v>
      </c>
      <c r="C119" s="7">
        <v>714.4</v>
      </c>
      <c r="E119" s="7" t="s">
        <v>405</v>
      </c>
      <c r="F119" s="7">
        <v>0.2</v>
      </c>
      <c r="H119" s="7" t="s">
        <v>405</v>
      </c>
      <c r="I119" s="7">
        <v>2.9</v>
      </c>
    </row>
    <row r="120" spans="2:9" x14ac:dyDescent="0.3">
      <c r="B120" s="7" t="s">
        <v>406</v>
      </c>
      <c r="C120" s="7">
        <v>10.3</v>
      </c>
      <c r="E120" s="7" t="s">
        <v>406</v>
      </c>
      <c r="F120" s="7">
        <v>0</v>
      </c>
      <c r="H120" s="7" t="s">
        <v>406</v>
      </c>
      <c r="I120" s="7">
        <v>0</v>
      </c>
    </row>
    <row r="121" spans="2:9" x14ac:dyDescent="0.3">
      <c r="B121" s="7" t="s">
        <v>407</v>
      </c>
      <c r="C121" s="7">
        <v>401.1</v>
      </c>
      <c r="E121" s="7" t="s">
        <v>407</v>
      </c>
      <c r="F121" s="7">
        <v>0.2</v>
      </c>
      <c r="H121" s="7" t="s">
        <v>407</v>
      </c>
      <c r="I121" s="7">
        <v>0.3</v>
      </c>
    </row>
    <row r="122" spans="2:9" x14ac:dyDescent="0.3">
      <c r="B122" s="7" t="s">
        <v>408</v>
      </c>
      <c r="C122" s="7">
        <v>349.7</v>
      </c>
      <c r="E122" s="7" t="s">
        <v>408</v>
      </c>
      <c r="F122" s="7">
        <v>0.3</v>
      </c>
      <c r="H122" s="7" t="s">
        <v>408</v>
      </c>
      <c r="I122" s="7">
        <v>0.9</v>
      </c>
    </row>
    <row r="123" spans="2:9" x14ac:dyDescent="0.3">
      <c r="B123" s="7" t="s">
        <v>409</v>
      </c>
      <c r="C123" s="7">
        <v>414</v>
      </c>
      <c r="E123" s="7" t="s">
        <v>409</v>
      </c>
      <c r="F123" s="7">
        <v>0.4</v>
      </c>
      <c r="H123" s="7" t="s">
        <v>409</v>
      </c>
      <c r="I123" s="7">
        <v>1.4</v>
      </c>
    </row>
    <row r="124" spans="2:9" x14ac:dyDescent="0.3">
      <c r="B124" s="7" t="s">
        <v>410</v>
      </c>
      <c r="C124" s="7">
        <v>0</v>
      </c>
      <c r="E124" s="7" t="s">
        <v>410</v>
      </c>
      <c r="F124" s="7">
        <v>0</v>
      </c>
      <c r="H124" s="7" t="s">
        <v>410</v>
      </c>
      <c r="I124" s="7">
        <v>0</v>
      </c>
    </row>
    <row r="125" spans="2:9" x14ac:dyDescent="0.3">
      <c r="B125" s="7" t="s">
        <v>411</v>
      </c>
      <c r="C125" s="7">
        <v>201.5</v>
      </c>
      <c r="E125" s="7" t="s">
        <v>411</v>
      </c>
      <c r="F125" s="7">
        <v>0.3</v>
      </c>
      <c r="H125" s="7" t="s">
        <v>411</v>
      </c>
      <c r="I125" s="7">
        <v>0.4</v>
      </c>
    </row>
    <row r="126" spans="2:9" x14ac:dyDescent="0.3">
      <c r="B126" s="7" t="s">
        <v>412</v>
      </c>
      <c r="C126" s="7">
        <v>672</v>
      </c>
      <c r="E126" s="7" t="s">
        <v>412</v>
      </c>
      <c r="F126" s="7">
        <v>0.3</v>
      </c>
      <c r="H126" s="7" t="s">
        <v>412</v>
      </c>
      <c r="I126" s="7">
        <v>3</v>
      </c>
    </row>
    <row r="127" spans="2:9" x14ac:dyDescent="0.3">
      <c r="B127" s="7" t="s">
        <v>413</v>
      </c>
      <c r="C127" s="7">
        <v>664.6</v>
      </c>
      <c r="E127" s="7" t="s">
        <v>413</v>
      </c>
      <c r="F127" s="7">
        <v>0.3</v>
      </c>
      <c r="H127" s="7" t="s">
        <v>413</v>
      </c>
      <c r="I127" s="7">
        <v>3</v>
      </c>
    </row>
    <row r="128" spans="2:9" x14ac:dyDescent="0.3">
      <c r="B128" s="7" t="s">
        <v>414</v>
      </c>
      <c r="C128" s="7">
        <v>235.9</v>
      </c>
      <c r="E128" s="7" t="s">
        <v>414</v>
      </c>
      <c r="F128" s="7">
        <v>0.4</v>
      </c>
      <c r="H128" s="7" t="s">
        <v>414</v>
      </c>
      <c r="I128" s="7">
        <v>1.1000000000000001</v>
      </c>
    </row>
    <row r="129" spans="2:9" x14ac:dyDescent="0.3">
      <c r="B129" s="7" t="s">
        <v>415</v>
      </c>
      <c r="C129" s="7">
        <v>478.8</v>
      </c>
      <c r="E129" s="7" t="s">
        <v>415</v>
      </c>
      <c r="F129" s="7">
        <v>0.2</v>
      </c>
      <c r="H129" s="7" t="s">
        <v>415</v>
      </c>
      <c r="I129" s="7">
        <v>0.3</v>
      </c>
    </row>
    <row r="130" spans="2:9" x14ac:dyDescent="0.3">
      <c r="B130" s="7" t="s">
        <v>416</v>
      </c>
      <c r="C130" s="7">
        <v>343.8</v>
      </c>
      <c r="E130" s="7" t="s">
        <v>416</v>
      </c>
      <c r="F130" s="7">
        <v>0.1</v>
      </c>
      <c r="H130" s="7" t="s">
        <v>416</v>
      </c>
      <c r="I130" s="7">
        <v>1.3</v>
      </c>
    </row>
    <row r="131" spans="2:9" x14ac:dyDescent="0.3">
      <c r="B131" s="7" t="s">
        <v>417</v>
      </c>
      <c r="C131" s="7">
        <v>374</v>
      </c>
      <c r="E131" s="7" t="s">
        <v>417</v>
      </c>
      <c r="F131" s="7">
        <v>0.2</v>
      </c>
      <c r="H131" s="7" t="s">
        <v>417</v>
      </c>
      <c r="I131" s="7">
        <v>0.8</v>
      </c>
    </row>
    <row r="132" spans="2:9" x14ac:dyDescent="0.3">
      <c r="B132" s="7" t="s">
        <v>184</v>
      </c>
      <c r="C132" s="7">
        <v>615.6</v>
      </c>
      <c r="E132" s="7" t="s">
        <v>184</v>
      </c>
      <c r="F132" s="7">
        <v>0.4</v>
      </c>
      <c r="H132" s="7" t="s">
        <v>184</v>
      </c>
      <c r="I132" s="7">
        <v>0.9</v>
      </c>
    </row>
    <row r="133" spans="2:9" x14ac:dyDescent="0.3">
      <c r="B133" s="7" t="s">
        <v>418</v>
      </c>
      <c r="C133" s="7">
        <v>762.5</v>
      </c>
      <c r="E133" s="7" t="s">
        <v>418</v>
      </c>
      <c r="F133" s="7">
        <v>1.1000000000000001</v>
      </c>
      <c r="H133" s="7" t="s">
        <v>418</v>
      </c>
      <c r="I133" s="7">
        <v>2.9</v>
      </c>
    </row>
    <row r="134" spans="2:9" x14ac:dyDescent="0.3">
      <c r="B134" s="7" t="s">
        <v>419</v>
      </c>
      <c r="C134" s="7">
        <v>741.8</v>
      </c>
      <c r="E134" s="7" t="s">
        <v>419</v>
      </c>
      <c r="F134" s="7">
        <v>0.2</v>
      </c>
      <c r="H134" s="7" t="s">
        <v>419</v>
      </c>
      <c r="I134" s="7">
        <v>3.2</v>
      </c>
    </row>
    <row r="135" spans="2:9" x14ac:dyDescent="0.3">
      <c r="B135" s="7" t="s">
        <v>171</v>
      </c>
      <c r="C135" s="7">
        <v>385.2</v>
      </c>
      <c r="E135" s="7" t="s">
        <v>171</v>
      </c>
      <c r="F135" s="7">
        <v>0.5</v>
      </c>
      <c r="H135" s="7" t="s">
        <v>171</v>
      </c>
      <c r="I135" s="7">
        <v>0.9</v>
      </c>
    </row>
    <row r="136" spans="2:9" x14ac:dyDescent="0.3">
      <c r="B136" s="7" t="s">
        <v>420</v>
      </c>
      <c r="C136" s="7">
        <v>138</v>
      </c>
      <c r="E136" s="7" t="s">
        <v>420</v>
      </c>
      <c r="F136" s="7">
        <v>0.1</v>
      </c>
      <c r="H136" s="7" t="s">
        <v>420</v>
      </c>
      <c r="I136" s="7">
        <v>0.4</v>
      </c>
    </row>
    <row r="137" spans="2:9" x14ac:dyDescent="0.3">
      <c r="B137" s="7" t="s">
        <v>421</v>
      </c>
      <c r="C137" s="7">
        <v>242.7</v>
      </c>
      <c r="E137" s="7" t="s">
        <v>421</v>
      </c>
      <c r="F137" s="7">
        <v>0.1</v>
      </c>
      <c r="H137" s="7" t="s">
        <v>421</v>
      </c>
      <c r="I137" s="7">
        <v>1</v>
      </c>
    </row>
    <row r="138" spans="2:9" x14ac:dyDescent="0.3">
      <c r="B138" s="7" t="s">
        <v>422</v>
      </c>
      <c r="C138" s="7">
        <v>931.9</v>
      </c>
      <c r="E138" s="7" t="s">
        <v>422</v>
      </c>
      <c r="F138" s="7">
        <v>0.3</v>
      </c>
      <c r="H138" s="7" t="s">
        <v>422</v>
      </c>
      <c r="I138" s="7">
        <v>4.4000000000000004</v>
      </c>
    </row>
    <row r="139" spans="2:9" x14ac:dyDescent="0.3">
      <c r="B139" s="7" t="s">
        <v>99</v>
      </c>
      <c r="C139" s="7">
        <v>198.3</v>
      </c>
      <c r="E139" s="7" t="s">
        <v>99</v>
      </c>
      <c r="F139" s="7">
        <v>0.3</v>
      </c>
      <c r="H139" s="7" t="s">
        <v>99</v>
      </c>
      <c r="I139" s="7">
        <v>0.6</v>
      </c>
    </row>
    <row r="140" spans="2:9" x14ac:dyDescent="0.3">
      <c r="B140" s="7" t="s">
        <v>423</v>
      </c>
      <c r="C140" s="7">
        <v>607.70000000000005</v>
      </c>
      <c r="E140" s="7" t="s">
        <v>423</v>
      </c>
      <c r="F140" s="7">
        <v>0.5</v>
      </c>
      <c r="H140" s="7" t="s">
        <v>423</v>
      </c>
      <c r="I140" s="7">
        <v>2.6</v>
      </c>
    </row>
    <row r="141" spans="2:9" x14ac:dyDescent="0.3">
      <c r="B141" s="7" t="s">
        <v>424</v>
      </c>
      <c r="C141" s="7">
        <v>771.8</v>
      </c>
      <c r="E141" s="7" t="s">
        <v>424</v>
      </c>
      <c r="F141" s="7">
        <v>0.8</v>
      </c>
      <c r="H141" s="7" t="s">
        <v>424</v>
      </c>
      <c r="I141" s="7">
        <v>1.9</v>
      </c>
    </row>
    <row r="142" spans="2:9" x14ac:dyDescent="0.3">
      <c r="B142" s="7" t="s">
        <v>425</v>
      </c>
      <c r="C142" s="7">
        <v>312.10000000000002</v>
      </c>
      <c r="E142" s="7" t="s">
        <v>425</v>
      </c>
      <c r="F142" s="7">
        <v>0.3</v>
      </c>
      <c r="H142" s="7" t="s">
        <v>425</v>
      </c>
      <c r="I142" s="7">
        <v>0.7</v>
      </c>
    </row>
    <row r="143" spans="2:9" x14ac:dyDescent="0.3">
      <c r="B143" s="7" t="s">
        <v>426</v>
      </c>
      <c r="C143" s="7">
        <v>526</v>
      </c>
      <c r="E143" s="7" t="s">
        <v>426</v>
      </c>
      <c r="F143" s="7">
        <v>0.5</v>
      </c>
      <c r="H143" s="7" t="s">
        <v>426</v>
      </c>
      <c r="I143" s="7">
        <v>1.2</v>
      </c>
    </row>
    <row r="144" spans="2:9" x14ac:dyDescent="0.3">
      <c r="B144" s="7" t="s">
        <v>427</v>
      </c>
      <c r="C144" s="7">
        <v>12.7</v>
      </c>
      <c r="E144" s="7" t="s">
        <v>427</v>
      </c>
      <c r="F144" s="7">
        <v>0</v>
      </c>
      <c r="H144" s="7" t="s">
        <v>427</v>
      </c>
      <c r="I144" s="7">
        <v>0.1</v>
      </c>
    </row>
    <row r="145" spans="2:9" x14ac:dyDescent="0.3">
      <c r="B145" s="7" t="s">
        <v>428</v>
      </c>
      <c r="C145" s="7">
        <v>23.8</v>
      </c>
      <c r="E145" s="7" t="s">
        <v>428</v>
      </c>
      <c r="F145" s="7">
        <v>0.2</v>
      </c>
      <c r="H145" s="7" t="s">
        <v>428</v>
      </c>
      <c r="I145" s="7">
        <v>0.3</v>
      </c>
    </row>
    <row r="146" spans="2:9" x14ac:dyDescent="0.3">
      <c r="B146" s="7" t="s">
        <v>429</v>
      </c>
      <c r="C146" s="7">
        <v>660.6</v>
      </c>
      <c r="E146" s="7" t="s">
        <v>429</v>
      </c>
      <c r="F146" s="7">
        <v>0.5</v>
      </c>
      <c r="H146" s="7" t="s">
        <v>429</v>
      </c>
      <c r="I146" s="7">
        <v>1</v>
      </c>
    </row>
    <row r="147" spans="2:9" x14ac:dyDescent="0.3">
      <c r="B147" s="7" t="s">
        <v>430</v>
      </c>
      <c r="C147" s="7">
        <v>553.9</v>
      </c>
      <c r="E147" s="7" t="s">
        <v>430</v>
      </c>
      <c r="F147" s="7">
        <v>0.2</v>
      </c>
      <c r="H147" s="7" t="s">
        <v>430</v>
      </c>
      <c r="I147" s="7">
        <v>1.9</v>
      </c>
    </row>
    <row r="148" spans="2:9" x14ac:dyDescent="0.3">
      <c r="B148" s="7" t="s">
        <v>431</v>
      </c>
      <c r="C148" s="7">
        <v>72.900000000000006</v>
      </c>
      <c r="E148" s="7" t="s">
        <v>431</v>
      </c>
      <c r="F148" s="7">
        <v>0</v>
      </c>
      <c r="H148" s="7" t="s">
        <v>431</v>
      </c>
      <c r="I148" s="7">
        <v>0.3</v>
      </c>
    </row>
    <row r="149" spans="2:9" x14ac:dyDescent="0.3">
      <c r="B149" s="7" t="s">
        <v>432</v>
      </c>
      <c r="C149" s="7">
        <v>397.1</v>
      </c>
      <c r="E149" s="7" t="s">
        <v>432</v>
      </c>
      <c r="F149" s="7">
        <v>0.4</v>
      </c>
      <c r="H149" s="7" t="s">
        <v>432</v>
      </c>
      <c r="I149" s="7">
        <v>0.8</v>
      </c>
    </row>
    <row r="150" spans="2:9" x14ac:dyDescent="0.3">
      <c r="B150" s="7" t="s">
        <v>433</v>
      </c>
      <c r="C150" s="7">
        <v>460.6</v>
      </c>
      <c r="E150" s="7" t="s">
        <v>433</v>
      </c>
      <c r="F150" s="7">
        <v>1.6</v>
      </c>
      <c r="H150" s="7" t="s">
        <v>433</v>
      </c>
      <c r="I150" s="7">
        <v>3.3</v>
      </c>
    </row>
    <row r="151" spans="2:9" x14ac:dyDescent="0.3">
      <c r="B151" s="7" t="s">
        <v>434</v>
      </c>
      <c r="C151" s="7">
        <v>286.3</v>
      </c>
      <c r="E151" s="7" t="s">
        <v>434</v>
      </c>
      <c r="F151" s="7">
        <v>0.1</v>
      </c>
      <c r="H151" s="7" t="s">
        <v>434</v>
      </c>
      <c r="I151" s="7">
        <v>0.2</v>
      </c>
    </row>
    <row r="152" spans="2:9" x14ac:dyDescent="0.3">
      <c r="B152" s="7" t="s">
        <v>435</v>
      </c>
      <c r="C152" s="7">
        <v>564.20000000000005</v>
      </c>
      <c r="E152" s="7" t="s">
        <v>435</v>
      </c>
      <c r="F152" s="7">
        <v>0.3</v>
      </c>
      <c r="H152" s="7" t="s">
        <v>435</v>
      </c>
      <c r="I152" s="7">
        <v>0.3</v>
      </c>
    </row>
    <row r="153" spans="2:9" x14ac:dyDescent="0.3">
      <c r="B153" s="7" t="s">
        <v>436</v>
      </c>
      <c r="C153" s="7">
        <v>424.9</v>
      </c>
      <c r="E153" s="7" t="s">
        <v>436</v>
      </c>
      <c r="F153" s="7">
        <v>0.2</v>
      </c>
      <c r="H153" s="7" t="s">
        <v>436</v>
      </c>
      <c r="I153" s="7">
        <v>0.2</v>
      </c>
    </row>
    <row r="154" spans="2:9" x14ac:dyDescent="0.3">
      <c r="B154" s="7" t="s">
        <v>437</v>
      </c>
      <c r="C154" s="7">
        <v>431.3</v>
      </c>
      <c r="E154" s="7" t="s">
        <v>437</v>
      </c>
      <c r="F154" s="7">
        <v>0.1</v>
      </c>
      <c r="H154" s="7" t="s">
        <v>437</v>
      </c>
      <c r="I154" s="7">
        <v>1.7</v>
      </c>
    </row>
    <row r="155" spans="2:9" x14ac:dyDescent="0.3">
      <c r="B155" s="7" t="s">
        <v>438</v>
      </c>
      <c r="C155" s="7">
        <v>890.2</v>
      </c>
      <c r="E155" s="7" t="s">
        <v>438</v>
      </c>
      <c r="F155" s="7">
        <v>0.4</v>
      </c>
      <c r="H155" s="7" t="s">
        <v>438</v>
      </c>
      <c r="I155" s="7">
        <v>0.5</v>
      </c>
    </row>
    <row r="156" spans="2:9" x14ac:dyDescent="0.3">
      <c r="B156" s="7" t="s">
        <v>182</v>
      </c>
      <c r="C156" s="7">
        <v>504.6</v>
      </c>
      <c r="E156" s="7" t="s">
        <v>182</v>
      </c>
      <c r="F156" s="7">
        <v>0.2</v>
      </c>
      <c r="H156" s="7" t="s">
        <v>182</v>
      </c>
      <c r="I156" s="7">
        <v>0.3</v>
      </c>
    </row>
    <row r="157" spans="2:9" x14ac:dyDescent="0.3">
      <c r="B157" s="7" t="s">
        <v>439</v>
      </c>
      <c r="C157" s="7">
        <v>208.4</v>
      </c>
      <c r="E157" s="7" t="s">
        <v>439</v>
      </c>
      <c r="F157" s="7">
        <v>0.7</v>
      </c>
      <c r="H157" s="7" t="s">
        <v>439</v>
      </c>
      <c r="I157" s="7">
        <v>1.3</v>
      </c>
    </row>
    <row r="158" spans="2:9" x14ac:dyDescent="0.3">
      <c r="B158" s="7" t="s">
        <v>440</v>
      </c>
      <c r="C158" s="7">
        <v>366.1</v>
      </c>
      <c r="E158" s="7" t="s">
        <v>440</v>
      </c>
      <c r="F158" s="7">
        <v>0.1</v>
      </c>
      <c r="H158" s="7" t="s">
        <v>440</v>
      </c>
      <c r="I158" s="7">
        <v>1.5</v>
      </c>
    </row>
    <row r="159" spans="2:9" x14ac:dyDescent="0.3">
      <c r="B159" s="7" t="s">
        <v>441</v>
      </c>
      <c r="C159" s="7">
        <v>11.7</v>
      </c>
      <c r="E159" s="7" t="s">
        <v>441</v>
      </c>
      <c r="F159" s="7">
        <v>0.2</v>
      </c>
      <c r="H159" s="7" t="s">
        <v>441</v>
      </c>
      <c r="I159" s="7">
        <v>0.3</v>
      </c>
    </row>
    <row r="160" spans="2:9" x14ac:dyDescent="0.3">
      <c r="B160" s="7" t="s">
        <v>175</v>
      </c>
      <c r="C160" s="7">
        <v>382.4</v>
      </c>
      <c r="E160" s="7" t="s">
        <v>175</v>
      </c>
      <c r="F160" s="7">
        <v>0.2</v>
      </c>
      <c r="H160" s="7" t="s">
        <v>175</v>
      </c>
      <c r="I160" s="7">
        <v>1.3</v>
      </c>
    </row>
    <row r="161" spans="2:9" x14ac:dyDescent="0.3">
      <c r="B161" s="7" t="s">
        <v>442</v>
      </c>
      <c r="C161" s="7">
        <v>494.7</v>
      </c>
      <c r="E161" s="7" t="s">
        <v>442</v>
      </c>
      <c r="F161" s="7">
        <v>0.2</v>
      </c>
      <c r="H161" s="7" t="s">
        <v>442</v>
      </c>
      <c r="I161" s="7">
        <v>0.6</v>
      </c>
    </row>
    <row r="162" spans="2:9" x14ac:dyDescent="0.3">
      <c r="B162" s="7" t="s">
        <v>443</v>
      </c>
      <c r="C162" s="7">
        <v>313.8</v>
      </c>
      <c r="E162" s="7" t="s">
        <v>443</v>
      </c>
      <c r="F162" s="7">
        <v>0.2</v>
      </c>
      <c r="H162" s="7" t="s">
        <v>443</v>
      </c>
      <c r="I162" s="7">
        <v>0.5</v>
      </c>
    </row>
    <row r="163" spans="2:9" x14ac:dyDescent="0.3">
      <c r="B163" s="7" t="s">
        <v>444</v>
      </c>
      <c r="C163" s="7">
        <v>648.79999999999995</v>
      </c>
      <c r="E163" s="7" t="s">
        <v>444</v>
      </c>
      <c r="F163" s="7">
        <v>0.4</v>
      </c>
      <c r="H163" s="7" t="s">
        <v>444</v>
      </c>
      <c r="I163" s="7">
        <v>3</v>
      </c>
    </row>
    <row r="164" spans="2:9" x14ac:dyDescent="0.3">
      <c r="B164" s="7" t="s">
        <v>445</v>
      </c>
      <c r="C164" s="7">
        <v>683.3</v>
      </c>
      <c r="E164" s="7" t="s">
        <v>445</v>
      </c>
      <c r="F164" s="7">
        <v>0.6</v>
      </c>
      <c r="H164" s="7" t="s">
        <v>445</v>
      </c>
      <c r="I164" s="7">
        <v>1.5</v>
      </c>
    </row>
    <row r="165" spans="2:9" x14ac:dyDescent="0.3">
      <c r="B165" s="7" t="s">
        <v>446</v>
      </c>
      <c r="C165" s="7">
        <v>158.9</v>
      </c>
      <c r="E165" s="7" t="s">
        <v>446</v>
      </c>
      <c r="F165" s="7">
        <v>0.1</v>
      </c>
      <c r="H165" s="7" t="s">
        <v>446</v>
      </c>
      <c r="I165" s="7">
        <v>0.7</v>
      </c>
    </row>
    <row r="166" spans="2:9" x14ac:dyDescent="0.3">
      <c r="B166" s="7" t="s">
        <v>447</v>
      </c>
      <c r="C166" s="7">
        <v>816.5</v>
      </c>
      <c r="E166" s="7" t="s">
        <v>447</v>
      </c>
      <c r="F166" s="7">
        <v>0.5</v>
      </c>
      <c r="H166" s="7" t="s">
        <v>447</v>
      </c>
      <c r="I166" s="7">
        <v>4.2</v>
      </c>
    </row>
    <row r="167" spans="2:9" x14ac:dyDescent="0.3">
      <c r="B167" s="7" t="s">
        <v>448</v>
      </c>
      <c r="C167" s="7">
        <v>356.5</v>
      </c>
      <c r="E167" s="7" t="s">
        <v>448</v>
      </c>
      <c r="F167" s="7">
        <v>0.6</v>
      </c>
      <c r="H167" s="7" t="s">
        <v>448</v>
      </c>
      <c r="I167" s="7">
        <v>1.3</v>
      </c>
    </row>
    <row r="168" spans="2:9" x14ac:dyDescent="0.3">
      <c r="B168" s="7" t="s">
        <v>449</v>
      </c>
      <c r="C168" s="7">
        <v>621.1</v>
      </c>
      <c r="E168" s="7" t="s">
        <v>449</v>
      </c>
      <c r="F168" s="7">
        <v>0.8</v>
      </c>
      <c r="H168" s="7" t="s">
        <v>449</v>
      </c>
      <c r="I168" s="7">
        <v>1.8</v>
      </c>
    </row>
    <row r="169" spans="2:9" x14ac:dyDescent="0.3">
      <c r="B169" s="7" t="s">
        <v>450</v>
      </c>
      <c r="C169" s="7">
        <v>373.7</v>
      </c>
      <c r="E169" s="7" t="s">
        <v>450</v>
      </c>
      <c r="F169" s="7">
        <v>0.5</v>
      </c>
      <c r="H169" s="7" t="s">
        <v>450</v>
      </c>
      <c r="I169" s="7">
        <v>1.3</v>
      </c>
    </row>
    <row r="170" spans="2:9" x14ac:dyDescent="0.3">
      <c r="B170" s="7" t="s">
        <v>451</v>
      </c>
      <c r="C170" s="7">
        <v>65.099999999999994</v>
      </c>
      <c r="E170" s="7" t="s">
        <v>451</v>
      </c>
      <c r="F170" s="7">
        <v>0.1</v>
      </c>
      <c r="H170" s="7" t="s">
        <v>451</v>
      </c>
      <c r="I170" s="7">
        <v>0.2</v>
      </c>
    </row>
    <row r="171" spans="2:9" x14ac:dyDescent="0.3">
      <c r="B171" s="7" t="s">
        <v>452</v>
      </c>
      <c r="C171" s="7">
        <v>529.9</v>
      </c>
      <c r="E171" s="7" t="s">
        <v>452</v>
      </c>
      <c r="F171" s="7">
        <v>0.6</v>
      </c>
      <c r="H171" s="7" t="s">
        <v>452</v>
      </c>
      <c r="I171" s="7">
        <v>1.6</v>
      </c>
    </row>
    <row r="172" spans="2:9" x14ac:dyDescent="0.3">
      <c r="B172" s="7" t="s">
        <v>453</v>
      </c>
      <c r="C172" s="7">
        <v>576.20000000000005</v>
      </c>
      <c r="E172" s="7" t="s">
        <v>453</v>
      </c>
      <c r="F172" s="7">
        <v>1.1000000000000001</v>
      </c>
      <c r="H172" s="7" t="s">
        <v>453</v>
      </c>
      <c r="I172" s="7">
        <v>2.2000000000000002</v>
      </c>
    </row>
    <row r="173" spans="2:9" x14ac:dyDescent="0.3">
      <c r="B173" s="7" t="s">
        <v>454</v>
      </c>
      <c r="C173" s="7">
        <v>575.6</v>
      </c>
      <c r="E173" s="7" t="s">
        <v>454</v>
      </c>
      <c r="F173" s="7">
        <v>0.6</v>
      </c>
      <c r="H173" s="7" t="s">
        <v>454</v>
      </c>
      <c r="I173" s="7">
        <v>1.4</v>
      </c>
    </row>
    <row r="174" spans="2:9" x14ac:dyDescent="0.3">
      <c r="B174" s="7" t="s">
        <v>455</v>
      </c>
      <c r="C174" s="7">
        <v>17.8</v>
      </c>
      <c r="E174" s="7" t="s">
        <v>455</v>
      </c>
      <c r="F174" s="7">
        <v>19.399999999999999</v>
      </c>
      <c r="H174" s="7" t="s">
        <v>455</v>
      </c>
      <c r="I174" s="7">
        <v>30.8</v>
      </c>
    </row>
    <row r="175" spans="2:9" x14ac:dyDescent="0.3">
      <c r="B175" s="7" t="s">
        <v>456</v>
      </c>
      <c r="C175" s="7">
        <v>323.10000000000002</v>
      </c>
      <c r="E175" s="7" t="s">
        <v>456</v>
      </c>
      <c r="F175" s="7">
        <v>0.2</v>
      </c>
      <c r="H175" s="7" t="s">
        <v>456</v>
      </c>
      <c r="I175" s="7">
        <v>1</v>
      </c>
    </row>
    <row r="176" spans="2:9" x14ac:dyDescent="0.3">
      <c r="B176" s="7" t="s">
        <v>457</v>
      </c>
      <c r="C176" s="7">
        <v>603</v>
      </c>
      <c r="E176" s="7" t="s">
        <v>457</v>
      </c>
      <c r="F176" s="7">
        <v>0.3</v>
      </c>
      <c r="H176" s="7" t="s">
        <v>457</v>
      </c>
      <c r="I176" s="7">
        <v>2.6</v>
      </c>
    </row>
    <row r="177" spans="2:9" x14ac:dyDescent="0.3">
      <c r="B177" s="7" t="s">
        <v>458</v>
      </c>
      <c r="C177" s="7">
        <v>275.8</v>
      </c>
      <c r="E177" s="7" t="s">
        <v>458</v>
      </c>
      <c r="F177" s="7">
        <v>0.2</v>
      </c>
      <c r="H177" s="7" t="s">
        <v>458</v>
      </c>
      <c r="I177" s="7">
        <v>0.9</v>
      </c>
    </row>
    <row r="178" spans="2:9" x14ac:dyDescent="0.3">
      <c r="B178" s="7" t="s">
        <v>459</v>
      </c>
      <c r="C178" s="7">
        <v>606.20000000000005</v>
      </c>
      <c r="E178" s="7" t="s">
        <v>459</v>
      </c>
      <c r="F178" s="7">
        <v>0.2</v>
      </c>
      <c r="H178" s="7" t="s">
        <v>459</v>
      </c>
      <c r="I178" s="7">
        <v>2.4</v>
      </c>
    </row>
    <row r="179" spans="2:9" x14ac:dyDescent="0.3">
      <c r="B179" s="7" t="s">
        <v>460</v>
      </c>
      <c r="C179" s="7">
        <v>566.4</v>
      </c>
      <c r="E179" s="7" t="s">
        <v>460</v>
      </c>
      <c r="F179" s="7">
        <v>0.3</v>
      </c>
      <c r="H179" s="7" t="s">
        <v>460</v>
      </c>
      <c r="I179" s="7">
        <v>2.2999999999999998</v>
      </c>
    </row>
    <row r="180" spans="2:9" x14ac:dyDescent="0.3">
      <c r="B180" s="7" t="s">
        <v>461</v>
      </c>
      <c r="C180" s="7">
        <v>345.8</v>
      </c>
      <c r="E180" s="7" t="s">
        <v>461</v>
      </c>
      <c r="F180" s="7">
        <v>0.3</v>
      </c>
      <c r="H180" s="7" t="s">
        <v>461</v>
      </c>
      <c r="I180" s="7">
        <v>1.2</v>
      </c>
    </row>
    <row r="181" spans="2:9" x14ac:dyDescent="0.3">
      <c r="B181" s="7" t="s">
        <v>462</v>
      </c>
      <c r="C181" s="7">
        <v>476.6</v>
      </c>
      <c r="E181" s="7" t="s">
        <v>462</v>
      </c>
      <c r="F181" s="7">
        <v>0.3</v>
      </c>
      <c r="H181" s="7" t="s">
        <v>462</v>
      </c>
      <c r="I181" s="7">
        <v>2.1</v>
      </c>
    </row>
    <row r="182" spans="2:9" x14ac:dyDescent="0.3">
      <c r="B182" s="7" t="s">
        <v>463</v>
      </c>
      <c r="C182" s="7">
        <v>244.1</v>
      </c>
      <c r="E182" s="7" t="s">
        <v>463</v>
      </c>
      <c r="F182" s="7">
        <v>0.3</v>
      </c>
      <c r="H182" s="7" t="s">
        <v>463</v>
      </c>
      <c r="I182" s="7">
        <v>1</v>
      </c>
    </row>
    <row r="183" spans="2:9" x14ac:dyDescent="0.3">
      <c r="B183" s="7" t="s">
        <v>464</v>
      </c>
      <c r="C183" s="7">
        <v>248</v>
      </c>
      <c r="E183" s="7" t="s">
        <v>464</v>
      </c>
      <c r="F183" s="7">
        <v>0.2</v>
      </c>
      <c r="H183" s="7" t="s">
        <v>464</v>
      </c>
      <c r="I183" s="7">
        <v>1</v>
      </c>
    </row>
    <row r="184" spans="2:9" x14ac:dyDescent="0.3">
      <c r="B184" s="7" t="s">
        <v>465</v>
      </c>
      <c r="C184" s="7">
        <v>394.2</v>
      </c>
      <c r="E184" s="7" t="s">
        <v>465</v>
      </c>
      <c r="F184" s="7">
        <v>0.2</v>
      </c>
      <c r="H184" s="7" t="s">
        <v>465</v>
      </c>
      <c r="I184" s="7">
        <v>0.9</v>
      </c>
    </row>
    <row r="185" spans="2:9" x14ac:dyDescent="0.3">
      <c r="B185" s="7" t="s">
        <v>466</v>
      </c>
      <c r="C185" s="7">
        <v>591</v>
      </c>
      <c r="E185" s="7" t="s">
        <v>466</v>
      </c>
      <c r="F185" s="7">
        <v>0.2</v>
      </c>
      <c r="H185" s="7" t="s">
        <v>466</v>
      </c>
      <c r="I185" s="7">
        <v>2.5</v>
      </c>
    </row>
    <row r="186" spans="2:9" x14ac:dyDescent="0.3">
      <c r="B186" s="7" t="s">
        <v>467</v>
      </c>
      <c r="C186" s="7">
        <v>337.9</v>
      </c>
      <c r="E186" s="7" t="s">
        <v>467</v>
      </c>
      <c r="F186" s="7">
        <v>0.2</v>
      </c>
      <c r="H186" s="7" t="s">
        <v>467</v>
      </c>
      <c r="I186" s="7">
        <v>1.2</v>
      </c>
    </row>
    <row r="187" spans="2:9" x14ac:dyDescent="0.3">
      <c r="B187" s="7" t="s">
        <v>468</v>
      </c>
      <c r="C187" s="7">
        <v>323.5</v>
      </c>
      <c r="E187" s="7" t="s">
        <v>468</v>
      </c>
      <c r="F187" s="7">
        <v>0.3</v>
      </c>
      <c r="H187" s="7" t="s">
        <v>468</v>
      </c>
      <c r="I187" s="7">
        <v>1.1000000000000001</v>
      </c>
    </row>
    <row r="188" spans="2:9" x14ac:dyDescent="0.3">
      <c r="B188" s="7" t="s">
        <v>469</v>
      </c>
      <c r="C188" s="7">
        <v>349.8</v>
      </c>
      <c r="E188" s="7" t="s">
        <v>469</v>
      </c>
      <c r="F188" s="7">
        <v>0.2</v>
      </c>
      <c r="H188" s="7" t="s">
        <v>469</v>
      </c>
      <c r="I188" s="7">
        <v>1.2</v>
      </c>
    </row>
    <row r="189" spans="2:9" x14ac:dyDescent="0.3">
      <c r="B189" s="7" t="s">
        <v>470</v>
      </c>
      <c r="C189" s="7">
        <v>192.9</v>
      </c>
      <c r="E189" s="7" t="s">
        <v>470</v>
      </c>
      <c r="F189" s="7">
        <v>0.3</v>
      </c>
      <c r="H189" s="7" t="s">
        <v>470</v>
      </c>
      <c r="I189" s="7">
        <v>0.8</v>
      </c>
    </row>
    <row r="190" spans="2:9" x14ac:dyDescent="0.3">
      <c r="B190" s="7" t="s">
        <v>471</v>
      </c>
      <c r="C190" s="7">
        <v>513.4</v>
      </c>
      <c r="E190" s="7" t="s">
        <v>471</v>
      </c>
      <c r="F190" s="7">
        <v>0.4</v>
      </c>
      <c r="H190" s="7" t="s">
        <v>471</v>
      </c>
      <c r="I190" s="7">
        <v>1.9</v>
      </c>
    </row>
    <row r="191" spans="2:9" x14ac:dyDescent="0.3">
      <c r="B191" s="7" t="s">
        <v>472</v>
      </c>
      <c r="C191" s="7">
        <v>394.6</v>
      </c>
      <c r="E191" s="7" t="s">
        <v>472</v>
      </c>
      <c r="F191" s="7">
        <v>0.2</v>
      </c>
      <c r="H191" s="7" t="s">
        <v>472</v>
      </c>
      <c r="I191" s="7">
        <v>1.1000000000000001</v>
      </c>
    </row>
    <row r="192" spans="2:9" x14ac:dyDescent="0.3">
      <c r="B192" s="7" t="s">
        <v>473</v>
      </c>
      <c r="C192" s="7">
        <v>575.4</v>
      </c>
      <c r="E192" s="7" t="s">
        <v>473</v>
      </c>
      <c r="F192" s="7">
        <v>0.3</v>
      </c>
      <c r="H192" s="7" t="s">
        <v>473</v>
      </c>
      <c r="I192" s="7">
        <v>2.4</v>
      </c>
    </row>
    <row r="193" spans="2:9" x14ac:dyDescent="0.3">
      <c r="B193" s="7" t="s">
        <v>474</v>
      </c>
      <c r="C193" s="7">
        <v>276.7</v>
      </c>
      <c r="E193" s="7" t="s">
        <v>474</v>
      </c>
      <c r="F193" s="7">
        <v>0.3</v>
      </c>
      <c r="H193" s="7" t="s">
        <v>474</v>
      </c>
      <c r="I193" s="7">
        <v>1.1000000000000001</v>
      </c>
    </row>
    <row r="194" spans="2:9" x14ac:dyDescent="0.3">
      <c r="B194" s="7" t="s">
        <v>475</v>
      </c>
      <c r="C194" s="7">
        <v>532.29999999999995</v>
      </c>
      <c r="E194" s="7" t="s">
        <v>475</v>
      </c>
      <c r="F194" s="7">
        <v>0.3</v>
      </c>
      <c r="H194" s="7" t="s">
        <v>475</v>
      </c>
      <c r="I194" s="7">
        <v>0.6</v>
      </c>
    </row>
    <row r="195" spans="2:9" x14ac:dyDescent="0.3">
      <c r="B195" s="7" t="s">
        <v>476</v>
      </c>
      <c r="C195" s="7">
        <v>628</v>
      </c>
      <c r="E195" s="7" t="s">
        <v>476</v>
      </c>
      <c r="F195" s="7">
        <v>0.7</v>
      </c>
      <c r="H195" s="7" t="s">
        <v>476</v>
      </c>
      <c r="I195" s="7">
        <v>3</v>
      </c>
    </row>
    <row r="196" spans="2:9" x14ac:dyDescent="0.3">
      <c r="B196" s="7" t="s">
        <v>477</v>
      </c>
      <c r="C196" s="7">
        <v>337.8</v>
      </c>
      <c r="E196" s="7" t="s">
        <v>477</v>
      </c>
      <c r="F196" s="7">
        <v>0.3</v>
      </c>
      <c r="H196" s="7" t="s">
        <v>477</v>
      </c>
      <c r="I196" s="7">
        <v>1.2</v>
      </c>
    </row>
    <row r="197" spans="2:9" x14ac:dyDescent="0.3">
      <c r="B197" s="7" t="s">
        <v>478</v>
      </c>
      <c r="C197" s="7">
        <v>342.8</v>
      </c>
      <c r="E197" s="7" t="s">
        <v>478</v>
      </c>
      <c r="F197" s="7">
        <v>0.2</v>
      </c>
      <c r="H197" s="7" t="s">
        <v>478</v>
      </c>
      <c r="I197" s="7">
        <v>1.1000000000000001</v>
      </c>
    </row>
    <row r="198" spans="2:9" x14ac:dyDescent="0.3">
      <c r="B198" s="7" t="s">
        <v>479</v>
      </c>
      <c r="C198" s="7">
        <v>478.6</v>
      </c>
      <c r="E198" s="7" t="s">
        <v>479</v>
      </c>
      <c r="F198" s="7">
        <v>0.3</v>
      </c>
      <c r="H198" s="7" t="s">
        <v>479</v>
      </c>
      <c r="I198" s="7">
        <v>2</v>
      </c>
    </row>
  </sheetData>
  <sheetProtection algorithmName="SHA-512" hashValue="8Ng1iB7dKyr2yGc+OFZLXVtd/txTJ+S1mk7yGZxbsRiUfEMPLw3NNLzu1y0jQMU9owYhhwScve4OXQAiQ+GqDw==" saltValue="JFYwWBnFVGD9Mgfju0mVvg==" spinCount="100000" sheet="1" objects="1" scenarios="1" selectLockedCells="1" selectUnlockedCells="1"/>
  <mergeCells count="6">
    <mergeCell ref="M9:M12"/>
    <mergeCell ref="K8:L8"/>
    <mergeCell ref="B9:C9"/>
    <mergeCell ref="E9:F9"/>
    <mergeCell ref="H9:I9"/>
    <mergeCell ref="B8:I8"/>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47F88-D821-4B06-BBC5-64FE365B6873}">
  <sheetPr>
    <tabColor rgb="FFF4F4F4"/>
  </sheetPr>
  <dimension ref="A8:P88"/>
  <sheetViews>
    <sheetView zoomScale="80" zoomScaleNormal="80" workbookViewId="0">
      <selection activeCell="I2" sqref="I2"/>
    </sheetView>
  </sheetViews>
  <sheetFormatPr baseColWidth="10" defaultColWidth="10.88671875" defaultRowHeight="13.8" x14ac:dyDescent="0.3"/>
  <cols>
    <col min="1" max="1" width="10.88671875" style="13"/>
    <col min="2" max="2" width="15.44140625" style="13" customWidth="1"/>
    <col min="3" max="3" width="20.6640625" style="13" customWidth="1"/>
    <col min="4" max="9" width="10.88671875" style="13"/>
    <col min="10" max="10" width="18.44140625" style="13" customWidth="1"/>
    <col min="11" max="11" width="15.6640625" style="13" customWidth="1"/>
    <col min="12" max="12" width="10.88671875" style="13"/>
    <col min="13" max="13" width="19.5546875" style="13" customWidth="1"/>
    <col min="14" max="15" width="12.109375" style="13" customWidth="1"/>
    <col min="16" max="16" width="30.88671875" style="13" customWidth="1"/>
    <col min="17" max="16384" width="10.88671875" style="13"/>
  </cols>
  <sheetData>
    <row r="8" spans="2:13" x14ac:dyDescent="0.3">
      <c r="B8" s="342" t="s">
        <v>480</v>
      </c>
      <c r="C8" s="342"/>
      <c r="D8" s="342"/>
      <c r="E8" s="342"/>
      <c r="F8" s="342"/>
      <c r="G8" s="342"/>
      <c r="H8" s="343"/>
      <c r="J8" s="342" t="s">
        <v>481</v>
      </c>
      <c r="K8" s="342"/>
      <c r="L8" s="342"/>
      <c r="M8" s="343"/>
    </row>
    <row r="9" spans="2:13" x14ac:dyDescent="0.3">
      <c r="B9" s="17" t="s">
        <v>482</v>
      </c>
      <c r="C9" s="17" t="s">
        <v>106</v>
      </c>
      <c r="D9" s="344" t="s">
        <v>105</v>
      </c>
      <c r="E9" s="345"/>
      <c r="F9" s="345"/>
      <c r="G9" s="345"/>
      <c r="H9" s="346"/>
      <c r="J9" s="17" t="s">
        <v>114</v>
      </c>
      <c r="K9" s="17" t="s">
        <v>483</v>
      </c>
      <c r="L9" s="17" t="s">
        <v>484</v>
      </c>
      <c r="M9" s="17" t="s">
        <v>32</v>
      </c>
    </row>
    <row r="10" spans="2:13" x14ac:dyDescent="0.3">
      <c r="B10" s="19" t="s">
        <v>103</v>
      </c>
      <c r="C10" s="88">
        <v>0.14899999999999999</v>
      </c>
      <c r="D10" s="336" t="s">
        <v>485</v>
      </c>
      <c r="E10" s="337"/>
      <c r="F10" s="337"/>
      <c r="G10" s="337"/>
      <c r="H10" s="338"/>
      <c r="J10" s="19" t="s">
        <v>486</v>
      </c>
      <c r="K10" s="19" t="s">
        <v>122</v>
      </c>
      <c r="L10" s="70">
        <v>5.944E-2</v>
      </c>
      <c r="M10" s="85" t="s">
        <v>487</v>
      </c>
    </row>
    <row r="11" spans="2:13" x14ac:dyDescent="0.3">
      <c r="B11" s="19" t="s">
        <v>104</v>
      </c>
      <c r="C11" s="88">
        <v>0</v>
      </c>
      <c r="D11" s="336"/>
      <c r="E11" s="337"/>
      <c r="F11" s="337"/>
      <c r="G11" s="337"/>
      <c r="H11" s="338"/>
      <c r="J11" s="19" t="s">
        <v>486</v>
      </c>
      <c r="K11" s="19" t="s">
        <v>123</v>
      </c>
      <c r="L11" s="70">
        <v>7.3749999999999996E-2</v>
      </c>
      <c r="M11" s="85" t="s">
        <v>487</v>
      </c>
    </row>
    <row r="12" spans="2:13" ht="27.6" x14ac:dyDescent="0.3">
      <c r="B12" s="19" t="s">
        <v>107</v>
      </c>
      <c r="C12" s="88">
        <v>0</v>
      </c>
      <c r="D12" s="336"/>
      <c r="E12" s="337"/>
      <c r="F12" s="337"/>
      <c r="G12" s="337"/>
      <c r="H12" s="338"/>
      <c r="J12" s="19" t="s">
        <v>486</v>
      </c>
      <c r="K12" s="19" t="s">
        <v>124</v>
      </c>
      <c r="L12" s="70">
        <v>0.12009</v>
      </c>
      <c r="M12" s="85" t="s">
        <v>487</v>
      </c>
    </row>
    <row r="13" spans="2:13" ht="55.2" x14ac:dyDescent="0.3">
      <c r="B13" s="19" t="s">
        <v>108</v>
      </c>
      <c r="C13" s="88">
        <v>0.27200000000000002</v>
      </c>
      <c r="D13" s="336" t="s">
        <v>488</v>
      </c>
      <c r="E13" s="337"/>
      <c r="F13" s="337"/>
      <c r="G13" s="337"/>
      <c r="H13" s="338"/>
      <c r="J13" s="19" t="s">
        <v>125</v>
      </c>
      <c r="K13" s="19" t="s">
        <v>125</v>
      </c>
      <c r="L13" s="70">
        <v>0.53867000000000009</v>
      </c>
      <c r="M13" s="85" t="s">
        <v>487</v>
      </c>
    </row>
    <row r="14" spans="2:13" x14ac:dyDescent="0.3">
      <c r="J14" s="19" t="s">
        <v>174</v>
      </c>
      <c r="K14" s="19" t="s">
        <v>126</v>
      </c>
      <c r="L14" s="70">
        <v>2.7820000000000001E-2</v>
      </c>
      <c r="M14" s="85" t="s">
        <v>487</v>
      </c>
    </row>
    <row r="15" spans="2:13" x14ac:dyDescent="0.3">
      <c r="B15" s="318" t="s">
        <v>489</v>
      </c>
      <c r="C15" s="318"/>
      <c r="D15" s="318"/>
      <c r="E15" s="318"/>
      <c r="F15" s="318"/>
      <c r="G15" s="318"/>
      <c r="H15" s="318"/>
      <c r="J15" s="19" t="s">
        <v>490</v>
      </c>
      <c r="K15" s="19" t="s">
        <v>127</v>
      </c>
      <c r="L15" s="70">
        <v>3.8578999999999995E-2</v>
      </c>
      <c r="M15" s="85" t="s">
        <v>487</v>
      </c>
    </row>
    <row r="16" spans="2:13" x14ac:dyDescent="0.3">
      <c r="B16" s="101" t="s">
        <v>240</v>
      </c>
      <c r="C16" s="17" t="s">
        <v>491</v>
      </c>
      <c r="D16" s="344" t="s">
        <v>105</v>
      </c>
      <c r="E16" s="345"/>
      <c r="F16" s="345"/>
      <c r="G16" s="345"/>
      <c r="H16" s="346"/>
      <c r="J16" s="19" t="s">
        <v>490</v>
      </c>
      <c r="K16" s="19" t="s">
        <v>128</v>
      </c>
      <c r="L16" s="70">
        <v>1.3232000000000001E-2</v>
      </c>
      <c r="M16" s="85" t="s">
        <v>487</v>
      </c>
    </row>
    <row r="17" spans="2:16" x14ac:dyDescent="0.3">
      <c r="B17" s="103" t="s">
        <v>169</v>
      </c>
      <c r="C17" s="49">
        <v>0.17147999999999999</v>
      </c>
      <c r="D17" s="339" t="s">
        <v>492</v>
      </c>
      <c r="E17" s="340"/>
      <c r="F17" s="340"/>
      <c r="G17" s="340"/>
      <c r="H17" s="341"/>
      <c r="J17" s="19" t="s">
        <v>490</v>
      </c>
      <c r="K17" s="19" t="s">
        <v>129</v>
      </c>
      <c r="L17" s="70">
        <v>5.1659000000000004E-2</v>
      </c>
      <c r="M17" s="85" t="s">
        <v>487</v>
      </c>
    </row>
    <row r="18" spans="2:16" x14ac:dyDescent="0.3">
      <c r="B18" s="103" t="s">
        <v>125</v>
      </c>
      <c r="C18" s="49">
        <v>8.1170000000000006E-2</v>
      </c>
      <c r="D18" s="339" t="s">
        <v>493</v>
      </c>
      <c r="E18" s="340"/>
      <c r="F18" s="340"/>
      <c r="G18" s="340"/>
      <c r="H18" s="341"/>
    </row>
    <row r="19" spans="2:16" x14ac:dyDescent="0.3">
      <c r="B19" s="103" t="s">
        <v>174</v>
      </c>
      <c r="C19" s="49">
        <v>3.5490000000000001E-2</v>
      </c>
      <c r="D19" s="339" t="s">
        <v>494</v>
      </c>
      <c r="E19" s="340"/>
      <c r="F19" s="340"/>
      <c r="G19" s="340"/>
      <c r="H19" s="341"/>
    </row>
    <row r="20" spans="2:16" x14ac:dyDescent="0.3">
      <c r="B20" s="103" t="s">
        <v>176</v>
      </c>
      <c r="C20" s="49">
        <v>0.1009</v>
      </c>
      <c r="D20" s="339" t="s">
        <v>495</v>
      </c>
      <c r="E20" s="340"/>
      <c r="F20" s="340"/>
      <c r="G20" s="340"/>
      <c r="H20" s="341"/>
      <c r="J20" s="342" t="s">
        <v>235</v>
      </c>
      <c r="K20" s="342"/>
      <c r="L20" s="342"/>
      <c r="M20" s="342"/>
      <c r="N20" s="342"/>
      <c r="O20" s="342"/>
      <c r="P20" s="343"/>
    </row>
    <row r="21" spans="2:16" x14ac:dyDescent="0.3">
      <c r="B21" s="102" t="s">
        <v>179</v>
      </c>
      <c r="C21" s="49">
        <v>0.10227</v>
      </c>
      <c r="D21" s="336" t="s">
        <v>496</v>
      </c>
      <c r="E21" s="337"/>
      <c r="F21" s="337"/>
      <c r="G21" s="337"/>
      <c r="H21" s="338"/>
      <c r="J21" s="117" t="s">
        <v>85</v>
      </c>
      <c r="K21" s="118" t="s">
        <v>111</v>
      </c>
      <c r="L21" s="119" t="s">
        <v>32</v>
      </c>
      <c r="M21" s="101" t="s">
        <v>105</v>
      </c>
      <c r="N21" s="101" t="s">
        <v>497</v>
      </c>
      <c r="O21" s="101" t="s">
        <v>498</v>
      </c>
      <c r="P21" s="101" t="s">
        <v>499</v>
      </c>
    </row>
    <row r="22" spans="2:16" x14ac:dyDescent="0.3">
      <c r="D22" s="113"/>
      <c r="E22" s="113"/>
      <c r="F22" s="113"/>
      <c r="G22" s="113"/>
      <c r="H22" s="113"/>
      <c r="J22" s="120" t="s">
        <v>500</v>
      </c>
      <c r="K22" s="88">
        <v>7.7589015999999997</v>
      </c>
      <c r="L22" s="122" t="s">
        <v>501</v>
      </c>
      <c r="M22" s="104" t="s">
        <v>502</v>
      </c>
      <c r="N22" s="105"/>
      <c r="O22" s="105"/>
      <c r="P22" s="105"/>
    </row>
    <row r="23" spans="2:16" ht="16.5" customHeight="1" x14ac:dyDescent="0.3">
      <c r="B23" s="335" t="s">
        <v>503</v>
      </c>
      <c r="C23" s="325"/>
      <c r="D23" s="325"/>
      <c r="E23" s="325"/>
      <c r="F23" s="325"/>
      <c r="G23" s="325"/>
      <c r="H23" s="326"/>
      <c r="J23" s="120" t="s">
        <v>150</v>
      </c>
      <c r="K23" s="74">
        <v>79.973672608544746</v>
      </c>
      <c r="L23" s="122" t="s">
        <v>501</v>
      </c>
      <c r="M23" s="104" t="s">
        <v>502</v>
      </c>
      <c r="N23" s="105"/>
      <c r="O23" s="105"/>
      <c r="P23" s="105"/>
    </row>
    <row r="24" spans="2:16" x14ac:dyDescent="0.3">
      <c r="B24" s="101" t="s">
        <v>240</v>
      </c>
      <c r="C24" s="17" t="s">
        <v>491</v>
      </c>
      <c r="D24" s="106" t="s">
        <v>105</v>
      </c>
      <c r="E24" s="107"/>
      <c r="F24" s="107"/>
      <c r="G24" s="107"/>
      <c r="H24" s="108"/>
      <c r="J24" s="116" t="s">
        <v>504</v>
      </c>
      <c r="K24" s="74">
        <v>27</v>
      </c>
      <c r="L24" s="122" t="s">
        <v>501</v>
      </c>
      <c r="M24" s="104" t="s">
        <v>502</v>
      </c>
      <c r="N24" s="105"/>
      <c r="O24" s="105"/>
      <c r="P24" s="105"/>
    </row>
    <row r="25" spans="2:16" ht="27.6" x14ac:dyDescent="0.3">
      <c r="B25" s="103" t="s">
        <v>210</v>
      </c>
      <c r="C25" s="49">
        <v>0.17430999999999999</v>
      </c>
      <c r="D25" s="339" t="s">
        <v>251</v>
      </c>
      <c r="E25" s="340"/>
      <c r="F25" s="340"/>
      <c r="G25" s="340"/>
      <c r="H25" s="341"/>
      <c r="J25" s="116" t="s">
        <v>505</v>
      </c>
      <c r="K25" s="121">
        <v>39.212491828577981</v>
      </c>
      <c r="L25" s="122" t="s">
        <v>501</v>
      </c>
      <c r="M25" s="104" t="s">
        <v>502</v>
      </c>
      <c r="N25" s="109"/>
      <c r="O25" s="109"/>
      <c r="P25" s="109"/>
    </row>
    <row r="26" spans="2:16" x14ac:dyDescent="0.3">
      <c r="B26" s="103" t="s">
        <v>208</v>
      </c>
      <c r="C26" s="49">
        <v>0.16843</v>
      </c>
      <c r="D26" s="339" t="s">
        <v>255</v>
      </c>
      <c r="E26" s="340">
        <v>7.0999999999999998E-6</v>
      </c>
      <c r="F26" s="340"/>
      <c r="G26" s="340"/>
      <c r="H26" s="341"/>
      <c r="J26" s="116" t="s">
        <v>506</v>
      </c>
      <c r="K26" s="121">
        <v>241.7589016</v>
      </c>
      <c r="L26" s="122" t="s">
        <v>501</v>
      </c>
      <c r="M26" s="104" t="s">
        <v>502</v>
      </c>
      <c r="N26" s="109"/>
      <c r="O26" s="109"/>
      <c r="P26" s="109"/>
    </row>
    <row r="27" spans="2:16" x14ac:dyDescent="0.3">
      <c r="B27" s="103" t="s">
        <v>209</v>
      </c>
      <c r="C27" s="49">
        <v>0.11952</v>
      </c>
      <c r="D27" s="339" t="s">
        <v>258</v>
      </c>
      <c r="E27" s="340">
        <v>4.1999999999999996E-6</v>
      </c>
      <c r="F27" s="340"/>
      <c r="G27" s="340"/>
      <c r="H27" s="341"/>
      <c r="J27" s="116" t="s">
        <v>507</v>
      </c>
      <c r="K27" s="74">
        <v>131.7589016</v>
      </c>
      <c r="L27" s="122" t="s">
        <v>501</v>
      </c>
      <c r="M27" s="104" t="s">
        <v>502</v>
      </c>
      <c r="N27" s="105"/>
      <c r="O27" s="105"/>
      <c r="P27" s="105"/>
    </row>
    <row r="28" spans="2:16" x14ac:dyDescent="0.3">
      <c r="B28" s="103" t="s">
        <v>508</v>
      </c>
      <c r="C28" s="49">
        <v>9.6939999999999998E-2</v>
      </c>
      <c r="D28" s="339" t="s">
        <v>261</v>
      </c>
      <c r="E28" s="340">
        <v>1.5E-6</v>
      </c>
      <c r="F28" s="340"/>
      <c r="G28" s="340"/>
      <c r="H28" s="341"/>
      <c r="J28" s="116" t="s">
        <v>152</v>
      </c>
      <c r="K28" s="74">
        <v>1861.7589015999999</v>
      </c>
      <c r="L28" s="122" t="s">
        <v>501</v>
      </c>
      <c r="M28" s="104" t="s">
        <v>502</v>
      </c>
      <c r="N28" s="105"/>
      <c r="O28" s="105"/>
      <c r="P28" s="105"/>
    </row>
    <row r="29" spans="2:16" x14ac:dyDescent="0.3">
      <c r="B29" s="103" t="s">
        <v>509</v>
      </c>
      <c r="C29" s="49">
        <v>5.4769999999999999E-2</v>
      </c>
      <c r="D29" s="339" t="s">
        <v>263</v>
      </c>
      <c r="E29" s="340">
        <v>1.3E-6</v>
      </c>
      <c r="F29" s="340"/>
      <c r="G29" s="340"/>
      <c r="H29" s="341"/>
      <c r="J29" s="116" t="s">
        <v>510</v>
      </c>
      <c r="K29" s="74">
        <v>3975.823373347368</v>
      </c>
      <c r="L29" s="122" t="s">
        <v>501</v>
      </c>
      <c r="M29" s="104" t="s">
        <v>502</v>
      </c>
      <c r="N29" s="105"/>
      <c r="O29" s="105"/>
      <c r="P29" s="105"/>
    </row>
    <row r="30" spans="2:16" x14ac:dyDescent="0.3">
      <c r="B30" s="103" t="s">
        <v>511</v>
      </c>
      <c r="C30" s="49">
        <v>0.17624000000000001</v>
      </c>
      <c r="D30" s="339" t="s">
        <v>265</v>
      </c>
      <c r="E30" s="340">
        <v>1.5E-6</v>
      </c>
      <c r="F30" s="340"/>
      <c r="G30" s="340"/>
      <c r="H30" s="341"/>
      <c r="J30" s="116" t="s">
        <v>154</v>
      </c>
      <c r="K30" s="74">
        <v>0.98</v>
      </c>
      <c r="L30" s="122" t="s">
        <v>501</v>
      </c>
      <c r="M30" s="104" t="s">
        <v>512</v>
      </c>
      <c r="N30" s="105"/>
      <c r="O30" s="105"/>
      <c r="P30" s="105"/>
    </row>
    <row r="31" spans="2:16" x14ac:dyDescent="0.3">
      <c r="B31" s="103" t="s">
        <v>513</v>
      </c>
      <c r="C31" s="49">
        <v>0.17147999999999999</v>
      </c>
      <c r="D31" s="339" t="s">
        <v>267</v>
      </c>
      <c r="E31" s="340">
        <v>4.1999999999999996E-6</v>
      </c>
      <c r="F31" s="340"/>
      <c r="G31" s="340"/>
      <c r="H31" s="341"/>
      <c r="J31" s="116" t="s">
        <v>153</v>
      </c>
      <c r="K31" s="74">
        <v>1401</v>
      </c>
      <c r="L31" s="122" t="s">
        <v>501</v>
      </c>
      <c r="M31" s="104" t="s">
        <v>502</v>
      </c>
      <c r="N31" s="105"/>
      <c r="O31" s="105"/>
      <c r="P31" s="105"/>
    </row>
    <row r="32" spans="2:16" ht="12.9" customHeight="1" x14ac:dyDescent="0.3">
      <c r="B32" s="103" t="s">
        <v>176</v>
      </c>
      <c r="C32" s="49">
        <v>0.1009</v>
      </c>
      <c r="D32" s="339" t="s">
        <v>495</v>
      </c>
      <c r="E32" s="340"/>
      <c r="F32" s="340"/>
      <c r="G32" s="340"/>
      <c r="H32" s="341"/>
      <c r="J32" s="116" t="s">
        <v>514</v>
      </c>
      <c r="K32" s="74">
        <v>120.05000000000001</v>
      </c>
      <c r="L32" s="122" t="s">
        <v>501</v>
      </c>
      <c r="M32" s="104" t="s">
        <v>502</v>
      </c>
      <c r="N32" s="105"/>
      <c r="O32" s="105"/>
      <c r="P32" s="105"/>
    </row>
    <row r="33" spans="1:16" x14ac:dyDescent="0.3">
      <c r="B33" s="102" t="s">
        <v>179</v>
      </c>
      <c r="C33" s="49">
        <v>0.10227</v>
      </c>
      <c r="D33" s="336" t="s">
        <v>496</v>
      </c>
      <c r="E33" s="337"/>
      <c r="F33" s="337"/>
      <c r="G33" s="337"/>
      <c r="H33" s="338"/>
      <c r="J33" s="116" t="s">
        <v>515</v>
      </c>
      <c r="K33" s="74">
        <v>3335.5718997142853</v>
      </c>
      <c r="L33" s="122" t="s">
        <v>501</v>
      </c>
      <c r="M33" s="104" t="s">
        <v>502</v>
      </c>
      <c r="N33" s="105"/>
      <c r="O33" s="105"/>
      <c r="P33" s="105"/>
    </row>
    <row r="34" spans="1:16" x14ac:dyDescent="0.3">
      <c r="D34" s="113"/>
      <c r="E34" s="113"/>
      <c r="F34" s="113"/>
      <c r="G34" s="113"/>
      <c r="H34" s="113"/>
      <c r="J34" s="116" t="s">
        <v>151</v>
      </c>
      <c r="K34" s="74">
        <v>312.61178017290251</v>
      </c>
      <c r="L34" s="122" t="s">
        <v>501</v>
      </c>
      <c r="M34" s="104" t="s">
        <v>502</v>
      </c>
      <c r="N34" s="105"/>
      <c r="O34" s="105"/>
      <c r="P34" s="105"/>
    </row>
    <row r="35" spans="1:16" x14ac:dyDescent="0.3">
      <c r="J35" s="116" t="s">
        <v>516</v>
      </c>
      <c r="K35" s="74" t="s">
        <v>517</v>
      </c>
      <c r="L35" s="122" t="s">
        <v>501</v>
      </c>
      <c r="M35" s="104" t="s">
        <v>502</v>
      </c>
      <c r="N35" s="105"/>
      <c r="O35" s="105"/>
      <c r="P35" s="105"/>
    </row>
    <row r="36" spans="1:16" x14ac:dyDescent="0.3">
      <c r="B36" s="335" t="s">
        <v>231</v>
      </c>
      <c r="C36" s="325"/>
      <c r="E36" s="16"/>
      <c r="J36" s="116" t="s">
        <v>518</v>
      </c>
      <c r="K36" s="74">
        <v>1402.7666666666664</v>
      </c>
      <c r="L36" s="122" t="s">
        <v>501</v>
      </c>
      <c r="M36" s="104" t="s">
        <v>502</v>
      </c>
      <c r="N36" s="105"/>
      <c r="O36" s="105"/>
      <c r="P36" s="105"/>
    </row>
    <row r="37" spans="1:16" ht="27.6" x14ac:dyDescent="0.3">
      <c r="A37" s="125"/>
      <c r="B37" s="17" t="s">
        <v>88</v>
      </c>
      <c r="C37" s="17" t="s">
        <v>519</v>
      </c>
      <c r="J37" s="116" t="s">
        <v>520</v>
      </c>
      <c r="K37" s="74">
        <v>22310</v>
      </c>
      <c r="L37" s="122" t="s">
        <v>501</v>
      </c>
      <c r="M37" s="104" t="s">
        <v>502</v>
      </c>
      <c r="N37" s="105"/>
      <c r="O37" s="105"/>
      <c r="P37" s="105"/>
    </row>
    <row r="38" spans="1:16" x14ac:dyDescent="0.3">
      <c r="A38" s="15"/>
      <c r="B38" s="85" t="s">
        <v>316</v>
      </c>
      <c r="C38" s="124">
        <v>56</v>
      </c>
      <c r="J38" s="116" t="s">
        <v>521</v>
      </c>
      <c r="K38" s="74">
        <v>3701.4035930512041</v>
      </c>
      <c r="L38" s="122" t="s">
        <v>501</v>
      </c>
      <c r="M38" s="104" t="s">
        <v>502</v>
      </c>
      <c r="N38" s="105"/>
      <c r="O38" s="105"/>
      <c r="P38" s="105"/>
    </row>
    <row r="39" spans="1:16" ht="27.6" x14ac:dyDescent="0.3">
      <c r="A39" s="15"/>
      <c r="B39" s="123" t="s">
        <v>173</v>
      </c>
      <c r="C39" s="124">
        <v>42.6</v>
      </c>
      <c r="J39" s="116" t="s">
        <v>522</v>
      </c>
      <c r="K39" s="74">
        <v>113.3089069767442</v>
      </c>
      <c r="L39" s="122" t="s">
        <v>501</v>
      </c>
      <c r="M39" s="104" t="s">
        <v>502</v>
      </c>
      <c r="N39" s="105"/>
      <c r="O39" s="105"/>
      <c r="P39" s="105"/>
    </row>
    <row r="40" spans="1:16" ht="41.4" x14ac:dyDescent="0.3">
      <c r="A40" s="15"/>
      <c r="B40" s="123" t="s">
        <v>318</v>
      </c>
      <c r="C40" s="124">
        <v>13.9</v>
      </c>
      <c r="J40" s="116" t="s">
        <v>523</v>
      </c>
      <c r="K40" s="74">
        <v>116.1255319767442</v>
      </c>
      <c r="L40" s="122" t="s">
        <v>501</v>
      </c>
      <c r="M40" s="104" t="s">
        <v>502</v>
      </c>
      <c r="N40" s="105"/>
      <c r="O40" s="105"/>
      <c r="P40" s="105"/>
    </row>
    <row r="41" spans="1:16" ht="27.6" x14ac:dyDescent="0.3">
      <c r="A41" s="15"/>
      <c r="B41" s="123" t="s">
        <v>323</v>
      </c>
      <c r="C41" s="124">
        <v>10.9</v>
      </c>
      <c r="J41" s="116" t="s">
        <v>524</v>
      </c>
      <c r="K41" s="74">
        <v>4363.3333333333339</v>
      </c>
      <c r="L41" s="122" t="s">
        <v>501</v>
      </c>
      <c r="M41" s="104" t="s">
        <v>502</v>
      </c>
      <c r="N41" s="105"/>
      <c r="O41" s="105"/>
      <c r="P41" s="105"/>
    </row>
    <row r="42" spans="1:16" x14ac:dyDescent="0.3">
      <c r="A42" s="15"/>
      <c r="B42" s="123" t="s">
        <v>328</v>
      </c>
      <c r="C42" s="124">
        <v>12.3</v>
      </c>
      <c r="J42" s="116" t="s">
        <v>525</v>
      </c>
      <c r="K42" s="74">
        <v>3267</v>
      </c>
      <c r="L42" s="122" t="s">
        <v>501</v>
      </c>
      <c r="M42" s="104" t="s">
        <v>502</v>
      </c>
      <c r="N42" s="105"/>
      <c r="O42" s="105"/>
      <c r="P42" s="105"/>
    </row>
    <row r="43" spans="1:16" x14ac:dyDescent="0.3">
      <c r="A43" s="15"/>
      <c r="B43" s="123" t="s">
        <v>333</v>
      </c>
      <c r="C43" s="124">
        <v>16.100000000000001</v>
      </c>
      <c r="J43" s="116" t="s">
        <v>526</v>
      </c>
      <c r="K43" s="74">
        <v>24865.47556489753</v>
      </c>
      <c r="L43" s="122" t="s">
        <v>501</v>
      </c>
      <c r="M43" s="104" t="s">
        <v>502</v>
      </c>
      <c r="N43" s="105"/>
      <c r="O43" s="105"/>
      <c r="P43" s="105"/>
    </row>
    <row r="44" spans="1:16" x14ac:dyDescent="0.3">
      <c r="A44" s="15"/>
      <c r="B44" s="123" t="s">
        <v>334</v>
      </c>
      <c r="C44" s="124">
        <v>30.5</v>
      </c>
      <c r="J44" s="116" t="s">
        <v>527</v>
      </c>
      <c r="K44" s="74">
        <v>5647.9456339952421</v>
      </c>
      <c r="L44" s="122" t="s">
        <v>501</v>
      </c>
      <c r="M44" s="104" t="s">
        <v>502</v>
      </c>
      <c r="N44" s="105"/>
      <c r="O44" s="105"/>
      <c r="P44" s="105"/>
    </row>
    <row r="45" spans="1:16" x14ac:dyDescent="0.3">
      <c r="A45" s="15"/>
      <c r="B45" s="123" t="s">
        <v>528</v>
      </c>
      <c r="C45" s="124">
        <v>62.9</v>
      </c>
      <c r="J45" s="116" t="s">
        <v>112</v>
      </c>
      <c r="K45" s="74">
        <v>4633.478260869565</v>
      </c>
      <c r="L45" s="122" t="s">
        <v>501</v>
      </c>
      <c r="M45" s="104" t="s">
        <v>502</v>
      </c>
      <c r="N45" s="105"/>
      <c r="O45" s="105"/>
      <c r="P45" s="105"/>
    </row>
    <row r="46" spans="1:16" x14ac:dyDescent="0.3">
      <c r="A46" s="15"/>
      <c r="B46" s="123" t="s">
        <v>336</v>
      </c>
      <c r="C46" s="124">
        <v>13.5</v>
      </c>
      <c r="J46" s="116" t="s">
        <v>529</v>
      </c>
      <c r="K46" s="74">
        <v>6308</v>
      </c>
      <c r="L46" s="122" t="s">
        <v>501</v>
      </c>
      <c r="M46" s="104" t="s">
        <v>502</v>
      </c>
      <c r="N46" s="105"/>
      <c r="O46" s="105"/>
      <c r="P46" s="105"/>
    </row>
    <row r="47" spans="1:16" x14ac:dyDescent="0.3">
      <c r="A47" s="15"/>
      <c r="B47" s="123" t="s">
        <v>339</v>
      </c>
      <c r="C47" s="124">
        <v>7.5</v>
      </c>
      <c r="J47" s="116" t="s">
        <v>530</v>
      </c>
      <c r="K47" s="74">
        <v>28380</v>
      </c>
      <c r="L47" s="122" t="s">
        <v>501</v>
      </c>
      <c r="M47" s="104" t="s">
        <v>502</v>
      </c>
      <c r="N47" s="105"/>
      <c r="O47" s="105"/>
      <c r="P47" s="105"/>
    </row>
    <row r="48" spans="1:16" ht="41.4" x14ac:dyDescent="0.3">
      <c r="A48" s="15"/>
      <c r="B48" s="123" t="s">
        <v>345</v>
      </c>
      <c r="C48" s="124">
        <v>36.200000000000003</v>
      </c>
      <c r="J48" s="116" t="s">
        <v>531</v>
      </c>
      <c r="K48" s="74">
        <v>9122.6364000000012</v>
      </c>
      <c r="L48" s="122" t="s">
        <v>501</v>
      </c>
      <c r="M48" s="104" t="s">
        <v>502</v>
      </c>
      <c r="N48" s="105"/>
      <c r="O48" s="105"/>
      <c r="P48" s="105"/>
    </row>
    <row r="49" spans="1:16" x14ac:dyDescent="0.3">
      <c r="A49" s="15"/>
      <c r="B49" s="123" t="s">
        <v>349</v>
      </c>
      <c r="C49" s="124">
        <v>56.5</v>
      </c>
      <c r="J49" s="116" t="s">
        <v>532</v>
      </c>
      <c r="K49" s="74">
        <v>5268.5564000000004</v>
      </c>
      <c r="L49" s="122" t="s">
        <v>501</v>
      </c>
      <c r="M49" s="104" t="s">
        <v>502</v>
      </c>
      <c r="N49" s="105"/>
      <c r="O49" s="105"/>
      <c r="P49" s="105"/>
    </row>
    <row r="50" spans="1:16" x14ac:dyDescent="0.3">
      <c r="A50" s="15"/>
      <c r="B50" s="123" t="s">
        <v>533</v>
      </c>
      <c r="C50" s="124">
        <v>47.8</v>
      </c>
      <c r="J50" s="116" t="s">
        <v>147</v>
      </c>
      <c r="K50" s="74">
        <v>3682.6829001536098</v>
      </c>
      <c r="L50" s="122" t="s">
        <v>501</v>
      </c>
      <c r="M50" s="104" t="s">
        <v>502</v>
      </c>
      <c r="N50" s="105"/>
      <c r="O50" s="105"/>
      <c r="P50" s="105"/>
    </row>
    <row r="51" spans="1:16" x14ac:dyDescent="0.3">
      <c r="A51" s="15"/>
      <c r="B51" s="123" t="s">
        <v>185</v>
      </c>
      <c r="C51" s="124">
        <v>6.5</v>
      </c>
      <c r="J51" s="116" t="s">
        <v>534</v>
      </c>
      <c r="K51" s="74">
        <v>3100.6363999999999</v>
      </c>
      <c r="L51" s="122" t="s">
        <v>501</v>
      </c>
      <c r="M51" s="104" t="s">
        <v>502</v>
      </c>
      <c r="N51" s="105"/>
      <c r="O51" s="105"/>
      <c r="P51" s="105"/>
    </row>
    <row r="52" spans="1:16" ht="27.6" x14ac:dyDescent="0.3">
      <c r="A52" s="15"/>
      <c r="B52" s="123" t="s">
        <v>187</v>
      </c>
      <c r="C52" s="124">
        <v>17</v>
      </c>
      <c r="J52" s="116" t="s">
        <v>148</v>
      </c>
      <c r="K52" s="74">
        <v>3116.2915638696181</v>
      </c>
      <c r="L52" s="122" t="s">
        <v>501</v>
      </c>
      <c r="M52" s="104" t="s">
        <v>502</v>
      </c>
      <c r="N52" s="105"/>
      <c r="O52" s="105"/>
      <c r="P52" s="105"/>
    </row>
    <row r="53" spans="1:16" ht="27.6" x14ac:dyDescent="0.3">
      <c r="A53" s="15"/>
      <c r="B53" s="123" t="s">
        <v>360</v>
      </c>
      <c r="C53" s="124">
        <v>43</v>
      </c>
      <c r="J53" s="116" t="s">
        <v>535</v>
      </c>
      <c r="K53" s="74">
        <v>2574.1647528352833</v>
      </c>
      <c r="L53" s="122" t="s">
        <v>501</v>
      </c>
      <c r="M53" s="104" t="s">
        <v>502</v>
      </c>
      <c r="N53" s="105"/>
      <c r="O53" s="105"/>
      <c r="P53" s="105"/>
    </row>
    <row r="54" spans="1:16" ht="27.6" x14ac:dyDescent="0.3">
      <c r="A54" s="15"/>
      <c r="B54" s="123" t="s">
        <v>536</v>
      </c>
      <c r="C54" s="124">
        <v>65.900000000000006</v>
      </c>
      <c r="J54" s="116" t="s">
        <v>149</v>
      </c>
      <c r="K54" s="74">
        <v>3276.7069334313005</v>
      </c>
      <c r="L54" s="122" t="s">
        <v>501</v>
      </c>
      <c r="M54" s="104" t="s">
        <v>502</v>
      </c>
      <c r="N54" s="105"/>
      <c r="O54" s="105"/>
      <c r="P54" s="105"/>
    </row>
    <row r="55" spans="1:16" ht="27.6" x14ac:dyDescent="0.3">
      <c r="A55" s="15"/>
      <c r="B55" s="123" t="s">
        <v>367</v>
      </c>
      <c r="C55" s="124">
        <v>75.5</v>
      </c>
      <c r="J55" s="116" t="s">
        <v>537</v>
      </c>
      <c r="K55" s="74">
        <v>3269.8388922118374</v>
      </c>
      <c r="L55" s="122" t="s">
        <v>501</v>
      </c>
      <c r="M55" s="104" t="s">
        <v>502</v>
      </c>
      <c r="N55" s="105"/>
      <c r="O55" s="105"/>
      <c r="P55" s="105"/>
    </row>
    <row r="56" spans="1:16" ht="27.6" x14ac:dyDescent="0.3">
      <c r="A56" s="15"/>
      <c r="B56" s="123" t="s">
        <v>368</v>
      </c>
      <c r="C56" s="124">
        <v>89.1</v>
      </c>
      <c r="J56" s="116" t="s">
        <v>538</v>
      </c>
      <c r="K56" s="74">
        <v>2600.6363999999999</v>
      </c>
      <c r="L56" s="122" t="s">
        <v>501</v>
      </c>
      <c r="M56" s="104" t="s">
        <v>502</v>
      </c>
      <c r="N56" s="105"/>
      <c r="O56" s="105"/>
      <c r="P56" s="105"/>
    </row>
    <row r="57" spans="1:16" ht="27.6" x14ac:dyDescent="0.3">
      <c r="A57" s="15"/>
      <c r="B57" s="123" t="s">
        <v>371</v>
      </c>
      <c r="C57" s="124">
        <v>25</v>
      </c>
      <c r="J57" s="116" t="s">
        <v>539</v>
      </c>
      <c r="K57" s="74">
        <v>4032.3924975609766</v>
      </c>
      <c r="L57" s="122" t="s">
        <v>501</v>
      </c>
      <c r="M57" s="104" t="s">
        <v>502</v>
      </c>
      <c r="N57" s="105"/>
      <c r="O57" s="105"/>
      <c r="P57" s="105"/>
    </row>
    <row r="58" spans="1:16" ht="27.6" x14ac:dyDescent="0.3">
      <c r="A58" s="15"/>
      <c r="B58" s="123" t="s">
        <v>372</v>
      </c>
      <c r="C58" s="124">
        <v>54</v>
      </c>
      <c r="J58" s="116" t="s">
        <v>540</v>
      </c>
      <c r="K58" s="74">
        <v>3104.7269923344943</v>
      </c>
      <c r="L58" s="122" t="s">
        <v>501</v>
      </c>
      <c r="M58" s="104" t="s">
        <v>502</v>
      </c>
      <c r="N58" s="105"/>
      <c r="O58" s="105"/>
      <c r="P58" s="105"/>
    </row>
    <row r="59" spans="1:16" ht="27.6" x14ac:dyDescent="0.3">
      <c r="A59" s="15"/>
      <c r="B59" s="123" t="s">
        <v>373</v>
      </c>
      <c r="C59" s="124">
        <v>20.2</v>
      </c>
      <c r="J59" s="116" t="s">
        <v>541</v>
      </c>
      <c r="K59" s="74">
        <v>3777.9489000000003</v>
      </c>
      <c r="L59" s="122" t="s">
        <v>501</v>
      </c>
      <c r="M59" s="104" t="s">
        <v>502</v>
      </c>
      <c r="N59" s="105"/>
      <c r="O59" s="105"/>
      <c r="P59" s="105"/>
    </row>
    <row r="60" spans="1:16" ht="27.6" x14ac:dyDescent="0.3">
      <c r="A60" s="15"/>
      <c r="B60" s="123" t="s">
        <v>375</v>
      </c>
      <c r="C60" s="124">
        <v>60.6</v>
      </c>
      <c r="J60" s="116" t="s">
        <v>542</v>
      </c>
      <c r="K60" s="74">
        <v>3413.0841611940295</v>
      </c>
      <c r="L60" s="122" t="s">
        <v>501</v>
      </c>
      <c r="M60" s="104" t="s">
        <v>502</v>
      </c>
      <c r="N60" s="105"/>
      <c r="O60" s="105"/>
      <c r="P60" s="105"/>
    </row>
    <row r="61" spans="1:16" ht="27.6" x14ac:dyDescent="0.3">
      <c r="A61" s="15"/>
      <c r="B61" s="123" t="s">
        <v>376</v>
      </c>
      <c r="C61" s="124">
        <v>62.4</v>
      </c>
      <c r="J61" s="116" t="s">
        <v>543</v>
      </c>
      <c r="K61" s="74">
        <v>821.23388921466801</v>
      </c>
      <c r="L61" s="122" t="s">
        <v>501</v>
      </c>
      <c r="M61" s="104" t="s">
        <v>502</v>
      </c>
      <c r="N61" s="105"/>
      <c r="O61" s="105"/>
      <c r="P61" s="105"/>
    </row>
    <row r="62" spans="1:16" ht="27.6" x14ac:dyDescent="0.3">
      <c r="A62" s="15"/>
      <c r="B62" s="123" t="s">
        <v>178</v>
      </c>
      <c r="C62" s="124">
        <v>61.2</v>
      </c>
      <c r="J62" s="116" t="s">
        <v>141</v>
      </c>
      <c r="K62" s="74">
        <v>881.18936143085875</v>
      </c>
      <c r="L62" s="122" t="s">
        <v>501</v>
      </c>
      <c r="M62" s="104" t="s">
        <v>502</v>
      </c>
      <c r="N62" s="105"/>
      <c r="O62" s="105"/>
      <c r="P62" s="105"/>
    </row>
    <row r="63" spans="1:16" ht="27.6" x14ac:dyDescent="0.3">
      <c r="A63" s="15"/>
      <c r="B63" s="123" t="s">
        <v>544</v>
      </c>
      <c r="C63" s="124">
        <v>75.599999999999994</v>
      </c>
      <c r="J63" s="116" t="s">
        <v>545</v>
      </c>
      <c r="K63" s="74">
        <v>919.39628000000005</v>
      </c>
      <c r="L63" s="122" t="s">
        <v>501</v>
      </c>
      <c r="M63" s="104" t="s">
        <v>502</v>
      </c>
      <c r="N63" s="105"/>
      <c r="O63" s="105"/>
      <c r="P63" s="105"/>
    </row>
    <row r="64" spans="1:16" x14ac:dyDescent="0.3">
      <c r="A64" s="15"/>
      <c r="B64" s="123" t="s">
        <v>389</v>
      </c>
      <c r="C64" s="124">
        <v>83</v>
      </c>
    </row>
    <row r="65" spans="1:3" x14ac:dyDescent="0.3">
      <c r="A65" s="15"/>
      <c r="B65" s="123" t="s">
        <v>546</v>
      </c>
      <c r="C65" s="124">
        <v>183.3</v>
      </c>
    </row>
    <row r="66" spans="1:3" x14ac:dyDescent="0.3">
      <c r="A66" s="15"/>
      <c r="B66" s="123" t="s">
        <v>392</v>
      </c>
      <c r="C66" s="124">
        <v>25.9</v>
      </c>
    </row>
    <row r="67" spans="1:3" x14ac:dyDescent="0.3">
      <c r="A67" s="15"/>
      <c r="B67" s="123" t="s">
        <v>180</v>
      </c>
      <c r="C67" s="124">
        <v>20.9</v>
      </c>
    </row>
    <row r="68" spans="1:3" x14ac:dyDescent="0.3">
      <c r="A68" s="15"/>
      <c r="B68" s="123" t="s">
        <v>401</v>
      </c>
      <c r="C68" s="124">
        <v>10.4</v>
      </c>
    </row>
    <row r="69" spans="1:3" x14ac:dyDescent="0.3">
      <c r="A69" s="15"/>
      <c r="B69" s="123" t="s">
        <v>409</v>
      </c>
      <c r="C69" s="124">
        <v>22.1</v>
      </c>
    </row>
    <row r="70" spans="1:3" x14ac:dyDescent="0.3">
      <c r="A70" s="15"/>
      <c r="B70" s="123" t="s">
        <v>411</v>
      </c>
      <c r="C70" s="124">
        <v>22.5</v>
      </c>
    </row>
    <row r="71" spans="1:3" x14ac:dyDescent="0.3">
      <c r="A71" s="15"/>
      <c r="B71" s="123" t="s">
        <v>412</v>
      </c>
      <c r="C71" s="124">
        <v>44.2</v>
      </c>
    </row>
    <row r="72" spans="1:3" x14ac:dyDescent="0.3">
      <c r="A72" s="15"/>
      <c r="B72" s="123" t="s">
        <v>413</v>
      </c>
      <c r="C72" s="124">
        <v>33.200000000000003</v>
      </c>
    </row>
    <row r="73" spans="1:3" x14ac:dyDescent="0.3">
      <c r="A73" s="15"/>
      <c r="B73" s="123" t="s">
        <v>414</v>
      </c>
      <c r="C73" s="124">
        <v>26</v>
      </c>
    </row>
    <row r="74" spans="1:3" x14ac:dyDescent="0.3">
      <c r="A74" s="15"/>
      <c r="B74" s="123" t="s">
        <v>415</v>
      </c>
      <c r="C74" s="124">
        <v>126.8</v>
      </c>
    </row>
    <row r="75" spans="1:3" x14ac:dyDescent="0.3">
      <c r="A75" s="15"/>
      <c r="B75" s="123" t="s">
        <v>416</v>
      </c>
      <c r="C75" s="124">
        <v>25.5</v>
      </c>
    </row>
    <row r="76" spans="1:3" ht="27.6" x14ac:dyDescent="0.3">
      <c r="A76" s="15"/>
      <c r="B76" s="123" t="s">
        <v>417</v>
      </c>
      <c r="C76" s="124">
        <v>31.8</v>
      </c>
    </row>
    <row r="77" spans="1:3" x14ac:dyDescent="0.3">
      <c r="A77" s="15"/>
      <c r="B77" s="123" t="s">
        <v>184</v>
      </c>
      <c r="C77" s="124">
        <v>114.5</v>
      </c>
    </row>
    <row r="78" spans="1:3" x14ac:dyDescent="0.3">
      <c r="A78" s="15"/>
      <c r="B78" s="123" t="s">
        <v>171</v>
      </c>
      <c r="C78" s="124">
        <v>37.799999999999997</v>
      </c>
    </row>
    <row r="79" spans="1:3" x14ac:dyDescent="0.3">
      <c r="A79" s="15"/>
      <c r="B79" s="123" t="s">
        <v>420</v>
      </c>
      <c r="C79" s="124">
        <v>19.100000000000001</v>
      </c>
    </row>
    <row r="80" spans="1:3" x14ac:dyDescent="0.3">
      <c r="A80" s="15"/>
      <c r="B80" s="123" t="s">
        <v>422</v>
      </c>
      <c r="C80" s="124">
        <v>61</v>
      </c>
    </row>
    <row r="81" spans="1:3" x14ac:dyDescent="0.3">
      <c r="A81" s="15"/>
      <c r="B81" s="123" t="s">
        <v>99</v>
      </c>
      <c r="C81" s="124">
        <v>18.7</v>
      </c>
    </row>
    <row r="82" spans="1:3" x14ac:dyDescent="0.3">
      <c r="A82" s="15"/>
      <c r="B82" s="123" t="s">
        <v>428</v>
      </c>
      <c r="C82" s="124">
        <v>7.4</v>
      </c>
    </row>
    <row r="83" spans="1:3" x14ac:dyDescent="0.3">
      <c r="A83" s="15"/>
      <c r="B83" s="123" t="s">
        <v>547</v>
      </c>
      <c r="C83" s="124">
        <v>77.3</v>
      </c>
    </row>
    <row r="84" spans="1:3" x14ac:dyDescent="0.3">
      <c r="A84" s="15"/>
      <c r="B84" s="123" t="s">
        <v>433</v>
      </c>
      <c r="C84" s="124">
        <v>51</v>
      </c>
    </row>
    <row r="85" spans="1:3" x14ac:dyDescent="0.3">
      <c r="A85" s="15"/>
      <c r="B85" s="123" t="s">
        <v>437</v>
      </c>
      <c r="C85" s="124">
        <v>33.6</v>
      </c>
    </row>
    <row r="86" spans="1:3" ht="27.6" x14ac:dyDescent="0.3">
      <c r="A86" s="15"/>
      <c r="B86" s="123" t="s">
        <v>182</v>
      </c>
      <c r="C86" s="124">
        <v>114.4</v>
      </c>
    </row>
    <row r="87" spans="1:3" x14ac:dyDescent="0.3">
      <c r="A87" s="15"/>
      <c r="B87" s="123" t="s">
        <v>175</v>
      </c>
      <c r="C87" s="124">
        <v>19.7</v>
      </c>
    </row>
    <row r="88" spans="1:3" x14ac:dyDescent="0.3">
      <c r="A88" s="15"/>
      <c r="B88" s="123" t="s">
        <v>548</v>
      </c>
      <c r="C88" s="124">
        <v>51.8</v>
      </c>
    </row>
  </sheetData>
  <sheetProtection algorithmName="SHA-512" hashValue="uMxAY8l5h8l/3fpxhyZM1Dwz/XVJ6lV6r5owW/jpRnOuA19BSjI34WcRKhLCMHyBk/MpREsJo6YsWxYNue/d5A==" saltValue="hbSBGAZAlzL4oT1LdoHvbw==" spinCount="100000" sheet="1" objects="1" scenarios="1" selectLockedCells="1" selectUnlockedCells="1"/>
  <mergeCells count="26">
    <mergeCell ref="J8:M8"/>
    <mergeCell ref="D13:H13"/>
    <mergeCell ref="J20:P20"/>
    <mergeCell ref="D10:H10"/>
    <mergeCell ref="D9:H9"/>
    <mergeCell ref="B8:H8"/>
    <mergeCell ref="D11:H11"/>
    <mergeCell ref="D12:H12"/>
    <mergeCell ref="B15:H15"/>
    <mergeCell ref="D16:H16"/>
    <mergeCell ref="D17:H17"/>
    <mergeCell ref="B36:C36"/>
    <mergeCell ref="D33:H33"/>
    <mergeCell ref="D18:H18"/>
    <mergeCell ref="D19:H19"/>
    <mergeCell ref="D21:H21"/>
    <mergeCell ref="D20:H20"/>
    <mergeCell ref="D27:H27"/>
    <mergeCell ref="D28:H28"/>
    <mergeCell ref="D29:H29"/>
    <mergeCell ref="D30:H30"/>
    <mergeCell ref="D31:H31"/>
    <mergeCell ref="B23:H23"/>
    <mergeCell ref="D25:H25"/>
    <mergeCell ref="D26:H26"/>
    <mergeCell ref="D32:H32"/>
  </mergeCells>
  <pageMargins left="0.7" right="0.7" top="0.75" bottom="0.75" header="0.3" footer="0.3"/>
  <pageSetup paperSize="9" orientation="portrait" r:id="rId1"/>
  <drawing r:id="rId2"/>
  <tableParts count="4">
    <tablePart r:id="rId3"/>
    <tablePart r:id="rId4"/>
    <tablePart r:id="rId5"/>
    <tablePart r:id="rId6"/>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7273E-64A5-4A75-801E-E412DA986BFD}">
  <sheetPr>
    <tabColor rgb="FFF4F4F4"/>
  </sheetPr>
  <dimension ref="B6:R146"/>
  <sheetViews>
    <sheetView workbookViewId="0">
      <selection activeCell="P7" sqref="P7"/>
    </sheetView>
  </sheetViews>
  <sheetFormatPr baseColWidth="10" defaultColWidth="10.88671875" defaultRowHeight="13.8" x14ac:dyDescent="0.3"/>
  <cols>
    <col min="1" max="5" width="10.88671875" style="13"/>
    <col min="6" max="6" width="14.44140625" style="13" customWidth="1"/>
    <col min="7" max="17" width="10.88671875" style="13"/>
    <col min="18" max="18" width="30" style="13" customWidth="1"/>
    <col min="19" max="16384" width="10.88671875" style="13"/>
  </cols>
  <sheetData>
    <row r="6" spans="2:18" x14ac:dyDescent="0.3">
      <c r="Q6" s="347" t="s">
        <v>549</v>
      </c>
      <c r="R6" s="347"/>
    </row>
    <row r="7" spans="2:18" x14ac:dyDescent="0.3">
      <c r="B7" s="350" t="s">
        <v>550</v>
      </c>
      <c r="C7" s="351"/>
      <c r="D7" s="351"/>
      <c r="E7" s="351"/>
      <c r="F7" s="351"/>
      <c r="G7" s="351"/>
      <c r="H7" s="351"/>
      <c r="I7" s="351"/>
      <c r="J7" s="351"/>
      <c r="K7" s="352"/>
    </row>
    <row r="8" spans="2:18" x14ac:dyDescent="0.3">
      <c r="Q8" s="252" t="s">
        <v>551</v>
      </c>
      <c r="R8" s="252" t="s">
        <v>552</v>
      </c>
    </row>
    <row r="9" spans="2:18" x14ac:dyDescent="0.3">
      <c r="B9" s="29"/>
      <c r="C9" s="29"/>
      <c r="D9" s="29"/>
      <c r="E9" s="43" t="s">
        <v>553</v>
      </c>
      <c r="F9" s="43" t="s">
        <v>554</v>
      </c>
      <c r="G9" s="43" t="s">
        <v>555</v>
      </c>
      <c r="H9" s="43" t="s">
        <v>556</v>
      </c>
      <c r="I9" s="43" t="s">
        <v>557</v>
      </c>
      <c r="J9" s="81" t="s">
        <v>558</v>
      </c>
      <c r="K9" s="81" t="s">
        <v>559</v>
      </c>
      <c r="Q9" s="50">
        <v>120301</v>
      </c>
      <c r="R9" s="32" t="s">
        <v>158</v>
      </c>
    </row>
    <row r="10" spans="2:18" ht="15" x14ac:dyDescent="0.35">
      <c r="B10" s="83" t="s">
        <v>560</v>
      </c>
      <c r="C10" s="83" t="s">
        <v>561</v>
      </c>
      <c r="D10" s="83" t="s">
        <v>32</v>
      </c>
      <c r="E10" s="86" t="s">
        <v>562</v>
      </c>
      <c r="F10" s="86" t="s">
        <v>562</v>
      </c>
      <c r="G10" s="86" t="s">
        <v>562</v>
      </c>
      <c r="H10" s="86" t="s">
        <v>562</v>
      </c>
      <c r="I10" s="86" t="s">
        <v>562</v>
      </c>
      <c r="J10" s="86" t="s">
        <v>562</v>
      </c>
      <c r="K10" s="86" t="s">
        <v>562</v>
      </c>
      <c r="Q10" s="50">
        <v>130205</v>
      </c>
      <c r="R10" s="32" t="s">
        <v>153</v>
      </c>
    </row>
    <row r="11" spans="2:18" x14ac:dyDescent="0.3">
      <c r="B11" s="358" t="s">
        <v>563</v>
      </c>
      <c r="C11" s="65" t="s">
        <v>500</v>
      </c>
      <c r="D11" s="65" t="s">
        <v>564</v>
      </c>
      <c r="E11" s="55" t="s">
        <v>517</v>
      </c>
      <c r="F11" s="90">
        <v>0.98914159999999995</v>
      </c>
      <c r="G11" s="58">
        <v>0.98914159999999995</v>
      </c>
      <c r="H11" s="55" t="s">
        <v>517</v>
      </c>
      <c r="I11" s="55" t="s">
        <v>517</v>
      </c>
      <c r="J11" s="72">
        <v>1.2393136</v>
      </c>
      <c r="K11" s="55"/>
      <c r="Q11" s="50">
        <v>130208</v>
      </c>
      <c r="R11" s="32" t="s">
        <v>153</v>
      </c>
    </row>
    <row r="12" spans="2:18" x14ac:dyDescent="0.3">
      <c r="B12" s="359"/>
      <c r="C12" s="65" t="s">
        <v>150</v>
      </c>
      <c r="D12" s="65" t="s">
        <v>564</v>
      </c>
      <c r="E12" s="55" t="s">
        <v>517</v>
      </c>
      <c r="F12" s="58">
        <v>0.98914159999999995</v>
      </c>
      <c r="G12" s="58">
        <v>0.98914159999999995</v>
      </c>
      <c r="H12" s="55" t="s">
        <v>517</v>
      </c>
      <c r="I12" s="55" t="s">
        <v>517</v>
      </c>
      <c r="J12" s="97" t="s">
        <v>517</v>
      </c>
      <c r="K12" s="55"/>
      <c r="Q12" s="50">
        <v>130502</v>
      </c>
      <c r="R12" s="32" t="s">
        <v>158</v>
      </c>
    </row>
    <row r="13" spans="2:18" x14ac:dyDescent="0.3">
      <c r="B13" s="359"/>
      <c r="C13" s="65" t="s">
        <v>504</v>
      </c>
      <c r="D13" s="65" t="s">
        <v>564</v>
      </c>
      <c r="E13" s="55" t="s">
        <v>517</v>
      </c>
      <c r="F13" s="55" t="s">
        <v>517</v>
      </c>
      <c r="G13" s="55" t="s">
        <v>517</v>
      </c>
      <c r="H13" s="55" t="s">
        <v>517</v>
      </c>
      <c r="I13" s="55" t="s">
        <v>517</v>
      </c>
      <c r="J13" s="72">
        <v>5.9184263565891468</v>
      </c>
      <c r="K13" s="55"/>
      <c r="Q13" s="50">
        <v>130507</v>
      </c>
      <c r="R13" s="32" t="s">
        <v>158</v>
      </c>
    </row>
    <row r="14" spans="2:18" x14ac:dyDescent="0.3">
      <c r="B14" s="359"/>
      <c r="C14" s="65" t="s">
        <v>505</v>
      </c>
      <c r="D14" s="65" t="s">
        <v>564</v>
      </c>
      <c r="E14" s="55" t="s">
        <v>517</v>
      </c>
      <c r="F14" s="58">
        <v>0.98914159999999995</v>
      </c>
      <c r="G14" s="58">
        <v>0.98914159999999995</v>
      </c>
      <c r="H14" s="55" t="s">
        <v>517</v>
      </c>
      <c r="I14" s="55" t="s">
        <v>517</v>
      </c>
      <c r="J14" s="72">
        <v>1.2393136</v>
      </c>
      <c r="K14" s="55"/>
      <c r="Q14" s="50">
        <v>140603</v>
      </c>
      <c r="R14" s="32" t="s">
        <v>158</v>
      </c>
    </row>
    <row r="15" spans="2:18" x14ac:dyDescent="0.3">
      <c r="B15" s="359"/>
      <c r="C15" s="65" t="s">
        <v>506</v>
      </c>
      <c r="D15" s="65" t="s">
        <v>564</v>
      </c>
      <c r="E15" s="55" t="s">
        <v>517</v>
      </c>
      <c r="F15" s="58">
        <v>0.98914159999999995</v>
      </c>
      <c r="G15" s="55" t="s">
        <v>517</v>
      </c>
      <c r="H15" s="55" t="s">
        <v>517</v>
      </c>
      <c r="I15" s="55" t="s">
        <v>517</v>
      </c>
      <c r="J15" s="72">
        <v>1.2393136</v>
      </c>
      <c r="K15" s="55"/>
      <c r="Q15" s="50">
        <v>150110</v>
      </c>
      <c r="R15" s="32" t="s">
        <v>148</v>
      </c>
    </row>
    <row r="16" spans="2:18" x14ac:dyDescent="0.3">
      <c r="B16" s="359"/>
      <c r="C16" s="65" t="s">
        <v>507</v>
      </c>
      <c r="D16" s="65" t="s">
        <v>564</v>
      </c>
      <c r="E16" s="55" t="s">
        <v>517</v>
      </c>
      <c r="F16" s="58">
        <v>0.98914159999999995</v>
      </c>
      <c r="G16" s="58">
        <v>0.98914159999999995</v>
      </c>
      <c r="H16" s="55" t="s">
        <v>517</v>
      </c>
      <c r="I16" s="55" t="s">
        <v>517</v>
      </c>
      <c r="J16" s="72">
        <v>1.2393136</v>
      </c>
      <c r="K16" s="55"/>
      <c r="Q16" s="50">
        <v>150202</v>
      </c>
      <c r="R16" s="32" t="s">
        <v>158</v>
      </c>
    </row>
    <row r="17" spans="2:18" x14ac:dyDescent="0.3">
      <c r="B17" s="359"/>
      <c r="C17" s="65" t="s">
        <v>152</v>
      </c>
      <c r="D17" s="65" t="s">
        <v>564</v>
      </c>
      <c r="E17" s="55" t="s">
        <v>517</v>
      </c>
      <c r="F17" s="55" t="s">
        <v>517</v>
      </c>
      <c r="G17" s="58">
        <v>0.98914159999999995</v>
      </c>
      <c r="H17" s="55" t="s">
        <v>517</v>
      </c>
      <c r="I17" s="55" t="s">
        <v>517</v>
      </c>
      <c r="J17" s="72">
        <v>1.2393136</v>
      </c>
      <c r="K17" s="55"/>
      <c r="Q17" s="50">
        <v>160107</v>
      </c>
      <c r="R17" s="32" t="s">
        <v>158</v>
      </c>
    </row>
    <row r="18" spans="2:18" x14ac:dyDescent="0.3">
      <c r="B18" s="359"/>
      <c r="C18" s="65" t="s">
        <v>510</v>
      </c>
      <c r="D18" s="65" t="s">
        <v>564</v>
      </c>
      <c r="E18" s="55" t="s">
        <v>517</v>
      </c>
      <c r="F18" s="55" t="s">
        <v>517</v>
      </c>
      <c r="G18" s="58">
        <v>0.98914159999999995</v>
      </c>
      <c r="H18" s="55" t="s">
        <v>517</v>
      </c>
      <c r="I18" s="55" t="s">
        <v>517</v>
      </c>
      <c r="J18" s="72">
        <v>1.2643491</v>
      </c>
      <c r="K18" s="55"/>
      <c r="Q18" s="50">
        <v>160114</v>
      </c>
      <c r="R18" s="32" t="s">
        <v>158</v>
      </c>
    </row>
    <row r="19" spans="2:18" x14ac:dyDescent="0.3">
      <c r="B19" s="359"/>
      <c r="C19" s="65" t="s">
        <v>154</v>
      </c>
      <c r="D19" s="65" t="s">
        <v>564</v>
      </c>
      <c r="E19" s="55" t="s">
        <v>517</v>
      </c>
      <c r="F19" s="55" t="s">
        <v>517</v>
      </c>
      <c r="G19" s="58">
        <v>0.98914159999999995</v>
      </c>
      <c r="H19" s="55" t="s">
        <v>517</v>
      </c>
      <c r="I19" s="55" t="s">
        <v>517</v>
      </c>
      <c r="J19" s="72">
        <v>17.582694949286356</v>
      </c>
      <c r="K19" s="55"/>
      <c r="Q19" s="50">
        <v>160303</v>
      </c>
      <c r="R19" s="32" t="s">
        <v>158</v>
      </c>
    </row>
    <row r="20" spans="2:18" x14ac:dyDescent="0.3">
      <c r="B20" s="359"/>
      <c r="C20" s="65" t="s">
        <v>153</v>
      </c>
      <c r="D20" s="65" t="s">
        <v>564</v>
      </c>
      <c r="E20" s="55" t="s">
        <v>517</v>
      </c>
      <c r="F20" s="55" t="s">
        <v>517</v>
      </c>
      <c r="G20" s="58">
        <v>21.293565891472866</v>
      </c>
      <c r="H20" s="58">
        <v>21.293565891472866</v>
      </c>
      <c r="I20" s="55" t="s">
        <v>517</v>
      </c>
      <c r="J20" s="97" t="s">
        <v>517</v>
      </c>
      <c r="K20" s="55"/>
      <c r="Q20" s="50">
        <v>160504</v>
      </c>
      <c r="R20" s="32" t="s">
        <v>158</v>
      </c>
    </row>
    <row r="21" spans="2:18" x14ac:dyDescent="0.3">
      <c r="B21" s="359"/>
      <c r="C21" s="65" t="s">
        <v>514</v>
      </c>
      <c r="D21" s="65" t="s">
        <v>564</v>
      </c>
      <c r="E21" s="55" t="s">
        <v>517</v>
      </c>
      <c r="F21" s="55" t="s">
        <v>517</v>
      </c>
      <c r="G21" s="58">
        <v>21.293565891472866</v>
      </c>
      <c r="H21" s="55" t="s">
        <v>517</v>
      </c>
      <c r="I21" s="55" t="s">
        <v>517</v>
      </c>
      <c r="J21" s="72">
        <v>71.95</v>
      </c>
      <c r="K21" s="55"/>
      <c r="Q21" s="50">
        <v>160506</v>
      </c>
      <c r="R21" s="32" t="s">
        <v>158</v>
      </c>
    </row>
    <row r="22" spans="2:18" x14ac:dyDescent="0.3">
      <c r="B22" s="359"/>
      <c r="C22" s="65" t="s">
        <v>515</v>
      </c>
      <c r="D22" s="65" t="s">
        <v>564</v>
      </c>
      <c r="E22" s="55" t="s">
        <v>517</v>
      </c>
      <c r="F22" s="55" t="s">
        <v>517</v>
      </c>
      <c r="G22" s="58">
        <v>21.293565891472866</v>
      </c>
      <c r="H22" s="55" t="s">
        <v>517</v>
      </c>
      <c r="I22" s="55" t="s">
        <v>517</v>
      </c>
      <c r="J22" s="97" t="s">
        <v>517</v>
      </c>
      <c r="K22" s="55"/>
      <c r="Q22" s="50">
        <v>160507</v>
      </c>
      <c r="R22" s="32" t="s">
        <v>158</v>
      </c>
    </row>
    <row r="23" spans="2:18" x14ac:dyDescent="0.3">
      <c r="B23" s="360"/>
      <c r="C23" s="65" t="s">
        <v>151</v>
      </c>
      <c r="D23" s="65" t="s">
        <v>564</v>
      </c>
      <c r="E23" s="55" t="s">
        <v>517</v>
      </c>
      <c r="F23" s="55" t="s">
        <v>517</v>
      </c>
      <c r="G23" s="58">
        <v>21.293565891472866</v>
      </c>
      <c r="H23" s="58">
        <v>21.293565891472866</v>
      </c>
      <c r="I23" s="58">
        <v>8.9506976744186044</v>
      </c>
      <c r="J23" s="72">
        <v>828.03226547429415</v>
      </c>
      <c r="K23" s="55"/>
      <c r="Q23" s="50">
        <v>160601</v>
      </c>
      <c r="R23" s="32" t="s">
        <v>156</v>
      </c>
    </row>
    <row r="24" spans="2:18" x14ac:dyDescent="0.3">
      <c r="B24" s="29"/>
      <c r="C24" s="29"/>
      <c r="D24" s="29"/>
      <c r="E24" s="41"/>
      <c r="F24" s="41"/>
      <c r="G24" s="41"/>
      <c r="H24" s="41"/>
      <c r="I24" s="41"/>
      <c r="J24" s="41"/>
      <c r="K24" s="71"/>
      <c r="Q24" s="50">
        <v>160602</v>
      </c>
      <c r="R24" s="32" t="s">
        <v>156</v>
      </c>
    </row>
    <row r="25" spans="2:18" x14ac:dyDescent="0.3">
      <c r="B25" s="29"/>
      <c r="C25" s="29"/>
      <c r="D25" s="29"/>
      <c r="E25" s="41"/>
      <c r="F25" s="41"/>
      <c r="G25" s="41"/>
      <c r="H25" s="41"/>
      <c r="I25" s="41"/>
      <c r="J25" s="41"/>
      <c r="K25" s="71"/>
      <c r="Q25" s="50">
        <v>160603</v>
      </c>
      <c r="R25" s="32" t="s">
        <v>156</v>
      </c>
    </row>
    <row r="26" spans="2:18" x14ac:dyDescent="0.3">
      <c r="B26" s="29"/>
      <c r="C26" s="29"/>
      <c r="D26" s="29"/>
      <c r="E26" s="100" t="s">
        <v>553</v>
      </c>
      <c r="F26" s="43" t="s">
        <v>554</v>
      </c>
      <c r="G26" s="43" t="s">
        <v>555</v>
      </c>
      <c r="H26" s="100" t="s">
        <v>556</v>
      </c>
      <c r="I26" s="100" t="s">
        <v>557</v>
      </c>
      <c r="J26" s="100" t="s">
        <v>558</v>
      </c>
      <c r="K26" s="81" t="s">
        <v>559</v>
      </c>
      <c r="Q26" s="50">
        <v>161001</v>
      </c>
      <c r="R26" s="32" t="s">
        <v>158</v>
      </c>
    </row>
    <row r="27" spans="2:18" ht="15" x14ac:dyDescent="0.35">
      <c r="B27" s="83" t="s">
        <v>560</v>
      </c>
      <c r="C27" s="83" t="s">
        <v>561</v>
      </c>
      <c r="D27" s="83" t="s">
        <v>32</v>
      </c>
      <c r="E27" s="86" t="s">
        <v>562</v>
      </c>
      <c r="F27" s="86" t="s">
        <v>562</v>
      </c>
      <c r="G27" s="86" t="s">
        <v>562</v>
      </c>
      <c r="H27" s="86" t="s">
        <v>562</v>
      </c>
      <c r="I27" s="86" t="s">
        <v>562</v>
      </c>
      <c r="J27" s="86" t="s">
        <v>562</v>
      </c>
      <c r="K27" s="98" t="s">
        <v>82</v>
      </c>
      <c r="Q27" s="50">
        <v>170409</v>
      </c>
      <c r="R27" s="32" t="s">
        <v>147</v>
      </c>
    </row>
    <row r="28" spans="2:18" x14ac:dyDescent="0.3">
      <c r="B28" s="358" t="s">
        <v>51</v>
      </c>
      <c r="C28" s="65" t="s">
        <v>516</v>
      </c>
      <c r="D28" s="65" t="s">
        <v>564</v>
      </c>
      <c r="E28" s="97" t="s">
        <v>517</v>
      </c>
      <c r="F28" s="97" t="s">
        <v>517</v>
      </c>
      <c r="G28" s="72">
        <v>21.293565891472866</v>
      </c>
      <c r="H28" s="72">
        <v>21.293565891472866</v>
      </c>
      <c r="I28" s="97" t="s">
        <v>517</v>
      </c>
      <c r="J28" s="72">
        <v>1041.8036935229597</v>
      </c>
      <c r="K28" s="55"/>
      <c r="Q28" s="50">
        <v>170503</v>
      </c>
      <c r="R28" s="32" t="s">
        <v>154</v>
      </c>
    </row>
    <row r="29" spans="2:18" x14ac:dyDescent="0.3">
      <c r="B29" s="359"/>
      <c r="C29" s="65" t="s">
        <v>518</v>
      </c>
      <c r="D29" s="65" t="s">
        <v>564</v>
      </c>
      <c r="E29" s="97" t="s">
        <v>517</v>
      </c>
      <c r="F29" s="72">
        <v>21.293565891472866</v>
      </c>
      <c r="G29" s="72">
        <v>21.293565891472866</v>
      </c>
      <c r="H29" s="72">
        <v>21.293565891472866</v>
      </c>
      <c r="I29" s="97" t="s">
        <v>517</v>
      </c>
      <c r="J29" s="72">
        <v>8.9019922480620153</v>
      </c>
      <c r="K29" s="55"/>
      <c r="Q29" s="50">
        <v>170605</v>
      </c>
      <c r="R29" s="32" t="s">
        <v>504</v>
      </c>
    </row>
    <row r="30" spans="2:18" x14ac:dyDescent="0.3">
      <c r="B30" s="360"/>
      <c r="C30" s="65" t="s">
        <v>520</v>
      </c>
      <c r="D30" s="65" t="s">
        <v>564</v>
      </c>
      <c r="E30" s="97" t="s">
        <v>517</v>
      </c>
      <c r="F30" s="97" t="s">
        <v>517</v>
      </c>
      <c r="G30" s="72">
        <v>21.293565891472866</v>
      </c>
      <c r="H30" s="72">
        <v>21.293565891472866</v>
      </c>
      <c r="I30" s="97" t="s">
        <v>517</v>
      </c>
      <c r="J30" s="72">
        <v>444.94340664702185</v>
      </c>
      <c r="K30" s="55"/>
      <c r="Q30" s="50">
        <v>180103</v>
      </c>
      <c r="R30" s="32" t="s">
        <v>158</v>
      </c>
    </row>
    <row r="31" spans="2:18" x14ac:dyDescent="0.3">
      <c r="B31" s="29"/>
      <c r="C31" s="29"/>
      <c r="D31" s="29"/>
      <c r="E31" s="61"/>
      <c r="F31" s="61"/>
      <c r="G31" s="61"/>
      <c r="H31" s="61"/>
      <c r="I31" s="61"/>
      <c r="J31" s="61"/>
      <c r="K31" s="71"/>
      <c r="Q31" s="50">
        <v>190806</v>
      </c>
      <c r="R31" s="32" t="s">
        <v>158</v>
      </c>
    </row>
    <row r="32" spans="2:18" x14ac:dyDescent="0.3">
      <c r="B32" s="29"/>
      <c r="C32" s="29"/>
      <c r="D32" s="29"/>
      <c r="E32" s="61"/>
      <c r="F32" s="61"/>
      <c r="G32" s="61"/>
      <c r="H32" s="61"/>
      <c r="I32" s="61"/>
      <c r="J32" s="61"/>
      <c r="K32" s="71"/>
      <c r="Q32" s="50">
        <v>200121</v>
      </c>
      <c r="R32" s="32" t="s">
        <v>155</v>
      </c>
    </row>
    <row r="33" spans="2:18" x14ac:dyDescent="0.3">
      <c r="B33" s="29"/>
      <c r="C33" s="29"/>
      <c r="D33" s="29"/>
      <c r="E33" s="100" t="s">
        <v>553</v>
      </c>
      <c r="F33" s="43" t="s">
        <v>554</v>
      </c>
      <c r="G33" s="43" t="s">
        <v>555</v>
      </c>
      <c r="H33" s="100" t="s">
        <v>556</v>
      </c>
      <c r="I33" s="100" t="s">
        <v>557</v>
      </c>
      <c r="J33" s="100" t="s">
        <v>558</v>
      </c>
      <c r="K33" s="43" t="s">
        <v>559</v>
      </c>
      <c r="Q33" s="50">
        <v>200133</v>
      </c>
      <c r="R33" s="32" t="s">
        <v>156</v>
      </c>
    </row>
    <row r="34" spans="2:18" ht="15" x14ac:dyDescent="0.35">
      <c r="B34" s="83" t="s">
        <v>560</v>
      </c>
      <c r="C34" s="83" t="s">
        <v>561</v>
      </c>
      <c r="D34" s="83" t="s">
        <v>32</v>
      </c>
      <c r="E34" s="86" t="s">
        <v>562</v>
      </c>
      <c r="F34" s="86" t="s">
        <v>562</v>
      </c>
      <c r="G34" s="86" t="s">
        <v>562</v>
      </c>
      <c r="H34" s="86" t="s">
        <v>562</v>
      </c>
      <c r="I34" s="86" t="s">
        <v>562</v>
      </c>
      <c r="J34" s="86" t="s">
        <v>562</v>
      </c>
      <c r="K34" s="86" t="s">
        <v>562</v>
      </c>
      <c r="Q34" s="50">
        <v>200135</v>
      </c>
      <c r="R34" s="32" t="s">
        <v>155</v>
      </c>
    </row>
    <row r="35" spans="2:18" x14ac:dyDescent="0.3">
      <c r="B35" s="358" t="s">
        <v>565</v>
      </c>
      <c r="C35" s="65" t="s">
        <v>566</v>
      </c>
      <c r="D35" s="65" t="s">
        <v>564</v>
      </c>
      <c r="E35" s="97" t="s">
        <v>517</v>
      </c>
      <c r="F35" s="58">
        <v>21.293565891472866</v>
      </c>
      <c r="G35" s="58">
        <v>21.293565891472866</v>
      </c>
      <c r="H35" s="58">
        <v>21.293565891472866</v>
      </c>
      <c r="I35" s="58">
        <v>8.9506976744186044</v>
      </c>
      <c r="J35" s="72">
        <v>446.24149999999997</v>
      </c>
      <c r="K35" s="72">
        <v>8.9506976744186044</v>
      </c>
      <c r="Q35" s="30" t="s">
        <v>567</v>
      </c>
      <c r="R35" s="32" t="s">
        <v>158</v>
      </c>
    </row>
    <row r="36" spans="2:18" x14ac:dyDescent="0.3">
      <c r="B36" s="359"/>
      <c r="C36" s="65" t="s">
        <v>568</v>
      </c>
      <c r="D36" s="65" t="s">
        <v>564</v>
      </c>
      <c r="E36" s="97" t="s">
        <v>517</v>
      </c>
      <c r="F36" s="97" t="s">
        <v>517</v>
      </c>
      <c r="G36" s="97" t="s">
        <v>517</v>
      </c>
      <c r="H36" s="58">
        <v>21.293565891472866</v>
      </c>
      <c r="I36" s="58">
        <v>8.9506976744186044</v>
      </c>
      <c r="J36" s="72">
        <v>626.87486615417743</v>
      </c>
      <c r="K36" s="72">
        <v>8.9506976744186044</v>
      </c>
      <c r="Q36" s="50" t="s">
        <v>569</v>
      </c>
      <c r="R36" s="32" t="s">
        <v>158</v>
      </c>
    </row>
    <row r="37" spans="2:18" x14ac:dyDescent="0.3">
      <c r="B37" s="359"/>
      <c r="C37" s="65" t="s">
        <v>159</v>
      </c>
      <c r="D37" s="65" t="s">
        <v>564</v>
      </c>
      <c r="E37" s="97" t="s">
        <v>517</v>
      </c>
      <c r="F37" s="97" t="s">
        <v>517</v>
      </c>
      <c r="G37" s="97" t="s">
        <v>517</v>
      </c>
      <c r="H37" s="58">
        <v>21.293565891472866</v>
      </c>
      <c r="I37" s="58">
        <v>8.9506976744186044</v>
      </c>
      <c r="J37" s="72">
        <v>578.95913371117013</v>
      </c>
      <c r="K37" s="72">
        <v>8.9506976744186044</v>
      </c>
      <c r="Q37" s="50" t="s">
        <v>570</v>
      </c>
      <c r="R37" s="32" t="s">
        <v>158</v>
      </c>
    </row>
    <row r="38" spans="2:18" x14ac:dyDescent="0.3">
      <c r="B38" s="359"/>
      <c r="C38" s="65" t="s">
        <v>571</v>
      </c>
      <c r="D38" s="65" t="s">
        <v>564</v>
      </c>
      <c r="E38" s="97" t="s">
        <v>517</v>
      </c>
      <c r="F38" s="97" t="s">
        <v>517</v>
      </c>
      <c r="G38" s="97" t="s">
        <v>517</v>
      </c>
      <c r="H38" s="58">
        <v>21.293565891472866</v>
      </c>
      <c r="I38" s="58">
        <v>8.9506976744186044</v>
      </c>
      <c r="J38" s="72">
        <v>587.34438688869636</v>
      </c>
      <c r="K38" s="72">
        <v>8.9506976744186044</v>
      </c>
      <c r="Q38" s="50" t="s">
        <v>572</v>
      </c>
      <c r="R38" s="32" t="s">
        <v>158</v>
      </c>
    </row>
    <row r="39" spans="2:18" x14ac:dyDescent="0.3">
      <c r="B39" s="360"/>
      <c r="C39" s="65" t="s">
        <v>158</v>
      </c>
      <c r="D39" s="65" t="s">
        <v>564</v>
      </c>
      <c r="E39" s="97" t="s">
        <v>517</v>
      </c>
      <c r="F39" s="97" t="s">
        <v>517</v>
      </c>
      <c r="G39" s="58">
        <v>21.293565891472866</v>
      </c>
      <c r="H39" s="58">
        <v>21.293565891472866</v>
      </c>
      <c r="I39" s="58">
        <v>8.9506976744186044</v>
      </c>
      <c r="J39" s="72">
        <v>467.04579999999999</v>
      </c>
      <c r="K39" s="72">
        <v>8.9506976744186044</v>
      </c>
      <c r="Q39" s="50" t="s">
        <v>573</v>
      </c>
      <c r="R39" s="32" t="s">
        <v>158</v>
      </c>
    </row>
    <row r="40" spans="2:18" x14ac:dyDescent="0.3">
      <c r="B40" s="29"/>
      <c r="C40" s="29"/>
      <c r="D40" s="29"/>
      <c r="E40" s="61"/>
      <c r="F40" s="61"/>
      <c r="G40" s="61"/>
      <c r="H40" s="61"/>
      <c r="I40" s="61"/>
      <c r="J40" s="61"/>
      <c r="K40" s="71"/>
      <c r="Q40" s="50" t="s">
        <v>574</v>
      </c>
      <c r="R40" s="32" t="s">
        <v>149</v>
      </c>
    </row>
    <row r="41" spans="2:18" x14ac:dyDescent="0.3">
      <c r="B41" s="29"/>
      <c r="C41" s="29"/>
      <c r="D41" s="29"/>
      <c r="E41" s="61"/>
      <c r="F41" s="61"/>
      <c r="G41" s="61"/>
      <c r="H41" s="61"/>
      <c r="I41" s="61"/>
      <c r="J41" s="61"/>
      <c r="K41" s="71"/>
      <c r="Q41" s="50" t="s">
        <v>575</v>
      </c>
      <c r="R41" s="32" t="s">
        <v>158</v>
      </c>
    </row>
    <row r="42" spans="2:18" x14ac:dyDescent="0.3">
      <c r="B42" s="29"/>
      <c r="C42" s="29"/>
      <c r="D42" s="29"/>
      <c r="E42" s="100" t="s">
        <v>553</v>
      </c>
      <c r="F42" s="43" t="s">
        <v>554</v>
      </c>
      <c r="G42" s="43" t="s">
        <v>555</v>
      </c>
      <c r="H42" s="100" t="s">
        <v>556</v>
      </c>
      <c r="I42" s="100" t="s">
        <v>557</v>
      </c>
      <c r="J42" s="100" t="s">
        <v>558</v>
      </c>
      <c r="K42" s="43" t="s">
        <v>559</v>
      </c>
      <c r="Q42" s="50">
        <v>100101</v>
      </c>
      <c r="R42" s="32" t="s">
        <v>158</v>
      </c>
    </row>
    <row r="43" spans="2:18" ht="15" x14ac:dyDescent="0.35">
      <c r="B43" s="83" t="s">
        <v>560</v>
      </c>
      <c r="C43" s="83" t="s">
        <v>561</v>
      </c>
      <c r="D43" s="83" t="s">
        <v>32</v>
      </c>
      <c r="E43" s="86" t="s">
        <v>562</v>
      </c>
      <c r="F43" s="86" t="s">
        <v>562</v>
      </c>
      <c r="G43" s="86" t="s">
        <v>562</v>
      </c>
      <c r="H43" s="86" t="s">
        <v>562</v>
      </c>
      <c r="I43" s="86" t="s">
        <v>562</v>
      </c>
      <c r="J43" s="86" t="s">
        <v>562</v>
      </c>
      <c r="K43" s="86" t="s">
        <v>562</v>
      </c>
      <c r="Q43" s="50">
        <v>100103</v>
      </c>
      <c r="R43" s="32" t="s">
        <v>158</v>
      </c>
    </row>
    <row r="44" spans="2:18" x14ac:dyDescent="0.3">
      <c r="B44" s="358" t="s">
        <v>576</v>
      </c>
      <c r="C44" s="65" t="s">
        <v>577</v>
      </c>
      <c r="D44" s="65" t="s">
        <v>564</v>
      </c>
      <c r="E44" s="45" t="s">
        <v>517</v>
      </c>
      <c r="F44" s="58">
        <v>21.293565891472866</v>
      </c>
      <c r="G44" s="45" t="s">
        <v>517</v>
      </c>
      <c r="H44" s="45" t="s">
        <v>517</v>
      </c>
      <c r="I44" s="45" t="s">
        <v>517</v>
      </c>
      <c r="J44" s="58">
        <v>8.9019922480620153</v>
      </c>
      <c r="K44" s="45" t="s">
        <v>517</v>
      </c>
      <c r="Q44" s="50">
        <v>100124</v>
      </c>
      <c r="R44" s="32" t="s">
        <v>158</v>
      </c>
    </row>
    <row r="45" spans="2:18" x14ac:dyDescent="0.3">
      <c r="B45" s="359"/>
      <c r="C45" s="65" t="s">
        <v>578</v>
      </c>
      <c r="D45" s="65" t="s">
        <v>564</v>
      </c>
      <c r="E45" s="45" t="s">
        <v>517</v>
      </c>
      <c r="F45" s="58">
        <v>21.293565891472866</v>
      </c>
      <c r="G45" s="45" t="s">
        <v>517</v>
      </c>
      <c r="H45" s="58">
        <v>21.293565891472866</v>
      </c>
      <c r="I45" s="45" t="s">
        <v>517</v>
      </c>
      <c r="J45" s="58">
        <v>8.9019922480620153</v>
      </c>
      <c r="K45" s="45" t="s">
        <v>517</v>
      </c>
      <c r="Q45" s="50">
        <v>100199</v>
      </c>
      <c r="R45" s="32" t="s">
        <v>158</v>
      </c>
    </row>
    <row r="46" spans="2:18" x14ac:dyDescent="0.3">
      <c r="B46" s="359"/>
      <c r="C46" s="65" t="s">
        <v>155</v>
      </c>
      <c r="D46" s="65" t="s">
        <v>564</v>
      </c>
      <c r="E46" s="45" t="s">
        <v>517</v>
      </c>
      <c r="F46" s="58">
        <v>21.293565891472866</v>
      </c>
      <c r="G46" s="45" t="s">
        <v>517</v>
      </c>
      <c r="H46" s="58">
        <v>21.293565891472866</v>
      </c>
      <c r="I46" s="45" t="s">
        <v>517</v>
      </c>
      <c r="J46" s="58">
        <v>8.9019922480620153</v>
      </c>
      <c r="K46" s="45" t="s">
        <v>517</v>
      </c>
      <c r="Q46" s="50">
        <v>150101</v>
      </c>
      <c r="R46" s="32" t="s">
        <v>157</v>
      </c>
    </row>
    <row r="47" spans="2:18" x14ac:dyDescent="0.3">
      <c r="B47" s="359"/>
      <c r="C47" s="65" t="s">
        <v>579</v>
      </c>
      <c r="D47" s="65" t="s">
        <v>564</v>
      </c>
      <c r="E47" s="45" t="s">
        <v>517</v>
      </c>
      <c r="F47" s="58">
        <v>21.293565891472866</v>
      </c>
      <c r="G47" s="45" t="s">
        <v>517</v>
      </c>
      <c r="H47" s="58">
        <v>21.293565891472866</v>
      </c>
      <c r="I47" s="45" t="s">
        <v>517</v>
      </c>
      <c r="J47" s="58">
        <v>8.9019922480620153</v>
      </c>
      <c r="K47" s="45" t="s">
        <v>517</v>
      </c>
      <c r="Q47" s="50">
        <v>150102</v>
      </c>
      <c r="R47" s="32" t="s">
        <v>148</v>
      </c>
    </row>
    <row r="48" spans="2:18" x14ac:dyDescent="0.3">
      <c r="B48" s="360"/>
      <c r="C48" s="65" t="s">
        <v>156</v>
      </c>
      <c r="D48" s="65" t="s">
        <v>564</v>
      </c>
      <c r="E48" s="45" t="s">
        <v>517</v>
      </c>
      <c r="F48" s="58">
        <v>21.293565891472866</v>
      </c>
      <c r="G48" s="45" t="s">
        <v>517</v>
      </c>
      <c r="H48" s="45" t="s">
        <v>517</v>
      </c>
      <c r="I48" s="45" t="s">
        <v>517</v>
      </c>
      <c r="J48" s="58">
        <v>8.9019922480620153</v>
      </c>
      <c r="K48" s="45" t="s">
        <v>517</v>
      </c>
      <c r="Q48" s="50">
        <v>150103</v>
      </c>
      <c r="R48" s="32" t="s">
        <v>151</v>
      </c>
    </row>
    <row r="49" spans="2:18" x14ac:dyDescent="0.3">
      <c r="B49" s="29"/>
      <c r="C49" s="29"/>
      <c r="D49" s="29"/>
      <c r="E49" s="61"/>
      <c r="F49" s="61"/>
      <c r="G49" s="61"/>
      <c r="H49" s="61"/>
      <c r="I49" s="71"/>
      <c r="J49" s="61"/>
      <c r="K49" s="71"/>
      <c r="Q49" s="50">
        <v>150203</v>
      </c>
      <c r="R49" s="32" t="s">
        <v>158</v>
      </c>
    </row>
    <row r="50" spans="2:18" x14ac:dyDescent="0.3">
      <c r="B50" s="29"/>
      <c r="C50" s="29"/>
      <c r="D50" s="29"/>
      <c r="E50" s="61"/>
      <c r="F50" s="61"/>
      <c r="G50" s="61"/>
      <c r="H50" s="61"/>
      <c r="I50" s="61"/>
      <c r="J50" s="61"/>
      <c r="K50" s="71"/>
      <c r="Q50" s="50">
        <v>160214</v>
      </c>
      <c r="R50" s="32" t="s">
        <v>155</v>
      </c>
    </row>
    <row r="51" spans="2:18" x14ac:dyDescent="0.3">
      <c r="B51" s="29"/>
      <c r="C51" s="29"/>
      <c r="D51" s="29"/>
      <c r="E51" s="100" t="s">
        <v>553</v>
      </c>
      <c r="F51" s="43" t="s">
        <v>554</v>
      </c>
      <c r="G51" s="43" t="s">
        <v>555</v>
      </c>
      <c r="H51" s="100" t="s">
        <v>556</v>
      </c>
      <c r="I51" s="100" t="s">
        <v>557</v>
      </c>
      <c r="J51" s="100" t="s">
        <v>558</v>
      </c>
      <c r="K51" s="43" t="s">
        <v>559</v>
      </c>
      <c r="Q51" s="50">
        <v>160604</v>
      </c>
      <c r="R51" s="32" t="s">
        <v>156</v>
      </c>
    </row>
    <row r="52" spans="2:18" ht="15" x14ac:dyDescent="0.35">
      <c r="B52" s="83" t="s">
        <v>560</v>
      </c>
      <c r="C52" s="83" t="s">
        <v>561</v>
      </c>
      <c r="D52" s="83" t="s">
        <v>32</v>
      </c>
      <c r="E52" s="86" t="s">
        <v>562</v>
      </c>
      <c r="F52" s="86" t="s">
        <v>562</v>
      </c>
      <c r="G52" s="86" t="s">
        <v>562</v>
      </c>
      <c r="H52" s="86" t="s">
        <v>562</v>
      </c>
      <c r="I52" s="86" t="s">
        <v>562</v>
      </c>
      <c r="J52" s="86" t="s">
        <v>562</v>
      </c>
      <c r="K52" s="86" t="s">
        <v>562</v>
      </c>
      <c r="Q52" s="50">
        <v>170203</v>
      </c>
      <c r="R52" s="32" t="s">
        <v>148</v>
      </c>
    </row>
    <row r="53" spans="2:18" x14ac:dyDescent="0.3">
      <c r="B53" s="358" t="s">
        <v>580</v>
      </c>
      <c r="C53" s="65" t="s">
        <v>531</v>
      </c>
      <c r="D53" s="65" t="s">
        <v>564</v>
      </c>
      <c r="E53" s="45" t="s">
        <v>517</v>
      </c>
      <c r="F53" s="58">
        <v>21.293565891472866</v>
      </c>
      <c r="G53" s="58">
        <v>21.293565891472866</v>
      </c>
      <c r="H53" s="58">
        <v>21.293565891472866</v>
      </c>
      <c r="I53" s="45" t="s">
        <v>517</v>
      </c>
      <c r="J53" s="58">
        <v>8.9019922480620153</v>
      </c>
      <c r="K53" s="45" t="s">
        <v>517</v>
      </c>
      <c r="Q53" s="50">
        <v>170407</v>
      </c>
      <c r="R53" s="32" t="s">
        <v>147</v>
      </c>
    </row>
    <row r="54" spans="2:18" x14ac:dyDescent="0.3">
      <c r="B54" s="359"/>
      <c r="C54" s="65" t="s">
        <v>532</v>
      </c>
      <c r="D54" s="65" t="s">
        <v>564</v>
      </c>
      <c r="E54" s="45" t="s">
        <v>517</v>
      </c>
      <c r="F54" s="58">
        <v>21.293565891472866</v>
      </c>
      <c r="G54" s="58">
        <v>21.293565891472866</v>
      </c>
      <c r="H54" s="58">
        <v>21.293565891472866</v>
      </c>
      <c r="I54" s="45" t="s">
        <v>517</v>
      </c>
      <c r="J54" s="58">
        <v>8.9019922480620153</v>
      </c>
      <c r="K54" s="45" t="s">
        <v>517</v>
      </c>
      <c r="Q54" s="50">
        <v>170504</v>
      </c>
      <c r="R54" s="32" t="s">
        <v>154</v>
      </c>
    </row>
    <row r="55" spans="2:18" x14ac:dyDescent="0.3">
      <c r="B55" s="359"/>
      <c r="C55" s="65" t="s">
        <v>147</v>
      </c>
      <c r="D55" s="65" t="s">
        <v>564</v>
      </c>
      <c r="E55" s="45" t="s">
        <v>517</v>
      </c>
      <c r="F55" s="58">
        <v>21.293565891472866</v>
      </c>
      <c r="G55" s="58">
        <v>21.293565891472866</v>
      </c>
      <c r="H55" s="58">
        <v>21.293565891472866</v>
      </c>
      <c r="I55" s="45" t="s">
        <v>517</v>
      </c>
      <c r="J55" s="58">
        <v>8.9019922480620153</v>
      </c>
      <c r="K55" s="45" t="s">
        <v>517</v>
      </c>
      <c r="Q55" s="50">
        <v>170604</v>
      </c>
      <c r="R55" s="32" t="s">
        <v>152</v>
      </c>
    </row>
    <row r="56" spans="2:18" x14ac:dyDescent="0.3">
      <c r="B56" s="360"/>
      <c r="C56" s="65" t="s">
        <v>534</v>
      </c>
      <c r="D56" s="65" t="s">
        <v>564</v>
      </c>
      <c r="E56" s="45" t="s">
        <v>517</v>
      </c>
      <c r="F56" s="58">
        <v>21.293565891472866</v>
      </c>
      <c r="G56" s="58">
        <v>21.293565891472866</v>
      </c>
      <c r="H56" s="58">
        <v>21.293565891472866</v>
      </c>
      <c r="I56" s="45" t="s">
        <v>517</v>
      </c>
      <c r="J56" s="58">
        <v>8.9019922480620153</v>
      </c>
      <c r="K56" s="45" t="s">
        <v>517</v>
      </c>
      <c r="Q56" s="50">
        <v>170904</v>
      </c>
      <c r="R56" s="32" t="s">
        <v>150</v>
      </c>
    </row>
    <row r="57" spans="2:18" x14ac:dyDescent="0.3">
      <c r="B57" s="29"/>
      <c r="C57" s="29"/>
      <c r="D57" s="29"/>
      <c r="E57" s="61"/>
      <c r="F57" s="61"/>
      <c r="G57" s="61"/>
      <c r="H57" s="61"/>
      <c r="I57" s="61"/>
      <c r="J57" s="61"/>
      <c r="K57" s="71"/>
      <c r="Q57" s="50">
        <v>190805</v>
      </c>
      <c r="R57" s="32" t="s">
        <v>158</v>
      </c>
    </row>
    <row r="58" spans="2:18" x14ac:dyDescent="0.3">
      <c r="B58" s="29"/>
      <c r="C58" s="29"/>
      <c r="D58" s="29"/>
      <c r="E58" s="61"/>
      <c r="F58" s="61"/>
      <c r="G58" s="61"/>
      <c r="H58" s="61"/>
      <c r="I58" s="61"/>
      <c r="J58" s="61"/>
      <c r="K58" s="71"/>
      <c r="Q58" s="50">
        <v>190902</v>
      </c>
      <c r="R58" s="32" t="s">
        <v>158</v>
      </c>
    </row>
    <row r="59" spans="2:18" x14ac:dyDescent="0.3">
      <c r="B59" s="29"/>
      <c r="C59" s="29"/>
      <c r="D59" s="29"/>
      <c r="E59" s="100" t="s">
        <v>553</v>
      </c>
      <c r="F59" s="43" t="s">
        <v>554</v>
      </c>
      <c r="G59" s="43" t="s">
        <v>555</v>
      </c>
      <c r="H59" s="100" t="s">
        <v>556</v>
      </c>
      <c r="I59" s="100" t="s">
        <v>557</v>
      </c>
      <c r="J59" s="100" t="s">
        <v>558</v>
      </c>
      <c r="K59" s="43" t="s">
        <v>559</v>
      </c>
      <c r="Q59" s="50">
        <v>200101</v>
      </c>
      <c r="R59" s="32" t="s">
        <v>141</v>
      </c>
    </row>
    <row r="60" spans="2:18" ht="15" x14ac:dyDescent="0.35">
      <c r="B60" s="83" t="s">
        <v>560</v>
      </c>
      <c r="C60" s="83" t="s">
        <v>561</v>
      </c>
      <c r="D60" s="83" t="s">
        <v>32</v>
      </c>
      <c r="E60" s="86" t="s">
        <v>562</v>
      </c>
      <c r="F60" s="86" t="s">
        <v>562</v>
      </c>
      <c r="G60" s="86" t="s">
        <v>562</v>
      </c>
      <c r="H60" s="86" t="s">
        <v>562</v>
      </c>
      <c r="I60" s="86" t="s">
        <v>562</v>
      </c>
      <c r="J60" s="86" t="s">
        <v>562</v>
      </c>
      <c r="K60" s="86" t="s">
        <v>562</v>
      </c>
      <c r="Q60" s="50">
        <v>200136</v>
      </c>
      <c r="R60" s="32" t="s">
        <v>155</v>
      </c>
    </row>
    <row r="61" spans="2:18" x14ac:dyDescent="0.3">
      <c r="B61" s="358" t="s">
        <v>581</v>
      </c>
      <c r="C61" s="65" t="s">
        <v>148</v>
      </c>
      <c r="D61" s="65" t="s">
        <v>564</v>
      </c>
      <c r="E61" s="45" t="s">
        <v>517</v>
      </c>
      <c r="F61" s="58">
        <v>21.293565891472866</v>
      </c>
      <c r="G61" s="58">
        <v>21.293565891472866</v>
      </c>
      <c r="H61" s="58">
        <v>21.293565891472866</v>
      </c>
      <c r="I61" s="45" t="s">
        <v>517</v>
      </c>
      <c r="J61" s="58">
        <v>8.9019922480620153</v>
      </c>
      <c r="K61" s="45" t="s">
        <v>517</v>
      </c>
      <c r="Q61" s="50">
        <v>200139</v>
      </c>
      <c r="R61" s="32" t="s">
        <v>148</v>
      </c>
    </row>
    <row r="62" spans="2:18" x14ac:dyDescent="0.3">
      <c r="B62" s="359"/>
      <c r="C62" s="65" t="s">
        <v>535</v>
      </c>
      <c r="D62" s="65" t="s">
        <v>564</v>
      </c>
      <c r="E62" s="45" t="s">
        <v>517</v>
      </c>
      <c r="F62" s="58">
        <v>21.293565891472866</v>
      </c>
      <c r="G62" s="58">
        <v>21.293565891472866</v>
      </c>
      <c r="H62" s="58">
        <v>21.293565891472866</v>
      </c>
      <c r="I62" s="45" t="s">
        <v>517</v>
      </c>
      <c r="J62" s="58">
        <v>8.9019922480620153</v>
      </c>
      <c r="K62" s="45" t="s">
        <v>517</v>
      </c>
      <c r="Q62" s="50">
        <v>200140</v>
      </c>
      <c r="R62" s="32" t="s">
        <v>147</v>
      </c>
    </row>
    <row r="63" spans="2:18" x14ac:dyDescent="0.3">
      <c r="B63" s="359"/>
      <c r="C63" s="65" t="s">
        <v>149</v>
      </c>
      <c r="D63" s="65" t="s">
        <v>564</v>
      </c>
      <c r="E63" s="45" t="s">
        <v>517</v>
      </c>
      <c r="F63" s="58">
        <v>21.293565891472866</v>
      </c>
      <c r="G63" s="58">
        <v>21.293565891472866</v>
      </c>
      <c r="H63" s="58">
        <v>21.293565891472866</v>
      </c>
      <c r="I63" s="45" t="s">
        <v>517</v>
      </c>
      <c r="J63" s="58">
        <v>8.9019922480620153</v>
      </c>
      <c r="K63" s="45" t="s">
        <v>517</v>
      </c>
      <c r="Q63" s="50">
        <v>200301</v>
      </c>
      <c r="R63" s="32" t="s">
        <v>157</v>
      </c>
    </row>
    <row r="64" spans="2:18" x14ac:dyDescent="0.3">
      <c r="B64" s="359"/>
      <c r="C64" s="65" t="s">
        <v>537</v>
      </c>
      <c r="D64" s="65" t="s">
        <v>564</v>
      </c>
      <c r="E64" s="45" t="s">
        <v>517</v>
      </c>
      <c r="F64" s="58">
        <v>21.293565891472866</v>
      </c>
      <c r="G64" s="58">
        <v>21.293565891472866</v>
      </c>
      <c r="H64" s="58">
        <v>21.293565891472866</v>
      </c>
      <c r="I64" s="45" t="s">
        <v>517</v>
      </c>
      <c r="J64" s="58">
        <v>8.9019922480620153</v>
      </c>
      <c r="K64" s="45" t="s">
        <v>517</v>
      </c>
      <c r="Q64" s="50">
        <v>200304</v>
      </c>
      <c r="R64" s="32" t="s">
        <v>158</v>
      </c>
    </row>
    <row r="65" spans="2:18" x14ac:dyDescent="0.3">
      <c r="B65" s="359"/>
      <c r="C65" s="65" t="s">
        <v>538</v>
      </c>
      <c r="D65" s="65" t="s">
        <v>564</v>
      </c>
      <c r="E65" s="45" t="s">
        <v>517</v>
      </c>
      <c r="F65" s="58">
        <v>21.293565891472866</v>
      </c>
      <c r="G65" s="58">
        <v>21.293565891472866</v>
      </c>
      <c r="H65" s="58">
        <v>21.293565891472866</v>
      </c>
      <c r="I65" s="45" t="s">
        <v>517</v>
      </c>
      <c r="J65" s="58">
        <v>8.9019922480620153</v>
      </c>
      <c r="K65" s="45" t="s">
        <v>517</v>
      </c>
      <c r="Q65" s="50">
        <v>200307</v>
      </c>
      <c r="R65" s="32" t="s">
        <v>158</v>
      </c>
    </row>
    <row r="66" spans="2:18" x14ac:dyDescent="0.3">
      <c r="B66" s="359"/>
      <c r="C66" s="65" t="s">
        <v>539</v>
      </c>
      <c r="D66" s="65" t="s">
        <v>564</v>
      </c>
      <c r="E66" s="45" t="s">
        <v>517</v>
      </c>
      <c r="F66" s="58">
        <v>21.293565891472866</v>
      </c>
      <c r="G66" s="58">
        <v>21.293565891472866</v>
      </c>
      <c r="H66" s="58">
        <v>21.293565891472866</v>
      </c>
      <c r="I66" s="45" t="s">
        <v>517</v>
      </c>
      <c r="J66" s="58">
        <v>8.9019922480620153</v>
      </c>
      <c r="K66" s="45" t="s">
        <v>517</v>
      </c>
      <c r="Q66" s="50" t="s">
        <v>582</v>
      </c>
      <c r="R66" s="32" t="s">
        <v>158</v>
      </c>
    </row>
    <row r="67" spans="2:18" x14ac:dyDescent="0.3">
      <c r="B67" s="359"/>
      <c r="C67" s="65" t="s">
        <v>540</v>
      </c>
      <c r="D67" s="65" t="s">
        <v>564</v>
      </c>
      <c r="E67" s="45" t="s">
        <v>517</v>
      </c>
      <c r="F67" s="58">
        <v>21.293565891472866</v>
      </c>
      <c r="G67" s="58">
        <v>21.293565891472866</v>
      </c>
      <c r="H67" s="58">
        <v>21.293565891472866</v>
      </c>
      <c r="I67" s="45" t="s">
        <v>517</v>
      </c>
      <c r="J67" s="58">
        <v>8.9019922480620153</v>
      </c>
      <c r="K67" s="45" t="s">
        <v>517</v>
      </c>
      <c r="Q67" s="50" t="s">
        <v>583</v>
      </c>
      <c r="R67" s="32" t="s">
        <v>159</v>
      </c>
    </row>
    <row r="68" spans="2:18" x14ac:dyDescent="0.3">
      <c r="B68" s="359"/>
      <c r="C68" s="65" t="s">
        <v>541</v>
      </c>
      <c r="D68" s="65" t="s">
        <v>564</v>
      </c>
      <c r="E68" s="45" t="s">
        <v>517</v>
      </c>
      <c r="F68" s="58">
        <v>21.293565891472866</v>
      </c>
      <c r="G68" s="58">
        <v>21.293565891472866</v>
      </c>
      <c r="H68" s="58">
        <v>21.293565891472866</v>
      </c>
      <c r="I68" s="45" t="s">
        <v>517</v>
      </c>
      <c r="J68" s="58">
        <v>8.9019922480620153</v>
      </c>
      <c r="K68" s="45" t="s">
        <v>517</v>
      </c>
      <c r="Q68" s="50" t="s">
        <v>584</v>
      </c>
      <c r="R68" s="32" t="s">
        <v>151</v>
      </c>
    </row>
    <row r="69" spans="2:18" x14ac:dyDescent="0.3">
      <c r="B69" s="360"/>
      <c r="C69" s="65" t="s">
        <v>542</v>
      </c>
      <c r="D69" s="65" t="s">
        <v>564</v>
      </c>
      <c r="E69" s="45" t="s">
        <v>517</v>
      </c>
      <c r="F69" s="58">
        <v>21.293565891472866</v>
      </c>
      <c r="G69" s="58">
        <v>21.293565891472866</v>
      </c>
      <c r="H69" s="58">
        <v>21.293565891472866</v>
      </c>
      <c r="I69" s="45" t="s">
        <v>517</v>
      </c>
      <c r="J69" s="58">
        <v>8.9019922480620153</v>
      </c>
      <c r="K69" s="45" t="s">
        <v>517</v>
      </c>
      <c r="Q69" s="50" t="s">
        <v>585</v>
      </c>
      <c r="R69" s="32" t="s">
        <v>158</v>
      </c>
    </row>
    <row r="70" spans="2:18" x14ac:dyDescent="0.3">
      <c r="B70" s="29"/>
      <c r="C70" s="29"/>
      <c r="D70" s="29"/>
      <c r="E70" s="61"/>
      <c r="F70" s="61"/>
      <c r="G70" s="61"/>
      <c r="H70" s="61"/>
      <c r="I70" s="61"/>
      <c r="J70" s="61"/>
      <c r="K70" s="71"/>
      <c r="Q70" s="50" t="s">
        <v>586</v>
      </c>
      <c r="R70" s="32" t="s">
        <v>149</v>
      </c>
    </row>
    <row r="71" spans="2:18" x14ac:dyDescent="0.3">
      <c r="B71" s="29"/>
      <c r="C71" s="29"/>
      <c r="D71" s="29"/>
      <c r="E71" s="61"/>
      <c r="F71" s="61"/>
      <c r="G71" s="61"/>
      <c r="H71" s="61"/>
      <c r="I71" s="61"/>
      <c r="J71" s="61"/>
      <c r="K71" s="71"/>
      <c r="Q71" s="50" t="s">
        <v>587</v>
      </c>
      <c r="R71" s="32" t="s">
        <v>158</v>
      </c>
    </row>
    <row r="72" spans="2:18" x14ac:dyDescent="0.3">
      <c r="B72" s="29"/>
      <c r="C72" s="29"/>
      <c r="D72" s="29"/>
      <c r="E72" s="100" t="s">
        <v>553</v>
      </c>
      <c r="F72" s="43" t="s">
        <v>554</v>
      </c>
      <c r="G72" s="43" t="s">
        <v>555</v>
      </c>
      <c r="H72" s="100" t="s">
        <v>556</v>
      </c>
      <c r="I72" s="100" t="s">
        <v>557</v>
      </c>
      <c r="J72" s="100" t="s">
        <v>558</v>
      </c>
      <c r="K72" s="43" t="s">
        <v>559</v>
      </c>
      <c r="Q72" s="50">
        <v>60106</v>
      </c>
      <c r="R72" s="32" t="s">
        <v>158</v>
      </c>
    </row>
    <row r="73" spans="2:18" ht="15" x14ac:dyDescent="0.35">
      <c r="B73" s="83" t="s">
        <v>560</v>
      </c>
      <c r="C73" s="83" t="s">
        <v>561</v>
      </c>
      <c r="D73" s="83" t="s">
        <v>32</v>
      </c>
      <c r="E73" s="86" t="s">
        <v>562</v>
      </c>
      <c r="F73" s="86" t="s">
        <v>562</v>
      </c>
      <c r="G73" s="86" t="s">
        <v>562</v>
      </c>
      <c r="H73" s="86" t="s">
        <v>562</v>
      </c>
      <c r="I73" s="86" t="s">
        <v>562</v>
      </c>
      <c r="J73" s="86" t="s">
        <v>562</v>
      </c>
      <c r="K73" s="86" t="s">
        <v>562</v>
      </c>
      <c r="Q73" s="50">
        <v>120112</v>
      </c>
      <c r="R73" s="32" t="s">
        <v>158</v>
      </c>
    </row>
    <row r="74" spans="2:18" x14ac:dyDescent="0.3">
      <c r="B74" s="42" t="s">
        <v>588</v>
      </c>
      <c r="C74" s="65" t="s">
        <v>543</v>
      </c>
      <c r="D74" s="65" t="s">
        <v>564</v>
      </c>
      <c r="E74" s="45" t="s">
        <v>517</v>
      </c>
      <c r="F74" s="51" t="s">
        <v>517</v>
      </c>
      <c r="G74" s="58">
        <v>21.293565891472866</v>
      </c>
      <c r="H74" s="58">
        <v>21.293565891472866</v>
      </c>
      <c r="I74" s="58">
        <v>8.9506976744186044</v>
      </c>
      <c r="J74" s="58">
        <v>1041.8036935229597</v>
      </c>
      <c r="K74" s="45" t="s">
        <v>517</v>
      </c>
      <c r="Q74" s="50" t="s">
        <v>589</v>
      </c>
      <c r="R74" s="32" t="s">
        <v>158</v>
      </c>
    </row>
    <row r="75" spans="2:18" x14ac:dyDescent="0.3">
      <c r="B75" s="42"/>
      <c r="C75" s="65" t="s">
        <v>141</v>
      </c>
      <c r="D75" s="65" t="s">
        <v>564</v>
      </c>
      <c r="E75" s="45" t="s">
        <v>517</v>
      </c>
      <c r="F75" s="51" t="s">
        <v>517</v>
      </c>
      <c r="G75" s="58">
        <v>21.293565891472866</v>
      </c>
      <c r="H75" s="58">
        <v>21.293565891472866</v>
      </c>
      <c r="I75" s="58">
        <v>8.9506976744186044</v>
      </c>
      <c r="J75" s="58">
        <v>1041.8036935229597</v>
      </c>
      <c r="K75" s="45" t="s">
        <v>517</v>
      </c>
      <c r="Q75" s="50">
        <v>30309</v>
      </c>
      <c r="R75" s="32" t="s">
        <v>158</v>
      </c>
    </row>
    <row r="76" spans="2:18" x14ac:dyDescent="0.3">
      <c r="B76" s="42"/>
      <c r="C76" s="65" t="s">
        <v>545</v>
      </c>
      <c r="D76" s="65" t="s">
        <v>564</v>
      </c>
      <c r="E76" s="45" t="s">
        <v>517</v>
      </c>
      <c r="F76" s="51" t="s">
        <v>517</v>
      </c>
      <c r="G76" s="58">
        <v>21.293565891472866</v>
      </c>
      <c r="H76" s="58">
        <v>21.293565891472866</v>
      </c>
      <c r="I76" s="58">
        <v>8.9506976744186044</v>
      </c>
      <c r="J76" s="58">
        <v>1041.8036935229597</v>
      </c>
      <c r="K76" s="45" t="s">
        <v>517</v>
      </c>
      <c r="Q76" s="50">
        <v>30302</v>
      </c>
      <c r="R76" s="32" t="s">
        <v>158</v>
      </c>
    </row>
    <row r="77" spans="2:18" x14ac:dyDescent="0.3">
      <c r="Q77" s="50">
        <v>30399</v>
      </c>
      <c r="R77" s="32" t="s">
        <v>158</v>
      </c>
    </row>
    <row r="78" spans="2:18" ht="14.4" thickBot="1" x14ac:dyDescent="0.35">
      <c r="Q78" s="50">
        <v>200399</v>
      </c>
      <c r="R78" s="32" t="s">
        <v>157</v>
      </c>
    </row>
    <row r="79" spans="2:18" ht="14.4" thickBot="1" x14ac:dyDescent="0.35">
      <c r="B79" s="348" t="s">
        <v>590</v>
      </c>
      <c r="C79" s="349"/>
      <c r="D79" s="349"/>
      <c r="E79" s="349"/>
      <c r="F79" s="349"/>
      <c r="G79" s="349"/>
      <c r="H79" s="349"/>
      <c r="I79" s="349"/>
      <c r="J79" s="349"/>
      <c r="K79" s="349"/>
      <c r="M79" s="253" t="s">
        <v>138</v>
      </c>
      <c r="N79" s="254" t="s">
        <v>591</v>
      </c>
      <c r="Q79" s="73">
        <v>20103</v>
      </c>
      <c r="R79" s="54" t="s">
        <v>159</v>
      </c>
    </row>
    <row r="80" spans="2:18" x14ac:dyDescent="0.3">
      <c r="M80" s="91" t="s">
        <v>592</v>
      </c>
      <c r="N80" s="67">
        <v>13</v>
      </c>
      <c r="Q80" s="31">
        <v>80318</v>
      </c>
      <c r="R80" s="54" t="s">
        <v>148</v>
      </c>
    </row>
    <row r="81" spans="2:18" ht="14.4" thickBot="1" x14ac:dyDescent="0.35">
      <c r="B81" s="255" t="s">
        <v>560</v>
      </c>
      <c r="C81" s="255" t="s">
        <v>561</v>
      </c>
      <c r="D81" s="255" t="s">
        <v>593</v>
      </c>
      <c r="E81" s="255" t="s">
        <v>594</v>
      </c>
      <c r="F81" s="255" t="s">
        <v>595</v>
      </c>
      <c r="G81" s="255" t="s">
        <v>596</v>
      </c>
      <c r="H81" s="255" t="s">
        <v>597</v>
      </c>
      <c r="I81" s="256" t="s">
        <v>138</v>
      </c>
      <c r="J81" s="256" t="s">
        <v>105</v>
      </c>
      <c r="M81" s="44" t="s">
        <v>598</v>
      </c>
      <c r="N81" s="77">
        <v>29</v>
      </c>
      <c r="Q81" s="31">
        <v>170101</v>
      </c>
      <c r="R81" s="32" t="s">
        <v>150</v>
      </c>
    </row>
    <row r="82" spans="2:18" x14ac:dyDescent="0.3">
      <c r="B82" s="62" t="s">
        <v>588</v>
      </c>
      <c r="C82" s="92" t="s">
        <v>141</v>
      </c>
      <c r="D82" s="92">
        <v>1</v>
      </c>
      <c r="E82" s="79" t="s">
        <v>592</v>
      </c>
      <c r="F82" s="60">
        <v>13</v>
      </c>
      <c r="G82" s="60">
        <v>13</v>
      </c>
      <c r="H82" s="84">
        <v>21.293565891472866</v>
      </c>
      <c r="I82" s="84" t="s">
        <v>555</v>
      </c>
      <c r="J82" s="84" t="s">
        <v>599</v>
      </c>
      <c r="Q82" s="31">
        <v>170201</v>
      </c>
      <c r="R82" s="32" t="s">
        <v>151</v>
      </c>
    </row>
    <row r="83" spans="2:18" ht="14.4" thickBot="1" x14ac:dyDescent="0.35">
      <c r="B83" s="62" t="s">
        <v>588</v>
      </c>
      <c r="C83" s="52" t="s">
        <v>141</v>
      </c>
      <c r="D83" s="52">
        <v>1</v>
      </c>
      <c r="E83" s="68" t="s">
        <v>598</v>
      </c>
      <c r="F83" s="87">
        <v>29</v>
      </c>
      <c r="G83" s="87">
        <v>29</v>
      </c>
      <c r="H83" s="94">
        <v>1041.8036935229597</v>
      </c>
      <c r="I83" s="94" t="s">
        <v>558</v>
      </c>
      <c r="J83" s="84" t="s">
        <v>600</v>
      </c>
      <c r="Q83" s="31">
        <v>170202</v>
      </c>
      <c r="R83" s="32" t="s">
        <v>158</v>
      </c>
    </row>
    <row r="84" spans="2:18" ht="14.4" thickBot="1" x14ac:dyDescent="0.35">
      <c r="B84" s="69" t="s">
        <v>580</v>
      </c>
      <c r="C84" s="63" t="s">
        <v>144</v>
      </c>
      <c r="D84" s="63">
        <v>2</v>
      </c>
      <c r="E84" s="66" t="s">
        <v>592</v>
      </c>
      <c r="F84" s="75">
        <v>13</v>
      </c>
      <c r="G84" s="75">
        <v>26</v>
      </c>
      <c r="H84" s="76">
        <v>21.293565891472866</v>
      </c>
      <c r="I84" s="94" t="s">
        <v>555</v>
      </c>
      <c r="J84" s="84" t="s">
        <v>601</v>
      </c>
      <c r="Q84" s="31">
        <v>100105</v>
      </c>
      <c r="R84" s="32" t="s">
        <v>158</v>
      </c>
    </row>
    <row r="85" spans="2:18" ht="14.4" thickBot="1" x14ac:dyDescent="0.35">
      <c r="B85" s="69" t="s">
        <v>580</v>
      </c>
      <c r="C85" s="89" t="s">
        <v>144</v>
      </c>
      <c r="D85" s="89">
        <v>2</v>
      </c>
      <c r="E85" s="47" t="s">
        <v>598</v>
      </c>
      <c r="F85" s="28">
        <v>29</v>
      </c>
      <c r="G85" s="28">
        <v>58</v>
      </c>
      <c r="H85" s="48">
        <v>8.9019922480620153</v>
      </c>
      <c r="I85" s="94" t="s">
        <v>558</v>
      </c>
      <c r="J85" s="84" t="s">
        <v>602</v>
      </c>
      <c r="Q85" s="73">
        <v>30311</v>
      </c>
      <c r="R85" s="32" t="s">
        <v>158</v>
      </c>
    </row>
    <row r="86" spans="2:18" ht="14.4" thickBot="1" x14ac:dyDescent="0.35">
      <c r="B86" s="69" t="s">
        <v>580</v>
      </c>
      <c r="C86" s="46" t="s">
        <v>147</v>
      </c>
      <c r="D86" s="46">
        <v>3</v>
      </c>
      <c r="E86" s="47" t="s">
        <v>592</v>
      </c>
      <c r="F86" s="28">
        <v>13</v>
      </c>
      <c r="G86" s="28">
        <v>39</v>
      </c>
      <c r="H86" s="48">
        <v>21.293565891472866</v>
      </c>
      <c r="I86" s="94" t="s">
        <v>555</v>
      </c>
      <c r="J86" s="84" t="s">
        <v>603</v>
      </c>
      <c r="Q86" s="31">
        <v>200199</v>
      </c>
      <c r="R86" s="32" t="s">
        <v>158</v>
      </c>
    </row>
    <row r="87" spans="2:18" ht="14.4" thickBot="1" x14ac:dyDescent="0.35">
      <c r="B87" s="69" t="s">
        <v>580</v>
      </c>
      <c r="C87" s="52" t="s">
        <v>147</v>
      </c>
      <c r="D87" s="52">
        <v>3</v>
      </c>
      <c r="E87" s="68" t="s">
        <v>598</v>
      </c>
      <c r="F87" s="87">
        <v>29</v>
      </c>
      <c r="G87" s="87">
        <v>87</v>
      </c>
      <c r="H87" s="94">
        <v>8.9019922480620153</v>
      </c>
      <c r="I87" s="94" t="s">
        <v>558</v>
      </c>
      <c r="J87" s="84" t="s">
        <v>604</v>
      </c>
      <c r="Q87" s="31">
        <v>80111</v>
      </c>
      <c r="R87" s="32" t="s">
        <v>158</v>
      </c>
    </row>
    <row r="88" spans="2:18" ht="14.4" thickBot="1" x14ac:dyDescent="0.35">
      <c r="B88" s="82" t="s">
        <v>581</v>
      </c>
      <c r="C88" s="63" t="s">
        <v>148</v>
      </c>
      <c r="D88" s="63">
        <v>4</v>
      </c>
      <c r="E88" s="66" t="s">
        <v>592</v>
      </c>
      <c r="F88" s="75">
        <v>13</v>
      </c>
      <c r="G88" s="75">
        <v>52</v>
      </c>
      <c r="H88" s="76">
        <v>21.293565891472866</v>
      </c>
      <c r="I88" s="94" t="s">
        <v>555</v>
      </c>
      <c r="J88" s="84" t="s">
        <v>605</v>
      </c>
      <c r="Q88" s="31">
        <v>130701</v>
      </c>
      <c r="R88" s="32" t="s">
        <v>158</v>
      </c>
    </row>
    <row r="89" spans="2:18" ht="14.4" thickBot="1" x14ac:dyDescent="0.35">
      <c r="B89" s="82" t="s">
        <v>581</v>
      </c>
      <c r="C89" s="89" t="s">
        <v>148</v>
      </c>
      <c r="D89" s="89">
        <v>4</v>
      </c>
      <c r="E89" s="47" t="s">
        <v>598</v>
      </c>
      <c r="F89" s="28">
        <v>29</v>
      </c>
      <c r="G89" s="28">
        <v>116</v>
      </c>
      <c r="H89" s="48">
        <v>8.9019922480620153</v>
      </c>
      <c r="I89" s="94" t="s">
        <v>558</v>
      </c>
      <c r="J89" s="84" t="s">
        <v>606</v>
      </c>
      <c r="Q89" s="31">
        <v>170601</v>
      </c>
      <c r="R89" s="80" t="s">
        <v>504</v>
      </c>
    </row>
    <row r="90" spans="2:18" ht="14.4" thickBot="1" x14ac:dyDescent="0.35">
      <c r="B90" s="82" t="s">
        <v>581</v>
      </c>
      <c r="C90" s="46" t="s">
        <v>149</v>
      </c>
      <c r="D90" s="46">
        <v>5</v>
      </c>
      <c r="E90" s="47" t="s">
        <v>592</v>
      </c>
      <c r="F90" s="28">
        <v>13</v>
      </c>
      <c r="G90" s="28">
        <v>65</v>
      </c>
      <c r="H90" s="48">
        <v>21.293565891472866</v>
      </c>
      <c r="I90" s="94" t="s">
        <v>555</v>
      </c>
      <c r="J90" s="84" t="s">
        <v>607</v>
      </c>
      <c r="Q90" s="53">
        <v>160708</v>
      </c>
      <c r="R90" s="32" t="s">
        <v>158</v>
      </c>
    </row>
    <row r="91" spans="2:18" ht="14.4" thickBot="1" x14ac:dyDescent="0.35">
      <c r="B91" s="82" t="s">
        <v>581</v>
      </c>
      <c r="C91" s="52" t="s">
        <v>149</v>
      </c>
      <c r="D91" s="52">
        <v>5</v>
      </c>
      <c r="E91" s="93" t="s">
        <v>598</v>
      </c>
      <c r="F91" s="64">
        <v>29</v>
      </c>
      <c r="G91" s="64">
        <v>145</v>
      </c>
      <c r="H91" s="56">
        <v>8.9019922480620153</v>
      </c>
      <c r="I91" s="94" t="s">
        <v>558</v>
      </c>
      <c r="J91" s="84" t="s">
        <v>608</v>
      </c>
      <c r="Q91" s="53">
        <v>20101</v>
      </c>
      <c r="R91" s="32" t="s">
        <v>158</v>
      </c>
    </row>
    <row r="92" spans="2:18" ht="14.4" thickBot="1" x14ac:dyDescent="0.35">
      <c r="B92" s="69" t="s">
        <v>563</v>
      </c>
      <c r="C92" s="78" t="s">
        <v>150</v>
      </c>
      <c r="D92" s="78">
        <v>6</v>
      </c>
      <c r="E92" s="66" t="s">
        <v>592</v>
      </c>
      <c r="F92" s="75">
        <v>13</v>
      </c>
      <c r="G92" s="75">
        <v>78</v>
      </c>
      <c r="H92" s="76">
        <v>0.98914159999999995</v>
      </c>
      <c r="I92" s="94" t="s">
        <v>555</v>
      </c>
      <c r="J92" s="84" t="s">
        <v>609</v>
      </c>
      <c r="Q92" s="53">
        <v>20107</v>
      </c>
      <c r="R92" s="54" t="s">
        <v>159</v>
      </c>
    </row>
    <row r="93" spans="2:18" ht="14.4" thickBot="1" x14ac:dyDescent="0.35">
      <c r="B93" s="69" t="s">
        <v>563</v>
      </c>
      <c r="C93" s="46" t="s">
        <v>151</v>
      </c>
      <c r="D93" s="46">
        <v>7</v>
      </c>
      <c r="E93" s="47" t="s">
        <v>592</v>
      </c>
      <c r="F93" s="28">
        <v>13</v>
      </c>
      <c r="G93" s="28">
        <v>91</v>
      </c>
      <c r="H93" s="48">
        <v>21.293565891472866</v>
      </c>
      <c r="I93" s="94" t="s">
        <v>555</v>
      </c>
      <c r="J93" s="84" t="s">
        <v>610</v>
      </c>
      <c r="Q93" s="53">
        <v>161002</v>
      </c>
      <c r="R93" s="32" t="s">
        <v>158</v>
      </c>
    </row>
    <row r="94" spans="2:18" ht="14.4" thickBot="1" x14ac:dyDescent="0.35">
      <c r="B94" s="69" t="s">
        <v>563</v>
      </c>
      <c r="C94" s="89" t="s">
        <v>151</v>
      </c>
      <c r="D94" s="89">
        <v>7</v>
      </c>
      <c r="E94" s="47" t="s">
        <v>598</v>
      </c>
      <c r="F94" s="28">
        <v>29</v>
      </c>
      <c r="G94" s="28">
        <v>203</v>
      </c>
      <c r="H94" s="48">
        <v>828.03226547429415</v>
      </c>
      <c r="I94" s="94" t="s">
        <v>558</v>
      </c>
      <c r="J94" s="84" t="s">
        <v>611</v>
      </c>
      <c r="Q94" s="53">
        <v>100121</v>
      </c>
      <c r="R94" s="32" t="s">
        <v>158</v>
      </c>
    </row>
    <row r="95" spans="2:18" ht="14.4" thickBot="1" x14ac:dyDescent="0.35">
      <c r="B95" s="69" t="s">
        <v>563</v>
      </c>
      <c r="C95" s="46" t="s">
        <v>152</v>
      </c>
      <c r="D95" s="46">
        <v>8</v>
      </c>
      <c r="E95" s="47" t="s">
        <v>592</v>
      </c>
      <c r="F95" s="28">
        <v>13</v>
      </c>
      <c r="G95" s="28">
        <v>104</v>
      </c>
      <c r="H95" s="48">
        <v>0.98914159999999995</v>
      </c>
      <c r="I95" s="94" t="s">
        <v>555</v>
      </c>
      <c r="J95" s="84" t="s">
        <v>612</v>
      </c>
      <c r="Q95" s="53">
        <v>191212</v>
      </c>
      <c r="R95" s="32" t="s">
        <v>158</v>
      </c>
    </row>
    <row r="96" spans="2:18" ht="14.4" thickBot="1" x14ac:dyDescent="0.35">
      <c r="B96" s="69" t="s">
        <v>563</v>
      </c>
      <c r="C96" s="89" t="s">
        <v>152</v>
      </c>
      <c r="D96" s="89">
        <v>8</v>
      </c>
      <c r="E96" s="47" t="s">
        <v>598</v>
      </c>
      <c r="F96" s="28">
        <v>29</v>
      </c>
      <c r="G96" s="28">
        <v>232</v>
      </c>
      <c r="H96" s="48">
        <v>1.2393136</v>
      </c>
      <c r="I96" s="94" t="s">
        <v>558</v>
      </c>
      <c r="J96" s="84" t="s">
        <v>613</v>
      </c>
      <c r="Q96" s="53">
        <v>60205</v>
      </c>
      <c r="R96" s="32" t="s">
        <v>158</v>
      </c>
    </row>
    <row r="97" spans="2:18" ht="14.4" thickBot="1" x14ac:dyDescent="0.35">
      <c r="B97" s="69" t="s">
        <v>563</v>
      </c>
      <c r="C97" s="46" t="s">
        <v>153</v>
      </c>
      <c r="D97" s="46">
        <v>9</v>
      </c>
      <c r="E97" s="47" t="s">
        <v>592</v>
      </c>
      <c r="F97" s="28">
        <v>13</v>
      </c>
      <c r="G97" s="28">
        <v>117</v>
      </c>
      <c r="H97" s="48">
        <v>21.293565891472866</v>
      </c>
      <c r="I97" s="94" t="s">
        <v>555</v>
      </c>
      <c r="J97" s="84" t="s">
        <v>614</v>
      </c>
      <c r="Q97" s="53">
        <v>80317</v>
      </c>
      <c r="R97" s="54" t="s">
        <v>148</v>
      </c>
    </row>
    <row r="98" spans="2:18" ht="14.4" thickBot="1" x14ac:dyDescent="0.35">
      <c r="B98" s="69" t="s">
        <v>563</v>
      </c>
      <c r="C98" s="89" t="s">
        <v>153</v>
      </c>
      <c r="D98" s="89">
        <v>9</v>
      </c>
      <c r="E98" s="47" t="s">
        <v>598</v>
      </c>
      <c r="F98" s="28">
        <v>29</v>
      </c>
      <c r="G98" s="28">
        <v>261</v>
      </c>
      <c r="H98" s="48">
        <v>21.293565891472866</v>
      </c>
      <c r="I98" s="94" t="s">
        <v>558</v>
      </c>
      <c r="J98" s="84" t="s">
        <v>615</v>
      </c>
      <c r="Q98" s="53">
        <v>200138</v>
      </c>
      <c r="R98" s="32" t="s">
        <v>151</v>
      </c>
    </row>
    <row r="99" spans="2:18" ht="14.4" thickBot="1" x14ac:dyDescent="0.35">
      <c r="B99" s="69" t="s">
        <v>563</v>
      </c>
      <c r="C99" s="46" t="s">
        <v>154</v>
      </c>
      <c r="D99" s="46">
        <v>10</v>
      </c>
      <c r="E99" s="47" t="s">
        <v>592</v>
      </c>
      <c r="F99" s="28">
        <v>13</v>
      </c>
      <c r="G99" s="28">
        <v>130</v>
      </c>
      <c r="H99" s="48">
        <v>0.98914159999999995</v>
      </c>
      <c r="I99" s="94" t="s">
        <v>555</v>
      </c>
      <c r="J99" s="84" t="s">
        <v>616</v>
      </c>
      <c r="Q99" s="53">
        <v>170405</v>
      </c>
      <c r="R99" s="54" t="s">
        <v>147</v>
      </c>
    </row>
    <row r="100" spans="2:18" ht="14.4" thickBot="1" x14ac:dyDescent="0.35">
      <c r="B100" s="69" t="s">
        <v>563</v>
      </c>
      <c r="C100" s="89" t="s">
        <v>154</v>
      </c>
      <c r="D100" s="89">
        <v>10</v>
      </c>
      <c r="E100" s="47" t="s">
        <v>598</v>
      </c>
      <c r="F100" s="28">
        <v>29</v>
      </c>
      <c r="G100" s="28">
        <v>290</v>
      </c>
      <c r="H100" s="48">
        <v>17.582694949286356</v>
      </c>
      <c r="I100" s="94" t="s">
        <v>558</v>
      </c>
      <c r="J100" s="84" t="s">
        <v>617</v>
      </c>
      <c r="Q100" s="53">
        <v>200201</v>
      </c>
      <c r="R100" s="54" t="s">
        <v>159</v>
      </c>
    </row>
    <row r="101" spans="2:18" ht="14.4" thickBot="1" x14ac:dyDescent="0.35">
      <c r="B101" s="69" t="s">
        <v>563</v>
      </c>
      <c r="C101" s="40" t="s">
        <v>504</v>
      </c>
      <c r="D101" s="59">
        <v>11</v>
      </c>
      <c r="E101" s="47" t="s">
        <v>598</v>
      </c>
      <c r="F101" s="28">
        <v>29</v>
      </c>
      <c r="G101" s="28">
        <v>319</v>
      </c>
      <c r="H101" s="48">
        <v>5.9184263565891468</v>
      </c>
      <c r="I101" s="94" t="s">
        <v>558</v>
      </c>
      <c r="J101" s="84" t="s">
        <v>618</v>
      </c>
      <c r="Q101" s="53">
        <v>200130</v>
      </c>
      <c r="R101" s="54" t="s">
        <v>147</v>
      </c>
    </row>
    <row r="102" spans="2:18" ht="14.4" thickBot="1" x14ac:dyDescent="0.35">
      <c r="B102" s="69" t="s">
        <v>576</v>
      </c>
      <c r="C102" s="63" t="s">
        <v>155</v>
      </c>
      <c r="D102" s="63">
        <v>12</v>
      </c>
      <c r="E102" s="66" t="s">
        <v>592</v>
      </c>
      <c r="F102" s="75">
        <v>13</v>
      </c>
      <c r="G102" s="75">
        <v>156</v>
      </c>
      <c r="H102" s="76">
        <v>21.293565891472866</v>
      </c>
      <c r="I102" s="94" t="s">
        <v>555</v>
      </c>
      <c r="J102" s="84" t="s">
        <v>619</v>
      </c>
      <c r="Q102" s="53">
        <v>130308</v>
      </c>
      <c r="R102" s="32" t="s">
        <v>153</v>
      </c>
    </row>
    <row r="103" spans="2:18" ht="14.4" thickBot="1" x14ac:dyDescent="0.35">
      <c r="B103" s="69" t="s">
        <v>576</v>
      </c>
      <c r="C103" s="89" t="s">
        <v>155</v>
      </c>
      <c r="D103" s="89">
        <v>12</v>
      </c>
      <c r="E103" s="47" t="s">
        <v>598</v>
      </c>
      <c r="F103" s="28">
        <v>29</v>
      </c>
      <c r="G103" s="28">
        <v>348</v>
      </c>
      <c r="H103" s="48">
        <v>8.9019922480620153</v>
      </c>
      <c r="I103" s="94" t="s">
        <v>558</v>
      </c>
      <c r="J103" s="84" t="s">
        <v>620</v>
      </c>
      <c r="Q103" s="53">
        <v>130802</v>
      </c>
      <c r="R103" s="32" t="s">
        <v>158</v>
      </c>
    </row>
    <row r="104" spans="2:18" ht="14.4" thickBot="1" x14ac:dyDescent="0.35">
      <c r="B104" s="69" t="s">
        <v>576</v>
      </c>
      <c r="C104" s="46" t="s">
        <v>156</v>
      </c>
      <c r="D104" s="46">
        <v>13</v>
      </c>
      <c r="E104" s="47" t="s">
        <v>592</v>
      </c>
      <c r="F104" s="28">
        <v>13</v>
      </c>
      <c r="G104" s="28">
        <v>169</v>
      </c>
      <c r="H104" s="48">
        <v>21.293565891472866</v>
      </c>
      <c r="I104" s="94" t="s">
        <v>555</v>
      </c>
      <c r="J104" s="84" t="s">
        <v>621</v>
      </c>
      <c r="Q104" s="53">
        <v>160213</v>
      </c>
      <c r="R104" s="54" t="s">
        <v>158</v>
      </c>
    </row>
    <row r="105" spans="2:18" ht="14.4" thickBot="1" x14ac:dyDescent="0.35">
      <c r="B105" s="69" t="s">
        <v>576</v>
      </c>
      <c r="C105" s="52" t="s">
        <v>156</v>
      </c>
      <c r="D105" s="52">
        <v>13</v>
      </c>
      <c r="E105" s="68" t="s">
        <v>598</v>
      </c>
      <c r="F105" s="87">
        <v>29</v>
      </c>
      <c r="G105" s="87">
        <v>377</v>
      </c>
      <c r="H105" s="94">
        <v>8.9019922480620153</v>
      </c>
      <c r="I105" s="94" t="s">
        <v>558</v>
      </c>
      <c r="J105" s="84" t="s">
        <v>622</v>
      </c>
      <c r="Q105" s="53">
        <v>160305</v>
      </c>
      <c r="R105" s="54" t="s">
        <v>158</v>
      </c>
    </row>
    <row r="106" spans="2:18" ht="14.4" thickBot="1" x14ac:dyDescent="0.35">
      <c r="B106" s="69" t="s">
        <v>565</v>
      </c>
      <c r="C106" s="63" t="s">
        <v>157</v>
      </c>
      <c r="D106" s="63">
        <v>14</v>
      </c>
      <c r="E106" s="66" t="s">
        <v>592</v>
      </c>
      <c r="F106" s="75">
        <v>13</v>
      </c>
      <c r="G106" s="75">
        <v>182</v>
      </c>
      <c r="H106" s="76">
        <v>21.293565891472866</v>
      </c>
      <c r="I106" s="94" t="s">
        <v>555</v>
      </c>
      <c r="J106" s="84" t="s">
        <v>623</v>
      </c>
      <c r="Q106" s="53">
        <v>150111</v>
      </c>
      <c r="R106" s="54" t="s">
        <v>144</v>
      </c>
    </row>
    <row r="107" spans="2:18" ht="14.4" thickBot="1" x14ac:dyDescent="0.35">
      <c r="B107" s="69" t="s">
        <v>565</v>
      </c>
      <c r="C107" s="89" t="s">
        <v>157</v>
      </c>
      <c r="D107" s="89">
        <v>14</v>
      </c>
      <c r="E107" s="47" t="s">
        <v>598</v>
      </c>
      <c r="F107" s="28">
        <v>29</v>
      </c>
      <c r="G107" s="28">
        <v>406</v>
      </c>
      <c r="H107" s="48">
        <v>446.24149999999997</v>
      </c>
      <c r="I107" s="94" t="s">
        <v>558</v>
      </c>
      <c r="J107" s="84" t="s">
        <v>624</v>
      </c>
      <c r="Q107" s="53">
        <v>170603</v>
      </c>
      <c r="R107" s="54" t="s">
        <v>152</v>
      </c>
    </row>
    <row r="108" spans="2:18" ht="14.4" thickBot="1" x14ac:dyDescent="0.35">
      <c r="B108" s="69" t="s">
        <v>565</v>
      </c>
      <c r="C108" s="46" t="s">
        <v>158</v>
      </c>
      <c r="D108" s="46">
        <v>15</v>
      </c>
      <c r="E108" s="47" t="s">
        <v>592</v>
      </c>
      <c r="F108" s="28">
        <v>13</v>
      </c>
      <c r="G108" s="28">
        <v>195</v>
      </c>
      <c r="H108" s="48">
        <v>21.293565891472866</v>
      </c>
      <c r="I108" s="94" t="s">
        <v>555</v>
      </c>
      <c r="J108" s="84" t="s">
        <v>625</v>
      </c>
      <c r="Q108" s="53">
        <v>160215</v>
      </c>
      <c r="R108" s="54" t="s">
        <v>158</v>
      </c>
    </row>
    <row r="109" spans="2:18" ht="14.4" thickBot="1" x14ac:dyDescent="0.35">
      <c r="B109" s="69" t="s">
        <v>565</v>
      </c>
      <c r="C109" s="89" t="s">
        <v>158</v>
      </c>
      <c r="D109" s="89">
        <v>15</v>
      </c>
      <c r="E109" s="47" t="s">
        <v>598</v>
      </c>
      <c r="F109" s="28">
        <v>29</v>
      </c>
      <c r="G109" s="28">
        <v>435</v>
      </c>
      <c r="H109" s="48">
        <v>467.04579999999999</v>
      </c>
      <c r="I109" s="94" t="s">
        <v>558</v>
      </c>
      <c r="J109" s="84" t="s">
        <v>626</v>
      </c>
      <c r="Q109" s="53">
        <v>30301</v>
      </c>
      <c r="R109" s="54" t="s">
        <v>151</v>
      </c>
    </row>
    <row r="110" spans="2:18" ht="14.4" thickBot="1" x14ac:dyDescent="0.35">
      <c r="B110" s="69" t="s">
        <v>565</v>
      </c>
      <c r="C110" s="46" t="s">
        <v>159</v>
      </c>
      <c r="D110" s="46">
        <v>16</v>
      </c>
      <c r="E110" s="47" t="s">
        <v>592</v>
      </c>
      <c r="F110" s="28">
        <v>13</v>
      </c>
      <c r="G110" s="28">
        <v>208</v>
      </c>
      <c r="H110" s="48">
        <v>21.293565891472866</v>
      </c>
      <c r="I110" s="94" t="s">
        <v>555</v>
      </c>
      <c r="J110" s="84" t="s">
        <v>627</v>
      </c>
      <c r="Q110" s="53">
        <v>191204</v>
      </c>
      <c r="R110" s="54" t="s">
        <v>148</v>
      </c>
    </row>
    <row r="111" spans="2:18" ht="14.4" thickBot="1" x14ac:dyDescent="0.35">
      <c r="B111" s="69" t="s">
        <v>565</v>
      </c>
      <c r="C111" s="52" t="s">
        <v>159</v>
      </c>
      <c r="D111" s="52">
        <v>16</v>
      </c>
      <c r="E111" s="68" t="s">
        <v>598</v>
      </c>
      <c r="F111" s="87">
        <v>29</v>
      </c>
      <c r="G111" s="87">
        <v>464</v>
      </c>
      <c r="H111" s="94">
        <v>578.95913371117013</v>
      </c>
      <c r="I111" s="94" t="s">
        <v>558</v>
      </c>
      <c r="J111" s="84" t="s">
        <v>628</v>
      </c>
      <c r="Q111" s="53">
        <v>170302</v>
      </c>
      <c r="R111" s="54" t="s">
        <v>158</v>
      </c>
    </row>
    <row r="112" spans="2:18" x14ac:dyDescent="0.3">
      <c r="Q112" s="53">
        <v>190814</v>
      </c>
      <c r="R112" s="54" t="s">
        <v>158</v>
      </c>
    </row>
    <row r="113" spans="2:18" x14ac:dyDescent="0.3">
      <c r="Q113" s="53">
        <v>60601</v>
      </c>
      <c r="R113" s="54" t="s">
        <v>158</v>
      </c>
    </row>
    <row r="114" spans="2:18" x14ac:dyDescent="0.3">
      <c r="B114" s="255" t="s">
        <v>560</v>
      </c>
      <c r="C114" s="255" t="s">
        <v>561</v>
      </c>
      <c r="D114" s="255" t="s">
        <v>593</v>
      </c>
      <c r="E114" s="255" t="s">
        <v>594</v>
      </c>
      <c r="F114" s="255" t="s">
        <v>595</v>
      </c>
      <c r="G114" s="255" t="s">
        <v>596</v>
      </c>
      <c r="H114" s="255" t="s">
        <v>597</v>
      </c>
      <c r="I114" s="256" t="s">
        <v>32</v>
      </c>
      <c r="J114" s="256" t="s">
        <v>105</v>
      </c>
      <c r="Q114" s="53">
        <v>60102</v>
      </c>
      <c r="R114" s="54" t="s">
        <v>158</v>
      </c>
    </row>
    <row r="115" spans="2:18" ht="14.4" thickBot="1" x14ac:dyDescent="0.35">
      <c r="B115" s="95" t="s">
        <v>588</v>
      </c>
      <c r="C115" s="92" t="s">
        <v>141</v>
      </c>
      <c r="D115" s="92">
        <v>1</v>
      </c>
      <c r="E115" s="79" t="s">
        <v>592</v>
      </c>
      <c r="F115" s="60">
        <v>13</v>
      </c>
      <c r="G115" s="60">
        <v>13</v>
      </c>
      <c r="H115" s="84">
        <v>21.294</v>
      </c>
      <c r="I115" s="84" t="s">
        <v>501</v>
      </c>
      <c r="J115" s="84" t="s">
        <v>599</v>
      </c>
      <c r="Q115" s="53">
        <v>150111</v>
      </c>
      <c r="R115" s="54" t="s">
        <v>158</v>
      </c>
    </row>
    <row r="116" spans="2:18" x14ac:dyDescent="0.3">
      <c r="B116" s="353" t="s">
        <v>580</v>
      </c>
      <c r="C116" s="63" t="s">
        <v>144</v>
      </c>
      <c r="D116" s="63">
        <v>2</v>
      </c>
      <c r="E116" s="66" t="s">
        <v>592</v>
      </c>
      <c r="F116" s="75">
        <v>13</v>
      </c>
      <c r="G116" s="75">
        <v>26</v>
      </c>
      <c r="H116" s="76">
        <v>21.294</v>
      </c>
      <c r="I116" s="76" t="s">
        <v>501</v>
      </c>
      <c r="J116" s="76" t="s">
        <v>601</v>
      </c>
      <c r="Q116" s="53">
        <v>160305</v>
      </c>
      <c r="R116" s="54" t="s">
        <v>158</v>
      </c>
    </row>
    <row r="117" spans="2:18" ht="14.4" thickBot="1" x14ac:dyDescent="0.35">
      <c r="B117" s="355"/>
      <c r="C117" s="46" t="s">
        <v>147</v>
      </c>
      <c r="D117" s="46">
        <v>3</v>
      </c>
      <c r="E117" s="47" t="s">
        <v>592</v>
      </c>
      <c r="F117" s="28">
        <v>13</v>
      </c>
      <c r="G117" s="28">
        <v>39</v>
      </c>
      <c r="H117" s="48">
        <v>21.294</v>
      </c>
      <c r="I117" s="48" t="s">
        <v>501</v>
      </c>
      <c r="J117" s="48" t="s">
        <v>603</v>
      </c>
      <c r="Q117" s="53">
        <v>180106</v>
      </c>
      <c r="R117" s="54" t="s">
        <v>158</v>
      </c>
    </row>
    <row r="118" spans="2:18" x14ac:dyDescent="0.3">
      <c r="B118" s="356" t="s">
        <v>581</v>
      </c>
      <c r="C118" s="63" t="s">
        <v>148</v>
      </c>
      <c r="D118" s="63">
        <v>4</v>
      </c>
      <c r="E118" s="66" t="s">
        <v>592</v>
      </c>
      <c r="F118" s="75">
        <v>13</v>
      </c>
      <c r="G118" s="75">
        <v>52</v>
      </c>
      <c r="H118" s="76">
        <v>21.294</v>
      </c>
      <c r="I118" s="76" t="s">
        <v>501</v>
      </c>
      <c r="J118" s="76" t="s">
        <v>605</v>
      </c>
      <c r="Q118" s="53">
        <v>130206</v>
      </c>
      <c r="R118" s="54" t="s">
        <v>153</v>
      </c>
    </row>
    <row r="119" spans="2:18" ht="14.4" thickBot="1" x14ac:dyDescent="0.35">
      <c r="B119" s="357"/>
      <c r="C119" s="46" t="s">
        <v>149</v>
      </c>
      <c r="D119" s="46">
        <v>5</v>
      </c>
      <c r="E119" s="47" t="s">
        <v>592</v>
      </c>
      <c r="F119" s="28">
        <v>13</v>
      </c>
      <c r="G119" s="28">
        <v>65</v>
      </c>
      <c r="H119" s="48">
        <v>21.294</v>
      </c>
      <c r="I119" s="48" t="s">
        <v>501</v>
      </c>
      <c r="J119" s="48" t="s">
        <v>607</v>
      </c>
      <c r="Q119" s="53">
        <v>30301</v>
      </c>
      <c r="R119" s="54" t="s">
        <v>151</v>
      </c>
    </row>
    <row r="120" spans="2:18" x14ac:dyDescent="0.3">
      <c r="B120" s="353" t="s">
        <v>563</v>
      </c>
      <c r="C120" s="78" t="s">
        <v>150</v>
      </c>
      <c r="D120" s="78">
        <v>6</v>
      </c>
      <c r="E120" s="66" t="s">
        <v>592</v>
      </c>
      <c r="F120" s="75">
        <v>13</v>
      </c>
      <c r="G120" s="75">
        <v>78</v>
      </c>
      <c r="H120" s="76">
        <v>0.98899999999999999</v>
      </c>
      <c r="I120" s="76" t="s">
        <v>501</v>
      </c>
      <c r="J120" s="76" t="s">
        <v>609</v>
      </c>
      <c r="Q120" s="53">
        <v>170402</v>
      </c>
      <c r="R120" s="54" t="s">
        <v>147</v>
      </c>
    </row>
    <row r="121" spans="2:18" x14ac:dyDescent="0.3">
      <c r="B121" s="354"/>
      <c r="C121" s="46" t="s">
        <v>151</v>
      </c>
      <c r="D121" s="46">
        <v>7</v>
      </c>
      <c r="E121" s="47" t="s">
        <v>592</v>
      </c>
      <c r="F121" s="28">
        <v>13</v>
      </c>
      <c r="G121" s="28">
        <v>91</v>
      </c>
      <c r="H121" s="48">
        <v>21.294</v>
      </c>
      <c r="I121" s="48" t="s">
        <v>501</v>
      </c>
      <c r="J121" s="48" t="s">
        <v>610</v>
      </c>
      <c r="Q121" s="53">
        <v>170411</v>
      </c>
      <c r="R121" s="32" t="s">
        <v>147</v>
      </c>
    </row>
    <row r="122" spans="2:18" x14ac:dyDescent="0.3">
      <c r="B122" s="354"/>
      <c r="C122" s="46" t="s">
        <v>152</v>
      </c>
      <c r="D122" s="46">
        <v>8</v>
      </c>
      <c r="E122" s="47" t="s">
        <v>592</v>
      </c>
      <c r="F122" s="28">
        <v>13</v>
      </c>
      <c r="G122" s="28">
        <v>104</v>
      </c>
      <c r="H122" s="48">
        <v>0.98899999999999999</v>
      </c>
      <c r="I122" s="48" t="s">
        <v>501</v>
      </c>
      <c r="J122" s="48" t="s">
        <v>612</v>
      </c>
      <c r="Q122" s="53">
        <v>100117</v>
      </c>
      <c r="R122" s="54" t="s">
        <v>158</v>
      </c>
    </row>
    <row r="123" spans="2:18" x14ac:dyDescent="0.3">
      <c r="B123" s="354"/>
      <c r="C123" s="46" t="s">
        <v>153</v>
      </c>
      <c r="D123" s="46">
        <v>9</v>
      </c>
      <c r="E123" s="47" t="s">
        <v>592</v>
      </c>
      <c r="F123" s="28">
        <v>13</v>
      </c>
      <c r="G123" s="28">
        <v>117</v>
      </c>
      <c r="H123" s="48">
        <v>21.294</v>
      </c>
      <c r="I123" s="48" t="s">
        <v>501</v>
      </c>
      <c r="J123" s="48" t="s">
        <v>614</v>
      </c>
      <c r="Q123" s="53">
        <v>100119</v>
      </c>
      <c r="R123" s="54" t="s">
        <v>158</v>
      </c>
    </row>
    <row r="124" spans="2:18" ht="14.4" thickBot="1" x14ac:dyDescent="0.35">
      <c r="B124" s="354"/>
      <c r="C124" s="46" t="s">
        <v>154</v>
      </c>
      <c r="D124" s="46">
        <v>10</v>
      </c>
      <c r="E124" s="47" t="s">
        <v>592</v>
      </c>
      <c r="F124" s="28">
        <v>13</v>
      </c>
      <c r="G124" s="28">
        <v>130</v>
      </c>
      <c r="H124" s="48">
        <v>0.98899999999999999</v>
      </c>
      <c r="I124" s="48" t="s">
        <v>501</v>
      </c>
      <c r="J124" s="48" t="s">
        <v>616</v>
      </c>
      <c r="Q124" s="53">
        <v>190812</v>
      </c>
      <c r="R124" s="54" t="s">
        <v>158</v>
      </c>
    </row>
    <row r="125" spans="2:18" x14ac:dyDescent="0.3">
      <c r="B125" s="353" t="s">
        <v>576</v>
      </c>
      <c r="C125" s="63" t="s">
        <v>155</v>
      </c>
      <c r="D125" s="63">
        <v>12</v>
      </c>
      <c r="E125" s="66" t="s">
        <v>592</v>
      </c>
      <c r="F125" s="75">
        <v>13</v>
      </c>
      <c r="G125" s="75">
        <v>156</v>
      </c>
      <c r="H125" s="76">
        <v>21.294</v>
      </c>
      <c r="I125" s="76" t="s">
        <v>501</v>
      </c>
      <c r="J125" s="76" t="s">
        <v>619</v>
      </c>
      <c r="Q125" s="53">
        <v>190812</v>
      </c>
      <c r="R125" s="54" t="s">
        <v>158</v>
      </c>
    </row>
    <row r="126" spans="2:18" ht="14.4" thickBot="1" x14ac:dyDescent="0.35">
      <c r="B126" s="354"/>
      <c r="C126" s="46" t="s">
        <v>156</v>
      </c>
      <c r="D126" s="46">
        <v>13</v>
      </c>
      <c r="E126" s="47" t="s">
        <v>592</v>
      </c>
      <c r="F126" s="28">
        <v>13</v>
      </c>
      <c r="G126" s="28">
        <v>169</v>
      </c>
      <c r="H126" s="48">
        <v>21.294</v>
      </c>
      <c r="I126" s="48" t="s">
        <v>501</v>
      </c>
      <c r="J126" s="48" t="s">
        <v>621</v>
      </c>
      <c r="Q126" s="53">
        <v>170107</v>
      </c>
      <c r="R126" s="54" t="s">
        <v>150</v>
      </c>
    </row>
    <row r="127" spans="2:18" x14ac:dyDescent="0.3">
      <c r="B127" s="353" t="s">
        <v>565</v>
      </c>
      <c r="C127" s="63" t="s">
        <v>157</v>
      </c>
      <c r="D127" s="63">
        <v>14</v>
      </c>
      <c r="E127" s="66" t="s">
        <v>592</v>
      </c>
      <c r="F127" s="75">
        <v>13</v>
      </c>
      <c r="G127" s="75">
        <v>182</v>
      </c>
      <c r="H127" s="76">
        <v>21.294</v>
      </c>
      <c r="I127" s="76" t="s">
        <v>501</v>
      </c>
      <c r="J127" s="76" t="s">
        <v>623</v>
      </c>
      <c r="Q127" s="53">
        <v>170302</v>
      </c>
      <c r="R127" s="54" t="s">
        <v>158</v>
      </c>
    </row>
    <row r="128" spans="2:18" x14ac:dyDescent="0.3">
      <c r="B128" s="354"/>
      <c r="C128" s="46" t="s">
        <v>158</v>
      </c>
      <c r="D128" s="46">
        <v>15</v>
      </c>
      <c r="E128" s="47" t="s">
        <v>592</v>
      </c>
      <c r="F128" s="28">
        <v>13</v>
      </c>
      <c r="G128" s="28">
        <v>195</v>
      </c>
      <c r="H128" s="48">
        <v>21.294</v>
      </c>
      <c r="I128" s="48" t="s">
        <v>501</v>
      </c>
      <c r="J128" s="48" t="s">
        <v>625</v>
      </c>
      <c r="Q128" s="53">
        <v>170401</v>
      </c>
      <c r="R128" s="54" t="s">
        <v>147</v>
      </c>
    </row>
    <row r="129" spans="2:18" ht="14.4" thickBot="1" x14ac:dyDescent="0.35">
      <c r="B129" s="354"/>
      <c r="C129" s="46" t="s">
        <v>159</v>
      </c>
      <c r="D129" s="46">
        <v>16</v>
      </c>
      <c r="E129" s="47" t="s">
        <v>592</v>
      </c>
      <c r="F129" s="28">
        <v>13</v>
      </c>
      <c r="G129" s="28">
        <v>208</v>
      </c>
      <c r="H129" s="48">
        <v>21.294</v>
      </c>
      <c r="I129" s="48" t="s">
        <v>501</v>
      </c>
      <c r="J129" s="48" t="s">
        <v>627</v>
      </c>
      <c r="Q129" s="99">
        <v>200304</v>
      </c>
      <c r="R129" s="57" t="s">
        <v>158</v>
      </c>
    </row>
    <row r="130" spans="2:18" x14ac:dyDescent="0.3">
      <c r="B130" s="96"/>
      <c r="C130" s="96"/>
      <c r="D130" s="96"/>
      <c r="E130" s="96"/>
      <c r="F130" s="96"/>
      <c r="G130" s="96"/>
      <c r="H130" s="96"/>
      <c r="I130" s="96"/>
    </row>
    <row r="131" spans="2:18" x14ac:dyDescent="0.3">
      <c r="B131" s="255" t="s">
        <v>560</v>
      </c>
      <c r="C131" s="255" t="s">
        <v>561</v>
      </c>
      <c r="D131" s="255" t="s">
        <v>593</v>
      </c>
      <c r="E131" s="255" t="s">
        <v>594</v>
      </c>
      <c r="F131" s="255" t="s">
        <v>595</v>
      </c>
      <c r="G131" s="255" t="s">
        <v>596</v>
      </c>
      <c r="H131" s="255" t="s">
        <v>597</v>
      </c>
      <c r="I131" s="256" t="s">
        <v>32</v>
      </c>
      <c r="J131" s="256" t="s">
        <v>105</v>
      </c>
    </row>
    <row r="132" spans="2:18" ht="14.4" thickBot="1" x14ac:dyDescent="0.35">
      <c r="B132" s="95" t="s">
        <v>588</v>
      </c>
      <c r="C132" s="52" t="s">
        <v>141</v>
      </c>
      <c r="D132" s="52">
        <v>1</v>
      </c>
      <c r="E132" s="68" t="s">
        <v>598</v>
      </c>
      <c r="F132" s="87">
        <v>29</v>
      </c>
      <c r="G132" s="87">
        <v>29</v>
      </c>
      <c r="H132" s="94">
        <v>1041.8036935229597</v>
      </c>
      <c r="I132" s="84" t="s">
        <v>501</v>
      </c>
      <c r="J132" s="84" t="s">
        <v>600</v>
      </c>
    </row>
    <row r="133" spans="2:18" x14ac:dyDescent="0.3">
      <c r="B133" s="353" t="s">
        <v>580</v>
      </c>
      <c r="C133" s="89" t="s">
        <v>144</v>
      </c>
      <c r="D133" s="89">
        <v>2</v>
      </c>
      <c r="E133" s="47" t="s">
        <v>598</v>
      </c>
      <c r="F133" s="28">
        <v>29</v>
      </c>
      <c r="G133" s="28">
        <v>58</v>
      </c>
      <c r="H133" s="48">
        <v>8.9019922480620153</v>
      </c>
      <c r="I133" s="76" t="s">
        <v>501</v>
      </c>
      <c r="J133" s="76" t="s">
        <v>602</v>
      </c>
    </row>
    <row r="134" spans="2:18" ht="14.4" thickBot="1" x14ac:dyDescent="0.35">
      <c r="B134" s="355"/>
      <c r="C134" s="52" t="s">
        <v>147</v>
      </c>
      <c r="D134" s="52">
        <v>3</v>
      </c>
      <c r="E134" s="68" t="s">
        <v>598</v>
      </c>
      <c r="F134" s="87">
        <v>29</v>
      </c>
      <c r="G134" s="87">
        <v>87</v>
      </c>
      <c r="H134" s="94">
        <v>8.9019922480620153</v>
      </c>
      <c r="I134" s="48" t="s">
        <v>501</v>
      </c>
      <c r="J134" s="48" t="s">
        <v>604</v>
      </c>
    </row>
    <row r="135" spans="2:18" x14ac:dyDescent="0.3">
      <c r="B135" s="361" t="s">
        <v>581</v>
      </c>
      <c r="C135" s="89" t="s">
        <v>148</v>
      </c>
      <c r="D135" s="89">
        <v>4</v>
      </c>
      <c r="E135" s="47" t="s">
        <v>598</v>
      </c>
      <c r="F135" s="28">
        <v>29</v>
      </c>
      <c r="G135" s="28">
        <v>116</v>
      </c>
      <c r="H135" s="48">
        <v>8.9019922480620153</v>
      </c>
      <c r="I135" s="76" t="s">
        <v>501</v>
      </c>
      <c r="J135" s="76" t="s">
        <v>606</v>
      </c>
    </row>
    <row r="136" spans="2:18" ht="14.4" thickBot="1" x14ac:dyDescent="0.35">
      <c r="B136" s="355"/>
      <c r="C136" s="52" t="s">
        <v>149</v>
      </c>
      <c r="D136" s="52">
        <v>5</v>
      </c>
      <c r="E136" s="93" t="s">
        <v>598</v>
      </c>
      <c r="F136" s="64">
        <v>29</v>
      </c>
      <c r="G136" s="64">
        <v>145</v>
      </c>
      <c r="H136" s="56">
        <v>8.9019922480620153</v>
      </c>
      <c r="I136" s="48" t="s">
        <v>501</v>
      </c>
      <c r="J136" s="48" t="s">
        <v>608</v>
      </c>
    </row>
    <row r="137" spans="2:18" x14ac:dyDescent="0.3">
      <c r="B137" s="353" t="s">
        <v>563</v>
      </c>
      <c r="C137" s="89" t="s">
        <v>151</v>
      </c>
      <c r="D137" s="89">
        <v>7</v>
      </c>
      <c r="E137" s="47" t="s">
        <v>598</v>
      </c>
      <c r="F137" s="28">
        <v>29</v>
      </c>
      <c r="G137" s="28">
        <v>203</v>
      </c>
      <c r="H137" s="48">
        <v>828.03226547429415</v>
      </c>
      <c r="I137" s="76" t="s">
        <v>501</v>
      </c>
      <c r="J137" s="76" t="s">
        <v>611</v>
      </c>
    </row>
    <row r="138" spans="2:18" x14ac:dyDescent="0.3">
      <c r="B138" s="354"/>
      <c r="C138" s="89" t="s">
        <v>152</v>
      </c>
      <c r="D138" s="89">
        <v>8</v>
      </c>
      <c r="E138" s="47" t="s">
        <v>598</v>
      </c>
      <c r="F138" s="28">
        <v>29</v>
      </c>
      <c r="G138" s="28">
        <v>232</v>
      </c>
      <c r="H138" s="48">
        <v>1.2393136</v>
      </c>
      <c r="I138" s="48" t="s">
        <v>501</v>
      </c>
      <c r="J138" s="48" t="s">
        <v>613</v>
      </c>
    </row>
    <row r="139" spans="2:18" x14ac:dyDescent="0.3">
      <c r="B139" s="354"/>
      <c r="C139" s="89" t="s">
        <v>153</v>
      </c>
      <c r="D139" s="89">
        <v>9</v>
      </c>
      <c r="E139" s="47" t="s">
        <v>598</v>
      </c>
      <c r="F139" s="28">
        <v>29</v>
      </c>
      <c r="G139" s="28">
        <v>261</v>
      </c>
      <c r="H139" s="48">
        <v>21.293565891472866</v>
      </c>
      <c r="I139" s="48" t="s">
        <v>501</v>
      </c>
      <c r="J139" s="48" t="s">
        <v>615</v>
      </c>
    </row>
    <row r="140" spans="2:18" x14ac:dyDescent="0.3">
      <c r="B140" s="354"/>
      <c r="C140" s="89" t="s">
        <v>154</v>
      </c>
      <c r="D140" s="89">
        <v>10</v>
      </c>
      <c r="E140" s="47" t="s">
        <v>598</v>
      </c>
      <c r="F140" s="28">
        <v>29</v>
      </c>
      <c r="G140" s="28">
        <v>290</v>
      </c>
      <c r="H140" s="48">
        <v>17.582694949286356</v>
      </c>
      <c r="I140" s="48" t="s">
        <v>501</v>
      </c>
      <c r="J140" s="48" t="s">
        <v>617</v>
      </c>
    </row>
    <row r="141" spans="2:18" ht="14.4" thickBot="1" x14ac:dyDescent="0.35">
      <c r="B141" s="354"/>
      <c r="C141" s="40" t="s">
        <v>504</v>
      </c>
      <c r="D141" s="59">
        <v>11</v>
      </c>
      <c r="E141" s="47" t="s">
        <v>598</v>
      </c>
      <c r="F141" s="28">
        <v>29</v>
      </c>
      <c r="G141" s="28">
        <v>319</v>
      </c>
      <c r="H141" s="48">
        <v>5.9184263565891468</v>
      </c>
      <c r="I141" s="48" t="s">
        <v>501</v>
      </c>
      <c r="J141" s="48" t="s">
        <v>618</v>
      </c>
    </row>
    <row r="142" spans="2:18" x14ac:dyDescent="0.3">
      <c r="B142" s="353" t="s">
        <v>576</v>
      </c>
      <c r="C142" s="89" t="s">
        <v>155</v>
      </c>
      <c r="D142" s="89">
        <v>12</v>
      </c>
      <c r="E142" s="47" t="s">
        <v>598</v>
      </c>
      <c r="F142" s="28">
        <v>29</v>
      </c>
      <c r="G142" s="28">
        <v>348</v>
      </c>
      <c r="H142" s="48">
        <v>8.9019922480620153</v>
      </c>
      <c r="I142" s="76" t="s">
        <v>501</v>
      </c>
      <c r="J142" s="76" t="s">
        <v>620</v>
      </c>
    </row>
    <row r="143" spans="2:18" ht="14.4" thickBot="1" x14ac:dyDescent="0.35">
      <c r="B143" s="354"/>
      <c r="C143" s="52" t="s">
        <v>156</v>
      </c>
      <c r="D143" s="52">
        <v>13</v>
      </c>
      <c r="E143" s="68" t="s">
        <v>598</v>
      </c>
      <c r="F143" s="87">
        <v>29</v>
      </c>
      <c r="G143" s="87">
        <v>377</v>
      </c>
      <c r="H143" s="94">
        <v>8.9019922480620153</v>
      </c>
      <c r="I143" s="48" t="s">
        <v>501</v>
      </c>
      <c r="J143" s="48" t="s">
        <v>622</v>
      </c>
    </row>
    <row r="144" spans="2:18" x14ac:dyDescent="0.3">
      <c r="B144" s="353" t="s">
        <v>565</v>
      </c>
      <c r="C144" s="89" t="s">
        <v>157</v>
      </c>
      <c r="D144" s="89">
        <v>14</v>
      </c>
      <c r="E144" s="47" t="s">
        <v>598</v>
      </c>
      <c r="F144" s="28">
        <v>29</v>
      </c>
      <c r="G144" s="28">
        <v>406</v>
      </c>
      <c r="H144" s="48">
        <v>446.24149999999997</v>
      </c>
      <c r="I144" s="76" t="s">
        <v>501</v>
      </c>
      <c r="J144" s="76" t="s">
        <v>624</v>
      </c>
    </row>
    <row r="145" spans="2:10" x14ac:dyDescent="0.3">
      <c r="B145" s="354"/>
      <c r="C145" s="89" t="s">
        <v>158</v>
      </c>
      <c r="D145" s="89">
        <v>15</v>
      </c>
      <c r="E145" s="47" t="s">
        <v>598</v>
      </c>
      <c r="F145" s="28">
        <v>29</v>
      </c>
      <c r="G145" s="28">
        <v>435</v>
      </c>
      <c r="H145" s="48">
        <v>467.04579999999999</v>
      </c>
      <c r="I145" s="48" t="s">
        <v>501</v>
      </c>
      <c r="J145" s="48" t="s">
        <v>626</v>
      </c>
    </row>
    <row r="146" spans="2:10" ht="14.4" thickBot="1" x14ac:dyDescent="0.35">
      <c r="B146" s="354"/>
      <c r="C146" s="52" t="s">
        <v>159</v>
      </c>
      <c r="D146" s="52">
        <v>16</v>
      </c>
      <c r="E146" s="68" t="s">
        <v>598</v>
      </c>
      <c r="F146" s="87">
        <v>29</v>
      </c>
      <c r="G146" s="87">
        <v>464</v>
      </c>
      <c r="H146" s="94">
        <v>578.95913371117013</v>
      </c>
      <c r="I146" s="48" t="s">
        <v>501</v>
      </c>
      <c r="J146" s="48" t="s">
        <v>628</v>
      </c>
    </row>
  </sheetData>
  <sheetProtection algorithmName="SHA-512" hashValue="bx3xmPLVVG0EmUQA/yQQsIIy87IF8rrNj6LQpXKylbPIJ6k8GbS5ncjYWB2EcH3P0OR5b65e3yjYla6djE4lJA==" saltValue="v1Xm55KXU3HSC5obPinU4g==" spinCount="100000" sheet="1" objects="1" scenarios="1" selectLockedCells="1" selectUnlockedCells="1"/>
  <mergeCells count="19">
    <mergeCell ref="B144:B146"/>
    <mergeCell ref="B125:B126"/>
    <mergeCell ref="B127:B129"/>
    <mergeCell ref="B133:B134"/>
    <mergeCell ref="B135:B136"/>
    <mergeCell ref="Q6:R6"/>
    <mergeCell ref="B79:K79"/>
    <mergeCell ref="B7:K7"/>
    <mergeCell ref="B137:B141"/>
    <mergeCell ref="B142:B143"/>
    <mergeCell ref="B116:B117"/>
    <mergeCell ref="B118:B119"/>
    <mergeCell ref="B120:B124"/>
    <mergeCell ref="B44:B48"/>
    <mergeCell ref="B53:B56"/>
    <mergeCell ref="B61:B69"/>
    <mergeCell ref="B11:B23"/>
    <mergeCell ref="B28:B30"/>
    <mergeCell ref="B35:B39"/>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8CEBDC77C3C6949AA3FB0E15A68A940" ma:contentTypeVersion="11" ma:contentTypeDescription="Crear nuevo documento." ma:contentTypeScope="" ma:versionID="d52878cb2f0ba5d6c9be5b30d12bb653">
  <xsd:schema xmlns:xsd="http://www.w3.org/2001/XMLSchema" xmlns:xs="http://www.w3.org/2001/XMLSchema" xmlns:p="http://schemas.microsoft.com/office/2006/metadata/properties" xmlns:ns2="07f90502-01f0-4cae-a6a0-40862d65de8b" xmlns:ns3="14ea127c-854f-41fb-9adb-d090df6732b5" targetNamespace="http://schemas.microsoft.com/office/2006/metadata/properties" ma:root="true" ma:fieldsID="852a920799b63747c311159ce5be376e" ns2:_="" ns3:_="">
    <xsd:import namespace="07f90502-01f0-4cae-a6a0-40862d65de8b"/>
    <xsd:import namespace="14ea127c-854f-41fb-9adb-d090df6732b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f90502-01f0-4cae-a6a0-40862d65de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8364831f-9365-4731-affb-44e18c0c24f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ea127c-854f-41fb-9adb-d090df6732b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e18a258-aa6e-4edc-845a-317681361ecd}" ma:internalName="TaxCatchAll" ma:showField="CatchAllData" ma:web="14ea127c-854f-41fb-9adb-d090df6732b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7f90502-01f0-4cae-a6a0-40862d65de8b">
      <Terms xmlns="http://schemas.microsoft.com/office/infopath/2007/PartnerControls"/>
    </lcf76f155ced4ddcb4097134ff3c332f>
    <TaxCatchAll xmlns="14ea127c-854f-41fb-9adb-d090df6732b5" xsi:nil="true"/>
  </documentManagement>
</p:properties>
</file>

<file path=customXml/itemProps1.xml><?xml version="1.0" encoding="utf-8"?>
<ds:datastoreItem xmlns:ds="http://schemas.openxmlformats.org/officeDocument/2006/customXml" ds:itemID="{D2B75560-D184-4AB3-AA0C-5DAC9909B6C3}"/>
</file>

<file path=customXml/itemProps2.xml><?xml version="1.0" encoding="utf-8"?>
<ds:datastoreItem xmlns:ds="http://schemas.openxmlformats.org/officeDocument/2006/customXml" ds:itemID="{85E92AC4-E281-4030-9672-5B45BC7B84C6}"/>
</file>

<file path=customXml/itemProps3.xml><?xml version="1.0" encoding="utf-8"?>
<ds:datastoreItem xmlns:ds="http://schemas.openxmlformats.org/officeDocument/2006/customXml" ds:itemID="{D69CA1A0-BB0B-4230-A3DA-E292B24FE2D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29</vt:i4>
      </vt:variant>
    </vt:vector>
  </HeadingPairs>
  <TitlesOfParts>
    <vt:vector size="44" baseType="lpstr">
      <vt:lpstr>Index</vt:lpstr>
      <vt:lpstr>Scope 1</vt:lpstr>
      <vt:lpstr>Scope 2</vt:lpstr>
      <vt:lpstr>Scope 3-Water consumption</vt:lpstr>
      <vt:lpstr>Scope 3-Raw materials</vt:lpstr>
      <vt:lpstr>Scope 3-Upstream transp.</vt:lpstr>
      <vt:lpstr>Scope 3-Downstream transp.</vt:lpstr>
      <vt:lpstr>Scope 3-Waste generation</vt:lpstr>
      <vt:lpstr>Scope 3-Business travel</vt:lpstr>
      <vt:lpstr>Scope 3-Employee commuting</vt:lpstr>
      <vt:lpstr>RESULTS-GHG PROTOCOL</vt:lpstr>
      <vt:lpstr>EF-S1</vt:lpstr>
      <vt:lpstr>EF-S2</vt:lpstr>
      <vt:lpstr>EF-S3</vt:lpstr>
      <vt:lpstr>EF-S3 Waste</vt:lpstr>
      <vt:lpstr>B_travel</vt:lpstr>
      <vt:lpstr>businesstransport</vt:lpstr>
      <vt:lpstr>CNG</vt:lpstr>
      <vt:lpstr>country</vt:lpstr>
      <vt:lpstr>E_commut</vt:lpstr>
      <vt:lpstr>Electric</vt:lpstr>
      <vt:lpstr>Electric_unit</vt:lpstr>
      <vt:lpstr>Electricity</vt:lpstr>
      <vt:lpstr>Gasoil</vt:lpstr>
      <vt:lpstr>hazard</vt:lpstr>
      <vt:lpstr>Hybrid</vt:lpstr>
      <vt:lpstr>LPG</vt:lpstr>
      <vt:lpstr>materials</vt:lpstr>
      <vt:lpstr>Natural_gas</vt:lpstr>
      <vt:lpstr>Petrol_unleaded</vt:lpstr>
      <vt:lpstr>Plugin_hybrid</vt:lpstr>
      <vt:lpstr>refrigerant</vt:lpstr>
      <vt:lpstr>SECTORS</vt:lpstr>
      <vt:lpstr>Sources_stat_comb</vt:lpstr>
      <vt:lpstr>transport</vt:lpstr>
      <vt:lpstr>Type_mob_comb</vt:lpstr>
      <vt:lpstr>Type_of_sources</vt:lpstr>
      <vt:lpstr>Type_waste</vt:lpstr>
      <vt:lpstr>UNIT</vt:lpstr>
      <vt:lpstr>unit_DEFRA</vt:lpstr>
      <vt:lpstr>unit_raw</vt:lpstr>
      <vt:lpstr>UNITS</vt:lpstr>
      <vt:lpstr>Unknown</vt:lpstr>
      <vt:lpstr>waste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Alfonso Mitrotti García</dc:creator>
  <cp:keywords/>
  <dc:description/>
  <cp:lastModifiedBy>Raúl Cordón</cp:lastModifiedBy>
  <cp:revision/>
  <dcterms:created xsi:type="dcterms:W3CDTF">2022-07-18T13:10:03Z</dcterms:created>
  <dcterms:modified xsi:type="dcterms:W3CDTF">2025-04-03T10:58:13Z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0x01010018CEBDC77C3C6949AA3FB0E15A68A940</vt:lpwstr>
  </property>
</Properties>
</file>