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221" documentId="11_46D7C3D939C3BAB3A052EDDE24C67C7EB57EE8E0" xr6:coauthVersionLast="47" xr6:coauthVersionMax="47" xr10:uidLastSave="{60A56BAA-8DDA-403A-B5E7-00C8498BC7C1}"/>
  <bookViews>
    <workbookView xWindow="240" yWindow="105" windowWidth="14805" windowHeight="8010" firstSheet="1" activeTab="1" xr2:uid="{00000000-000D-0000-FFFF-FFFF00000000}"/>
  </bookViews>
  <sheets>
    <sheet name="Control" sheetId="3" r:id="rId1"/>
    <sheet name="Plan gastos ciber 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AA25" i="2"/>
  <c r="Y25" i="2"/>
  <c r="W25" i="2"/>
  <c r="U25" i="2"/>
  <c r="S25" i="2"/>
  <c r="Q25" i="2"/>
  <c r="O25" i="2"/>
  <c r="M25" i="2"/>
  <c r="K25" i="2"/>
  <c r="I25" i="2"/>
  <c r="G25" i="2"/>
  <c r="AA4" i="2"/>
  <c r="Y4" i="2"/>
  <c r="W4" i="2"/>
  <c r="U4" i="2"/>
  <c r="S4" i="2"/>
  <c r="Q4" i="2"/>
  <c r="O4" i="2"/>
  <c r="M4" i="2"/>
  <c r="K4" i="2"/>
</calcChain>
</file>

<file path=xl/sharedStrings.xml><?xml version="1.0" encoding="utf-8"?>
<sst xmlns="http://schemas.openxmlformats.org/spreadsheetml/2006/main" count="79" uniqueCount="40">
  <si>
    <t>RESPONSABLE DE MANTENIMIENTO</t>
  </si>
  <si>
    <t>ACCIONES</t>
  </si>
  <si>
    <t>FECHA DE REVISIÓN</t>
  </si>
  <si>
    <t>Responsable del SGSI</t>
  </si>
  <si>
    <t>Creación y rellenado del plan de gastos del 2025</t>
  </si>
  <si>
    <t>Gastos 2025</t>
  </si>
  <si>
    <t>Por definir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</si>
  <si>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</si>
  <si>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</si>
  <si>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</si>
  <si>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</si>
  <si>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</si>
  <si>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</si>
  <si>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</si>
  <si>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</si>
  <si>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</si>
  <si>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</si>
  <si>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</si>
  <si>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</si>
  <si>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</t>
  </si>
  <si>
    <t>Presupuesto</t>
  </si>
  <si>
    <t>Precio</t>
  </si>
  <si>
    <t>Software</t>
  </si>
  <si>
    <t>Software de ciberseguridad</t>
  </si>
  <si>
    <t>Software de auditoría de código</t>
  </si>
  <si>
    <t>Sistema de tickets</t>
  </si>
  <si>
    <t>Hardware</t>
  </si>
  <si>
    <t>Unidad de almacenamiento</t>
  </si>
  <si>
    <t>SAI</t>
  </si>
  <si>
    <t>5 Portátiles</t>
  </si>
  <si>
    <t>Caja router</t>
  </si>
  <si>
    <t>Formación</t>
  </si>
  <si>
    <t>Formación administración</t>
  </si>
  <si>
    <t>Otro</t>
  </si>
  <si>
    <t>Candados ordendaores y pantallas</t>
  </si>
  <si>
    <t>Comprado</t>
  </si>
  <si>
    <t>En espara</t>
  </si>
  <si>
    <t>No comprado</t>
  </si>
  <si>
    <t>Presupuesto total: 15000€</t>
  </si>
  <si>
    <t>Gastado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</si>
</sst>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6" fontId="0" fillId="2" borderId="0" xfId="0" applyNumberFormat="1" applyFill="1"/>
    <xf numFmtId="0" fontId="0" fillId="4" borderId="1" xfId="0" applyFill="1" applyBorder="1"/>
    <xf numFmtId="6" fontId="0" fillId="4" borderId="0" xfId="0" applyNumberFormat="1" applyFill="1"/>
    <xf numFmtId="6" fontId="2" fillId="0" borderId="0" xfId="0" applyNumberFormat="1" applyFont="1"/>
    <xf numFmtId="0" fontId="2" fillId="0" borderId="0" xfId="0" applyFont="1" applyAlignment="1">
      <alignment wrapText="1"/>
    </xf>
    <xf numFmtId="0" fontId="4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14" fontId="5" fillId="7" borderId="2" xfId="0" applyNumberFormat="1" applyFont="1" applyFill="1" applyBorder="1" applyAlignment="1">
      <alignment vertical="center"/>
    </xf>
    <xf numFmtId="0" fontId="5" fillId="0" borderId="2" xfId="0" applyFont="1" applyBorder="1"/>
    <xf numFmtId="0" fontId="5" fillId="7" borderId="2" xfId="0" applyFont="1" applyFill="1" applyBorder="1"/>
    <xf numFmtId="6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FB56-42AF-4C2E-AC88-CAC277D6D46F}">
  <dimension ref="B4:D13"/>
  <sheetViews>
    <sheetView workbookViewId="0">
      <selection activeCell="C6" sqref="C6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12" t="s">
        <v>0</v>
      </c>
      <c r="C4" s="12" t="s">
        <v>1</v>
      </c>
      <c r="D4" s="12" t="s">
        <v>2</v>
      </c>
    </row>
    <row r="5" spans="2:4" ht="30.75">
      <c r="B5" s="13" t="s">
        <v>3</v>
      </c>
      <c r="C5" s="14" t="s">
        <v>4</v>
      </c>
      <c r="D5" s="15">
        <v>45732</v>
      </c>
    </row>
    <row r="6" spans="2:4">
      <c r="B6" s="16"/>
      <c r="C6" s="16"/>
      <c r="D6" s="17"/>
    </row>
    <row r="7" spans="2:4">
      <c r="B7" s="16"/>
      <c r="C7" s="16"/>
      <c r="D7" s="17"/>
    </row>
    <row r="8" spans="2:4">
      <c r="B8" s="16"/>
      <c r="C8" s="16"/>
      <c r="D8" s="17"/>
    </row>
    <row r="9" spans="2:4">
      <c r="B9" s="16"/>
      <c r="C9" s="16"/>
      <c r="D9" s="17"/>
    </row>
    <row r="10" spans="2:4">
      <c r="B10" s="16"/>
      <c r="C10" s="16"/>
      <c r="D10" s="17"/>
    </row>
    <row r="11" spans="2:4">
      <c r="B11" s="16"/>
      <c r="C11" s="16"/>
      <c r="D11" s="17"/>
    </row>
    <row r="12" spans="2:4">
      <c r="B12" s="16"/>
      <c r="C12" s="16"/>
      <c r="D12" s="17"/>
    </row>
    <row r="13" spans="2:4">
      <c r="B13" s="16"/>
      <c r="C13" s="16"/>
      <c r="D13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9C07-BBDF-4F0A-A40B-FFCB3ECAF4FF}">
  <dimension ref="A1:AB27"/>
  <sheetViews>
    <sheetView tabSelected="1" workbookViewId="0">
      <pane xSplit="1" ySplit="2" topLeftCell="B3" activePane="bottomRight" state="frozen"/>
      <selection pane="bottomRight" activeCell="B19" sqref="B19"/>
      <selection pane="bottomLeft"/>
      <selection pane="topRight"/>
    </sheetView>
  </sheetViews>
  <sheetFormatPr defaultRowHeight="15"/>
  <cols>
    <col min="1" max="1" width="16.7109375" bestFit="1" customWidth="1"/>
    <col min="2" max="2" width="24.140625" bestFit="1" customWidth="1"/>
    <col min="3" max="3" width="11.5703125" bestFit="1" customWidth="1"/>
    <col min="4" max="4" width="8.7109375" bestFit="1" customWidth="1"/>
    <col min="5" max="5" width="6.28515625" bestFit="1" customWidth="1"/>
    <col min="6" max="6" width="24.42578125" bestFit="1" customWidth="1"/>
    <col min="7" max="7" width="6.28515625" bestFit="1" customWidth="1"/>
    <col min="8" max="8" width="10.42578125" bestFit="1" customWidth="1"/>
    <col min="9" max="9" width="6.28515625" bestFit="1" customWidth="1"/>
    <col min="10" max="10" width="30.5703125" bestFit="1" customWidth="1"/>
    <col min="11" max="11" width="6.28515625" bestFit="1" customWidth="1"/>
    <col min="12" max="12" width="27.7109375" bestFit="1" customWidth="1"/>
    <col min="13" max="13" width="6.28515625" bestFit="1" customWidth="1"/>
    <col min="14" max="14" width="27.7109375" bestFit="1" customWidth="1"/>
    <col min="15" max="15" width="7.28515625" bestFit="1" customWidth="1"/>
    <col min="16" max="16" width="27.7109375" bestFit="1" customWidth="1"/>
    <col min="17" max="17" width="6.28515625" bestFit="1" customWidth="1"/>
    <col min="18" max="18" width="27.7109375" bestFit="1" customWidth="1"/>
    <col min="19" max="19" width="6.28515625" bestFit="1" customWidth="1"/>
    <col min="20" max="20" width="27.7109375" bestFit="1" customWidth="1"/>
    <col min="21" max="21" width="7.28515625" bestFit="1" customWidth="1"/>
    <col min="22" max="22" width="27.7109375" bestFit="1" customWidth="1"/>
    <col min="23" max="23" width="6.28515625" bestFit="1" customWidth="1"/>
    <col min="24" max="24" width="27.7109375" bestFit="1" customWidth="1"/>
    <col min="25" max="25" width="6.28515625" bestFit="1" customWidth="1"/>
    <col min="26" max="26" width="27.7109375" bestFit="1" customWidth="1"/>
    <col min="27" max="27" width="6.28515625" bestFit="1" customWidth="1"/>
  </cols>
  <sheetData>
    <row r="1" spans="1:28" ht="18.75" customHeight="1">
      <c r="A1" s="22" t="s">
        <v>5</v>
      </c>
      <c r="B1" s="22" t="s">
        <v>6</v>
      </c>
      <c r="C1" s="22"/>
      <c r="D1" s="20" t="s">
        <v>7</v>
      </c>
      <c r="E1" s="21"/>
      <c r="F1" s="20" t="s">
        <v>8</v>
      </c>
      <c r="G1" s="21"/>
      <c r="H1" s="20" t="s">
        <v>9</v>
      </c>
      <c r="I1" s="21"/>
      <c r="J1" s="20" t="s">
        <v>10</v>
      </c>
      <c r="K1" s="21"/>
      <c r="L1" s="20" t="s">
        <v>11</v>
      </c>
      <c r="M1" s="21"/>
      <c r="N1" s="20" t="s">
        <v>12</v>
      </c>
      <c r="O1" s="21"/>
      <c r="P1" s="20" t="s">
        <v>13</v>
      </c>
      <c r="Q1" s="21"/>
      <c r="R1" s="20" t="s">
        <v>14</v>
      </c>
      <c r="S1" s="21"/>
      <c r="T1" s="20" t="s">
        <v>15</v>
      </c>
      <c r="U1" s="21"/>
      <c r="V1" s="20" t="s">
        <v>16</v>
      </c>
      <c r="W1" s="21"/>
      <c r="X1" s="20" t="s">
        <v>17</v>
      </c>
      <c r="Y1" s="21"/>
      <c r="Z1" s="20" t="s">
        <v>18</v>
      </c>
      <c r="AA1" s="21"/>
      <c r="AB1" s="5"/>
    </row>
    <row r="2" spans="1:28" ht="18.75" customHeight="1">
      <c r="A2" s="22"/>
      <c r="B2" t="s">
        <v>19</v>
      </c>
      <c r="C2" t="s">
        <v>20</v>
      </c>
      <c r="D2" s="5" t="s">
        <v>19</v>
      </c>
      <c r="E2" t="s">
        <v>21</v>
      </c>
      <c r="F2" s="5" t="s">
        <v>19</v>
      </c>
      <c r="G2" t="s">
        <v>21</v>
      </c>
      <c r="H2" s="5" t="s">
        <v>19</v>
      </c>
      <c r="I2" t="s">
        <v>21</v>
      </c>
      <c r="J2" s="5" t="s">
        <v>19</v>
      </c>
      <c r="K2" t="s">
        <v>21</v>
      </c>
      <c r="L2" s="5" t="s">
        <v>19</v>
      </c>
      <c r="M2" t="s">
        <v>21</v>
      </c>
      <c r="N2" s="5" t="s">
        <v>19</v>
      </c>
      <c r="O2" t="s">
        <v>21</v>
      </c>
      <c r="P2" s="5" t="s">
        <v>19</v>
      </c>
      <c r="Q2" t="s">
        <v>21</v>
      </c>
      <c r="R2" s="5" t="s">
        <v>19</v>
      </c>
      <c r="S2" t="s">
        <v>21</v>
      </c>
      <c r="T2" s="5" t="s">
        <v>19</v>
      </c>
      <c r="U2" t="s">
        <v>21</v>
      </c>
      <c r="V2" s="5" t="s">
        <v>19</v>
      </c>
      <c r="W2" t="s">
        <v>21</v>
      </c>
      <c r="X2" s="5" t="s">
        <v>19</v>
      </c>
      <c r="Y2" t="s">
        <v>21</v>
      </c>
      <c r="Z2" s="5" t="s">
        <v>19</v>
      </c>
      <c r="AA2" t="s">
        <v>21</v>
      </c>
      <c r="AB2" s="5"/>
    </row>
    <row r="3" spans="1:28">
      <c r="A3" s="4" t="s">
        <v>22</v>
      </c>
      <c r="B3" s="4"/>
      <c r="C3" s="4"/>
      <c r="D3" s="5"/>
      <c r="F3" s="6" t="s">
        <v>23</v>
      </c>
      <c r="G3" s="7">
        <v>200</v>
      </c>
      <c r="H3" s="5"/>
      <c r="J3" s="5"/>
      <c r="L3" s="8" t="s">
        <v>24</v>
      </c>
      <c r="M3" s="9">
        <v>65</v>
      </c>
      <c r="N3" s="8" t="s">
        <v>24</v>
      </c>
      <c r="O3" s="9">
        <v>65</v>
      </c>
      <c r="P3" s="8" t="s">
        <v>24</v>
      </c>
      <c r="Q3" s="9">
        <v>65</v>
      </c>
      <c r="R3" s="8" t="s">
        <v>24</v>
      </c>
      <c r="S3" s="9">
        <v>65</v>
      </c>
      <c r="T3" s="8" t="s">
        <v>24</v>
      </c>
      <c r="U3" s="9">
        <v>65</v>
      </c>
      <c r="V3" s="8" t="s">
        <v>24</v>
      </c>
      <c r="W3" s="9">
        <v>65</v>
      </c>
      <c r="X3" s="8" t="s">
        <v>24</v>
      </c>
      <c r="Y3" s="9">
        <v>65</v>
      </c>
      <c r="Z3" s="8" t="s">
        <v>24</v>
      </c>
      <c r="AA3" s="9">
        <v>65</v>
      </c>
      <c r="AB3" s="5"/>
    </row>
    <row r="4" spans="1:28">
      <c r="A4" s="4"/>
      <c r="B4" s="4"/>
      <c r="C4" s="4"/>
      <c r="D4" s="5"/>
      <c r="F4" s="5"/>
      <c r="G4" s="18"/>
      <c r="H4" s="5"/>
      <c r="J4" s="6" t="s">
        <v>25</v>
      </c>
      <c r="K4" s="19">
        <f>8.6*30</f>
        <v>258</v>
      </c>
      <c r="L4" s="8" t="s">
        <v>25</v>
      </c>
      <c r="M4" s="2">
        <f>8.6*30</f>
        <v>258</v>
      </c>
      <c r="N4" s="8" t="s">
        <v>25</v>
      </c>
      <c r="O4" s="2">
        <f>8.6*30</f>
        <v>258</v>
      </c>
      <c r="P4" s="8" t="s">
        <v>25</v>
      </c>
      <c r="Q4" s="2">
        <f>8.6*30</f>
        <v>258</v>
      </c>
      <c r="R4" s="8" t="s">
        <v>25</v>
      </c>
      <c r="S4" s="2">
        <f>8.6*30</f>
        <v>258</v>
      </c>
      <c r="T4" s="8" t="s">
        <v>25</v>
      </c>
      <c r="U4" s="2">
        <f>8.6*30</f>
        <v>258</v>
      </c>
      <c r="V4" s="8" t="s">
        <v>25</v>
      </c>
      <c r="W4" s="2">
        <f>8.6*30</f>
        <v>258</v>
      </c>
      <c r="X4" s="8" t="s">
        <v>25</v>
      </c>
      <c r="Y4" s="2">
        <f>8.6*30</f>
        <v>258</v>
      </c>
      <c r="Z4" s="8" t="s">
        <v>25</v>
      </c>
      <c r="AA4" s="2">
        <f>8.6*30</f>
        <v>258</v>
      </c>
      <c r="AB4" s="5"/>
    </row>
    <row r="5" spans="1:28">
      <c r="A5" s="4" t="s">
        <v>26</v>
      </c>
      <c r="B5" s="4"/>
      <c r="C5" s="4"/>
      <c r="D5" s="5"/>
      <c r="F5" s="6" t="s">
        <v>27</v>
      </c>
      <c r="G5" s="7">
        <v>70</v>
      </c>
      <c r="H5" s="6" t="s">
        <v>28</v>
      </c>
      <c r="I5" s="7">
        <v>60</v>
      </c>
      <c r="J5" s="5"/>
      <c r="L5" s="5"/>
      <c r="N5" s="8" t="s">
        <v>29</v>
      </c>
      <c r="O5" s="9">
        <v>3500</v>
      </c>
      <c r="P5" s="5"/>
      <c r="R5" s="5"/>
      <c r="T5" s="8" t="s">
        <v>29</v>
      </c>
      <c r="U5" s="9">
        <v>3500</v>
      </c>
      <c r="V5" s="5"/>
      <c r="X5" s="5"/>
      <c r="Z5" s="5"/>
      <c r="AB5" s="5"/>
    </row>
    <row r="6" spans="1:28">
      <c r="A6" s="4"/>
      <c r="B6" s="4"/>
      <c r="C6" s="4"/>
      <c r="D6" s="5"/>
      <c r="F6" s="5"/>
      <c r="H6" s="6" t="s">
        <v>30</v>
      </c>
      <c r="I6" s="7">
        <v>70</v>
      </c>
      <c r="J6" s="5"/>
      <c r="L6" s="5"/>
      <c r="N6" s="5"/>
      <c r="P6" s="5"/>
      <c r="R6" s="5"/>
      <c r="T6" s="5"/>
      <c r="V6" s="5"/>
      <c r="X6" s="5"/>
      <c r="Z6" s="5"/>
      <c r="AB6" s="5"/>
    </row>
    <row r="7" spans="1:28">
      <c r="A7" s="4" t="s">
        <v>31</v>
      </c>
      <c r="B7" s="4" t="s">
        <v>32</v>
      </c>
      <c r="C7" s="10">
        <v>7500</v>
      </c>
      <c r="D7" s="5"/>
      <c r="F7" s="5"/>
      <c r="H7" s="5"/>
      <c r="J7" s="5"/>
      <c r="L7" s="5"/>
      <c r="N7" s="5"/>
      <c r="P7" s="5"/>
      <c r="R7" s="5"/>
      <c r="T7" s="5"/>
      <c r="V7" s="5"/>
      <c r="X7" s="5"/>
      <c r="Z7" s="5"/>
      <c r="AB7" s="5"/>
    </row>
    <row r="8" spans="1:28">
      <c r="A8" s="4" t="s">
        <v>33</v>
      </c>
      <c r="B8" s="4"/>
      <c r="C8" s="4"/>
      <c r="D8" s="5"/>
      <c r="F8" s="5"/>
      <c r="H8" s="5"/>
      <c r="J8" s="8" t="s">
        <v>34</v>
      </c>
      <c r="K8" s="9">
        <v>35</v>
      </c>
      <c r="L8" s="5"/>
      <c r="N8" s="5"/>
      <c r="P8" s="5"/>
      <c r="R8" s="5"/>
      <c r="T8" s="5"/>
      <c r="V8" s="5"/>
      <c r="X8" s="5"/>
      <c r="Z8" s="5"/>
      <c r="AB8" s="5"/>
    </row>
    <row r="9" spans="1:28">
      <c r="A9" s="4"/>
      <c r="B9" s="4"/>
      <c r="C9" s="4"/>
      <c r="D9" s="5"/>
      <c r="F9" s="5"/>
      <c r="H9" s="5"/>
      <c r="J9" s="5"/>
      <c r="L9" s="5"/>
      <c r="N9" s="5"/>
      <c r="P9" s="5"/>
      <c r="R9" s="5"/>
      <c r="T9" s="5"/>
      <c r="V9" s="5"/>
      <c r="X9" s="5"/>
      <c r="Z9" s="5"/>
      <c r="AB9" s="5"/>
    </row>
    <row r="10" spans="1:28">
      <c r="A10" s="4"/>
      <c r="B10" s="4"/>
      <c r="C10" s="4"/>
      <c r="D10" s="5"/>
      <c r="F10" s="5"/>
      <c r="H10" s="5"/>
      <c r="J10" s="5"/>
      <c r="L10" s="5"/>
      <c r="N10" s="5"/>
      <c r="P10" s="5"/>
      <c r="R10" s="5"/>
      <c r="T10" s="5"/>
      <c r="V10" s="5"/>
      <c r="X10" s="5"/>
      <c r="Z10" s="5"/>
      <c r="AB10" s="5"/>
    </row>
    <row r="11" spans="1:28">
      <c r="A11" s="4"/>
      <c r="B11" s="4"/>
      <c r="C11" s="4"/>
      <c r="D11" s="5"/>
      <c r="F11" s="5"/>
      <c r="H11" s="5"/>
      <c r="J11" s="5"/>
      <c r="L11" s="5"/>
      <c r="N11" s="5"/>
      <c r="P11" s="5"/>
      <c r="R11" s="5"/>
      <c r="T11" s="5"/>
      <c r="V11" s="5"/>
      <c r="X11" s="5"/>
      <c r="Z11" s="5"/>
      <c r="AB11" s="5"/>
    </row>
    <row r="12" spans="1:28">
      <c r="A12" s="4"/>
      <c r="B12" s="4"/>
      <c r="C12" s="4"/>
      <c r="D12" s="5"/>
      <c r="F12" s="5"/>
      <c r="H12" s="5"/>
      <c r="J12" s="5"/>
      <c r="L12" s="5"/>
      <c r="N12" s="5"/>
      <c r="P12" s="5"/>
      <c r="R12" s="5"/>
      <c r="T12" s="5"/>
      <c r="V12" s="5"/>
      <c r="X12" s="5"/>
      <c r="Z12" s="5"/>
      <c r="AB12" s="5"/>
    </row>
    <row r="13" spans="1:28">
      <c r="A13" s="4"/>
      <c r="B13" s="4"/>
      <c r="C13" s="4"/>
      <c r="D13" s="5"/>
      <c r="F13" s="5"/>
      <c r="H13" s="5"/>
      <c r="J13" s="5"/>
      <c r="L13" s="5"/>
      <c r="N13" s="5"/>
      <c r="P13" s="5"/>
      <c r="R13" s="5"/>
      <c r="T13" s="5"/>
      <c r="V13" s="5"/>
      <c r="X13" s="5"/>
      <c r="Z13" s="5"/>
      <c r="AB13" s="5"/>
    </row>
    <row r="14" spans="1:28">
      <c r="A14" s="4"/>
      <c r="B14" s="4"/>
      <c r="C14" s="4"/>
      <c r="D14" s="5"/>
      <c r="F14" s="5"/>
      <c r="H14" s="5"/>
      <c r="J14" s="5"/>
      <c r="L14" s="5"/>
      <c r="N14" s="5"/>
      <c r="P14" s="5"/>
      <c r="R14" s="5"/>
      <c r="T14" s="5"/>
      <c r="V14" s="5"/>
      <c r="X14" s="5"/>
      <c r="Z14" s="5"/>
      <c r="AB14" s="5"/>
    </row>
    <row r="15" spans="1:28">
      <c r="A15" s="4"/>
      <c r="B15" s="4"/>
      <c r="C15" s="4"/>
      <c r="D15" s="5"/>
      <c r="F15" s="5"/>
      <c r="H15" s="5"/>
      <c r="J15" s="5"/>
      <c r="L15" s="5"/>
      <c r="N15" s="5"/>
      <c r="P15" s="5"/>
      <c r="R15" s="5"/>
      <c r="T15" s="5"/>
      <c r="V15" s="5"/>
      <c r="X15" s="5"/>
      <c r="Z15" s="5"/>
      <c r="AB15" s="5"/>
    </row>
    <row r="16" spans="1:28">
      <c r="A16" s="4"/>
      <c r="B16" s="4"/>
      <c r="C16" s="4"/>
      <c r="D16" s="5"/>
      <c r="F16" s="5"/>
      <c r="H16" s="5"/>
      <c r="J16" s="5"/>
      <c r="L16" s="5"/>
      <c r="N16" s="5"/>
      <c r="P16" s="5"/>
      <c r="R16" s="5"/>
      <c r="T16" s="5"/>
      <c r="V16" s="5"/>
      <c r="X16" s="5"/>
      <c r="Z16" s="5"/>
      <c r="AB16" s="5"/>
    </row>
    <row r="17" spans="1:27">
      <c r="A17" s="4"/>
      <c r="B17" s="4"/>
      <c r="C17" s="4"/>
    </row>
    <row r="18" spans="1:27">
      <c r="A18" s="4"/>
      <c r="B18" s="4"/>
      <c r="C18" s="4"/>
    </row>
    <row r="19" spans="1:27">
      <c r="A19" s="4"/>
      <c r="B19" s="4"/>
      <c r="C19" s="4"/>
    </row>
    <row r="20" spans="1:27">
      <c r="A20" s="4"/>
      <c r="B20" s="4"/>
      <c r="C20" s="4"/>
    </row>
    <row r="21" spans="1:27">
      <c r="A21" s="1" t="s">
        <v>35</v>
      </c>
      <c r="B21" s="4"/>
      <c r="C21" s="4"/>
    </row>
    <row r="22" spans="1:27">
      <c r="A22" s="2" t="s">
        <v>36</v>
      </c>
      <c r="B22" s="4"/>
      <c r="C22" s="4"/>
    </row>
    <row r="23" spans="1:27">
      <c r="A23" s="3" t="s">
        <v>37</v>
      </c>
      <c r="B23" s="4"/>
      <c r="C23" s="4"/>
    </row>
    <row r="24" spans="1:27">
      <c r="A24" s="4"/>
      <c r="B24" s="4"/>
      <c r="C24" s="4"/>
    </row>
    <row r="25" spans="1:27" ht="29.25">
      <c r="A25" s="11" t="s">
        <v>38</v>
      </c>
      <c r="B25" s="4" t="s">
        <v>39</v>
      </c>
      <c r="C25" s="4">
        <f>SUM(D25:AA25)</f>
        <v>10277</v>
      </c>
      <c r="G25" s="18">
        <f>SUM(G3:G24)</f>
        <v>270</v>
      </c>
      <c r="I25" s="18">
        <f>SUM(I3:I24)</f>
        <v>130</v>
      </c>
      <c r="K25" s="18">
        <f>SUM(K3:K24)</f>
        <v>293</v>
      </c>
      <c r="M25" s="18">
        <f>SUM(M3:M24)</f>
        <v>323</v>
      </c>
      <c r="O25" s="18">
        <f>SUM(O3:O24)</f>
        <v>3823</v>
      </c>
      <c r="Q25" s="18">
        <f>SUM(Q3:Q24)</f>
        <v>323</v>
      </c>
      <c r="S25" s="18">
        <f>SUM(S3:S24)</f>
        <v>323</v>
      </c>
      <c r="U25" s="18">
        <f>SUM(U3:U24)</f>
        <v>3823</v>
      </c>
      <c r="W25" s="18">
        <f>SUM(W3:W24)</f>
        <v>323</v>
      </c>
      <c r="Y25" s="18">
        <f>SUM(Y3:Y24)</f>
        <v>323</v>
      </c>
      <c r="AA25" s="18">
        <f>SUM(AA3:AA24)</f>
        <v>323</v>
      </c>
    </row>
    <row r="26" spans="1:27">
      <c r="A26" s="10"/>
      <c r="B26" s="4"/>
      <c r="C26" s="4"/>
    </row>
    <row r="27" spans="1:27">
      <c r="A27" s="4"/>
      <c r="B27" s="4"/>
      <c r="C27" s="4"/>
    </row>
  </sheetData>
  <mergeCells count="14">
    <mergeCell ref="Z1:AA1"/>
    <mergeCell ref="N1:O1"/>
    <mergeCell ref="P1:Q1"/>
    <mergeCell ref="R1:S1"/>
    <mergeCell ref="T1:U1"/>
    <mergeCell ref="V1:W1"/>
    <mergeCell ref="X1:Y1"/>
    <mergeCell ref="L1:M1"/>
    <mergeCell ref="B1:C1"/>
    <mergeCell ref="A1:A2"/>
    <mergeCell ref="F1:G1"/>
    <mergeCell ref="D1:E1"/>
    <mergeCell ref="H1:I1"/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1078A5C3-72D0-4177-9D22-93729FAA43FD}"/>
</file>

<file path=customXml/itemProps2.xml><?xml version="1.0" encoding="utf-8"?>
<ds:datastoreItem xmlns:ds="http://schemas.openxmlformats.org/officeDocument/2006/customXml" ds:itemID="{CC4043D9-BF63-4EA5-9031-BCFAD122962C}"/>
</file>

<file path=customXml/itemProps3.xml><?xml version="1.0" encoding="utf-8"?>
<ds:datastoreItem xmlns:ds="http://schemas.openxmlformats.org/officeDocument/2006/customXml" ds:itemID="{9A079972-0F19-4D42-99D9-729604DC2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2025-03-17T16:14:51Z</dcterms:created>
  <dcterms:modified xsi:type="dcterms:W3CDTF">2025-04-15T10:56:48Z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