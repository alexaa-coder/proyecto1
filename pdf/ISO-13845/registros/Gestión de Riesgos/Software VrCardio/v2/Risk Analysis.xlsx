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mc:AlternateContent xmlns:mc="http://schemas.openxmlformats.org/markup-compatibility/2006">
    <mc:Choice Requires="x15">
      <x15ac:absPath xmlns:x15ac="http://schemas.microsoft.com/office/spreadsheetml/2010/11/ac" url="C:\Users\sandr\Downloads\"/>
    </mc:Choice>
  </mc:AlternateContent>
  <xr:revisionPtr revIDLastSave="5" documentId="13_ncr:1_{A32E49E8-BA91-477A-A9FD-70DA7436ADB6}" xr6:coauthVersionLast="47" xr6:coauthVersionMax="47" xr10:uidLastSave="{7929ABEE-BDCE-4248-B672-72B2AA0E3BF3}"/>
  <bookViews>
    <workbookView xWindow="5760" yWindow="3360" windowWidth="17280" windowHeight="8880" xr2:uid="{00000000-000D-0000-FFFF-FFFF00000000}"/>
  </bookViews>
  <sheets>
    <sheet name="Frontpage" sheetId="8" r:id="rId1"/>
    <sheet name="Hazard category" sheetId="5" r:id="rId2"/>
    <sheet name=" Risk Matrix" sheetId="2" r:id="rId3"/>
    <sheet name="SOUP Risks" sheetId="7" state="hidden" r:id="rId4"/>
    <sheet name="Severity score" sheetId="6" state="hidden" r:id="rId5"/>
    <sheet name=" Risk Evaluation" sheetId="4" state="hidden" r:id="rId6"/>
    <sheet name="Risk Manag. Team" sheetId="9" r:id="rId7"/>
    <sheet name="Criteria" sheetId="10" r:id="rId8"/>
  </sheets>
  <externalReferences>
    <externalReference r:id="rId9"/>
  </externalReferences>
  <definedNames>
    <definedName name="_xlnm._FilterDatabase" localSheetId="2" hidden="1">' Risk Matrix'!$A$3:$R$118</definedName>
    <definedName name="High" localSheetId="5">#REF!</definedName>
    <definedName name="Implementation" localSheetId="5">'[1]Risk Evaluation'!$B$2:$B$5</definedName>
    <definedName name="Implementation">'[1]Risk Evaluation'!$B$2:$B$5</definedName>
    <definedName name="Importance">'[1]Risk Evaluation'!$A$2:$A$5</definedName>
    <definedName name="Inplementation" localSheetId="5">'[1]Risk Evaluation'!$B$2:$B$5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9" i="2" l="1"/>
  <c r="J89" i="2"/>
  <c r="O88" i="2"/>
  <c r="J88" i="2"/>
  <c r="O87" i="2"/>
  <c r="J87" i="2"/>
  <c r="O86" i="2"/>
  <c r="J86" i="2"/>
  <c r="O85" i="2"/>
  <c r="J85" i="2"/>
  <c r="O84" i="2"/>
  <c r="J84" i="2"/>
  <c r="O83" i="2"/>
  <c r="J83" i="2"/>
  <c r="O82" i="2"/>
  <c r="J82" i="2"/>
  <c r="O81" i="2"/>
  <c r="J81" i="2"/>
  <c r="O80" i="2"/>
  <c r="J80" i="2"/>
  <c r="O118" i="2"/>
  <c r="J118" i="2"/>
  <c r="O117" i="2"/>
  <c r="J117" i="2"/>
  <c r="O116" i="2"/>
  <c r="J116" i="2"/>
  <c r="O115" i="2"/>
  <c r="J115" i="2"/>
  <c r="O114" i="2"/>
  <c r="J114" i="2"/>
  <c r="O113" i="2"/>
  <c r="J113" i="2"/>
  <c r="O112" i="2"/>
  <c r="J112" i="2"/>
  <c r="O111" i="2"/>
  <c r="J111" i="2"/>
  <c r="O110" i="2"/>
  <c r="J110" i="2"/>
  <c r="O109" i="2"/>
  <c r="J109" i="2"/>
  <c r="O108" i="2"/>
  <c r="J108" i="2"/>
  <c r="O107" i="2"/>
  <c r="J107" i="2"/>
  <c r="O106" i="2"/>
  <c r="J106" i="2"/>
  <c r="O105" i="2"/>
  <c r="J105" i="2"/>
  <c r="O104" i="2"/>
  <c r="J104" i="2"/>
  <c r="O103" i="2"/>
  <c r="J103" i="2"/>
  <c r="O102" i="2"/>
  <c r="J102" i="2"/>
  <c r="O101" i="2"/>
  <c r="J101" i="2"/>
  <c r="O100" i="2"/>
  <c r="J100" i="2"/>
  <c r="O99" i="2"/>
  <c r="J99" i="2"/>
  <c r="O98" i="2"/>
  <c r="J98" i="2"/>
  <c r="O97" i="2"/>
  <c r="J97" i="2"/>
  <c r="O96" i="2"/>
  <c r="J96" i="2"/>
  <c r="O95" i="2"/>
  <c r="J95" i="2"/>
  <c r="O94" i="2"/>
  <c r="J94" i="2"/>
  <c r="O93" i="2"/>
  <c r="J93" i="2"/>
  <c r="O92" i="2"/>
  <c r="J92" i="2"/>
  <c r="O90" i="2"/>
  <c r="J90" i="2"/>
  <c r="O79" i="2"/>
  <c r="J79" i="2"/>
  <c r="O78" i="2"/>
  <c r="J78" i="2"/>
  <c r="O77" i="2"/>
  <c r="J77" i="2"/>
  <c r="O76" i="2"/>
  <c r="J76" i="2"/>
  <c r="O75" i="2"/>
  <c r="J75" i="2"/>
  <c r="O64" i="2"/>
  <c r="O65" i="2"/>
  <c r="O66" i="2"/>
  <c r="O67" i="2"/>
  <c r="O68" i="2"/>
  <c r="O69" i="2"/>
  <c r="O70" i="2"/>
  <c r="O71" i="2"/>
  <c r="O72" i="2"/>
  <c r="O73" i="2"/>
  <c r="J64" i="2"/>
  <c r="J65" i="2"/>
  <c r="J66" i="2"/>
  <c r="J67" i="2"/>
  <c r="J68" i="2"/>
  <c r="J69" i="2"/>
  <c r="J70" i="2"/>
  <c r="J71" i="2"/>
  <c r="J72" i="2"/>
  <c r="J73" i="2"/>
  <c r="J8" i="2" l="1"/>
  <c r="O6" i="2"/>
  <c r="O7" i="2"/>
  <c r="O8" i="2"/>
  <c r="J7" i="2"/>
  <c r="J6" i="2"/>
  <c r="J11" i="2" l="1"/>
  <c r="O11" i="2"/>
  <c r="J5" i="2"/>
  <c r="O5" i="2"/>
  <c r="J9" i="2"/>
  <c r="O9" i="2"/>
  <c r="J10" i="2"/>
  <c r="O10" i="2"/>
  <c r="J12" i="2"/>
  <c r="O12" i="2"/>
  <c r="J13" i="2"/>
  <c r="O13" i="2"/>
  <c r="J14" i="2"/>
  <c r="O14" i="2"/>
  <c r="J15" i="2"/>
  <c r="O15" i="2"/>
  <c r="J16" i="2"/>
  <c r="O16" i="2"/>
  <c r="O17" i="2"/>
  <c r="O18" i="2"/>
  <c r="O19" i="2"/>
  <c r="O20" i="2"/>
  <c r="O21" i="2"/>
  <c r="O22" i="2"/>
  <c r="O23" i="2"/>
  <c r="O24" i="2"/>
  <c r="O25" i="2"/>
  <c r="O26" i="2"/>
  <c r="O27" i="2"/>
  <c r="O28" i="2"/>
  <c r="O29" i="2"/>
  <c r="O30" i="2"/>
  <c r="O31" i="2"/>
  <c r="O32" i="2"/>
  <c r="O42" i="2"/>
  <c r="O43" i="2"/>
  <c r="O44" i="2"/>
  <c r="O45" i="2"/>
  <c r="O46" i="2"/>
  <c r="O47" i="2"/>
  <c r="O48" i="2"/>
  <c r="O49" i="2"/>
  <c r="O50" i="2"/>
  <c r="O51" i="2"/>
  <c r="O52" i="2"/>
  <c r="O53" i="2"/>
  <c r="O54" i="2"/>
  <c r="O55" i="2"/>
  <c r="O56" i="2"/>
  <c r="O57" i="2"/>
  <c r="O58" i="2"/>
  <c r="O59" i="2"/>
  <c r="O60" i="2"/>
  <c r="O61" i="2"/>
  <c r="O62" i="2"/>
  <c r="O63" i="2"/>
  <c r="O33" i="2"/>
  <c r="O34" i="2"/>
  <c r="O35" i="2"/>
  <c r="O36" i="2"/>
  <c r="O37" i="2"/>
  <c r="O38" i="2"/>
  <c r="O39" i="2"/>
  <c r="O40" i="2"/>
  <c r="O41" i="2"/>
  <c r="J17" i="2"/>
  <c r="J18" i="2"/>
  <c r="J19" i="2"/>
  <c r="J20" i="2"/>
  <c r="J21" i="2"/>
  <c r="J22" i="2"/>
  <c r="J23" i="2"/>
  <c r="J24" i="2"/>
  <c r="J25" i="2"/>
  <c r="J26" i="2"/>
  <c r="J27" i="2"/>
  <c r="J28" i="2"/>
  <c r="J29" i="2"/>
  <c r="J30" i="2"/>
  <c r="J31" i="2"/>
  <c r="J32" i="2"/>
  <c r="J42" i="2"/>
  <c r="J43" i="2"/>
  <c r="J44" i="2"/>
  <c r="J45" i="2"/>
  <c r="J46" i="2"/>
  <c r="J47" i="2"/>
  <c r="J48" i="2"/>
  <c r="J49" i="2"/>
  <c r="J50" i="2"/>
  <c r="J51" i="2"/>
  <c r="J52" i="2"/>
  <c r="J53" i="2"/>
  <c r="J54" i="2"/>
  <c r="J55" i="2"/>
  <c r="J56" i="2"/>
  <c r="J57" i="2"/>
  <c r="J58" i="2"/>
  <c r="J59" i="2"/>
  <c r="J60" i="2"/>
  <c r="J61" i="2"/>
  <c r="J62" i="2"/>
  <c r="J63" i="2"/>
  <c r="J33" i="2"/>
  <c r="J34" i="2"/>
  <c r="J35" i="2"/>
  <c r="J36" i="2"/>
  <c r="J37" i="2"/>
  <c r="J38" i="2"/>
  <c r="J39" i="2"/>
  <c r="J40" i="2"/>
  <c r="J4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tc={7E5AEA19-F060-4BA6-BA68-915915C64FD7}</author>
  </authors>
  <commentList>
    <comment ref="B3" authorId="0" shapeId="0" xr:uid="{7E5AEA19-F060-4BA6-BA68-915915C64FD7}">
      <text>
        <t>[Threaded comment]
Your version of Excel allows you to read this threaded comment; however, any edits to it will get removed if the file is opened in a newer version of Excel. Learn more: https://go.microsoft.com/fwlink/?linkid=870924
Comment:
    It seems to me that the names listed are of the names of the SOUPs themselves and not the process in which the fault can occur, please adapt considering the examples my colleague Celeste emailed. For example, the process in which the failure occurs may be the integration of SOUP?</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tc={7389FF78-C237-4D06-9C86-654D2BBD3098}</author>
  </authors>
  <commentList>
    <comment ref="C1" authorId="0" shapeId="0" xr:uid="{7389FF78-C237-4D06-9C86-654D2BBD3098}">
      <text>
        <t>[Threaded comment]
Your version of Excel allows you to read this threaded comment; however, any edits to it will get removed if the file is opened in a newer version of Excel. Learn more: https://go.microsoft.com/fwlink/?linkid=870924
Comment:
    I find it unnecessary to put severity score here given that the same is found in the risk management plan. Still, if it's Spika Tech's option to put, then the scores for probability and detectability should be placed also.</t>
      </text>
    </comment>
  </commentList>
</comments>
</file>

<file path=xl/sharedStrings.xml><?xml version="1.0" encoding="utf-8"?>
<sst xmlns="http://schemas.openxmlformats.org/spreadsheetml/2006/main" count="1641" uniqueCount="740">
  <si>
    <t>VR-CARDIO Risk Analysis</t>
  </si>
  <si>
    <t>Doc Code: MR-003.01
Version: 02
Date: 04/06/2025</t>
  </si>
  <si>
    <t>Risk Management Team</t>
  </si>
  <si>
    <t>Fernando Pozo (Executive Director)
Iván Pérez (Quality Guarantee)
José Martín (IT &amp; Robotics)
Vicente Gallego (Investigation and development)
Raul Cordón (Sales)
José Ángel Cabrera (Health Professional)
Celeste Oliveira (PRRC)
See Risks Management team separator for more details.</t>
  </si>
  <si>
    <t>Summary</t>
  </si>
  <si>
    <t>Based on the established risk management procedure, having carried out an in-depth analysis of the risks associated with VR-CARDIO Family and implementing appropriate control actions, we can conclude that the risks are now under control. The risk management measures implemented have effectively reduced the potential risks associated with the use of the VR-CARDIO-01 and VR-CARDIO-02 References.</t>
  </si>
  <si>
    <t>Approved by:</t>
  </si>
  <si>
    <t>Fernando Pozo</t>
  </si>
  <si>
    <t>Date: 04/06/2025</t>
  </si>
  <si>
    <t>Hazard category</t>
  </si>
  <si>
    <t>Hazard sub-category</t>
  </si>
  <si>
    <t>Applicability</t>
  </si>
  <si>
    <t>Possible contributing factors</t>
  </si>
  <si>
    <t>Possible harms</t>
  </si>
  <si>
    <t>Associated severity (see severity score)</t>
  </si>
  <si>
    <t>Energy</t>
  </si>
  <si>
    <t>Acoustic energy</t>
  </si>
  <si>
    <t>Not applicable</t>
  </si>
  <si>
    <t>infrasound
sound pressure
ultrasonic</t>
  </si>
  <si>
    <t>__</t>
  </si>
  <si>
    <t>Electrical energy</t>
  </si>
  <si>
    <t>Electric fields
Leakage current
Magnetic fields
Static discharge
Voltage</t>
  </si>
  <si>
    <t>Potential energy</t>
  </si>
  <si>
    <t>— bending
— compression
— cutting, shearing
— gravitational pull
— suspended mass
— tension
— torsion</t>
  </si>
  <si>
    <t>Mechanical energy</t>
  </si>
  <si>
    <t>Kinetic energy
— high pressure fluid injection
— moving parts</t>
  </si>
  <si>
    <t>Radiation energy</t>
  </si>
  <si>
    <t>Ionizing radiation
Non-ionizing radiation</t>
  </si>
  <si>
    <t>Thermal energy</t>
  </si>
  <si>
    <t>Cryogenic effects
Hyperthermic effects</t>
  </si>
  <si>
    <t>Biological and chemical</t>
  </si>
  <si>
    <t>Biological</t>
  </si>
  <si>
    <t>Bacteria
Fungi
Parasites
Prions
Toxins
Viruses</t>
  </si>
  <si>
    <t>Chemical</t>
  </si>
  <si>
    <t>Additives or processing aids
Sterilization substantes
Degradation products
Particles (including micro- and nanoparticles)
Pyrogenic
Solvents
Toxic</t>
  </si>
  <si>
    <t>Biocompatibility</t>
  </si>
  <si>
    <t>Allergenic
— antiseptic substances
— latex
Immunosuppressive
Irritants
— cleaning residues
Sensitizing</t>
  </si>
  <si>
    <t>Performance</t>
  </si>
  <si>
    <t>Functionality</t>
  </si>
  <si>
    <t>Applicable</t>
  </si>
  <si>
    <t>Incorrect or inappropriate output or functionality
Loss or deterioration of function</t>
  </si>
  <si>
    <t>Impossibility to use the device</t>
  </si>
  <si>
    <t>Minor. Need to repeat the procedure.</t>
  </si>
  <si>
    <t>Use error</t>
  </si>
  <si>
    <t>Attentional failure (human error risk)</t>
  </si>
  <si>
    <t>Incorrect use of the device</t>
  </si>
  <si>
    <t>Operating instructions</t>
  </si>
  <si>
    <t>Inadequate specification of accessories to be used with the medical device
Over complicated instructions for use</t>
  </si>
  <si>
    <t>Serious. Misdiagnosis leading to inappropriate treatment or treatment delays</t>
  </si>
  <si>
    <t>Warnings</t>
  </si>
  <si>
    <t>Warnings of side effects
Warnings of hazards related to the device</t>
  </si>
  <si>
    <t>Data</t>
  </si>
  <si>
    <t>— access
— availability
— confidentiality
— data transfer
— integrity</t>
  </si>
  <si>
    <t>Incorrect use of the device - (data privacy and security breaches)</t>
  </si>
  <si>
    <t>Minor. Unauthorized access to patient data</t>
  </si>
  <si>
    <t>Diagnostic information</t>
  </si>
  <si>
    <t>— examination result
— image artefacts
— image orientation
— image resolution
— patient identity / information</t>
  </si>
  <si>
    <t xml:space="preserve">Incorrect use of the device (for example, misinterpretation of the outputs of the device) </t>
  </si>
  <si>
    <t xml:space="preserve">Incorrect output of the device (for example, bad quality images, poor resolution) </t>
  </si>
  <si>
    <t>Definition of risk</t>
  </si>
  <si>
    <t>Risk assessment</t>
  </si>
  <si>
    <t>Risk acceptance</t>
  </si>
  <si>
    <t>Risk control (if applicable)</t>
  </si>
  <si>
    <t>Risk Control (if applicable)</t>
  </si>
  <si>
    <t>Additional measures</t>
  </si>
  <si>
    <t>Residual Risk Evaluation</t>
  </si>
  <si>
    <t>#</t>
  </si>
  <si>
    <t>Process/system failure</t>
  </si>
  <si>
    <t xml:space="preserve"> Phase</t>
  </si>
  <si>
    <t>Potential Hazard</t>
  </si>
  <si>
    <t>Hazardous situation</t>
  </si>
  <si>
    <t>Potential harm</t>
  </si>
  <si>
    <t>Probability</t>
  </si>
  <si>
    <t>Severity</t>
  </si>
  <si>
    <t>RPN = P x S</t>
  </si>
  <si>
    <t>Acceptable?</t>
  </si>
  <si>
    <t>Risk Control Measures</t>
  </si>
  <si>
    <t>Create new risks?</t>
  </si>
  <si>
    <t>VR-CARDIO Family</t>
  </si>
  <si>
    <t>Activation/Installation/Configuration Process</t>
  </si>
  <si>
    <t>Software Implementation</t>
  </si>
  <si>
    <t>Authentication and authorization issues</t>
  </si>
  <si>
    <t>Users are incorrectly granted or denied access due to configuration or logic flaws.</t>
  </si>
  <si>
    <t>System instability, security vulnerabilities</t>
  </si>
  <si>
    <t>Tolerable</t>
  </si>
  <si>
    <t>Define access control roles and implement secure configuration templates. 
Conduct periodic audits of permission assignments. 
Establish approval workflows for privilege changes.</t>
  </si>
  <si>
    <t>Acceptable</t>
  </si>
  <si>
    <t>No</t>
  </si>
  <si>
    <t>Yes</t>
  </si>
  <si>
    <t>Design and development</t>
  </si>
  <si>
    <t>Software Requirements Specification</t>
  </si>
  <si>
    <t>Ambiguous requirements</t>
  </si>
  <si>
    <t>Requirements are vague or open to interpretation during design and coding.</t>
  </si>
  <si>
    <t>Misdiagnosis leading to inappropriate treatment logic</t>
  </si>
  <si>
    <t>Conduct joint review sessions with users and developers. 
Define a controlled vocabulary for clinical and system terms. Maintain traceable requirement-to-design linkage.</t>
  </si>
  <si>
    <t>Incomplete requirements</t>
  </si>
  <si>
    <t>Developers lack complete information to cover all use cases.</t>
  </si>
  <si>
    <t>Misdiagnosis due to gaps in functionality</t>
  </si>
  <si>
    <t>Host structured workshops to validate requirements with end users.
Document stakeholder feedback and perform gap analysis.</t>
  </si>
  <si>
    <t>Unrealistic expectations</t>
  </si>
  <si>
    <t>The project team commits to infeasible features or timelines.</t>
  </si>
  <si>
    <t>Delayed product release, reduced software quality</t>
  </si>
  <si>
    <t>Establish realistic delivery milestones based on resource availability. 
Maintain a documented project expectation register.</t>
  </si>
  <si>
    <t>Software Design and Architecture</t>
  </si>
  <si>
    <t>Inadequate data modeling</t>
  </si>
  <si>
    <t>Data structures fail to reflect user workflow or clinical logic.</t>
  </si>
  <si>
    <t>Development delays, inability to scale</t>
  </si>
  <si>
    <t>Define standards for schema documentation. 
Validate model assumptions with clinical experts.</t>
  </si>
  <si>
    <t>Inadequate documentation</t>
  </si>
  <si>
    <t>System behavior or structure is unclear to developers or users.</t>
  </si>
  <si>
    <t>Maintenance gaps, errors during updates</t>
  </si>
  <si>
    <t>Establish documentation templates for each lifecycle stage.
Perform quarterly documentation reviews. 
Train teams on documentation update protocols.</t>
  </si>
  <si>
    <t>Incomplete documentation</t>
  </si>
  <si>
    <t>Missing instructions cause confusion in design or testing.</t>
  </si>
  <si>
    <t>Design misalignment with clinical needs</t>
  </si>
  <si>
    <t>Gather feedback from testers and clinicians. 
Track documentation completeness using controlled checklists. Include review checkpoints in design validation.</t>
  </si>
  <si>
    <t>Lack of version control for designs</t>
  </si>
  <si>
    <t>Design artifacts diverge without tracking.</t>
  </si>
  <si>
    <t>Design deviations, scope changes</t>
  </si>
  <si>
    <t>Apply version control to all design artifacts using a centralized repository. 
Require version tags before implementation.
Include design approval workflows as part of change management.</t>
  </si>
  <si>
    <t>Poorly defined system requirements</t>
  </si>
  <si>
    <t>Requirements are not specific enough for safe implementation.</t>
  </si>
  <si>
    <t>Performance issues, software instability</t>
  </si>
  <si>
    <t>Clarify and validate requirements through user involvement.
Implement formal review cycles.</t>
  </si>
  <si>
    <t>Lack of accessibility considerations</t>
  </si>
  <si>
    <t>System is not usable by users with assistive tech or visual limitations.</t>
  </si>
  <si>
    <t>High maintenance overhead, loss of inclusivity</t>
  </si>
  <si>
    <t>Emphasize modular design principles, conduct code reviews, and encourage the development of independent, reusable modules.</t>
  </si>
  <si>
    <t>Lack of modularity</t>
  </si>
  <si>
    <t>Changes in one area affect others unexpectedly.</t>
  </si>
  <si>
    <t>Integration issues, system instability</t>
  </si>
  <si>
    <t>Apply modular architecture principles, isolate critical functions into reusable components, and enforce interface contracts between modules.</t>
  </si>
  <si>
    <t>Overly complex design</t>
  </si>
  <si>
    <t>User flow becomes difficult to understand or use.</t>
  </si>
  <si>
    <t>User confusion, high support burden</t>
  </si>
  <si>
    <t>Establish and enforce design guidelines, conduct periodic reviews, and provide training on design patterns.</t>
  </si>
  <si>
    <t>Lack of consistency in design</t>
  </si>
  <si>
    <t>Repetitive or inconsistent interface logic.</t>
  </si>
  <si>
    <t>User frustration, increased support requests</t>
  </si>
  <si>
    <t>Promote interface clarity through design reviews, user feedback, and usability testing.</t>
  </si>
  <si>
    <t>Software development</t>
  </si>
  <si>
    <t>Unclear interface design</t>
  </si>
  <si>
    <t>Ambiguous or non-standard UI elements.</t>
  </si>
  <si>
    <t>Implementation errors, training complexity</t>
  </si>
  <si>
    <t>Apply user-centered design practices, perform heuristic evaluations, and clarify controls through guided workflows and tooltips.</t>
  </si>
  <si>
    <t>Code dependencies</t>
  </si>
  <si>
    <t>Modules break due to uncontrolled dependency upgrades.</t>
  </si>
  <si>
    <t>System crashes, data loss</t>
  </si>
  <si>
    <t>Lock dependency versions, implement regression test suites, and review external dependency impact at each release cycle.</t>
  </si>
  <si>
    <t>Lack of code reviews</t>
  </si>
  <si>
    <t>Unchecked code with logic errors enters production.</t>
  </si>
  <si>
    <t>Decreased code quality, regression risk</t>
  </si>
  <si>
    <t>Establish peer-review policies, use pull request templates, and track review metrics across teams.</t>
  </si>
  <si>
    <t>Inadequate code documentation</t>
  </si>
  <si>
    <t>Developers cannot understand legacy or third-party code.</t>
  </si>
  <si>
    <t>Maintenance risk, development delays</t>
  </si>
  <si>
    <t>Emphasize thorough code documentation, provide guidelines, and perform regular checks to ensure code is well documented.</t>
  </si>
  <si>
    <t>Lack of collaboration between development teams</t>
  </si>
  <si>
    <t>Parallel development leads to incompatible code branches.</t>
  </si>
  <si>
    <t>Merge conflicts, software bugs</t>
  </si>
  <si>
    <t>Use shared documentation tools, hold weekly alignment meetings, and track integration milestones cross-functionally.</t>
  </si>
  <si>
    <t>Insufficient training in new technologies</t>
  </si>
  <si>
    <t>Team lacks familiarity with new frameworks or platforms.</t>
  </si>
  <si>
    <t>Coding inefficiencies, bug introduction</t>
  </si>
  <si>
    <t>Conduct onboarding programs for new stacks, provide sandbox environments, and encourage technical mentorship.</t>
  </si>
  <si>
    <t>Production</t>
  </si>
  <si>
    <t>Software Production and Release</t>
  </si>
  <si>
    <t>Dependency management issues</t>
  </si>
  <si>
    <t>Packages are outdated or cause version conflicts.</t>
  </si>
  <si>
    <t>Compatibility issues, feature gaps</t>
  </si>
  <si>
    <t>Implement model drift monitoring, retrain models regularly, and address changes in data distribution to maintain model accuracy.</t>
  </si>
  <si>
    <t>Code integration failures</t>
  </si>
  <si>
    <t>Code changes fail during merge or build process.</t>
  </si>
  <si>
    <t>Implementation failures, system instability</t>
  </si>
  <si>
    <t>Establish integration branch testing, apply continuous integration practices</t>
  </si>
  <si>
    <t>Downtime due to server failure</t>
  </si>
  <si>
    <t>Backend server is unavailable.</t>
  </si>
  <si>
    <t>Data loss, diagnostic service interruption</t>
  </si>
  <si>
    <t>Perform tests, and implement automated integration checks.</t>
  </si>
  <si>
    <t>Software update</t>
  </si>
  <si>
    <t>Use of unauthorized software</t>
  </si>
  <si>
    <t>External or unvalidated tools compromise the system.</t>
  </si>
  <si>
    <t>Equipment malfunction, unpredictable behavior</t>
  </si>
  <si>
    <t>Maintain an approved software inventory, implement whitelist policies, and validate 3rd-party tools before use.</t>
  </si>
  <si>
    <t>Technical Processes</t>
  </si>
  <si>
    <t>Insufficient load testing</t>
  </si>
  <si>
    <t>System fails under real-world traffic.</t>
  </si>
  <si>
    <t>Performance bottlenecks, diagnostic delay</t>
  </si>
  <si>
    <t>Simulate concurrent usage with realistic load patterns, and benchmark thresholds using tools like JMeter or k6.</t>
  </si>
  <si>
    <t>Technical Support and Maintenance</t>
  </si>
  <si>
    <t>Improper software patching</t>
  </si>
  <si>
    <t>Partial patches break consistency across system components.</t>
  </si>
  <si>
    <t>Security issues, instability</t>
  </si>
  <si>
    <t>Automate patch deployment pipelines, verify patch integrity, and maintain patch logs with change descriptions.</t>
  </si>
  <si>
    <t>Database performance degradation</t>
  </si>
  <si>
    <t>Queries run slowly or time out.</t>
  </si>
  <si>
    <t>Reduced system responsiveness</t>
  </si>
  <si>
    <t>Optimize indexing strategies, implement automated query tuning, and conduct load/performance tests during release cycles.</t>
  </si>
  <si>
    <t>Inadequate documentation maintenance</t>
  </si>
  <si>
    <t>Documentation is outdated or inaccurate.</t>
  </si>
  <si>
    <t>Errors during updates, support inefficiency</t>
  </si>
  <si>
    <t>Integrate doc updates into release process, assign documentation ownership, and schedule quarterly documentation audits.</t>
  </si>
  <si>
    <t>Insufficient backup and recovery measures</t>
  </si>
  <si>
    <t>No viable recovery path after a crash or corruption.</t>
  </si>
  <si>
    <t>Permanent data loss</t>
  </si>
  <si>
    <t>Establish automated, encrypted backup system with offsite storage. Perform regular backup validation drills.</t>
  </si>
  <si>
    <t>Cybersecurity</t>
  </si>
  <si>
    <t>Violations of data retention policy</t>
  </si>
  <si>
    <t>Security breach</t>
  </si>
  <si>
    <t>Data stolen due to software weakness.</t>
  </si>
  <si>
    <t>Legal exposure</t>
  </si>
  <si>
    <t>Conduct penetration testing, implement encryption at rest/in transit, and train team on secure coding standards.</t>
  </si>
  <si>
    <t>Inadequate data anonymization</t>
  </si>
  <si>
    <t>Inadequate encryption</t>
  </si>
  <si>
    <t>Encrypted channels are misconfigured or weak.</t>
  </si>
  <si>
    <t>Privacy breaches</t>
  </si>
  <si>
    <t>Use modern encryption protocols. Implement regular key rotation and vulnerability scanning.</t>
  </si>
  <si>
    <t>Lack of clear communication</t>
  </si>
  <si>
    <t>Inadequate user communication practices</t>
  </si>
  <si>
    <t>Users receive unclear or inconsistent system instructions.</t>
  </si>
  <si>
    <t>User confusion, incorrect usage, diagnostic errors</t>
  </si>
  <si>
    <t>Revise user documentation for clarity. Include visuals and action-based guides. Test content with intended users.</t>
  </si>
  <si>
    <t>Lack of user consent management</t>
  </si>
  <si>
    <t>Inadequate consent practices</t>
  </si>
  <si>
    <t>System collects or uses patient data without formalized user consent.</t>
  </si>
  <si>
    <t>Legal risk, privacy violations, regulatory sanctions</t>
  </si>
  <si>
    <t>Require consent acknowledgment during onboarding. Maintain consent logs and include privacy policy in system workflow.</t>
  </si>
  <si>
    <t>Unauthorized access</t>
  </si>
  <si>
    <t>Weak authentication or authorization</t>
  </si>
  <si>
    <t>Unauthorized users can access the system or authorized users are blocked.</t>
  </si>
  <si>
    <t>Data breaches, denial of service, compromised system integrity</t>
  </si>
  <si>
    <t>Enforce strong password rules and two-factor authentication. Periodically review user permissions.</t>
  </si>
  <si>
    <t>Unauthorized data sharing</t>
  </si>
  <si>
    <t>Insufficient controls for data sharing</t>
  </si>
  <si>
    <t>Data is shared without proper access restriction or logging.</t>
  </si>
  <si>
    <t>Privacy breaches, unauthorized disclosure, regulatory non-compliance</t>
  </si>
  <si>
    <t>Control data export paths and require sharing permissions. Maintain export logs and enforce user-level restrictions.</t>
  </si>
  <si>
    <t>Lack of ongoing user privacy education</t>
  </si>
  <si>
    <t>Infrequent education on user privacy practices</t>
  </si>
  <si>
    <t>Users are unaware of best practices for handling sensitive health data.</t>
  </si>
  <si>
    <t>Privacy violations due to mishandling of personal information</t>
  </si>
  <si>
    <t>Schedule annual privacy training. Include onboarding modules and regular refresher quizzes.</t>
  </si>
  <si>
    <t>Violations of data protection regulations</t>
  </si>
  <si>
    <t>Non-compliance with data protection regulations</t>
  </si>
  <si>
    <t>Data is stored, processed, or transferred in violation of legal frameworks (e.g., GDPR).</t>
  </si>
  <si>
    <t>Legal penalties, reputational damage, business continuity risks</t>
  </si>
  <si>
    <t>Conduct Data Protection Impact Assessments (DPIAs). Implement internal audits and update policies regularly.</t>
  </si>
  <si>
    <t>Weak password policies</t>
  </si>
  <si>
    <t>Inadequate password security policies</t>
  </si>
  <si>
    <t>System allows weak, reused, or non-expiring passwords.</t>
  </si>
  <si>
    <t>Account compromise, unauthorized system access</t>
  </si>
  <si>
    <t>Require minimum complexity, block reuse, and auto-expire credentials. Provide secure password reset flow.</t>
  </si>
  <si>
    <t>User Management</t>
  </si>
  <si>
    <t>User Management and Data Privacy</t>
  </si>
  <si>
    <t>Data Retention Policy Violations</t>
  </si>
  <si>
    <t>Data stored longer than legally allowed.</t>
  </si>
  <si>
    <t>Legal consequences, privacy breaches</t>
  </si>
  <si>
    <t>Implement retention rules in database, auto-purge expired data, and perform retention policy audits annually.</t>
  </si>
  <si>
    <t>Insufficient data access controls</t>
  </si>
  <si>
    <t>Unauthorized users access sensitive data.</t>
  </si>
  <si>
    <t>Data breaches, reputation risk</t>
  </si>
  <si>
    <t>Apply role-based access controls (RBAC), enable access logging, and review permissions quarterly.</t>
  </si>
  <si>
    <t>Insufficient data anonymization</t>
  </si>
  <si>
    <t>Identifiable patient info remains accessible.</t>
  </si>
  <si>
    <t>Privacy breaches, GDPR violation</t>
  </si>
  <si>
    <t>Apply structured anonymization before analysis, validate with test cases, and encrypt raw data at source.</t>
  </si>
  <si>
    <t>Insufficient data backup</t>
  </si>
  <si>
    <t>Failure occurs before backup is completed.</t>
  </si>
  <si>
    <t>Data loss, interruption of care</t>
  </si>
  <si>
    <t>Implement incremental backup scheduling, and set up alerts for incomplete backup cycles.</t>
  </si>
  <si>
    <t>Insufficient data encryption</t>
  </si>
  <si>
    <t>Data stored or transmitted in cleartext.</t>
  </si>
  <si>
    <t>Data leakage, privacy breaches</t>
  </si>
  <si>
    <t>Implement robust anonymization practices.</t>
  </si>
  <si>
    <t>Users do not understand software purpose or status.</t>
  </si>
  <si>
    <t>User frustration, low adoption</t>
  </si>
  <si>
    <t>Add real-time system status indicators, update tooltips, and clarify workflows through onboarding prompts.</t>
  </si>
  <si>
    <t>System captures or uses data without verified consent.</t>
  </si>
  <si>
    <t>Legal risk, patient mistrust</t>
  </si>
  <si>
    <t>Implement explicit consent prompts with opt-in controls, version consent forms, and log acceptance metadata.</t>
  </si>
  <si>
    <t>Credentials reused or exposed.</t>
  </si>
  <si>
    <t>Data breaches, privacy violations</t>
  </si>
  <si>
    <t>Enforce unique user accounts, apply strong password policy, and enable multi-factor authentication (MFA).</t>
  </si>
  <si>
    <t>Data sent to unapproved third parties.</t>
  </si>
  <si>
    <t>Legal exposure, patient harm</t>
  </si>
  <si>
    <t>Set user-based data export permissions, encrypt shared files, and keep audit logs of shared sessions.</t>
  </si>
  <si>
    <t>Lack of continuing education on user privacy</t>
  </si>
  <si>
    <t>Staff mishandles data due to unawareness.</t>
  </si>
  <si>
    <t>User error, increased risk of breaches</t>
  </si>
  <si>
    <t>Provide mandatory training on privacy protocols, conduct scenario-based tests, and track training completion.</t>
  </si>
  <si>
    <t>User Privacy Compliance</t>
  </si>
  <si>
    <t>Data processed without lawful basis.</t>
  </si>
  <si>
    <t>Fines, loss of regulatory trust</t>
  </si>
  <si>
    <t>Implement data portability mechanisms, assess user requirements, and allow users to transfer their data between systems transparently.</t>
  </si>
  <si>
    <t>Security and User Access Control</t>
  </si>
  <si>
    <t>Short or easily guessed passwords allowed.</t>
  </si>
  <si>
    <t>Unauthorized access, security breaches</t>
  </si>
  <si>
    <t>Enforce complex passwords, expiration policies, and prohibit reuse of past credentials.</t>
  </si>
  <si>
    <t>Usability</t>
  </si>
  <si>
    <t>User Training</t>
  </si>
  <si>
    <t>Inappropriate instructions for use</t>
  </si>
  <si>
    <t>IFU lacks clarity or completeness.</t>
  </si>
  <si>
    <t>Users cannot operate system correctly</t>
  </si>
  <si>
    <t>Conduct usability testing of IFU drafts, update IFU post-release.</t>
  </si>
  <si>
    <t>Inconsistent user onboarding</t>
  </si>
  <si>
    <t>New users receive different information or training.</t>
  </si>
  <si>
    <t>Misuse of tool, poor diagnostic outcomes</t>
  </si>
  <si>
    <t>Develop and standardize an onboarding module, include tool walkthroughs, and track onboarding completion in the LMS.</t>
  </si>
  <si>
    <t>Login</t>
  </si>
  <si>
    <t>Unable to authenticate</t>
  </si>
  <si>
    <t>Login fails for technical or user reasons.</t>
  </si>
  <si>
    <t>Blocked access to clinical system</t>
  </si>
  <si>
    <t>Monitor authentication logs, enable support fallback option, and improve error messages to guide troubleshooting.</t>
  </si>
  <si>
    <t>Authentication issues</t>
  </si>
  <si>
    <t>Add monitoring for auth endpoints, provide recovery mechanisms (e.g., password reset), and publish downtime alerts.</t>
  </si>
  <si>
    <t>Log out</t>
  </si>
  <si>
    <t>User does not log out after using the software</t>
  </si>
  <si>
    <t>Session remains open and unmonitored.</t>
  </si>
  <si>
    <t>Unauthorized access by another user</t>
  </si>
  <si>
    <t>Enforce auto logout after inactivity, show session expiry countdown, and log forced terminations.</t>
  </si>
  <si>
    <t>Task management</t>
  </si>
  <si>
    <t>Non-intuitive interface design for new users</t>
  </si>
  <si>
    <t>Users cannot locate critical features.</t>
  </si>
  <si>
    <t>Inability to perform diagnostic tasks</t>
  </si>
  <si>
    <t>Conduct usability tests with new users, adjust UI hierarchy based on feedback, and enhance tooltips for navigation.</t>
  </si>
  <si>
    <t>Access to recording tool</t>
  </si>
  <si>
    <t>User inability to access their profile in vr-cardio explore</t>
  </si>
  <si>
    <t>System won't load or recognize login session.</t>
  </si>
  <si>
    <t>No diagnostic access</t>
  </si>
  <si>
    <t>Improve session state handling, add retry logic for failed profile loads, and guide users through recovery path.</t>
  </si>
  <si>
    <t>Register a patient in the recording tool</t>
  </si>
  <si>
    <t>User inability to register a patient</t>
  </si>
  <si>
    <t>Data input or validation error prevents new patient entry.</t>
  </si>
  <si>
    <t>No session can be initiated</t>
  </si>
  <si>
    <t>Add input validation feedback, pre-fill standard fields where possible, and include fallback manual entry option.</t>
  </si>
  <si>
    <t>Data collection</t>
  </si>
  <si>
    <t>User inability to record a data collection session</t>
  </si>
  <si>
    <t>System fails to detect signal or save input.</t>
  </si>
  <si>
    <t>Lost clinical data</t>
  </si>
  <si>
    <t>Include signal quality indicators and automated recording status alerts.</t>
  </si>
  <si>
    <t>Data processing</t>
  </si>
  <si>
    <t>Inability of the user to process the data collected</t>
  </si>
  <si>
    <t>Data files are corrupted or unsupported.</t>
  </si>
  <si>
    <t>No diagnostic output available</t>
  </si>
  <si>
    <t>Define compatible data types. Include automated file validation before processing.</t>
  </si>
  <si>
    <t xml:space="preserve">User Handling </t>
  </si>
  <si>
    <t>Device usage</t>
  </si>
  <si>
    <t>Untrained user operation</t>
  </si>
  <si>
    <t>Device used by individuals without prior training</t>
  </si>
  <si>
    <t>Misuse of features, incorrect interpretation</t>
  </si>
  <si>
    <t>Provide mandatory training prior to use. Restrict access until training is confirmed. Include verification in onboarding.</t>
  </si>
  <si>
    <t>IFU not consulted</t>
  </si>
  <si>
    <t>User skips or misinterprets instructions</t>
  </si>
  <si>
    <t>Improper use, inability to access features</t>
  </si>
  <si>
    <t>Make reading the IFU part of the software setup.</t>
  </si>
  <si>
    <t>Use of incorrect external device size</t>
  </si>
  <si>
    <t>Patient is connected to mismatched data acquisition system</t>
  </si>
  <si>
    <t>Poor data capture, missed arrhythmia</t>
  </si>
  <si>
    <t xml:space="preserve">List compatible device sizes in IFU. </t>
  </si>
  <si>
    <t>Credential sharing</t>
  </si>
  <si>
    <t>Credentials are shared across users or clinics</t>
  </si>
  <si>
    <t>Breach of sensitive patient data</t>
  </si>
  <si>
    <t>Enforce single-login-per-session. Alert on multiple logins.</t>
  </si>
  <si>
    <t>Incorrect patient registration or signal acquisition</t>
  </si>
  <si>
    <t>User enters wrong ID or poorly attaches electrodes</t>
  </si>
  <si>
    <t>Inaccurate analysis, wrong patient file</t>
  </si>
  <si>
    <t>Implement data verification prompts. Require patient ID confirmation before saving.</t>
  </si>
  <si>
    <t>Internet disconnection</t>
  </si>
  <si>
    <t>Session disconnects mid-transmission</t>
  </si>
  <si>
    <t>Data loss, session failure</t>
  </si>
  <si>
    <t>Include autosave for session data. Warn users of connection loss. Add ability to resume interrupted sessions.</t>
  </si>
  <si>
    <t>Algorithm misinterpreted as final diagnosis</t>
  </si>
  <si>
    <t>Users treat algorithm output as definitive</t>
  </si>
  <si>
    <t>Missed or inappropriate clinical response</t>
  </si>
  <si>
    <t>Display disclaimer prominently: "For diagnostic support only." Include “review required” flags.</t>
  </si>
  <si>
    <t>Heart maps interpreted in isolation</t>
  </si>
  <si>
    <t>Clinicians rely solely on VR data</t>
  </si>
  <si>
    <t>Misdiagnosis without clinical context</t>
  </si>
  <si>
    <t>Add prompts requiring secondary confirmation before report export. Include contextual disclaimers.</t>
  </si>
  <si>
    <t>Filter misplacement</t>
  </si>
  <si>
    <t>Incorrect filter applied to wrong data segment</t>
  </si>
  <si>
    <t>Distorted results</t>
  </si>
  <si>
    <t>Match filter ID with source data tags. Validate filters before display.</t>
  </si>
  <si>
    <t>Poor data acquisition</t>
  </si>
  <si>
    <t>Signal quality too low to render panels accurately</t>
  </si>
  <si>
    <t>Misleading or false visualization</t>
  </si>
  <si>
    <t>Require reacquisition if signal falls below threshold.</t>
  </si>
  <si>
    <t>VR-CARDIO Explore (Ref. VR-CARDIO-01) Specific Risks</t>
  </si>
  <si>
    <t>Incompatibility with certain browsers</t>
  </si>
  <si>
    <t>User opens system in an unsupported browser, causing critical functionality to fail or behave unpredictably.</t>
  </si>
  <si>
    <t>Loss of critical data, compromised system integrity</t>
  </si>
  <si>
    <t>Perform browser compatibility testing across supported environments. 
Include clear browser usage instructions in the IFU.</t>
  </si>
  <si>
    <t>Data loss during deployment</t>
  </si>
  <si>
    <t>Deployment occurs without backup or rollback, leading to partial or complete data loss.</t>
  </si>
  <si>
    <t>Extended system downtime, user interruptions, loss of critical data, compromised system integrity</t>
  </si>
  <si>
    <t>Develop and document rollback and backup procedures. 
Schedule regular simulations of rollback drills.</t>
  </si>
  <si>
    <t>Service interruptions during deployment</t>
  </si>
  <si>
    <t>Users access the system during an incomplete update cycle.</t>
  </si>
  <si>
    <t>Prolonged system instability, data corruption</t>
  </si>
  <si>
    <t>Establish controlled deployment windows. 
Notify users prior to system maintenance. 
Implement automatic user session lockout during updates and monitor rollback logs for failures.</t>
  </si>
  <si>
    <t>Insufficient cross-browser compatibility</t>
  </si>
  <si>
    <t>Users on certain browsers encounter partial UI or broken components.</t>
  </si>
  <si>
    <t>Downtime, data loss</t>
  </si>
  <si>
    <t>Develop a comprehensive disaster recovery plan, including backup strategies, data recovery procedures, and system restore plans.</t>
  </si>
  <si>
    <t>SOUP: Interacts with OS (os)</t>
  </si>
  <si>
    <t>OS command errors</t>
  </si>
  <si>
    <t>System executes unintended or malformed operating system commands.</t>
  </si>
  <si>
    <t>Security vulnerabilities, unauthorized system access</t>
  </si>
  <si>
    <t>Sanitize input, block direct shell commands where avoidable, and log command execution paths.</t>
  </si>
  <si>
    <t>SOUP: Handles dates and times (datetime)</t>
  </si>
  <si>
    <t>Date/time handling errors</t>
  </si>
  <si>
    <t>Timestamps are incorrectly recorded or compared across modules.</t>
  </si>
  <si>
    <t>Incorrect data correlation, flawed diagnostic timelines</t>
  </si>
  <si>
    <t>Perform unit tests; validate date and time inputs and outputs</t>
  </si>
  <si>
    <t>SOUP: Manages JSON data (json)</t>
  </si>
  <si>
    <t>Incorrect JSON data handling</t>
  </si>
  <si>
    <t>Data is parsed incorrectly, omitted, or misinterpreted.</t>
  </si>
  <si>
    <t>Corrupted records, data loss, software crashes</t>
  </si>
  <si>
    <t>Validate JSON schemas on both ends. Log and notify for malformed structures.</t>
  </si>
  <si>
    <t>SOUP: Accesses interpreter (sys)</t>
  </si>
  <si>
    <t>Interpreter argument errors</t>
  </si>
  <si>
    <t>Improper arguments sent to script interpreters or compilers.</t>
  </si>
  <si>
    <t>Program crash, unhandled exceptions, loss of functionality</t>
  </si>
  <si>
    <t>Validate arguments and environment variables. Use defensive programming practices.</t>
  </si>
  <si>
    <t>SOUP: Provides platform info (platform)</t>
  </si>
  <si>
    <t>Platform information errors</t>
  </si>
  <si>
    <t>System misidentifies or misreports platform parameters (e.g., OS version, GPU).</t>
  </si>
  <si>
    <t>Compatibility failures, unstable execution</t>
  </si>
  <si>
    <t>Validate platform information; Perform tests across different environments</t>
  </si>
  <si>
    <t>SOUP: Executes system commands (subprocess)</t>
  </si>
  <si>
    <t>Command execution errors</t>
  </si>
  <si>
    <t>Execution of commands fails silently or causes unintended side effects.</t>
  </si>
  <si>
    <t>Software instability, data corruption</t>
  </si>
  <si>
    <t>Implement logging for all commands. Validate success/failure and implement rollback if needed.</t>
  </si>
  <si>
    <t>SOUP: Provides time functions (time)</t>
  </si>
  <si>
    <t>Time-related errors</t>
  </si>
  <si>
    <t>Latency or timing mismatches disrupt processes requiring synchronization.</t>
  </si>
  <si>
    <t>Signal distortion, diagnosis inconsistency</t>
  </si>
  <si>
    <t>Validate time usage. Monitor latency and flag excessive delays.</t>
  </si>
  <si>
    <t>SOUP: Math/stat calculations (numpy)</t>
  </si>
  <si>
    <t>Calculation errors</t>
  </si>
  <si>
    <t>Software produces mathematically incorrect outputs.</t>
  </si>
  <si>
    <t>Inaccurate diagnosis, unreliable analytics</t>
  </si>
  <si>
    <t>Unit test all formula paths. Validate against known test data and clinical tolerances.</t>
  </si>
  <si>
    <t>SOUP: Data analysis (pandas)</t>
  </si>
  <si>
    <t>Data manipulation errors</t>
  </si>
  <si>
    <t>Programmatic operations alter data in unintended ways.</t>
  </si>
  <si>
    <t>Diagnostic misinterpretation, data corruption</t>
  </si>
  <si>
    <t>Apply strict input validation. Version control transformation scripts and run integrity checks.</t>
  </si>
  <si>
    <t>SOUP: Sends HTTP requests (request)</t>
  </si>
  <si>
    <t>HTTP request errors</t>
  </si>
  <si>
    <t>Network communications between system components fail.</t>
  </si>
  <si>
    <t>Data loss, broken features, unresponsive system</t>
  </si>
  <si>
    <t>Retry on failure with backoff logic. Log failures and prompt users to retry or check network.</t>
  </si>
  <si>
    <t>SOUP: Works with 3D meshes (trimesh)</t>
  </si>
  <si>
    <t>3D mesh handling errors</t>
  </si>
  <si>
    <t>VR heart/tissue models fail to render or deform inaccurately.</t>
  </si>
  <si>
    <t>Diagnostic support unavailable or misleading</t>
  </si>
  <si>
    <t>Run integrity check on 3D files. Alert users of corrupt meshes and log failure types.</t>
  </si>
  <si>
    <t>SOUP: Web framework (flask)</t>
  </si>
  <si>
    <t>Web application errors</t>
  </si>
  <si>
    <t>Web-based modules freeze, crash, or behave unpredictably.</t>
  </si>
  <si>
    <t>Data breaches, patient care disruption</t>
  </si>
  <si>
    <t>Conduct regression tests across supported browsers. Monitor front-end crashes and maintain SLA targets.</t>
  </si>
  <si>
    <t>VR-CARDIO VHET360 (Ref. VR-CARDIO-02) Specific Risks</t>
  </si>
  <si>
    <t>Software update failures</t>
  </si>
  <si>
    <t>Update leaves system in non-functional state.</t>
  </si>
  <si>
    <t>Equipment malfunction</t>
  </si>
  <si>
    <t>Define rollback strategy, use staged deployments, and verify updates in test environments before release.</t>
  </si>
  <si>
    <t>Open visualization tool</t>
  </si>
  <si>
    <t>User inability to open vrcardio-vhet360</t>
  </si>
  <si>
    <t>System fails to start VR environment.</t>
  </si>
  <si>
    <t>Diagnostic feature unavailable</t>
  </si>
  <si>
    <t>Implement startup diagnostic checks for VR modules.</t>
  </si>
  <si>
    <t>Enter in the visualization tool</t>
  </si>
  <si>
    <t>User inability to log in to vrcardio-vhet360</t>
  </si>
  <si>
    <t>Add login diagnostics to detect service errors. Improve guidance on login prerequisites and fallback recovery steps.</t>
  </si>
  <si>
    <t>Observe case in the visualisation tool</t>
  </si>
  <si>
    <t>User inability to upload data from a recorded session to vrcardio-vhet360</t>
  </si>
  <si>
    <t>System doesn't recognize source file or session.</t>
  </si>
  <si>
    <t>Lost patient case, no analysis possible</t>
  </si>
  <si>
    <t>Implement file validation pre-upload.</t>
  </si>
  <si>
    <t>Capturing patient data</t>
  </si>
  <si>
    <t>The image does not accurately represent the injured heart area.</t>
  </si>
  <si>
    <t>Visualization fails to map accurate lesion area.</t>
  </si>
  <si>
    <t>Incorrect or delayed diagnosis</t>
  </si>
  <si>
    <t>Validate imaging algorithms during verification.</t>
  </si>
  <si>
    <t>Tergiversation of results</t>
  </si>
  <si>
    <t>Results are edited or presented in misleading ways.</t>
  </si>
  <si>
    <t>Misdiagnosis</t>
  </si>
  <si>
    <t>Implement audit trails for result generation and export. Protect diagnostic data integrity through tamper-evident logs.</t>
  </si>
  <si>
    <t>Insufficient visibility</t>
  </si>
  <si>
    <t>Screen resolution or signal strength impairs view.</t>
  </si>
  <si>
    <t>Diagnostic delay or misinterpretation</t>
  </si>
  <si>
    <t>Provide hardware display minimum specs in IFU. Allow user control over brightness and contrast within the application.</t>
  </si>
  <si>
    <t>Incorrect potential mapping</t>
  </si>
  <si>
    <t>Error in signal processing.</t>
  </si>
  <si>
    <t>Wrong diagnosis of arrhythmia origin</t>
  </si>
  <si>
    <t xml:space="preserve">Improve signal acquisition logic and validate mapping accuracy. </t>
  </si>
  <si>
    <t>Poor image resolution</t>
  </si>
  <si>
    <t>Rendered images are too pixelated.</t>
  </si>
  <si>
    <t>Diagnosis not possible</t>
  </si>
  <si>
    <t>Apply resolution thresholds in rendering engine. Display alerts if device resolution is below minimum requirement.</t>
  </si>
  <si>
    <t>Incorrect image orientation</t>
  </si>
  <si>
    <t>VR heart appears rotated or mirrored.</t>
  </si>
  <si>
    <t>Misleading spatial interpretation</t>
  </si>
  <si>
    <t>Implement an orientation check on launch and allow manual correction.</t>
  </si>
  <si>
    <t>Poor quality in obtained signals</t>
  </si>
  <si>
    <t>Signal is distorted beyond interpretation.</t>
  </si>
  <si>
    <t>Cannot detect arrhythmia</t>
  </si>
  <si>
    <t>Apply real-time signal quality validation. Provide acquisition troubleshooting guidance.</t>
  </si>
  <si>
    <t>Excessive noise in obtained signals</t>
  </si>
  <si>
    <t>Introduce filtering presets and quality thresholds. Log signal quality at time of recording.</t>
  </si>
  <si>
    <t>Lack of biological signal in obtained signals</t>
  </si>
  <si>
    <t>Heart signal capture fails completely.</t>
  </si>
  <si>
    <t>No diagnostic basis</t>
  </si>
  <si>
    <t>Display immediate alerts on acquisition failure. Guide user through connection or setup troubleshooting.</t>
  </si>
  <si>
    <t>Failure in heart generation</t>
  </si>
  <si>
    <t>Rendering mismatch in anatomical model.</t>
  </si>
  <si>
    <t>Diagnostic support invalid</t>
  </si>
  <si>
    <t>Implement data validation before rendering. Include error feedback if model generation fails.</t>
  </si>
  <si>
    <t>Failure in torso generation</t>
  </si>
  <si>
    <t>Add validation checks for torso mapping. Provide training materials for interpreting projection accuracy.</t>
  </si>
  <si>
    <t>Failure in detecting electrode position on torso</t>
  </si>
  <si>
    <t>Electrode markers not identified in VR.</t>
  </si>
  <si>
    <t>Misleading map or diagnosis</t>
  </si>
  <si>
    <t>Validate detection logic with known configurations. Show electrode position overlay with real-time feedback.</t>
  </si>
  <si>
    <t>Measurement capture errors</t>
  </si>
  <si>
    <t>Torso geometry or electrode position is wrong.</t>
  </si>
  <si>
    <t>Diagnostic inaccuracy</t>
  </si>
  <si>
    <t>Implement geometry validation tools. Perform step-by-step acquisition training for users.</t>
  </si>
  <si>
    <t>Insufficient GPU processing</t>
  </si>
  <si>
    <t>Computer lacks resources to run VR smoothly</t>
  </si>
  <si>
    <t>Lag, missing frames, visual errors</t>
  </si>
  <si>
    <t>Validate hardware at installation. Include GPU requirements clearly in IFU.</t>
  </si>
  <si>
    <t>Cloud case download failure</t>
  </si>
  <si>
    <t>Poor internet prevents access to patient cases</t>
  </si>
  <si>
    <t>Delayed diagnosis or loss of access</t>
  </si>
  <si>
    <t>Buffer cases locally when possible. Notify users and retry downloads. Recommend minimum internet specs.</t>
  </si>
  <si>
    <t>Misleading ECG signal in real-time</t>
  </si>
  <si>
    <t>User interprets raw signal prematurely</t>
  </si>
  <si>
    <t>Premature or incorrect diagnosis</t>
  </si>
  <si>
    <t>Block reporting until full signal is processed.</t>
  </si>
  <si>
    <t>Unvalidated system modifications</t>
  </si>
  <si>
    <t>Software is modified without reassessment</t>
  </si>
  <si>
    <t>Uncontrolled performance deviations</t>
  </si>
  <si>
    <t>Lock system update and modification controls. Require validation test logs after any system changes.</t>
  </si>
  <si>
    <t>Display distortion due to screen size</t>
  </si>
  <si>
    <t>Image shown with altered proportions</t>
  </si>
  <si>
    <t>Misinterpretation of heart anatomy</t>
  </si>
  <si>
    <t>Include scale indicators in VR/2D view. State resolution distortion risks in IFU.</t>
  </si>
  <si>
    <t>Lack of VR hardware</t>
  </si>
  <si>
    <t>System accessed without required VR glasses or compatible PC</t>
  </si>
  <si>
    <t>Diagnostic mode unavailable</t>
  </si>
  <si>
    <t>Validate VR hardware at launch. Block access to VR mode without compatible setup.</t>
  </si>
  <si>
    <t>Virtual room privacy risk</t>
  </si>
  <si>
    <t>Room codes shared irresponsibly</t>
  </si>
  <si>
    <t>Data seen by unauthorized third parties</t>
  </si>
  <si>
    <t>Require confirmation before sharing room code. Include session participant logs. Warn about sharing risks in UI.</t>
  </si>
  <si>
    <t>Real-time pointer delay</t>
  </si>
  <si>
    <t>Assistants see inaccurate pointer positions</t>
  </si>
  <si>
    <t>Miscommunication during collaborative diagnosis</t>
  </si>
  <si>
    <t>Warn users when latency exceeds thresholds.</t>
  </si>
  <si>
    <t>Execute code</t>
  </si>
  <si>
    <t>Operating system (Windows 10)</t>
  </si>
  <si>
    <t>Compatibility errors</t>
  </si>
  <si>
    <t>Components are incompatible (e.g., drivers, formats, devices).</t>
  </si>
  <si>
    <t>System failures, inability to visualize or interact with data</t>
  </si>
  <si>
    <t>Publish minimum hardware specs, validate system compatibility on startup, and offer graceful fallback modes.</t>
  </si>
  <si>
    <t>Operating system (Windows 11)</t>
  </si>
  <si>
    <t>Residual risk assessment</t>
  </si>
  <si>
    <t>Residual risk control</t>
  </si>
  <si>
    <t>Failure process</t>
  </si>
  <si>
    <t>Potential risk</t>
  </si>
  <si>
    <t>Cause of the risk</t>
  </si>
  <si>
    <t>Detectability</t>
  </si>
  <si>
    <t>RPN = P x S x D</t>
  </si>
  <si>
    <t>Monitoring</t>
  </si>
  <si>
    <t>Measures to take</t>
  </si>
  <si>
    <t>Record</t>
  </si>
  <si>
    <t>Additional control measures (if applicable)</t>
  </si>
  <si>
    <t>Residual risk</t>
  </si>
  <si>
    <t>RPN</t>
  </si>
  <si>
    <t>If accepted, information about the patient/user</t>
  </si>
  <si>
    <t>if not acceptable, risk-benefit assessment</t>
  </si>
  <si>
    <t>Handles dates and times (datetime)</t>
  </si>
  <si>
    <t>Incorrect date/time formats or calculations</t>
  </si>
  <si>
    <t>Incorrect or invalid data handling</t>
  </si>
  <si>
    <t>Unit testing of date/time functions</t>
  </si>
  <si>
    <t>Implement unit tests; validate date and time inputs and outputs</t>
  </si>
  <si>
    <t>Test reports</t>
  </si>
  <si>
    <t>N/A</t>
  </si>
  <si>
    <t>Manages JSON data (json)</t>
  </si>
  <si>
    <t>Malformed JSON data or content</t>
  </si>
  <si>
    <t>Data corruption, application crashes</t>
  </si>
  <si>
    <t>JSON structure validation during development</t>
  </si>
  <si>
    <t>Validate JSON data structure and content; handle exceptions</t>
  </si>
  <si>
    <t>Test and exception handling logs</t>
  </si>
  <si>
    <t>Interacts with OS (os)</t>
  </si>
  <si>
    <t>Incorrect command execution or paths</t>
  </si>
  <si>
    <t>System failure, unauthorized access</t>
  </si>
  <si>
    <t>Validation of OS commands and paths during development</t>
  </si>
  <si>
    <t>Ensure proper permissions and path validation; handle exceptions</t>
  </si>
  <si>
    <t>Permission validation logs</t>
  </si>
  <si>
    <t>Accesses interpreter (sys)</t>
  </si>
  <si>
    <t>Incorrect arguments or environment variables</t>
  </si>
  <si>
    <t>Program crashes or unexpected behavior</t>
  </si>
  <si>
    <t>Argument validation during development</t>
  </si>
  <si>
    <t>Validate arguments and environment variables; handle exceptions</t>
  </si>
  <si>
    <t>Environment and argument validation logs</t>
  </si>
  <si>
    <t>Provides platform info (platform)</t>
  </si>
  <si>
    <t>Incorrect or inconsistent platform data</t>
  </si>
  <si>
    <t>Misconfiguration, lack of compatibility</t>
  </si>
  <si>
    <t>Platform info validation across environments</t>
  </si>
  <si>
    <t>Validate platform information; test across different environments</t>
  </si>
  <si>
    <t>Platform validation and test reports</t>
  </si>
  <si>
    <t>Executes system commands (subprocess)</t>
  </si>
  <si>
    <t>Invalid or unsafe commands, execution errors</t>
  </si>
  <si>
    <t>System failures, security vulnerabilities</t>
  </si>
  <si>
    <t>Command validation and testing during development</t>
  </si>
  <si>
    <t>Validate commands and handle execution errors; avoid unsafe commands</t>
  </si>
  <si>
    <t>Execution logs and security checks</t>
  </si>
  <si>
    <t>Provides time functions (time)</t>
  </si>
  <si>
    <t>Incorrect time calculations or conversions</t>
  </si>
  <si>
    <t>Incorrect timing, data corruption</t>
  </si>
  <si>
    <t>Time function validation during development</t>
  </si>
  <si>
    <t>Validate time usage and handle exceptions</t>
  </si>
  <si>
    <t>Time function validation reports</t>
  </si>
  <si>
    <t>Math/stat calculations (numpy)</t>
  </si>
  <si>
    <t>Incorrect calculations or dependencies</t>
  </si>
  <si>
    <t>Incorrect data analysis, misleading results</t>
  </si>
  <si>
    <t>Extensive unit testing and dependency review</t>
  </si>
  <si>
    <t>Conduct extensive unit testing; validate results; review dependencies</t>
  </si>
  <si>
    <t>Unit test and dependency review reports</t>
  </si>
  <si>
    <t>Data analysis (pandas)</t>
  </si>
  <si>
    <t>Incorrect data handling or dependencies</t>
  </si>
  <si>
    <t>Data corruption, incorrect analysis</t>
  </si>
  <si>
    <t>Data validation and unit testing during development</t>
  </si>
  <si>
    <t>Validate data and conduct unit tests; review dependencies</t>
  </si>
  <si>
    <t>Data validation and unit test reports</t>
  </si>
  <si>
    <t>Sends HTTP requests (request)</t>
  </si>
  <si>
    <t>Incorrect responses or handling of HTTP errors</t>
  </si>
  <si>
    <t>Communication failures, data loss</t>
  </si>
  <si>
    <t>HTTP response validation and error handling during development</t>
  </si>
  <si>
    <t>Validate HTTP responses; handle errors and exceptions</t>
  </si>
  <si>
    <t>HTTP response logs and error handling reports</t>
  </si>
  <si>
    <t>Works with 3D meshes (trimesh)</t>
  </si>
  <si>
    <t>Incorrect 3D data input or processing</t>
  </si>
  <si>
    <t>Visualization errors, data loss</t>
  </si>
  <si>
    <t>3D data validation during development</t>
  </si>
  <si>
    <t>Validate 3D data input and output; conduct integrity tests</t>
  </si>
  <si>
    <t>3D data validation and integrity test reports</t>
  </si>
  <si>
    <t>Web framework (flask)</t>
  </si>
  <si>
    <t>Security vulnerabilities or functional issues</t>
  </si>
  <si>
    <t>Data breaches, application failure</t>
  </si>
  <si>
    <t>Security and functionality testing during development</t>
  </si>
  <si>
    <t>Ensure web application security; perform functionality and load tests</t>
  </si>
  <si>
    <t>Security and functionality test reports</t>
  </si>
  <si>
    <t>Operating system (Windos 10)</t>
  </si>
  <si>
    <t>Software not compatible with OS version</t>
  </si>
  <si>
    <t>Software failures, security vulnerabilities</t>
  </si>
  <si>
    <t>Compatibility testing during development and updates</t>
  </si>
  <si>
    <t>Ensure compatibility with software; keep security updates current</t>
  </si>
  <si>
    <t>Compatibility and update reports</t>
  </si>
  <si>
    <t>Operating system (Windos 11)</t>
  </si>
  <si>
    <t>Common terms</t>
  </si>
  <si>
    <t>Possible description</t>
  </si>
  <si>
    <t>Catastrophic / Fatal</t>
  </si>
  <si>
    <t>Results in death</t>
  </si>
  <si>
    <t>Critical</t>
  </si>
  <si>
    <t>Results in permanent impairment or irreversible injury</t>
  </si>
  <si>
    <t>Serious / Major</t>
  </si>
  <si>
    <t>Results in injury or impairment requiring medical or surgical intervention</t>
  </si>
  <si>
    <t>Minor</t>
  </si>
  <si>
    <t>Results in temporary injury or impairment not requiring medical or surgical intervention</t>
  </si>
  <si>
    <t>Negligible</t>
  </si>
  <si>
    <t xml:space="preserve">Results in inconvenience or temporary discomfort </t>
  </si>
  <si>
    <t>risk</t>
  </si>
  <si>
    <t>Implementation</t>
  </si>
  <si>
    <t>Need action?</t>
  </si>
  <si>
    <t>Low</t>
  </si>
  <si>
    <t>n/a</t>
  </si>
  <si>
    <t>Forks</t>
  </si>
  <si>
    <t>Medium</t>
  </si>
  <si>
    <t>waiting</t>
  </si>
  <si>
    <t>High</t>
  </si>
  <si>
    <t>Ongoing</t>
  </si>
  <si>
    <t>Concluded</t>
  </si>
  <si>
    <t>Function</t>
  </si>
  <si>
    <t>Responsibilities</t>
  </si>
  <si>
    <t>Represented by</t>
  </si>
  <si>
    <t xml:space="preserve">Executive Director </t>
  </si>
  <si>
    <t xml:space="preserve">Assess potential risks from the perspective of usage and customer complaints, such as feedback. </t>
  </si>
  <si>
    <t xml:space="preserve">Quality guarantee </t>
  </si>
  <si>
    <t>Evaluate possible risks from the point of view of the clinical area and compliance with the requirements defined in the regulations and laws in force for the product.</t>
  </si>
  <si>
    <t>Iván Pérez</t>
  </si>
  <si>
    <t xml:space="preserve">IT &amp; Robotics </t>
  </si>
  <si>
    <t xml:space="preserve">Assess potential risks from a hardware implementation perspective. 
Evaluate potential risks from a software implementation perspective. 
Assess possible risks from a production point of view and “control procedures for non-conforming products” and implementation of the “corrective and preventive action control strategy” in the production process. </t>
  </si>
  <si>
    <t>José Martín</t>
  </si>
  <si>
    <t xml:space="preserve">Investigation and development </t>
  </si>
  <si>
    <t xml:space="preserve">Assess potential risks from a software implementation perspective. 
Assist in the creation, review and approval of risk management activities. </t>
  </si>
  <si>
    <t>Vicente Gallego</t>
  </si>
  <si>
    <t xml:space="preserve">Sales </t>
  </si>
  <si>
    <t xml:space="preserve">Responsible for providing information, as needed, regarding marketing, usage, customer feedback, and new risks. </t>
  </si>
  <si>
    <t>Raúl Cordón</t>
  </si>
  <si>
    <t xml:space="preserve">Healthcare professionals </t>
  </si>
  <si>
    <t xml:space="preserve">Assess potential risks from the perspective of the clinical environment and clinical practices and provide this information to the manufacturer. </t>
  </si>
  <si>
    <t>José Ángel Cabrera</t>
  </si>
  <si>
    <t>PRRC</t>
  </si>
  <si>
    <t>Coordinate the Team for the Identification and Assessment of Potential Hazards.</t>
  </si>
  <si>
    <t>Celeste Oliveira</t>
  </si>
  <si>
    <t>Risk Index (RI)</t>
  </si>
  <si>
    <t>Severity of the harm</t>
  </si>
  <si>
    <t>Description</t>
  </si>
  <si>
    <t>Score</t>
  </si>
  <si>
    <t>Risk assessment - Level of risk</t>
  </si>
  <si>
    <t>Results in inconvenience or temporary discomfort</t>
  </si>
  <si>
    <r>
      <rPr>
        <sz val="11"/>
        <color theme="1"/>
        <rFont val="Arial Narrow"/>
      </rPr>
      <t xml:space="preserve">Value </t>
    </r>
    <r>
      <rPr>
        <sz val="10"/>
        <color theme="1"/>
        <rFont val="Arial Narrow"/>
      </rPr>
      <t>(Severity x Occurence)</t>
    </r>
  </si>
  <si>
    <t>Acceptance</t>
  </si>
  <si>
    <t>Probability of the harm</t>
  </si>
  <si>
    <t>Improbable</t>
  </si>
  <si>
    <t>&lt;10−6</t>
  </si>
  <si>
    <t>Remote</t>
  </si>
  <si>
    <t>&lt;10−5 and ≥10−6</t>
  </si>
  <si>
    <t>Occasional</t>
  </si>
  <si>
    <t>&lt;10−4 and ≥10−5</t>
  </si>
  <si>
    <t>Probable</t>
  </si>
  <si>
    <t>&lt;10−3 and ≥10−4</t>
  </si>
  <si>
    <t>Frequent</t>
  </si>
  <si>
    <t>≥10−3</t>
  </si>
  <si>
    <t>Unnacceptable</t>
  </si>
  <si>
    <t>Residual Risk  (RR)</t>
  </si>
  <si>
    <t>Occurrence probability</t>
  </si>
  <si>
    <t>Acceptable Residual Risk Scores</t>
  </si>
  <si>
    <t>Acceptance conditions</t>
  </si>
  <si>
    <t>RR ≤ 5</t>
  </si>
  <si>
    <t>6 ≤ RR &lt; 15</t>
  </si>
  <si>
    <t>Alert in IFU</t>
  </si>
  <si>
    <t>RR ≥ 15</t>
  </si>
  <si>
    <t>Benefit &gt; Risk
Alert in IFU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</si>
</sst>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scheme val="minor"/>
    </font>
    <font>
      <sz val="11"/>
      <color theme="1"/>
      <name val="Calibri"/>
      <family val="2"/>
      <scheme val="minor"/>
    </font>
    <font>
      <sz val="11"/>
      <name val="Calibri"/>
      <family val="2"/>
    </font>
    <font>
      <b/>
      <sz val="10"/>
      <color theme="1"/>
      <name val="Arial Narrow"/>
      <family val="2"/>
    </font>
    <font>
      <b/>
      <sz val="12"/>
      <color theme="1"/>
      <name val="Calibri"/>
      <family val="2"/>
    </font>
    <font>
      <sz val="11"/>
      <color theme="1"/>
      <name val="Calibri"/>
      <family val="2"/>
    </font>
    <font>
      <sz val="10"/>
      <color theme="1"/>
      <name val="Arial Narrow"/>
      <family val="2"/>
    </font>
    <font>
      <b/>
      <sz val="10"/>
      <name val="Arial Narrow"/>
      <family val="2"/>
    </font>
    <font>
      <b/>
      <sz val="11"/>
      <name val="Arial Narrow"/>
      <family val="2"/>
    </font>
    <font>
      <b/>
      <sz val="11"/>
      <color rgb="FFFFFFFF"/>
      <name val="Arial Narrow"/>
      <family val="2"/>
    </font>
    <font>
      <b/>
      <sz val="11"/>
      <color theme="1"/>
      <name val="Arial Narrow"/>
      <family val="2"/>
    </font>
    <font>
      <sz val="9"/>
      <color theme="1"/>
      <name val="Arial Narrow"/>
      <family val="2"/>
    </font>
    <font>
      <sz val="9"/>
      <color theme="1"/>
      <name val="Calibri"/>
      <family val="2"/>
      <scheme val="minor"/>
    </font>
    <font>
      <b/>
      <sz val="9"/>
      <color rgb="FFFFFFFF"/>
      <name val="Arial Narrow"/>
      <family val="2"/>
    </font>
    <font>
      <b/>
      <i/>
      <sz val="10"/>
      <color theme="1"/>
      <name val="Calibri"/>
      <family val="2"/>
      <scheme val="minor"/>
    </font>
    <font>
      <b/>
      <i/>
      <sz val="10"/>
      <color rgb="FF000000"/>
      <name val="Calibri"/>
      <family val="2"/>
      <scheme val="minor"/>
    </font>
    <font>
      <b/>
      <sz val="12"/>
      <color theme="1"/>
      <name val="Arial Narrow"/>
      <family val="2"/>
    </font>
    <font>
      <sz val="11"/>
      <color theme="1"/>
      <name val="Arial Narrow"/>
      <family val="2"/>
    </font>
    <font>
      <b/>
      <sz val="11"/>
      <color theme="1"/>
      <name val="Calibri"/>
      <family val="2"/>
    </font>
    <font>
      <b/>
      <i/>
      <sz val="10"/>
      <color theme="1"/>
      <name val="Trebuchet MS"/>
      <family val="2"/>
    </font>
    <font>
      <b/>
      <i/>
      <sz val="10"/>
      <name val="Trebuchet MS"/>
      <family val="2"/>
    </font>
    <font>
      <i/>
      <sz val="10"/>
      <color theme="1"/>
      <name val="Trebuchet MS"/>
      <family val="2"/>
    </font>
    <font>
      <i/>
      <sz val="10"/>
      <name val="Trebuchet MS"/>
      <family val="2"/>
    </font>
    <font>
      <i/>
      <sz val="10"/>
      <color rgb="FF000000"/>
      <name val="Trebuchet MS"/>
      <family val="2"/>
    </font>
    <font>
      <sz val="9"/>
      <color theme="1"/>
      <name val="Calibri"/>
      <family val="2"/>
    </font>
    <font>
      <sz val="11"/>
      <color rgb="FF000000"/>
      <name val="Calibri"/>
      <family val="2"/>
    </font>
    <font>
      <sz val="11"/>
      <color theme="1"/>
      <name val="Aptos"/>
      <family val="2"/>
    </font>
    <font>
      <b/>
      <sz val="10"/>
      <color theme="1"/>
      <name val="Arial Narrow"/>
    </font>
    <font>
      <sz val="11"/>
      <color theme="1"/>
      <name val="Calibri"/>
      <scheme val="minor"/>
    </font>
    <font>
      <sz val="10"/>
      <color theme="1"/>
      <name val="Arial Narrow"/>
    </font>
    <font>
      <sz val="11"/>
      <color theme="1"/>
      <name val="Arial Narrow"/>
    </font>
    <font>
      <sz val="11"/>
      <name val="Calibri"/>
    </font>
    <font>
      <b/>
      <sz val="11"/>
      <color theme="1"/>
      <name val="Arial Narrow"/>
    </font>
    <font>
      <b/>
      <u/>
      <sz val="10"/>
      <color theme="1"/>
      <name val="Arial Narrow"/>
    </font>
    <font>
      <sz val="11"/>
      <color rgb="FFFFFFFF"/>
      <name val="Arial Narrow"/>
    </font>
    <font>
      <b/>
      <sz val="9"/>
      <color rgb="FF000000"/>
      <name val="Arial"/>
    </font>
    <font>
      <b/>
      <sz val="9"/>
      <color rgb="FF00B050"/>
      <name val="Arial"/>
    </font>
    <font>
      <sz val="9"/>
      <color rgb="FF00B050"/>
      <name val="Arial"/>
    </font>
    <font>
      <b/>
      <sz val="9"/>
      <color rgb="FFFFC000"/>
      <name val="Arial"/>
    </font>
    <font>
      <sz val="9"/>
      <color rgb="FFFFC000"/>
      <name val="Arial"/>
    </font>
    <font>
      <b/>
      <sz val="9"/>
      <color rgb="FFFF0000"/>
      <name val="Arial"/>
    </font>
    <font>
      <sz val="9"/>
      <color rgb="FFFF0000"/>
      <name val="Arial"/>
    </font>
    <font>
      <b/>
      <i/>
      <sz val="10"/>
      <color theme="0"/>
      <name val="Trebuchet MS"/>
      <family val="2"/>
    </font>
  </fonts>
  <fills count="30">
    <fill>
      <patternFill patternType="none"/>
    </fill>
    <fill>
      <patternFill patternType="gray125"/>
    </fill>
    <fill>
      <patternFill patternType="solid">
        <fgColor theme="0"/>
        <bgColor theme="0"/>
      </patternFill>
    </fill>
    <fill>
      <patternFill patternType="solid">
        <fgColor rgb="FF92D050"/>
        <bgColor rgb="FF92D050"/>
      </patternFill>
    </fill>
    <fill>
      <patternFill patternType="solid">
        <fgColor rgb="FFD6E3BC"/>
        <bgColor rgb="FFD6E3BC"/>
      </patternFill>
    </fill>
    <fill>
      <patternFill patternType="solid">
        <fgColor rgb="FFFFC000"/>
        <bgColor rgb="FFFFC000"/>
      </patternFill>
    </fill>
    <fill>
      <patternFill patternType="solid">
        <fgColor rgb="FFFF0000"/>
        <bgColor rgb="FFFF0000"/>
      </patternFill>
    </fill>
    <fill>
      <patternFill patternType="solid">
        <fgColor rgb="FFFFFF00"/>
        <bgColor rgb="FFFFFF00"/>
      </patternFill>
    </fill>
    <fill>
      <patternFill patternType="solid">
        <fgColor rgb="FFC00000"/>
        <bgColor rgb="FFC00000"/>
      </patternFill>
    </fill>
    <fill>
      <patternFill patternType="solid">
        <fgColor rgb="FFBFBFBF"/>
        <bgColor rgb="FFBFBFBF"/>
      </patternFill>
    </fill>
    <fill>
      <patternFill patternType="solid">
        <fgColor rgb="FFF2DBDB"/>
        <bgColor rgb="FFF2DBDB"/>
      </patternFill>
    </fill>
    <fill>
      <patternFill patternType="solid">
        <fgColor rgb="FFD99594"/>
        <bgColor rgb="FFD99594"/>
      </patternFill>
    </fill>
    <fill>
      <patternFill patternType="solid">
        <fgColor rgb="FFFDE9D9"/>
        <bgColor rgb="FFFDE9D9"/>
      </patternFill>
    </fill>
    <fill>
      <patternFill patternType="solid">
        <fgColor rgb="FFFFFFFF"/>
        <bgColor rgb="FFFFFFFF"/>
      </patternFill>
    </fill>
    <fill>
      <patternFill patternType="solid">
        <fgColor rgb="FFFFFF00"/>
        <bgColor indexed="64"/>
      </patternFill>
    </fill>
    <fill>
      <patternFill patternType="solid">
        <fgColor rgb="FFFFFF00"/>
        <bgColor rgb="FFFDE9D9"/>
      </patternFill>
    </fill>
    <fill>
      <patternFill patternType="solid">
        <fgColor theme="5" tint="0.79998168889431442"/>
        <bgColor rgb="FFF2DBDB"/>
      </patternFill>
    </fill>
    <fill>
      <patternFill patternType="solid">
        <fgColor rgb="FFFFFFFF"/>
        <bgColor indexed="64"/>
      </patternFill>
    </fill>
    <fill>
      <patternFill patternType="solid">
        <fgColor rgb="FF666666"/>
        <bgColor indexed="64"/>
      </patternFill>
    </fill>
    <fill>
      <patternFill patternType="solid">
        <fgColor rgb="FFFFFF00"/>
        <bgColor rgb="FFFFFFFF"/>
      </patternFill>
    </fill>
    <fill>
      <patternFill patternType="solid">
        <fgColor rgb="FF92D050"/>
        <bgColor indexed="64"/>
      </patternFill>
    </fill>
    <fill>
      <patternFill patternType="solid">
        <fgColor theme="0"/>
        <bgColor rgb="FFFFFFFF"/>
      </patternFill>
    </fill>
    <fill>
      <patternFill patternType="solid">
        <fgColor theme="0"/>
        <bgColor indexed="64"/>
      </patternFill>
    </fill>
    <fill>
      <patternFill patternType="solid">
        <fgColor rgb="FFE6E6E6"/>
        <bgColor indexed="64"/>
      </patternFill>
    </fill>
    <fill>
      <patternFill patternType="solid">
        <fgColor rgb="FF00B050"/>
        <bgColor rgb="FF00B050"/>
      </patternFill>
    </fill>
    <fill>
      <patternFill patternType="solid">
        <fgColor rgb="FFE5B8B7"/>
        <bgColor rgb="FFE5B8B7"/>
      </patternFill>
    </fill>
    <fill>
      <patternFill patternType="solid">
        <fgColor rgb="FFE5E2D3"/>
        <bgColor rgb="FFE5E2D3"/>
      </patternFill>
    </fill>
    <fill>
      <patternFill patternType="solid">
        <fgColor rgb="FFD9D9D9"/>
        <bgColor rgb="FFD9D9D9"/>
      </patternFill>
    </fill>
    <fill>
      <patternFill patternType="solid">
        <fgColor rgb="FFEFEFEF"/>
        <bgColor rgb="FFEFEFEF"/>
      </patternFill>
    </fill>
    <fill>
      <patternFill patternType="solid">
        <fgColor theme="5" tint="-0.249977111117893"/>
        <bgColor rgb="FFBFBFBF"/>
      </patternFill>
    </fill>
  </fills>
  <borders count="58">
    <border>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right/>
      <top style="thin">
        <color rgb="FFCCCCCC"/>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CCCCCC"/>
      </top>
      <bottom/>
      <diagonal/>
    </border>
    <border>
      <left/>
      <right style="medium">
        <color rgb="FF000000"/>
      </right>
      <top style="thin">
        <color rgb="FFCCCCCC"/>
      </top>
      <bottom/>
      <diagonal/>
    </border>
    <border>
      <left style="medium">
        <color rgb="FF000000"/>
      </left>
      <right style="thin">
        <color rgb="FFCCCCCC"/>
      </right>
      <top style="medium">
        <color rgb="FF000000"/>
      </top>
      <bottom style="thin">
        <color rgb="FFCCCCCC"/>
      </bottom>
      <diagonal/>
    </border>
    <border>
      <left style="medium">
        <color rgb="FF000000"/>
      </left>
      <right/>
      <top style="thin">
        <color rgb="FF000000"/>
      </top>
      <bottom/>
      <diagonal/>
    </border>
    <border>
      <left/>
      <right style="medium">
        <color rgb="FF000000"/>
      </right>
      <top style="thin">
        <color rgb="FF000000"/>
      </top>
      <bottom/>
      <diagonal/>
    </border>
    <border>
      <left style="thin">
        <color rgb="FFCCCCCC"/>
      </left>
      <right/>
      <top style="medium">
        <color rgb="FF000000"/>
      </top>
      <bottom style="thin">
        <color rgb="FFCCCCCC"/>
      </bottom>
      <diagonal/>
    </border>
    <border>
      <left/>
      <right/>
      <top style="medium">
        <color rgb="FF000000"/>
      </top>
      <bottom style="thin">
        <color rgb="FFCCCCCC"/>
      </bottom>
      <diagonal/>
    </border>
    <border>
      <left/>
      <right style="medium">
        <color rgb="FF000000"/>
      </right>
      <top style="medium">
        <color rgb="FF000000"/>
      </top>
      <bottom style="thin">
        <color rgb="FFCCCCCC"/>
      </bottom>
      <diagonal/>
    </border>
    <border>
      <left style="medium">
        <color rgb="FF000000"/>
      </left>
      <right/>
      <top style="thin">
        <color rgb="FFCCCCCC"/>
      </top>
      <bottom style="medium">
        <color rgb="FF000000"/>
      </bottom>
      <diagonal/>
    </border>
    <border>
      <left/>
      <right/>
      <top style="thin">
        <color rgb="FFCCCCCC"/>
      </top>
      <bottom style="medium">
        <color rgb="FF000000"/>
      </bottom>
      <diagonal/>
    </border>
    <border>
      <left/>
      <right style="medium">
        <color rgb="FF000000"/>
      </right>
      <top style="thin">
        <color rgb="FFCCCCCC"/>
      </top>
      <bottom style="medium">
        <color rgb="FF000000"/>
      </bottom>
      <diagonal/>
    </border>
    <border>
      <left style="medium">
        <color rgb="FFCCCCCC"/>
      </left>
      <right style="medium">
        <color rgb="FFCCCCCC"/>
      </right>
      <top style="medium">
        <color rgb="FFCCCCCC"/>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top style="thin">
        <color indexed="64"/>
      </top>
      <bottom style="thin">
        <color indexed="64"/>
      </bottom>
      <diagonal/>
    </border>
  </borders>
  <cellStyleXfs count="2">
    <xf numFmtId="0" fontId="0" fillId="0" borderId="0"/>
    <xf numFmtId="0" fontId="28" fillId="0" borderId="3"/>
  </cellStyleXfs>
  <cellXfs count="191">
    <xf numFmtId="0" fontId="0" fillId="0" borderId="0" xfId="0"/>
    <xf numFmtId="0" fontId="4" fillId="0" borderId="9" xfId="0" applyFont="1" applyBorder="1" applyAlignment="1">
      <alignment horizontal="center"/>
    </xf>
    <xf numFmtId="0" fontId="4" fillId="0" borderId="1" xfId="0" applyFont="1" applyBorder="1" applyAlignment="1">
      <alignment horizontal="center"/>
    </xf>
    <xf numFmtId="0" fontId="5" fillId="0" borderId="0" xfId="0" applyFont="1"/>
    <xf numFmtId="0" fontId="6" fillId="0" borderId="10" xfId="0" applyFont="1" applyBorder="1" applyAlignment="1">
      <alignment horizontal="center" vertical="center" wrapText="1"/>
    </xf>
    <xf numFmtId="0" fontId="11" fillId="17" borderId="15" xfId="0" applyFont="1" applyFill="1" applyBorder="1" applyAlignment="1">
      <alignment vertical="center" wrapText="1"/>
    </xf>
    <xf numFmtId="0" fontId="1" fillId="17" borderId="16" xfId="0" applyFont="1" applyFill="1" applyBorder="1" applyAlignment="1">
      <alignment wrapText="1"/>
    </xf>
    <xf numFmtId="0" fontId="0" fillId="0" borderId="3" xfId="0" applyBorder="1"/>
    <xf numFmtId="0" fontId="1" fillId="17" borderId="17" xfId="0" applyFont="1" applyFill="1" applyBorder="1" applyAlignment="1">
      <alignment wrapText="1"/>
    </xf>
    <xf numFmtId="0" fontId="12" fillId="0" borderId="0" xfId="0" applyFont="1"/>
    <xf numFmtId="0" fontId="13" fillId="18" borderId="14" xfId="0" applyFont="1" applyFill="1" applyBorder="1" applyAlignment="1">
      <alignment horizontal="center" vertical="center" wrapText="1"/>
    </xf>
    <xf numFmtId="0" fontId="0" fillId="0" borderId="10" xfId="0" applyBorder="1" applyAlignment="1">
      <alignment horizontal="center" vertical="center" wrapText="1"/>
    </xf>
    <xf numFmtId="0" fontId="3" fillId="5" borderId="11"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3" fillId="16" borderId="10"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3" fillId="11" borderId="10" xfId="0" applyFont="1" applyFill="1" applyBorder="1" applyAlignment="1">
      <alignment horizontal="center" vertical="center" wrapText="1"/>
    </xf>
    <xf numFmtId="0" fontId="3" fillId="15" borderId="10" xfId="0" applyFont="1" applyFill="1" applyBorder="1" applyAlignment="1">
      <alignment horizontal="center" vertical="center" wrapText="1"/>
    </xf>
    <xf numFmtId="0" fontId="7" fillId="10" borderId="10" xfId="0" applyFont="1" applyFill="1" applyBorder="1" applyAlignment="1">
      <alignment horizontal="center" vertical="center" wrapText="1"/>
    </xf>
    <xf numFmtId="0" fontId="7" fillId="11" borderId="10" xfId="0" applyFont="1" applyFill="1" applyBorder="1" applyAlignment="1">
      <alignment horizontal="center" vertical="center" wrapText="1"/>
    </xf>
    <xf numFmtId="0" fontId="7" fillId="12" borderId="10" xfId="0" applyFont="1" applyFill="1" applyBorder="1" applyAlignment="1">
      <alignment horizontal="center" vertical="center" wrapText="1"/>
    </xf>
    <xf numFmtId="0" fontId="3" fillId="12" borderId="10" xfId="0" applyFont="1" applyFill="1" applyBorder="1" applyAlignment="1">
      <alignment horizontal="center" vertical="center" wrapText="1"/>
    </xf>
    <xf numFmtId="0" fontId="12" fillId="14" borderId="0" xfId="0" applyFont="1" applyFill="1"/>
    <xf numFmtId="0" fontId="14" fillId="0" borderId="0" xfId="0" applyFont="1" applyAlignment="1">
      <alignment horizontal="center" vertical="center" wrapText="1"/>
    </xf>
    <xf numFmtId="0" fontId="14" fillId="2" borderId="3" xfId="0" applyFont="1" applyFill="1" applyBorder="1" applyAlignment="1">
      <alignment horizontal="center" vertical="center" wrapText="1"/>
    </xf>
    <xf numFmtId="0" fontId="14" fillId="13" borderId="6"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8" fillId="0" borderId="21" xfId="0" applyFont="1" applyBorder="1" applyAlignment="1">
      <alignment wrapText="1" readingOrder="1"/>
    </xf>
    <xf numFmtId="0" fontId="17" fillId="17" borderId="41" xfId="0" applyFont="1" applyFill="1" applyBorder="1" applyAlignment="1">
      <alignment readingOrder="1"/>
    </xf>
    <xf numFmtId="0" fontId="17" fillId="17" borderId="42" xfId="0" applyFont="1" applyFill="1" applyBorder="1" applyAlignment="1">
      <alignment readingOrder="1"/>
    </xf>
    <xf numFmtId="0" fontId="17" fillId="17" borderId="43" xfId="0" applyFont="1" applyFill="1" applyBorder="1" applyAlignment="1">
      <alignment readingOrder="1"/>
    </xf>
    <xf numFmtId="0" fontId="19" fillId="5" borderId="5" xfId="0" applyFont="1" applyFill="1" applyBorder="1" applyAlignment="1">
      <alignment horizontal="center" vertical="center" wrapText="1"/>
    </xf>
    <xf numFmtId="0" fontId="20" fillId="5" borderId="5" xfId="0" applyFont="1" applyFill="1" applyBorder="1" applyAlignment="1">
      <alignment horizontal="center" vertical="center" wrapText="1"/>
    </xf>
    <xf numFmtId="0" fontId="19" fillId="9" borderId="5" xfId="0" applyFont="1" applyFill="1" applyBorder="1" applyAlignment="1">
      <alignment horizontal="center" vertical="center" wrapText="1"/>
    </xf>
    <xf numFmtId="0" fontId="19" fillId="9" borderId="9" xfId="0" applyFont="1" applyFill="1" applyBorder="1" applyAlignment="1">
      <alignment horizontal="center" vertical="center" wrapText="1"/>
    </xf>
    <xf numFmtId="0" fontId="20" fillId="9" borderId="9" xfId="0" applyFont="1" applyFill="1" applyBorder="1" applyAlignment="1">
      <alignment horizontal="center" vertical="center" wrapText="1"/>
    </xf>
    <xf numFmtId="0" fontId="19" fillId="16" borderId="5"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19" fillId="11" borderId="5" xfId="0" applyFont="1" applyFill="1" applyBorder="1" applyAlignment="1">
      <alignment horizontal="center" vertical="center" wrapText="1"/>
    </xf>
    <xf numFmtId="0" fontId="19" fillId="15" borderId="5" xfId="0" applyFont="1" applyFill="1" applyBorder="1" applyAlignment="1">
      <alignment horizontal="center" vertical="center" wrapText="1"/>
    </xf>
    <xf numFmtId="0" fontId="20" fillId="10" borderId="5" xfId="0" applyFont="1" applyFill="1" applyBorder="1" applyAlignment="1">
      <alignment horizontal="center" vertical="center" wrapText="1"/>
    </xf>
    <xf numFmtId="0" fontId="20" fillId="11"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19" fillId="12" borderId="5" xfId="0" applyFont="1" applyFill="1" applyBorder="1" applyAlignment="1">
      <alignment horizontal="center" vertical="center" wrapText="1"/>
    </xf>
    <xf numFmtId="0" fontId="21" fillId="13" borderId="5" xfId="0" applyFont="1" applyFill="1" applyBorder="1" applyAlignment="1">
      <alignment horizontal="center" vertical="center" wrapText="1"/>
    </xf>
    <xf numFmtId="0" fontId="22" fillId="13" borderId="5" xfId="0" applyFont="1" applyFill="1" applyBorder="1" applyAlignment="1">
      <alignment horizontal="center" vertical="center" wrapText="1"/>
    </xf>
    <xf numFmtId="0" fontId="23" fillId="0" borderId="13" xfId="0" applyFont="1" applyBorder="1" applyAlignment="1">
      <alignment horizontal="center" vertical="center" wrapText="1"/>
    </xf>
    <xf numFmtId="0" fontId="23" fillId="13" borderId="5" xfId="0" applyFont="1" applyFill="1" applyBorder="1" applyAlignment="1">
      <alignment horizontal="center" vertical="center" wrapText="1"/>
    </xf>
    <xf numFmtId="0" fontId="22" fillId="0" borderId="5" xfId="0" applyFont="1" applyBorder="1" applyAlignment="1">
      <alignment horizontal="center" vertical="center" wrapText="1"/>
    </xf>
    <xf numFmtId="0" fontId="21" fillId="0" borderId="10" xfId="0" applyFont="1" applyBorder="1" applyAlignment="1">
      <alignment horizontal="center" vertical="center" wrapText="1"/>
    </xf>
    <xf numFmtId="0" fontId="21" fillId="13" borderId="10" xfId="0" applyFont="1" applyFill="1" applyBorder="1" applyAlignment="1">
      <alignment horizontal="center" vertical="center" wrapText="1"/>
    </xf>
    <xf numFmtId="0" fontId="21" fillId="0" borderId="0" xfId="0" applyFont="1" applyAlignment="1">
      <alignment horizontal="center" vertical="center" wrapText="1"/>
    </xf>
    <xf numFmtId="0" fontId="22" fillId="13" borderId="11"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13" borderId="10" xfId="0" applyFont="1" applyFill="1" applyBorder="1" applyAlignment="1">
      <alignment horizontal="center" vertical="center" wrapText="1"/>
    </xf>
    <xf numFmtId="0" fontId="22" fillId="13" borderId="12" xfId="0" applyFont="1" applyFill="1" applyBorder="1" applyAlignment="1">
      <alignment horizontal="center" vertical="center" wrapText="1"/>
    </xf>
    <xf numFmtId="0" fontId="22" fillId="20" borderId="5" xfId="0" applyFont="1" applyFill="1" applyBorder="1" applyAlignment="1">
      <alignment horizontal="center" vertical="center" wrapText="1"/>
    </xf>
    <xf numFmtId="0" fontId="23" fillId="20" borderId="5" xfId="0" applyFont="1" applyFill="1" applyBorder="1" applyAlignment="1">
      <alignment horizontal="center" vertical="center" wrapText="1"/>
    </xf>
    <xf numFmtId="0" fontId="23" fillId="19" borderId="5" xfId="0" applyFont="1" applyFill="1" applyBorder="1" applyAlignment="1">
      <alignment horizontal="center" vertical="center" wrapText="1"/>
    </xf>
    <xf numFmtId="0" fontId="22" fillId="13" borderId="8" xfId="0" applyFont="1" applyFill="1" applyBorder="1" applyAlignment="1">
      <alignment horizontal="center" vertical="center" wrapText="1"/>
    </xf>
    <xf numFmtId="0" fontId="22" fillId="13" borderId="7" xfId="0" applyFont="1" applyFill="1" applyBorder="1" applyAlignment="1">
      <alignment horizontal="center" vertical="center" wrapText="1"/>
    </xf>
    <xf numFmtId="0" fontId="22" fillId="21" borderId="5" xfId="0" applyFont="1" applyFill="1" applyBorder="1" applyAlignment="1">
      <alignment horizontal="center" vertical="center" wrapText="1"/>
    </xf>
    <xf numFmtId="0" fontId="22" fillId="22" borderId="5" xfId="0" applyFont="1" applyFill="1" applyBorder="1" applyAlignment="1">
      <alignment horizontal="center" vertical="center" wrapText="1"/>
    </xf>
    <xf numFmtId="0" fontId="22" fillId="0" borderId="11" xfId="0" applyFont="1" applyBorder="1" applyAlignment="1">
      <alignment horizontal="center" vertical="center" wrapText="1"/>
    </xf>
    <xf numFmtId="0" fontId="23" fillId="13" borderId="11" xfId="0" applyFont="1" applyFill="1" applyBorder="1" applyAlignment="1">
      <alignment horizontal="center" vertical="center" wrapText="1"/>
    </xf>
    <xf numFmtId="0" fontId="23" fillId="13" borderId="10" xfId="0" applyFont="1" applyFill="1" applyBorder="1" applyAlignment="1">
      <alignment horizontal="center" vertical="center" wrapText="1"/>
    </xf>
    <xf numFmtId="0" fontId="22" fillId="13" borderId="9" xfId="0" applyFont="1" applyFill="1" applyBorder="1" applyAlignment="1">
      <alignment horizontal="center" vertical="center" wrapText="1"/>
    </xf>
    <xf numFmtId="0" fontId="22" fillId="0" borderId="9" xfId="0" applyFont="1" applyBorder="1" applyAlignment="1">
      <alignment horizontal="center" vertical="center" wrapText="1"/>
    </xf>
    <xf numFmtId="0" fontId="23" fillId="13" borderId="9" xfId="0" applyFont="1" applyFill="1" applyBorder="1" applyAlignment="1">
      <alignment horizontal="center" vertical="center" wrapText="1"/>
    </xf>
    <xf numFmtId="0" fontId="22" fillId="0" borderId="12" xfId="0" applyFont="1" applyBorder="1" applyAlignment="1">
      <alignment horizontal="center" vertical="center" wrapText="1"/>
    </xf>
    <xf numFmtId="0" fontId="19" fillId="3" borderId="2" xfId="0" applyFont="1" applyFill="1" applyBorder="1" applyAlignment="1">
      <alignment horizontal="center" vertical="center" wrapText="1"/>
    </xf>
    <xf numFmtId="0" fontId="25" fillId="0" borderId="5" xfId="0" applyFont="1" applyBorder="1" applyAlignment="1">
      <alignment horizontal="left" vertical="top" wrapText="1"/>
    </xf>
    <xf numFmtId="0" fontId="25" fillId="0" borderId="5" xfId="0" applyFont="1" applyBorder="1" applyAlignment="1">
      <alignment horizontal="center" vertical="top" wrapText="1"/>
    </xf>
    <xf numFmtId="0" fontId="11" fillId="17" borderId="10" xfId="0" applyFont="1" applyFill="1" applyBorder="1" applyAlignment="1">
      <alignment horizontal="left" vertical="center" wrapText="1"/>
    </xf>
    <xf numFmtId="0" fontId="1" fillId="17" borderId="47" xfId="0" applyFont="1" applyFill="1" applyBorder="1" applyAlignment="1">
      <alignment wrapText="1"/>
    </xf>
    <xf numFmtId="0" fontId="9" fillId="18" borderId="10" xfId="0" applyFont="1" applyFill="1" applyBorder="1" applyAlignment="1">
      <alignment horizontal="center" vertical="center" wrapText="1"/>
    </xf>
    <xf numFmtId="0" fontId="11" fillId="17" borderId="10" xfId="0" applyFont="1" applyFill="1" applyBorder="1" applyAlignment="1">
      <alignment vertical="center" wrapText="1"/>
    </xf>
    <xf numFmtId="0" fontId="19" fillId="6" borderId="2" xfId="0" applyFont="1" applyFill="1" applyBorder="1" applyAlignment="1">
      <alignment horizontal="center" vertical="center" wrapText="1"/>
    </xf>
    <xf numFmtId="0" fontId="26" fillId="0" borderId="5" xfId="0" applyFont="1" applyBorder="1" applyAlignment="1">
      <alignment horizontal="center" vertical="center" wrapText="1"/>
    </xf>
    <xf numFmtId="0" fontId="17" fillId="2" borderId="3" xfId="0" applyFont="1" applyFill="1" applyBorder="1" applyAlignment="1">
      <alignment vertical="center" wrapText="1"/>
    </xf>
    <xf numFmtId="0" fontId="3" fillId="7" borderId="7" xfId="0" applyFont="1" applyFill="1" applyBorder="1" applyAlignment="1">
      <alignment horizontal="center" vertical="center" wrapText="1"/>
    </xf>
    <xf numFmtId="0" fontId="3" fillId="12" borderId="5"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9" fillId="0" borderId="5" xfId="0" applyFont="1" applyBorder="1" applyAlignment="1">
      <alignment horizontal="center" vertical="center" wrapText="1"/>
    </xf>
    <xf numFmtId="0" fontId="33" fillId="25" borderId="3" xfId="1" applyFont="1" applyFill="1"/>
    <xf numFmtId="0" fontId="29" fillId="0" borderId="3" xfId="1" applyFont="1"/>
    <xf numFmtId="0" fontId="27" fillId="26" borderId="3" xfId="1" applyFont="1" applyFill="1"/>
    <xf numFmtId="0" fontId="27" fillId="26" borderId="3" xfId="1" applyFont="1" applyFill="1" applyAlignment="1">
      <alignment horizontal="center"/>
    </xf>
    <xf numFmtId="0" fontId="29" fillId="0" borderId="3" xfId="1" applyFont="1" applyAlignment="1">
      <alignment vertical="top"/>
    </xf>
    <xf numFmtId="0" fontId="29" fillId="0" borderId="3" xfId="1" applyFont="1" applyAlignment="1">
      <alignment horizontal="center" vertical="top"/>
    </xf>
    <xf numFmtId="0" fontId="29" fillId="0" borderId="3" xfId="1" applyFont="1" applyAlignment="1">
      <alignment vertical="top" wrapText="1"/>
    </xf>
    <xf numFmtId="0" fontId="30" fillId="28" borderId="52" xfId="1" applyFont="1" applyFill="1" applyBorder="1" applyAlignment="1">
      <alignment horizontal="center" vertical="center" wrapText="1"/>
    </xf>
    <xf numFmtId="0" fontId="29" fillId="0" borderId="3" xfId="1" applyFont="1" applyAlignment="1">
      <alignment horizontal="center"/>
    </xf>
    <xf numFmtId="0" fontId="30" fillId="24" borderId="53" xfId="1" applyFont="1" applyFill="1" applyBorder="1" applyAlignment="1">
      <alignment horizontal="center"/>
    </xf>
    <xf numFmtId="0" fontId="30" fillId="24" borderId="54" xfId="1" applyFont="1" applyFill="1" applyBorder="1" applyAlignment="1">
      <alignment horizontal="center"/>
    </xf>
    <xf numFmtId="0" fontId="27" fillId="26" borderId="3" xfId="1" applyFont="1" applyFill="1" applyAlignment="1">
      <alignment horizontal="left"/>
    </xf>
    <xf numFmtId="0" fontId="30" fillId="7" borderId="53" xfId="1" applyFont="1" applyFill="1" applyBorder="1" applyAlignment="1">
      <alignment horizontal="center"/>
    </xf>
    <xf numFmtId="0" fontId="30" fillId="7" borderId="54" xfId="1" applyFont="1" applyFill="1" applyBorder="1" applyAlignment="1">
      <alignment horizontal="center"/>
    </xf>
    <xf numFmtId="0" fontId="34" fillId="6" borderId="53" xfId="1" applyFont="1" applyFill="1" applyBorder="1" applyAlignment="1">
      <alignment horizontal="center"/>
    </xf>
    <xf numFmtId="0" fontId="34" fillId="6" borderId="54" xfId="1" applyFont="1" applyFill="1" applyBorder="1" applyAlignment="1">
      <alignment horizontal="center"/>
    </xf>
    <xf numFmtId="0" fontId="27" fillId="0" borderId="3" xfId="1" applyFont="1"/>
    <xf numFmtId="0" fontId="27" fillId="0" borderId="3" xfId="1" applyFont="1" applyAlignment="1">
      <alignment horizontal="center"/>
    </xf>
    <xf numFmtId="0" fontId="34" fillId="6" borderId="55" xfId="1" applyFont="1" applyFill="1" applyBorder="1" applyAlignment="1">
      <alignment horizontal="center"/>
    </xf>
    <xf numFmtId="0" fontId="34" fillId="6" borderId="56" xfId="1" applyFont="1" applyFill="1" applyBorder="1" applyAlignment="1">
      <alignment horizontal="center"/>
    </xf>
    <xf numFmtId="0" fontId="35" fillId="27" borderId="5" xfId="1" applyFont="1" applyFill="1" applyBorder="1" applyAlignment="1">
      <alignment horizontal="center" vertical="center" wrapText="1"/>
    </xf>
    <xf numFmtId="0" fontId="35" fillId="27" borderId="5" xfId="1" applyFont="1" applyFill="1" applyBorder="1" applyAlignment="1">
      <alignment vertical="center" wrapText="1"/>
    </xf>
    <xf numFmtId="0" fontId="36" fillId="0" borderId="5" xfId="1" applyFont="1" applyBorder="1" applyAlignment="1">
      <alignment horizontal="center" vertical="center" wrapText="1"/>
    </xf>
    <xf numFmtId="0" fontId="37" fillId="0" borderId="5" xfId="1" applyFont="1" applyBorder="1" applyAlignment="1">
      <alignment horizontal="center" vertical="center" wrapText="1"/>
    </xf>
    <xf numFmtId="0" fontId="38" fillId="0" borderId="5" xfId="1" applyFont="1" applyBorder="1" applyAlignment="1">
      <alignment horizontal="center" vertical="center" wrapText="1"/>
    </xf>
    <xf numFmtId="0" fontId="39" fillId="0" borderId="11" xfId="1" applyFont="1" applyBorder="1" applyAlignment="1">
      <alignment horizontal="center" vertical="center" wrapText="1"/>
    </xf>
    <xf numFmtId="0" fontId="24" fillId="0" borderId="3" xfId="0" applyFont="1" applyBorder="1" applyAlignment="1">
      <alignment vertical="center" wrapText="1"/>
    </xf>
    <xf numFmtId="0" fontId="11" fillId="17" borderId="57" xfId="0" applyFont="1" applyFill="1" applyBorder="1" applyAlignment="1">
      <alignment horizontal="left" vertical="center" wrapText="1"/>
    </xf>
    <xf numFmtId="0" fontId="10" fillId="17" borderId="38" xfId="0" applyFont="1" applyFill="1" applyBorder="1" applyAlignment="1">
      <alignment readingOrder="1"/>
    </xf>
    <xf numFmtId="0" fontId="4" fillId="0" borderId="5" xfId="0" applyFont="1" applyBorder="1" applyAlignment="1">
      <alignment wrapText="1" readingOrder="1"/>
    </xf>
    <xf numFmtId="0" fontId="4" fillId="0" borderId="21" xfId="0" applyFont="1" applyBorder="1" applyAlignment="1">
      <alignment wrapText="1" readingOrder="1"/>
    </xf>
    <xf numFmtId="0" fontId="5" fillId="0" borderId="23" xfId="0" applyFont="1" applyBorder="1" applyAlignment="1">
      <alignment wrapText="1" readingOrder="1"/>
    </xf>
    <xf numFmtId="0" fontId="5" fillId="0" borderId="22" xfId="0" applyFont="1" applyBorder="1" applyAlignment="1">
      <alignment wrapText="1" readingOrder="1"/>
    </xf>
    <xf numFmtId="0" fontId="10" fillId="17" borderId="44" xfId="0" applyFont="1" applyFill="1" applyBorder="1" applyAlignment="1">
      <alignment horizontal="left" readingOrder="1"/>
    </xf>
    <xf numFmtId="0" fontId="10" fillId="17" borderId="45" xfId="0" applyFont="1" applyFill="1" applyBorder="1" applyAlignment="1">
      <alignment horizontal="left" readingOrder="1"/>
    </xf>
    <xf numFmtId="0" fontId="10" fillId="17" borderId="46" xfId="0" applyFont="1" applyFill="1" applyBorder="1" applyAlignment="1">
      <alignment horizontal="left" readingOrder="1"/>
    </xf>
    <xf numFmtId="0" fontId="5" fillId="17" borderId="25" xfId="0" applyFont="1" applyFill="1" applyBorder="1" applyAlignment="1">
      <alignment horizontal="center" readingOrder="1"/>
    </xf>
    <xf numFmtId="0" fontId="5" fillId="17" borderId="26" xfId="0" applyFont="1" applyFill="1" applyBorder="1" applyAlignment="1">
      <alignment horizontal="center" readingOrder="1"/>
    </xf>
    <xf numFmtId="0" fontId="5" fillId="17" borderId="28" xfId="0" applyFont="1" applyFill="1" applyBorder="1" applyAlignment="1">
      <alignment horizontal="center" readingOrder="1"/>
    </xf>
    <xf numFmtId="0" fontId="5" fillId="17" borderId="3" xfId="0" applyFont="1" applyFill="1" applyBorder="1" applyAlignment="1">
      <alignment horizontal="center" readingOrder="1"/>
    </xf>
    <xf numFmtId="0" fontId="16" fillId="17" borderId="25" xfId="0" applyFont="1" applyFill="1" applyBorder="1" applyAlignment="1">
      <alignment horizontal="center" vertical="center" readingOrder="1"/>
    </xf>
    <xf numFmtId="0" fontId="16" fillId="17" borderId="26" xfId="0" applyFont="1" applyFill="1" applyBorder="1" applyAlignment="1">
      <alignment horizontal="center" vertical="center" readingOrder="1"/>
    </xf>
    <xf numFmtId="0" fontId="16" fillId="17" borderId="28" xfId="0" applyFont="1" applyFill="1" applyBorder="1" applyAlignment="1">
      <alignment horizontal="center" vertical="center" readingOrder="1"/>
    </xf>
    <xf numFmtId="0" fontId="16" fillId="17" borderId="3" xfId="0" applyFont="1" applyFill="1" applyBorder="1" applyAlignment="1">
      <alignment horizontal="center" vertical="center" readingOrder="1"/>
    </xf>
    <xf numFmtId="0" fontId="6" fillId="17" borderId="25" xfId="0" applyFont="1" applyFill="1" applyBorder="1" applyAlignment="1">
      <alignment horizontal="center" vertical="center" wrapText="1" readingOrder="1"/>
    </xf>
    <xf numFmtId="0" fontId="6" fillId="17" borderId="27" xfId="0" applyFont="1" applyFill="1" applyBorder="1" applyAlignment="1">
      <alignment horizontal="center" vertical="center" wrapText="1" readingOrder="1"/>
    </xf>
    <xf numFmtId="0" fontId="6" fillId="17" borderId="28" xfId="0" applyFont="1" applyFill="1" applyBorder="1" applyAlignment="1">
      <alignment horizontal="center" vertical="center" wrapText="1" readingOrder="1"/>
    </xf>
    <xf numFmtId="0" fontId="6" fillId="17" borderId="29" xfId="0" applyFont="1" applyFill="1" applyBorder="1" applyAlignment="1">
      <alignment horizontal="center" vertical="center" wrapText="1" readingOrder="1"/>
    </xf>
    <xf numFmtId="0" fontId="6" fillId="0" borderId="39" xfId="0" applyFont="1" applyBorder="1" applyAlignment="1">
      <alignment horizontal="left" vertical="center" wrapText="1" readingOrder="1"/>
    </xf>
    <xf numFmtId="0" fontId="6" fillId="0" borderId="19" xfId="0" applyFont="1" applyBorder="1" applyAlignment="1">
      <alignment horizontal="left" vertical="center" wrapText="1" readingOrder="1"/>
    </xf>
    <xf numFmtId="0" fontId="6" fillId="0" borderId="40" xfId="0" applyFont="1" applyBorder="1" applyAlignment="1">
      <alignment horizontal="left" vertical="center" wrapText="1" readingOrder="1"/>
    </xf>
    <xf numFmtId="0" fontId="6" fillId="0" borderId="28"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6" fillId="0" borderId="29" xfId="0" applyFont="1" applyBorder="1" applyAlignment="1">
      <alignment horizontal="left" vertical="center" wrapText="1" readingOrder="1"/>
    </xf>
    <xf numFmtId="0" fontId="3" fillId="23" borderId="33" xfId="0" applyFont="1" applyFill="1" applyBorder="1" applyAlignment="1">
      <alignment readingOrder="1"/>
    </xf>
    <xf numFmtId="0" fontId="3" fillId="23" borderId="34" xfId="0" applyFont="1" applyFill="1" applyBorder="1" applyAlignment="1">
      <alignment readingOrder="1"/>
    </xf>
    <xf numFmtId="0" fontId="3" fillId="23" borderId="35" xfId="0" applyFont="1" applyFill="1" applyBorder="1" applyAlignment="1">
      <alignment readingOrder="1"/>
    </xf>
    <xf numFmtId="0" fontId="6" fillId="0" borderId="36" xfId="0" applyFont="1" applyBorder="1" applyAlignment="1">
      <alignment horizontal="left" vertical="center" wrapText="1" readingOrder="1"/>
    </xf>
    <xf numFmtId="0" fontId="6" fillId="0" borderId="24" xfId="0" applyFont="1" applyBorder="1" applyAlignment="1">
      <alignment horizontal="left" vertical="center" wrapText="1" readingOrder="1"/>
    </xf>
    <xf numFmtId="0" fontId="6" fillId="0" borderId="37" xfId="0" applyFont="1" applyBorder="1" applyAlignment="1">
      <alignment horizontal="left" vertical="center" wrapText="1" readingOrder="1"/>
    </xf>
    <xf numFmtId="0" fontId="6" fillId="0" borderId="30" xfId="0" applyFont="1" applyBorder="1" applyAlignment="1">
      <alignment horizontal="left" vertical="center" wrapText="1" readingOrder="1"/>
    </xf>
    <xf numFmtId="0" fontId="6" fillId="0" borderId="31" xfId="0" applyFont="1" applyBorder="1" applyAlignment="1">
      <alignment horizontal="left" vertical="center" wrapText="1" readingOrder="1"/>
    </xf>
    <xf numFmtId="0" fontId="6" fillId="0" borderId="32" xfId="0" applyFont="1" applyBorder="1" applyAlignment="1">
      <alignment horizontal="left" vertical="center" wrapText="1" readingOrder="1"/>
    </xf>
    <xf numFmtId="0" fontId="11" fillId="0" borderId="10" xfId="0" applyFont="1" applyBorder="1" applyAlignment="1">
      <alignment horizontal="left" vertical="center" wrapText="1"/>
    </xf>
    <xf numFmtId="0" fontId="11" fillId="17" borderId="12" xfId="0" applyFont="1" applyFill="1" applyBorder="1" applyAlignment="1">
      <alignment horizontal="center" vertical="center" wrapText="1"/>
    </xf>
    <xf numFmtId="0" fontId="11" fillId="17" borderId="49" xfId="0" applyFont="1" applyFill="1" applyBorder="1" applyAlignment="1">
      <alignment horizontal="center" vertical="center" wrapText="1"/>
    </xf>
    <xf numFmtId="0" fontId="11" fillId="17" borderId="48" xfId="0" applyFont="1" applyFill="1" applyBorder="1" applyAlignment="1">
      <alignment horizontal="center" vertical="center" wrapText="1"/>
    </xf>
    <xf numFmtId="0" fontId="10" fillId="17" borderId="12" xfId="0" applyFont="1" applyFill="1" applyBorder="1" applyAlignment="1">
      <alignment horizontal="center" vertical="center" wrapText="1"/>
    </xf>
    <xf numFmtId="0" fontId="10" fillId="17" borderId="49" xfId="0" applyFont="1" applyFill="1" applyBorder="1" applyAlignment="1">
      <alignment horizontal="center" vertical="center" wrapText="1"/>
    </xf>
    <xf numFmtId="0" fontId="10" fillId="17" borderId="48" xfId="0" applyFont="1" applyFill="1" applyBorder="1" applyAlignment="1">
      <alignment horizontal="center" vertical="center" wrapText="1"/>
    </xf>
    <xf numFmtId="0" fontId="11" fillId="17" borderId="57" xfId="0" applyFont="1" applyFill="1" applyBorder="1" applyAlignment="1">
      <alignment horizontal="left" vertical="center" wrapText="1"/>
    </xf>
    <xf numFmtId="0" fontId="11" fillId="17" borderId="10" xfId="0" applyFont="1" applyFill="1" applyBorder="1" applyAlignment="1">
      <alignment vertical="center" wrapText="1"/>
    </xf>
    <xf numFmtId="0" fontId="11" fillId="0" borderId="10" xfId="0" applyFont="1" applyBorder="1" applyAlignment="1">
      <alignment vertical="center" wrapText="1"/>
    </xf>
    <xf numFmtId="0" fontId="11" fillId="0" borderId="57" xfId="0" applyFont="1" applyBorder="1" applyAlignment="1">
      <alignment horizontal="left" vertical="center" wrapText="1"/>
    </xf>
    <xf numFmtId="0" fontId="11" fillId="17" borderId="10" xfId="0" applyFont="1" applyFill="1" applyBorder="1" applyAlignment="1">
      <alignment horizontal="left" vertical="center" wrapText="1"/>
    </xf>
    <xf numFmtId="0" fontId="10" fillId="17" borderId="10" xfId="0" applyFont="1" applyFill="1" applyBorder="1" applyAlignment="1">
      <alignment horizontal="center" vertical="center" wrapText="1"/>
    </xf>
    <xf numFmtId="0" fontId="42" fillId="29" borderId="2" xfId="0" applyFont="1" applyFill="1" applyBorder="1" applyAlignment="1">
      <alignment horizontal="center" vertical="center" wrapText="1"/>
    </xf>
    <xf numFmtId="0" fontId="42" fillId="29" borderId="4" xfId="0" applyFont="1" applyFill="1" applyBorder="1" applyAlignment="1">
      <alignment horizontal="center" vertical="center" wrapText="1"/>
    </xf>
    <xf numFmtId="0" fontId="42" fillId="29" borderId="7"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20" fillId="0" borderId="4" xfId="0" applyFont="1" applyBorder="1" applyAlignment="1">
      <alignment horizontal="center" vertical="center" wrapText="1"/>
    </xf>
    <xf numFmtId="0" fontId="20" fillId="0" borderId="7" xfId="0" applyFont="1" applyBorder="1" applyAlignment="1">
      <alignment horizontal="center" vertical="center" wrapText="1"/>
    </xf>
    <xf numFmtId="0" fontId="19" fillId="4" borderId="2" xfId="0" applyFont="1" applyFill="1" applyBorder="1" applyAlignment="1">
      <alignment horizontal="center" vertical="center" wrapText="1"/>
    </xf>
    <xf numFmtId="0" fontId="20" fillId="14" borderId="2" xfId="0" applyFont="1" applyFill="1" applyBorder="1" applyAlignment="1">
      <alignment horizontal="center" vertical="center" wrapText="1"/>
    </xf>
    <xf numFmtId="0" fontId="20" fillId="14" borderId="4" xfId="0" applyFont="1" applyFill="1" applyBorder="1" applyAlignment="1">
      <alignment horizontal="center" vertical="center" wrapText="1"/>
    </xf>
    <xf numFmtId="0" fontId="20" fillId="14" borderId="7"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2" fillId="0" borderId="20" xfId="0" applyFont="1" applyBorder="1" applyAlignment="1">
      <alignment vertical="center"/>
    </xf>
    <xf numFmtId="0" fontId="3" fillId="3" borderId="18" xfId="0" applyFont="1" applyFill="1" applyBorder="1" applyAlignment="1">
      <alignment horizontal="center" vertical="center" wrapText="1"/>
    </xf>
    <xf numFmtId="0" fontId="2" fillId="0" borderId="19" xfId="0" applyFont="1" applyBorder="1" applyAlignment="1">
      <alignment vertical="center"/>
    </xf>
    <xf numFmtId="0" fontId="3" fillId="4" borderId="18"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8" fillId="14" borderId="18" xfId="0" applyFont="1" applyFill="1" applyBorder="1" applyAlignment="1">
      <alignment horizontal="center" vertical="center"/>
    </xf>
    <xf numFmtId="0" fontId="8" fillId="14" borderId="19" xfId="0" applyFont="1" applyFill="1" applyBorder="1" applyAlignment="1">
      <alignment horizontal="center" vertical="center"/>
    </xf>
    <xf numFmtId="0" fontId="8" fillId="14" borderId="20" xfId="0" applyFont="1" applyFill="1" applyBorder="1" applyAlignment="1">
      <alignment horizontal="center" vertical="center"/>
    </xf>
    <xf numFmtId="0" fontId="3" fillId="7" borderId="18" xfId="0" applyFont="1" applyFill="1" applyBorder="1" applyAlignment="1">
      <alignment horizontal="center" vertical="center" wrapText="1"/>
    </xf>
    <xf numFmtId="0" fontId="32" fillId="27" borderId="25" xfId="1" applyFont="1" applyFill="1" applyBorder="1" applyAlignment="1">
      <alignment horizontal="center" vertical="center" wrapText="1"/>
    </xf>
    <xf numFmtId="0" fontId="40" fillId="0" borderId="18" xfId="1" applyFont="1" applyBorder="1" applyAlignment="1">
      <alignment horizontal="center" vertical="center" wrapText="1"/>
    </xf>
    <xf numFmtId="0" fontId="41" fillId="0" borderId="11" xfId="1" applyFont="1" applyBorder="1" applyAlignment="1">
      <alignment horizontal="center" vertical="center" wrapText="1"/>
    </xf>
    <xf numFmtId="0" fontId="31" fillId="0" borderId="27" xfId="1" applyFont="1" applyBorder="1" applyAlignment="1"/>
    <xf numFmtId="0" fontId="31" fillId="0" borderId="50" xfId="1" applyFont="1" applyBorder="1" applyAlignment="1"/>
    <xf numFmtId="0" fontId="31" fillId="0" borderId="51" xfId="1" applyFont="1" applyBorder="1" applyAlignment="1"/>
    <xf numFmtId="0" fontId="31" fillId="0" borderId="1" xfId="1" applyFont="1" applyBorder="1" applyAlignment="1"/>
    <xf numFmtId="0" fontId="31" fillId="0" borderId="9" xfId="1" applyFont="1" applyBorder="1" applyAlignment="1"/>
  </cellXfs>
  <cellStyles count="2">
    <cellStyle name="Normal" xfId="0" builtinId="0"/>
    <cellStyle name="Normal 2" xfId="1" xr:uid="{7767CBE2-4515-46B3-9B51-C4332208C408}"/>
  </cellStyles>
  <dxfs count="0"/>
  <tableStyles count="0" defaultTableStyle="TableStyleMedium2" defaultPivotStyle="PivotStyleLight16"/>
  <colors>
    <mruColors>
      <color rgb="FF4B85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2</xdr:row>
      <xdr:rowOff>76200</xdr:rowOff>
    </xdr:from>
    <xdr:to>
      <xdr:col>3</xdr:col>
      <xdr:colOff>247650</xdr:colOff>
      <xdr:row>7</xdr:row>
      <xdr:rowOff>57150</xdr:rowOff>
    </xdr:to>
    <xdr:pic>
      <xdr:nvPicPr>
        <xdr:cNvPr id="2" name="Imagem 1">
          <a:extLst>
            <a:ext uri="{FF2B5EF4-FFF2-40B4-BE49-F238E27FC236}">
              <a16:creationId xmlns:a16="http://schemas.microsoft.com/office/drawing/2014/main" id="{1C1C335A-AA46-A63C-BBF4-E71C93733AC2}"/>
            </a:ext>
          </a:extLst>
        </xdr:cNvPr>
        <xdr:cNvPicPr>
          <a:picLocks noChangeAspect="1"/>
        </xdr:cNvPicPr>
      </xdr:nvPicPr>
      <xdr:blipFill>
        <a:blip xmlns:r="http://schemas.openxmlformats.org/officeDocument/2006/relationships" r:embed="rId1"/>
        <a:stretch>
          <a:fillRect/>
        </a:stretch>
      </xdr:blipFill>
      <xdr:spPr>
        <a:xfrm>
          <a:off x="647700" y="314325"/>
          <a:ext cx="1638300" cy="6381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pikatech.sharepoint.com/sites/MDR/Shared%20Documents/G.%20Benefit%20Risk%20Analysis%20&amp;%20Risk%20Management/Risk%20Evaluat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Evaluatio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Ana Brito" id="{D1BB87D7-FF6E-4697-9B0C-ACCE265406C0}" userId="S-1-5-21-1527265888-1265693635-1318684144-11132"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4-09-09T13:42:33.51" personId="{D1BB87D7-FF6E-4697-9B0C-ACCE265406C0}" id="{7E5AEA19-F060-4BA6-BA68-915915C64FD7}">
    <text>It seems to me that the names listed are of the names of the SOUPs themselves and not the process in which the fault can occur, please adapt considering the examples my colleague Celeste emailed. For example, the process in which the failure occurs may be the integration of SOUP?</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4-09-09T13:31:12.68" personId="{D1BB87D7-FF6E-4697-9B0C-ACCE265406C0}" id="{7389FF78-C237-4D06-9C86-654D2BBD3098}">
    <text>I find it unnecessary to put severity score here given that the same is found in the risk management plan. Still, if it's Spika Tech's option to put, then the scores for probability and detectability should be placed also.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C398-92C6-47E3-928E-735715017EB9}">
  <dimension ref="A1:M22"/>
  <sheetViews>
    <sheetView tabSelected="1" topLeftCell="A12" workbookViewId="0">
      <selection activeCell="M8" sqref="M8"/>
    </sheetView>
  </sheetViews>
  <sheetFormatPr defaultColWidth="8.85546875" defaultRowHeight="14.45"/>
  <cols>
    <col min="2" max="2" width="12" customWidth="1"/>
  </cols>
  <sheetData>
    <row r="1" spans="1:13">
      <c r="B1" s="7"/>
      <c r="C1" s="7"/>
      <c r="D1" s="7"/>
      <c r="E1" s="7"/>
      <c r="F1" s="7"/>
      <c r="G1" s="7"/>
      <c r="H1" s="7"/>
      <c r="I1" s="7"/>
      <c r="J1" s="7"/>
      <c r="K1" s="7"/>
      <c r="L1" s="7"/>
    </row>
    <row r="2" spans="1:13" ht="3.75" customHeight="1">
      <c r="A2" s="7"/>
      <c r="B2" s="123"/>
      <c r="C2" s="124"/>
      <c r="D2" s="124"/>
      <c r="E2" s="127" t="s">
        <v>0</v>
      </c>
      <c r="F2" s="128"/>
      <c r="G2" s="128"/>
      <c r="H2" s="128"/>
      <c r="I2" s="128"/>
      <c r="J2" s="128"/>
      <c r="K2" s="131" t="s">
        <v>1</v>
      </c>
      <c r="L2" s="132"/>
      <c r="M2" s="7"/>
    </row>
    <row r="3" spans="1:13" ht="6.75" customHeight="1">
      <c r="A3" s="7"/>
      <c r="B3" s="125"/>
      <c r="C3" s="126"/>
      <c r="D3" s="126"/>
      <c r="E3" s="129"/>
      <c r="F3" s="130"/>
      <c r="G3" s="130"/>
      <c r="H3" s="130"/>
      <c r="I3" s="130"/>
      <c r="J3" s="130"/>
      <c r="K3" s="133"/>
      <c r="L3" s="134"/>
      <c r="M3" s="7"/>
    </row>
    <row r="4" spans="1:13" ht="15" customHeight="1">
      <c r="A4" s="7"/>
      <c r="B4" s="125"/>
      <c r="C4" s="126"/>
      <c r="D4" s="126"/>
      <c r="E4" s="129"/>
      <c r="F4" s="130"/>
      <c r="G4" s="130"/>
      <c r="H4" s="130"/>
      <c r="I4" s="130"/>
      <c r="J4" s="130"/>
      <c r="K4" s="133"/>
      <c r="L4" s="134"/>
      <c r="M4" s="7"/>
    </row>
    <row r="5" spans="1:13" ht="15" hidden="1" customHeight="1">
      <c r="A5" s="7"/>
      <c r="B5" s="125"/>
      <c r="C5" s="126"/>
      <c r="D5" s="126"/>
      <c r="E5" s="129"/>
      <c r="F5" s="130"/>
      <c r="G5" s="130"/>
      <c r="H5" s="130"/>
      <c r="I5" s="130"/>
      <c r="J5" s="130"/>
      <c r="K5" s="133"/>
      <c r="L5" s="134"/>
      <c r="M5" s="7"/>
    </row>
    <row r="6" spans="1:13">
      <c r="A6" s="7"/>
      <c r="B6" s="125"/>
      <c r="C6" s="126"/>
      <c r="D6" s="126"/>
      <c r="E6" s="129"/>
      <c r="F6" s="130"/>
      <c r="G6" s="130"/>
      <c r="H6" s="130"/>
      <c r="I6" s="130"/>
      <c r="J6" s="130"/>
      <c r="K6" s="133"/>
      <c r="L6" s="134"/>
      <c r="M6" s="7"/>
    </row>
    <row r="7" spans="1:13">
      <c r="A7" s="7"/>
      <c r="B7" s="125"/>
      <c r="C7" s="126"/>
      <c r="D7" s="126"/>
      <c r="E7" s="129"/>
      <c r="F7" s="130"/>
      <c r="G7" s="130"/>
      <c r="H7" s="130"/>
      <c r="I7" s="130"/>
      <c r="J7" s="130"/>
      <c r="K7" s="133"/>
      <c r="L7" s="134"/>
      <c r="M7" s="7"/>
    </row>
    <row r="8" spans="1:13">
      <c r="A8" s="7"/>
      <c r="B8" s="125"/>
      <c r="C8" s="126"/>
      <c r="D8" s="126"/>
      <c r="E8" s="129"/>
      <c r="F8" s="130"/>
      <c r="G8" s="130"/>
      <c r="H8" s="130"/>
      <c r="I8" s="130"/>
      <c r="J8" s="130"/>
      <c r="K8" s="133"/>
      <c r="L8" s="134"/>
      <c r="M8" s="7"/>
    </row>
    <row r="9" spans="1:13">
      <c r="A9" s="7"/>
      <c r="B9" s="141" t="s">
        <v>2</v>
      </c>
      <c r="C9" s="142"/>
      <c r="D9" s="142"/>
      <c r="E9" s="142"/>
      <c r="F9" s="142"/>
      <c r="G9" s="142"/>
      <c r="H9" s="142"/>
      <c r="I9" s="142"/>
      <c r="J9" s="142"/>
      <c r="K9" s="142"/>
      <c r="L9" s="143"/>
      <c r="M9" s="7"/>
    </row>
    <row r="10" spans="1:13" ht="19.5" customHeight="1">
      <c r="A10" s="7"/>
      <c r="B10" s="144" t="s">
        <v>3</v>
      </c>
      <c r="C10" s="145"/>
      <c r="D10" s="145"/>
      <c r="E10" s="145"/>
      <c r="F10" s="145"/>
      <c r="G10" s="145"/>
      <c r="H10" s="145"/>
      <c r="I10" s="145"/>
      <c r="J10" s="145"/>
      <c r="K10" s="145"/>
      <c r="L10" s="146"/>
      <c r="M10" s="7"/>
    </row>
    <row r="11" spans="1:13" ht="19.5" customHeight="1">
      <c r="A11" s="7"/>
      <c r="B11" s="138"/>
      <c r="C11" s="139"/>
      <c r="D11" s="139"/>
      <c r="E11" s="139"/>
      <c r="F11" s="139"/>
      <c r="G11" s="139"/>
      <c r="H11" s="139"/>
      <c r="I11" s="139"/>
      <c r="J11" s="139"/>
      <c r="K11" s="139"/>
      <c r="L11" s="140"/>
      <c r="M11" s="7"/>
    </row>
    <row r="12" spans="1:13" ht="19.5" customHeight="1">
      <c r="A12" s="7"/>
      <c r="B12" s="138"/>
      <c r="C12" s="139"/>
      <c r="D12" s="139"/>
      <c r="E12" s="139"/>
      <c r="F12" s="139"/>
      <c r="G12" s="139"/>
      <c r="H12" s="139"/>
      <c r="I12" s="139"/>
      <c r="J12" s="139"/>
      <c r="K12" s="139"/>
      <c r="L12" s="140"/>
      <c r="M12" s="7"/>
    </row>
    <row r="13" spans="1:13" ht="60" customHeight="1">
      <c r="A13" s="7"/>
      <c r="B13" s="147"/>
      <c r="C13" s="148"/>
      <c r="D13" s="148"/>
      <c r="E13" s="148"/>
      <c r="F13" s="148"/>
      <c r="G13" s="148"/>
      <c r="H13" s="148"/>
      <c r="I13" s="148"/>
      <c r="J13" s="148"/>
      <c r="K13" s="148"/>
      <c r="L13" s="149"/>
      <c r="M13" s="7"/>
    </row>
    <row r="14" spans="1:13">
      <c r="A14" s="7"/>
      <c r="B14" s="141" t="s">
        <v>4</v>
      </c>
      <c r="C14" s="142"/>
      <c r="D14" s="142"/>
      <c r="E14" s="142"/>
      <c r="F14" s="142"/>
      <c r="G14" s="142"/>
      <c r="H14" s="142"/>
      <c r="I14" s="142"/>
      <c r="J14" s="142"/>
      <c r="K14" s="142"/>
      <c r="L14" s="143"/>
      <c r="M14" s="7"/>
    </row>
    <row r="15" spans="1:13" ht="15" customHeight="1">
      <c r="A15" s="7"/>
      <c r="B15" s="135" t="s">
        <v>5</v>
      </c>
      <c r="C15" s="136"/>
      <c r="D15" s="136"/>
      <c r="E15" s="136"/>
      <c r="F15" s="136"/>
      <c r="G15" s="136"/>
      <c r="H15" s="136"/>
      <c r="I15" s="136"/>
      <c r="J15" s="136"/>
      <c r="K15" s="136"/>
      <c r="L15" s="137"/>
      <c r="M15" s="7"/>
    </row>
    <row r="16" spans="1:13">
      <c r="A16" s="7"/>
      <c r="B16" s="138"/>
      <c r="C16" s="139"/>
      <c r="D16" s="139"/>
      <c r="E16" s="139"/>
      <c r="F16" s="139"/>
      <c r="G16" s="139"/>
      <c r="H16" s="139"/>
      <c r="I16" s="139"/>
      <c r="J16" s="139"/>
      <c r="K16" s="139"/>
      <c r="L16" s="140"/>
      <c r="M16" s="7"/>
    </row>
    <row r="17" spans="1:13" ht="9.75" customHeight="1">
      <c r="A17" s="7"/>
      <c r="B17" s="138"/>
      <c r="C17" s="139"/>
      <c r="D17" s="139"/>
      <c r="E17" s="139"/>
      <c r="F17" s="139"/>
      <c r="G17" s="139"/>
      <c r="H17" s="139"/>
      <c r="I17" s="139"/>
      <c r="J17" s="139"/>
      <c r="K17" s="139"/>
      <c r="L17" s="140"/>
      <c r="M17" s="7"/>
    </row>
    <row r="18" spans="1:13" ht="11.25" hidden="1" customHeight="1">
      <c r="A18" s="7"/>
      <c r="B18" s="138"/>
      <c r="C18" s="139"/>
      <c r="D18" s="139"/>
      <c r="E18" s="139"/>
      <c r="F18" s="139"/>
      <c r="G18" s="139"/>
      <c r="H18" s="139"/>
      <c r="I18" s="139"/>
      <c r="J18" s="139"/>
      <c r="K18" s="139"/>
      <c r="L18" s="140"/>
      <c r="M18" s="7"/>
    </row>
    <row r="19" spans="1:13">
      <c r="A19" s="7"/>
      <c r="B19" s="138"/>
      <c r="C19" s="139"/>
      <c r="D19" s="139"/>
      <c r="E19" s="139"/>
      <c r="F19" s="139"/>
      <c r="G19" s="139"/>
      <c r="H19" s="139"/>
      <c r="I19" s="139"/>
      <c r="J19" s="139"/>
      <c r="K19" s="139"/>
      <c r="L19" s="140"/>
      <c r="M19" s="7"/>
    </row>
    <row r="20" spans="1:13">
      <c r="A20" s="7"/>
      <c r="B20" s="115" t="s">
        <v>6</v>
      </c>
      <c r="C20" s="30" t="s">
        <v>7</v>
      </c>
      <c r="D20" s="31"/>
      <c r="E20" s="31"/>
      <c r="F20" s="31"/>
      <c r="G20" s="31"/>
      <c r="H20" s="31"/>
      <c r="I20" s="31"/>
      <c r="J20" s="31"/>
      <c r="K20" s="31"/>
      <c r="L20" s="32"/>
      <c r="M20" s="7"/>
    </row>
    <row r="21" spans="1:13">
      <c r="A21" s="7"/>
      <c r="B21" s="120" t="s">
        <v>8</v>
      </c>
      <c r="C21" s="121"/>
      <c r="D21" s="121"/>
      <c r="E21" s="121"/>
      <c r="F21" s="121"/>
      <c r="G21" s="121"/>
      <c r="H21" s="121"/>
      <c r="I21" s="121"/>
      <c r="J21" s="121"/>
      <c r="K21" s="121"/>
      <c r="L21" s="122"/>
      <c r="M21" s="7"/>
    </row>
    <row r="22" spans="1:13">
      <c r="B22" s="7"/>
      <c r="C22" s="7"/>
      <c r="D22" s="7"/>
      <c r="E22" s="7"/>
      <c r="F22" s="7"/>
      <c r="G22" s="7"/>
      <c r="H22" s="7"/>
      <c r="I22" s="7"/>
      <c r="J22" s="7"/>
      <c r="K22" s="7"/>
      <c r="L22" s="7"/>
    </row>
  </sheetData>
  <mergeCells count="8">
    <mergeCell ref="B21:L21"/>
    <mergeCell ref="B2:D8"/>
    <mergeCell ref="E2:J8"/>
    <mergeCell ref="K2:L8"/>
    <mergeCell ref="B15:L19"/>
    <mergeCell ref="B9:L9"/>
    <mergeCell ref="B10:L13"/>
    <mergeCell ref="B14:L14"/>
  </mergeCells>
  <pageMargins left="0.7" right="0.7" top="0.75" bottom="0.75" header="0.3" footer="0.3"/>
  <pageSetup paperSize="9"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90F8-975C-40F9-B49D-21BE715BD695}">
  <dimension ref="A1:O28"/>
  <sheetViews>
    <sheetView topLeftCell="A18" zoomScaleNormal="100" workbookViewId="0">
      <selection activeCell="F26" sqref="F26"/>
    </sheetView>
  </sheetViews>
  <sheetFormatPr defaultColWidth="8.85546875" defaultRowHeight="14.45"/>
  <cols>
    <col min="1" max="1" width="15.7109375" customWidth="1"/>
    <col min="2" max="2" width="28.28515625" customWidth="1"/>
    <col min="3" max="3" width="21.28515625" customWidth="1"/>
    <col min="4" max="4" width="31.140625" customWidth="1"/>
    <col min="5" max="5" width="27.42578125" customWidth="1"/>
    <col min="6" max="6" width="42.140625" customWidth="1"/>
  </cols>
  <sheetData>
    <row r="1" spans="1:8">
      <c r="A1" s="76"/>
      <c r="B1" s="76"/>
      <c r="C1" s="76"/>
      <c r="D1" s="76"/>
      <c r="E1" s="76"/>
      <c r="F1" s="76"/>
    </row>
    <row r="2" spans="1:8">
      <c r="A2" s="77" t="s">
        <v>9</v>
      </c>
      <c r="B2" s="77" t="s">
        <v>10</v>
      </c>
      <c r="C2" s="77" t="s">
        <v>11</v>
      </c>
      <c r="D2" s="77" t="s">
        <v>12</v>
      </c>
      <c r="E2" s="77" t="s">
        <v>13</v>
      </c>
      <c r="F2" s="77" t="s">
        <v>14</v>
      </c>
    </row>
    <row r="3" spans="1:8" ht="39.6">
      <c r="A3" s="162" t="s">
        <v>15</v>
      </c>
      <c r="B3" s="78" t="s">
        <v>16</v>
      </c>
      <c r="C3" s="78" t="s">
        <v>17</v>
      </c>
      <c r="D3" s="78" t="s">
        <v>18</v>
      </c>
      <c r="E3" s="114" t="s">
        <v>19</v>
      </c>
      <c r="F3" s="75" t="s">
        <v>19</v>
      </c>
    </row>
    <row r="4" spans="1:8">
      <c r="A4" s="162"/>
      <c r="B4" s="158" t="s">
        <v>20</v>
      </c>
      <c r="C4" s="158" t="s">
        <v>17</v>
      </c>
      <c r="D4" s="158" t="s">
        <v>21</v>
      </c>
      <c r="E4" s="114" t="s">
        <v>19</v>
      </c>
      <c r="F4" s="75" t="s">
        <v>19</v>
      </c>
    </row>
    <row r="5" spans="1:8" ht="52.9" customHeight="1">
      <c r="A5" s="162"/>
      <c r="B5" s="158"/>
      <c r="C5" s="158"/>
      <c r="D5" s="158"/>
      <c r="E5" s="114" t="s">
        <v>19</v>
      </c>
      <c r="F5" s="75" t="s">
        <v>19</v>
      </c>
    </row>
    <row r="6" spans="1:8" ht="85.15" customHeight="1">
      <c r="A6" s="162"/>
      <c r="B6" s="158" t="s">
        <v>22</v>
      </c>
      <c r="C6" s="158" t="s">
        <v>17</v>
      </c>
      <c r="D6" s="158" t="s">
        <v>23</v>
      </c>
      <c r="E6" s="157" t="s">
        <v>19</v>
      </c>
      <c r="F6" s="161" t="s">
        <v>19</v>
      </c>
    </row>
    <row r="7" spans="1:8">
      <c r="A7" s="162"/>
      <c r="B7" s="158"/>
      <c r="C7" s="158"/>
      <c r="D7" s="158"/>
      <c r="E7" s="157"/>
      <c r="F7" s="161"/>
    </row>
    <row r="8" spans="1:8" ht="47.65" customHeight="1">
      <c r="A8" s="162"/>
      <c r="B8" s="158" t="s">
        <v>24</v>
      </c>
      <c r="C8" s="158" t="s">
        <v>17</v>
      </c>
      <c r="D8" s="158" t="s">
        <v>25</v>
      </c>
      <c r="E8" s="157" t="s">
        <v>19</v>
      </c>
      <c r="F8" s="161" t="s">
        <v>19</v>
      </c>
    </row>
    <row r="9" spans="1:8">
      <c r="A9" s="162"/>
      <c r="B9" s="158"/>
      <c r="C9" s="158"/>
      <c r="D9" s="158"/>
      <c r="E9" s="157"/>
      <c r="F9" s="161"/>
    </row>
    <row r="10" spans="1:8" ht="34.9" customHeight="1">
      <c r="A10" s="162"/>
      <c r="B10" s="78" t="s">
        <v>26</v>
      </c>
      <c r="C10" s="158" t="s">
        <v>17</v>
      </c>
      <c r="D10" s="78" t="s">
        <v>27</v>
      </c>
      <c r="E10" s="114" t="s">
        <v>19</v>
      </c>
      <c r="F10" s="75" t="s">
        <v>19</v>
      </c>
    </row>
    <row r="11" spans="1:8" ht="37.9" customHeight="1">
      <c r="A11" s="162"/>
      <c r="B11" s="78" t="s">
        <v>28</v>
      </c>
      <c r="C11" s="158"/>
      <c r="D11" s="78" t="s">
        <v>29</v>
      </c>
      <c r="E11" s="114" t="s">
        <v>19</v>
      </c>
      <c r="F11" s="75" t="s">
        <v>19</v>
      </c>
    </row>
    <row r="12" spans="1:8" ht="79.150000000000006">
      <c r="A12" s="162" t="s">
        <v>30</v>
      </c>
      <c r="B12" s="78" t="s">
        <v>31</v>
      </c>
      <c r="C12" s="78" t="s">
        <v>17</v>
      </c>
      <c r="D12" s="78" t="s">
        <v>32</v>
      </c>
      <c r="E12" s="114" t="s">
        <v>19</v>
      </c>
      <c r="F12" s="75" t="s">
        <v>19</v>
      </c>
    </row>
    <row r="13" spans="1:8" ht="92.45">
      <c r="A13" s="162"/>
      <c r="B13" s="78" t="s">
        <v>33</v>
      </c>
      <c r="C13" s="78" t="s">
        <v>17</v>
      </c>
      <c r="D13" s="78" t="s">
        <v>34</v>
      </c>
      <c r="E13" s="114" t="s">
        <v>19</v>
      </c>
      <c r="F13" s="75" t="s">
        <v>19</v>
      </c>
    </row>
    <row r="14" spans="1:8" ht="70.150000000000006" customHeight="1">
      <c r="A14" s="162"/>
      <c r="B14" s="159" t="s">
        <v>35</v>
      </c>
      <c r="C14" s="159" t="s">
        <v>17</v>
      </c>
      <c r="D14" s="159" t="s">
        <v>36</v>
      </c>
      <c r="E14" s="160" t="s">
        <v>19</v>
      </c>
      <c r="F14" s="150" t="s">
        <v>19</v>
      </c>
    </row>
    <row r="15" spans="1:8" ht="31.9" customHeight="1">
      <c r="A15" s="162"/>
      <c r="B15" s="159"/>
      <c r="C15" s="159"/>
      <c r="D15" s="159"/>
      <c r="E15" s="160"/>
      <c r="F15" s="150"/>
    </row>
    <row r="16" spans="1:8" ht="26.45">
      <c r="A16" s="154" t="s">
        <v>37</v>
      </c>
      <c r="B16" s="78" t="s">
        <v>38</v>
      </c>
      <c r="C16" s="78" t="s">
        <v>39</v>
      </c>
      <c r="D16" s="78" t="s">
        <v>40</v>
      </c>
      <c r="E16" s="114" t="s">
        <v>41</v>
      </c>
      <c r="F16" s="75" t="s">
        <v>42</v>
      </c>
      <c r="H16" s="113"/>
    </row>
    <row r="17" spans="1:15">
      <c r="A17" s="155"/>
      <c r="B17" s="78" t="s">
        <v>43</v>
      </c>
      <c r="C17" s="78" t="s">
        <v>39</v>
      </c>
      <c r="D17" s="78" t="s">
        <v>44</v>
      </c>
      <c r="E17" s="114" t="s">
        <v>45</v>
      </c>
      <c r="F17" s="75" t="s">
        <v>42</v>
      </c>
      <c r="H17" s="113"/>
    </row>
    <row r="18" spans="1:15" ht="115.9" customHeight="1">
      <c r="A18" s="155"/>
      <c r="B18" s="158" t="s">
        <v>46</v>
      </c>
      <c r="C18" s="158" t="s">
        <v>39</v>
      </c>
      <c r="D18" s="158" t="s">
        <v>47</v>
      </c>
      <c r="E18" s="114" t="s">
        <v>45</v>
      </c>
      <c r="F18" s="75" t="s">
        <v>48</v>
      </c>
      <c r="H18" s="7"/>
      <c r="I18" s="113"/>
      <c r="J18" s="7"/>
    </row>
    <row r="19" spans="1:15">
      <c r="A19" s="155"/>
      <c r="B19" s="158"/>
      <c r="C19" s="158"/>
      <c r="D19" s="158"/>
      <c r="E19" s="114" t="s">
        <v>41</v>
      </c>
      <c r="F19" s="75" t="s">
        <v>42</v>
      </c>
      <c r="H19" s="7"/>
      <c r="I19" s="113"/>
      <c r="J19" s="7"/>
      <c r="K19" s="7"/>
      <c r="L19" s="7"/>
      <c r="M19" s="7"/>
      <c r="N19" s="7"/>
      <c r="O19" s="7"/>
    </row>
    <row r="20" spans="1:15" ht="26.45">
      <c r="A20" s="155"/>
      <c r="B20" s="78" t="s">
        <v>49</v>
      </c>
      <c r="C20" s="78" t="s">
        <v>39</v>
      </c>
      <c r="D20" s="78" t="s">
        <v>50</v>
      </c>
      <c r="E20" s="114" t="s">
        <v>45</v>
      </c>
      <c r="F20" s="75" t="s">
        <v>48</v>
      </c>
      <c r="H20" s="7"/>
      <c r="I20" s="113"/>
      <c r="J20" s="7"/>
      <c r="K20" s="7"/>
      <c r="L20" s="7"/>
      <c r="M20" s="7"/>
      <c r="N20" s="7"/>
      <c r="O20" s="7"/>
    </row>
    <row r="21" spans="1:15" ht="26.45">
      <c r="A21" s="155"/>
      <c r="B21" s="158" t="s">
        <v>51</v>
      </c>
      <c r="C21" s="158" t="s">
        <v>39</v>
      </c>
      <c r="D21" s="158" t="s">
        <v>52</v>
      </c>
      <c r="E21" s="114" t="s">
        <v>45</v>
      </c>
      <c r="F21" s="75" t="s">
        <v>48</v>
      </c>
      <c r="H21" s="7"/>
      <c r="I21" s="113"/>
      <c r="J21" s="7"/>
      <c r="K21" s="7"/>
      <c r="L21" s="7"/>
      <c r="M21" s="7"/>
      <c r="N21" s="7"/>
      <c r="O21" s="7"/>
    </row>
    <row r="22" spans="1:15" ht="26.45">
      <c r="A22" s="155"/>
      <c r="B22" s="158"/>
      <c r="C22" s="158"/>
      <c r="D22" s="158"/>
      <c r="E22" s="114" t="s">
        <v>53</v>
      </c>
      <c r="F22" s="75" t="s">
        <v>54</v>
      </c>
      <c r="H22" s="7"/>
      <c r="I22" s="113"/>
      <c r="J22" s="7"/>
      <c r="K22" s="113"/>
      <c r="L22" s="7"/>
      <c r="M22" s="7"/>
      <c r="N22" s="7"/>
      <c r="O22" s="7"/>
    </row>
    <row r="23" spans="1:15" ht="49.9" customHeight="1">
      <c r="A23" s="155"/>
      <c r="B23" s="158"/>
      <c r="C23" s="158"/>
      <c r="D23" s="158"/>
      <c r="E23" s="114" t="s">
        <v>41</v>
      </c>
      <c r="F23" s="75" t="s">
        <v>42</v>
      </c>
      <c r="H23" s="7"/>
      <c r="I23" s="113"/>
      <c r="J23" s="7"/>
      <c r="K23" s="113"/>
      <c r="L23" s="7"/>
      <c r="M23" s="7"/>
      <c r="N23" s="7"/>
      <c r="O23" s="7"/>
    </row>
    <row r="24" spans="1:15" ht="39.6">
      <c r="A24" s="155"/>
      <c r="B24" s="151" t="s">
        <v>55</v>
      </c>
      <c r="C24" s="151" t="s">
        <v>39</v>
      </c>
      <c r="D24" s="151" t="s">
        <v>56</v>
      </c>
      <c r="E24" s="114" t="s">
        <v>57</v>
      </c>
      <c r="F24" s="75" t="s">
        <v>48</v>
      </c>
      <c r="H24" s="7"/>
      <c r="I24" s="113"/>
      <c r="J24" s="113"/>
      <c r="K24" s="7"/>
      <c r="L24" s="7"/>
      <c r="M24" s="7"/>
      <c r="N24" s="7"/>
      <c r="O24" s="7"/>
    </row>
    <row r="25" spans="1:15" ht="26.45">
      <c r="A25" s="155"/>
      <c r="B25" s="152"/>
      <c r="C25" s="152"/>
      <c r="D25" s="152"/>
      <c r="E25" s="114" t="s">
        <v>58</v>
      </c>
      <c r="F25" s="75" t="s">
        <v>48</v>
      </c>
      <c r="H25" s="7"/>
      <c r="I25" s="113"/>
      <c r="J25" s="113"/>
      <c r="K25" s="7"/>
      <c r="L25" s="7"/>
      <c r="M25" s="7"/>
      <c r="N25" s="7"/>
      <c r="O25" s="7"/>
    </row>
    <row r="26" spans="1:15" ht="42" customHeight="1">
      <c r="A26" s="156"/>
      <c r="B26" s="153"/>
      <c r="C26" s="153"/>
      <c r="D26" s="153"/>
      <c r="E26" s="114" t="s">
        <v>41</v>
      </c>
      <c r="F26" s="75" t="s">
        <v>42</v>
      </c>
      <c r="H26" s="7"/>
      <c r="I26" s="113"/>
      <c r="J26" s="113"/>
      <c r="K26" s="7"/>
      <c r="L26" s="7"/>
      <c r="M26" s="7"/>
      <c r="N26" s="7"/>
      <c r="O26" s="7"/>
    </row>
    <row r="27" spans="1:15" ht="15" thickBot="1">
      <c r="A27" s="8"/>
      <c r="B27" s="8"/>
      <c r="C27" s="8"/>
      <c r="D27" s="8"/>
      <c r="E27" s="8"/>
      <c r="F27" s="8"/>
      <c r="H27" s="7"/>
      <c r="I27" s="7"/>
      <c r="J27" s="7"/>
      <c r="K27" s="7"/>
      <c r="L27" s="7"/>
      <c r="M27" s="7"/>
      <c r="N27" s="7"/>
      <c r="O27" s="7"/>
    </row>
    <row r="28" spans="1:15" ht="15" thickBot="1">
      <c r="A28" s="6"/>
      <c r="B28" s="6"/>
      <c r="C28" s="6"/>
      <c r="D28" s="6"/>
      <c r="E28" s="6"/>
      <c r="F28" s="6"/>
    </row>
  </sheetData>
  <mergeCells count="31">
    <mergeCell ref="F6:F7"/>
    <mergeCell ref="C10:C11"/>
    <mergeCell ref="A12:A15"/>
    <mergeCell ref="A3:A11"/>
    <mergeCell ref="B4:B5"/>
    <mergeCell ref="C4:C5"/>
    <mergeCell ref="D4:D5"/>
    <mergeCell ref="B6:B7"/>
    <mergeCell ref="C6:C7"/>
    <mergeCell ref="D6:D7"/>
    <mergeCell ref="B8:B9"/>
    <mergeCell ref="C8:C9"/>
    <mergeCell ref="D8:D9"/>
    <mergeCell ref="B14:B15"/>
    <mergeCell ref="E8:E9"/>
    <mergeCell ref="F8:F9"/>
    <mergeCell ref="E6:E7"/>
    <mergeCell ref="B18:B19"/>
    <mergeCell ref="C18:C19"/>
    <mergeCell ref="D18:D19"/>
    <mergeCell ref="B21:B23"/>
    <mergeCell ref="C21:C23"/>
    <mergeCell ref="D21:D23"/>
    <mergeCell ref="C14:C15"/>
    <mergeCell ref="D14:D15"/>
    <mergeCell ref="E14:E15"/>
    <mergeCell ref="F14:F15"/>
    <mergeCell ref="D24:D26"/>
    <mergeCell ref="C24:C26"/>
    <mergeCell ref="B24:B26"/>
    <mergeCell ref="A16:A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733"/>
  <sheetViews>
    <sheetView topLeftCell="F1" zoomScale="70" zoomScaleNormal="70" workbookViewId="0">
      <pane ySplit="3" topLeftCell="F88" activePane="bottomLeft" state="frozen"/>
      <selection pane="bottomLeft" activeCell="F88" sqref="F88"/>
    </sheetView>
  </sheetViews>
  <sheetFormatPr defaultColWidth="14.42578125" defaultRowHeight="14.45"/>
  <cols>
    <col min="1" max="1" width="3" style="25" customWidth="1"/>
    <col min="2" max="2" width="11.42578125" style="25" customWidth="1"/>
    <col min="3" max="3" width="34.7109375" style="25" customWidth="1"/>
    <col min="4" max="4" width="46.85546875" style="25" customWidth="1"/>
    <col min="5" max="5" width="41.7109375" style="25" customWidth="1"/>
    <col min="6" max="6" width="49.28515625" style="25" customWidth="1"/>
    <col min="7" max="7" width="27.7109375" style="25" customWidth="1"/>
    <col min="8" max="8" width="18.28515625" style="25" customWidth="1"/>
    <col min="9" max="9" width="21.7109375" style="25" customWidth="1"/>
    <col min="10" max="10" width="14" style="25" customWidth="1"/>
    <col min="11" max="11" width="22.7109375" style="25" customWidth="1"/>
    <col min="12" max="12" width="55" style="25" customWidth="1"/>
    <col min="13" max="13" width="15.28515625" style="25" customWidth="1"/>
    <col min="14" max="14" width="16.5703125" style="25" customWidth="1"/>
    <col min="15" max="16" width="19.42578125" style="25" customWidth="1"/>
    <col min="17" max="17" width="19.7109375" style="25" customWidth="1"/>
    <col min="18" max="18" width="17.140625" customWidth="1"/>
    <col min="19" max="16384" width="14.42578125" style="25"/>
  </cols>
  <sheetData>
    <row r="1" spans="1:18" ht="13.9">
      <c r="A1" s="26"/>
      <c r="B1" s="26"/>
      <c r="C1" s="26"/>
      <c r="D1" s="26"/>
      <c r="E1" s="26"/>
      <c r="F1" s="26"/>
      <c r="G1" s="26"/>
      <c r="H1" s="26"/>
      <c r="I1" s="26"/>
      <c r="J1" s="26"/>
      <c r="K1" s="26"/>
      <c r="L1" s="26"/>
      <c r="M1" s="26"/>
      <c r="N1" s="26"/>
      <c r="O1" s="26"/>
      <c r="P1" s="26"/>
      <c r="Q1" s="26"/>
      <c r="R1" s="81"/>
    </row>
    <row r="2" spans="1:18" ht="28.9">
      <c r="A2" s="26"/>
      <c r="B2" s="166" t="s">
        <v>59</v>
      </c>
      <c r="C2" s="167"/>
      <c r="D2" s="167"/>
      <c r="E2" s="167"/>
      <c r="F2" s="167"/>
      <c r="G2" s="168"/>
      <c r="H2" s="169" t="s">
        <v>60</v>
      </c>
      <c r="I2" s="167"/>
      <c r="J2" s="167"/>
      <c r="K2" s="33" t="s">
        <v>61</v>
      </c>
      <c r="L2" s="79" t="s">
        <v>62</v>
      </c>
      <c r="M2" s="170" t="s">
        <v>63</v>
      </c>
      <c r="N2" s="171"/>
      <c r="O2" s="172"/>
      <c r="P2" s="34" t="s">
        <v>61</v>
      </c>
      <c r="Q2" s="72" t="s">
        <v>64</v>
      </c>
      <c r="R2" s="82" t="s">
        <v>65</v>
      </c>
    </row>
    <row r="3" spans="1:18">
      <c r="A3" s="26"/>
      <c r="B3" s="35" t="s">
        <v>66</v>
      </c>
      <c r="C3" s="36" t="s">
        <v>67</v>
      </c>
      <c r="D3" s="36" t="s">
        <v>68</v>
      </c>
      <c r="E3" s="36" t="s">
        <v>69</v>
      </c>
      <c r="F3" s="36" t="s">
        <v>70</v>
      </c>
      <c r="G3" s="37" t="s">
        <v>71</v>
      </c>
      <c r="H3" s="38" t="s">
        <v>72</v>
      </c>
      <c r="I3" s="39" t="s">
        <v>73</v>
      </c>
      <c r="J3" s="40" t="s">
        <v>74</v>
      </c>
      <c r="K3" s="41" t="s">
        <v>75</v>
      </c>
      <c r="L3" s="35" t="s">
        <v>76</v>
      </c>
      <c r="M3" s="42" t="s">
        <v>72</v>
      </c>
      <c r="N3" s="42" t="s">
        <v>73</v>
      </c>
      <c r="O3" s="43" t="s">
        <v>74</v>
      </c>
      <c r="P3" s="44" t="s">
        <v>75</v>
      </c>
      <c r="Q3" s="45" t="s">
        <v>77</v>
      </c>
      <c r="R3" s="83" t="s">
        <v>75</v>
      </c>
    </row>
    <row r="4" spans="1:18">
      <c r="A4" s="26"/>
      <c r="B4" s="163" t="s">
        <v>78</v>
      </c>
      <c r="C4" s="164"/>
      <c r="D4" s="164"/>
      <c r="E4" s="164"/>
      <c r="F4" s="164"/>
      <c r="G4" s="164"/>
      <c r="H4" s="164"/>
      <c r="I4" s="164"/>
      <c r="J4" s="164"/>
      <c r="K4" s="164"/>
      <c r="L4" s="164"/>
      <c r="M4" s="164"/>
      <c r="N4" s="164"/>
      <c r="O4" s="164"/>
      <c r="P4" s="164"/>
      <c r="Q4" s="164"/>
      <c r="R4" s="165"/>
    </row>
    <row r="5" spans="1:18" ht="57.6">
      <c r="A5" s="26"/>
      <c r="B5" s="86">
        <v>1</v>
      </c>
      <c r="C5" s="46" t="s">
        <v>79</v>
      </c>
      <c r="D5" s="46" t="s">
        <v>80</v>
      </c>
      <c r="E5" s="46" t="s">
        <v>81</v>
      </c>
      <c r="F5" s="46" t="s">
        <v>82</v>
      </c>
      <c r="G5" s="46" t="s">
        <v>83</v>
      </c>
      <c r="H5" s="47">
        <v>4</v>
      </c>
      <c r="I5" s="47">
        <v>3</v>
      </c>
      <c r="J5" s="60">
        <f t="shared" ref="J5:J63" si="0">H5*I5</f>
        <v>12</v>
      </c>
      <c r="K5" s="60" t="s">
        <v>84</v>
      </c>
      <c r="L5" s="46" t="s">
        <v>85</v>
      </c>
      <c r="M5" s="47">
        <v>1</v>
      </c>
      <c r="N5" s="47">
        <v>3</v>
      </c>
      <c r="O5" s="58">
        <f t="shared" ref="O5:O63" si="1">M5*N5</f>
        <v>3</v>
      </c>
      <c r="P5" s="59" t="s">
        <v>86</v>
      </c>
      <c r="Q5" s="46" t="s">
        <v>87</v>
      </c>
      <c r="R5" s="80" t="s">
        <v>88</v>
      </c>
    </row>
    <row r="6" spans="1:18" ht="43.15">
      <c r="A6" s="26"/>
      <c r="B6" s="86">
        <v>2</v>
      </c>
      <c r="C6" s="46" t="s">
        <v>89</v>
      </c>
      <c r="D6" s="46" t="s">
        <v>90</v>
      </c>
      <c r="E6" s="46" t="s">
        <v>91</v>
      </c>
      <c r="F6" s="46" t="s">
        <v>92</v>
      </c>
      <c r="G6" s="46" t="s">
        <v>93</v>
      </c>
      <c r="H6" s="47">
        <v>3</v>
      </c>
      <c r="I6" s="50">
        <v>3</v>
      </c>
      <c r="J6" s="60">
        <f t="shared" si="0"/>
        <v>9</v>
      </c>
      <c r="K6" s="60" t="s">
        <v>84</v>
      </c>
      <c r="L6" s="46" t="s">
        <v>94</v>
      </c>
      <c r="M6" s="47">
        <v>1</v>
      </c>
      <c r="N6" s="50">
        <v>3</v>
      </c>
      <c r="O6" s="58">
        <f t="shared" si="1"/>
        <v>3</v>
      </c>
      <c r="P6" s="59" t="s">
        <v>86</v>
      </c>
      <c r="Q6" s="46" t="s">
        <v>87</v>
      </c>
      <c r="R6" s="80" t="s">
        <v>88</v>
      </c>
    </row>
    <row r="7" spans="1:18" ht="43.15">
      <c r="A7" s="26"/>
      <c r="B7" s="86">
        <v>3</v>
      </c>
      <c r="C7" s="46" t="s">
        <v>89</v>
      </c>
      <c r="D7" s="46" t="s">
        <v>90</v>
      </c>
      <c r="E7" s="46" t="s">
        <v>95</v>
      </c>
      <c r="F7" s="46" t="s">
        <v>96</v>
      </c>
      <c r="G7" s="46" t="s">
        <v>97</v>
      </c>
      <c r="H7" s="47">
        <v>3</v>
      </c>
      <c r="I7" s="50">
        <v>3</v>
      </c>
      <c r="J7" s="60">
        <f t="shared" si="0"/>
        <v>9</v>
      </c>
      <c r="K7" s="60" t="s">
        <v>84</v>
      </c>
      <c r="L7" s="46" t="s">
        <v>98</v>
      </c>
      <c r="M7" s="47">
        <v>1</v>
      </c>
      <c r="N7" s="50">
        <v>3</v>
      </c>
      <c r="O7" s="58">
        <f t="shared" si="1"/>
        <v>3</v>
      </c>
      <c r="P7" s="59" t="s">
        <v>86</v>
      </c>
      <c r="Q7" s="46" t="s">
        <v>87</v>
      </c>
      <c r="R7" s="80" t="s">
        <v>88</v>
      </c>
    </row>
    <row r="8" spans="1:18" ht="43.15">
      <c r="A8" s="26"/>
      <c r="B8" s="86">
        <v>4</v>
      </c>
      <c r="C8" s="46" t="s">
        <v>89</v>
      </c>
      <c r="D8" s="46" t="s">
        <v>90</v>
      </c>
      <c r="E8" s="46" t="s">
        <v>99</v>
      </c>
      <c r="F8" s="46" t="s">
        <v>100</v>
      </c>
      <c r="G8" s="46" t="s">
        <v>101</v>
      </c>
      <c r="H8" s="47">
        <v>3</v>
      </c>
      <c r="I8" s="50">
        <v>2</v>
      </c>
      <c r="J8" s="60">
        <f t="shared" si="0"/>
        <v>6</v>
      </c>
      <c r="K8" s="60" t="s">
        <v>84</v>
      </c>
      <c r="L8" s="46" t="s">
        <v>102</v>
      </c>
      <c r="M8" s="47">
        <v>1</v>
      </c>
      <c r="N8" s="50">
        <v>2</v>
      </c>
      <c r="O8" s="58">
        <f t="shared" si="1"/>
        <v>2</v>
      </c>
      <c r="P8" s="59" t="s">
        <v>86</v>
      </c>
      <c r="Q8" s="46" t="s">
        <v>87</v>
      </c>
      <c r="R8" s="80" t="s">
        <v>88</v>
      </c>
    </row>
    <row r="9" spans="1:18" ht="28.9">
      <c r="A9" s="26"/>
      <c r="B9" s="86">
        <v>5</v>
      </c>
      <c r="C9" s="46" t="s">
        <v>89</v>
      </c>
      <c r="D9" s="46" t="s">
        <v>103</v>
      </c>
      <c r="E9" s="46" t="s">
        <v>104</v>
      </c>
      <c r="F9" s="46" t="s">
        <v>105</v>
      </c>
      <c r="G9" s="46" t="s">
        <v>106</v>
      </c>
      <c r="H9" s="47">
        <v>2</v>
      </c>
      <c r="I9" s="50">
        <v>2</v>
      </c>
      <c r="J9" s="58">
        <f t="shared" si="0"/>
        <v>4</v>
      </c>
      <c r="K9" s="59" t="s">
        <v>86</v>
      </c>
      <c r="L9" s="46" t="s">
        <v>107</v>
      </c>
      <c r="M9" s="47">
        <v>1</v>
      </c>
      <c r="N9" s="50">
        <v>2</v>
      </c>
      <c r="O9" s="58">
        <f t="shared" si="1"/>
        <v>2</v>
      </c>
      <c r="P9" s="59" t="s">
        <v>86</v>
      </c>
      <c r="Q9" s="46" t="s">
        <v>87</v>
      </c>
      <c r="R9" s="80" t="s">
        <v>88</v>
      </c>
    </row>
    <row r="10" spans="1:18" ht="43.15">
      <c r="A10" s="26"/>
      <c r="B10" s="86">
        <v>6</v>
      </c>
      <c r="C10" s="46" t="s">
        <v>89</v>
      </c>
      <c r="D10" s="46" t="s">
        <v>103</v>
      </c>
      <c r="E10" s="46" t="s">
        <v>108</v>
      </c>
      <c r="F10" s="46" t="s">
        <v>109</v>
      </c>
      <c r="G10" s="46" t="s">
        <v>110</v>
      </c>
      <c r="H10" s="47">
        <v>3</v>
      </c>
      <c r="I10" s="47">
        <v>3</v>
      </c>
      <c r="J10" s="60">
        <f t="shared" si="0"/>
        <v>9</v>
      </c>
      <c r="K10" s="60" t="s">
        <v>84</v>
      </c>
      <c r="L10" s="46" t="s">
        <v>111</v>
      </c>
      <c r="M10" s="47">
        <v>1</v>
      </c>
      <c r="N10" s="47">
        <v>3</v>
      </c>
      <c r="O10" s="58">
        <f t="shared" si="1"/>
        <v>3</v>
      </c>
      <c r="P10" s="59" t="s">
        <v>86</v>
      </c>
      <c r="Q10" s="46" t="s">
        <v>87</v>
      </c>
      <c r="R10" s="80" t="s">
        <v>88</v>
      </c>
    </row>
    <row r="11" spans="1:18" ht="58.9" customHeight="1">
      <c r="A11" s="26"/>
      <c r="B11" s="86">
        <v>7</v>
      </c>
      <c r="C11" s="46" t="s">
        <v>89</v>
      </c>
      <c r="D11" s="46" t="s">
        <v>103</v>
      </c>
      <c r="E11" s="46" t="s">
        <v>112</v>
      </c>
      <c r="F11" s="46" t="s">
        <v>113</v>
      </c>
      <c r="G11" s="46" t="s">
        <v>114</v>
      </c>
      <c r="H11" s="47">
        <v>3</v>
      </c>
      <c r="I11" s="47">
        <v>3</v>
      </c>
      <c r="J11" s="60">
        <f t="shared" si="0"/>
        <v>9</v>
      </c>
      <c r="K11" s="60" t="s">
        <v>84</v>
      </c>
      <c r="L11" s="46" t="s">
        <v>115</v>
      </c>
      <c r="M11" s="47">
        <v>1</v>
      </c>
      <c r="N11" s="47">
        <v>3</v>
      </c>
      <c r="O11" s="58">
        <f t="shared" si="1"/>
        <v>3</v>
      </c>
      <c r="P11" s="59" t="s">
        <v>86</v>
      </c>
      <c r="Q11" s="46" t="s">
        <v>87</v>
      </c>
      <c r="R11" s="80" t="s">
        <v>88</v>
      </c>
    </row>
    <row r="12" spans="1:18" ht="72">
      <c r="A12" s="26"/>
      <c r="B12" s="86">
        <v>8</v>
      </c>
      <c r="C12" s="46" t="s">
        <v>89</v>
      </c>
      <c r="D12" s="46" t="s">
        <v>103</v>
      </c>
      <c r="E12" s="46" t="s">
        <v>116</v>
      </c>
      <c r="F12" s="46" t="s">
        <v>117</v>
      </c>
      <c r="G12" s="46" t="s">
        <v>118</v>
      </c>
      <c r="H12" s="47">
        <v>3</v>
      </c>
      <c r="I12" s="47">
        <v>2</v>
      </c>
      <c r="J12" s="60">
        <f t="shared" si="0"/>
        <v>6</v>
      </c>
      <c r="K12" s="60" t="s">
        <v>84</v>
      </c>
      <c r="L12" s="46" t="s">
        <v>119</v>
      </c>
      <c r="M12" s="47">
        <v>1</v>
      </c>
      <c r="N12" s="47">
        <v>2</v>
      </c>
      <c r="O12" s="58">
        <f t="shared" si="1"/>
        <v>2</v>
      </c>
      <c r="P12" s="59" t="s">
        <v>86</v>
      </c>
      <c r="Q12" s="46" t="s">
        <v>87</v>
      </c>
      <c r="R12" s="80" t="s">
        <v>88</v>
      </c>
    </row>
    <row r="13" spans="1:18" ht="28.9">
      <c r="A13" s="26"/>
      <c r="B13" s="86">
        <v>9</v>
      </c>
      <c r="C13" s="46" t="s">
        <v>89</v>
      </c>
      <c r="D13" s="46" t="s">
        <v>103</v>
      </c>
      <c r="E13" s="46" t="s">
        <v>120</v>
      </c>
      <c r="F13" s="46" t="s">
        <v>121</v>
      </c>
      <c r="G13" s="46" t="s">
        <v>122</v>
      </c>
      <c r="H13" s="47">
        <v>3</v>
      </c>
      <c r="I13" s="50">
        <v>3</v>
      </c>
      <c r="J13" s="60">
        <f t="shared" si="0"/>
        <v>9</v>
      </c>
      <c r="K13" s="60" t="s">
        <v>84</v>
      </c>
      <c r="L13" s="46" t="s">
        <v>123</v>
      </c>
      <c r="M13" s="47">
        <v>1</v>
      </c>
      <c r="N13" s="50">
        <v>3</v>
      </c>
      <c r="O13" s="58">
        <f t="shared" si="1"/>
        <v>3</v>
      </c>
      <c r="P13" s="59" t="s">
        <v>86</v>
      </c>
      <c r="Q13" s="46" t="s">
        <v>87</v>
      </c>
      <c r="R13" s="80" t="s">
        <v>88</v>
      </c>
    </row>
    <row r="14" spans="1:18" ht="43.15">
      <c r="A14" s="26"/>
      <c r="B14" s="86">
        <v>10</v>
      </c>
      <c r="C14" s="46" t="s">
        <v>89</v>
      </c>
      <c r="D14" s="46" t="s">
        <v>103</v>
      </c>
      <c r="E14" s="46" t="s">
        <v>124</v>
      </c>
      <c r="F14" s="46" t="s">
        <v>125</v>
      </c>
      <c r="G14" s="46" t="s">
        <v>126</v>
      </c>
      <c r="H14" s="47">
        <v>3</v>
      </c>
      <c r="I14" s="47">
        <v>3</v>
      </c>
      <c r="J14" s="60">
        <f t="shared" si="0"/>
        <v>9</v>
      </c>
      <c r="K14" s="60" t="s">
        <v>84</v>
      </c>
      <c r="L14" s="46" t="s">
        <v>127</v>
      </c>
      <c r="M14" s="47">
        <v>1</v>
      </c>
      <c r="N14" s="47">
        <v>3</v>
      </c>
      <c r="O14" s="58">
        <f t="shared" si="1"/>
        <v>3</v>
      </c>
      <c r="P14" s="59" t="s">
        <v>86</v>
      </c>
      <c r="Q14" s="46" t="s">
        <v>87</v>
      </c>
      <c r="R14" s="80" t="s">
        <v>88</v>
      </c>
    </row>
    <row r="15" spans="1:18" ht="43.15">
      <c r="A15" s="26"/>
      <c r="B15" s="86">
        <v>11</v>
      </c>
      <c r="C15" s="46" t="s">
        <v>89</v>
      </c>
      <c r="D15" s="46" t="s">
        <v>103</v>
      </c>
      <c r="E15" s="46" t="s">
        <v>128</v>
      </c>
      <c r="F15" s="46" t="s">
        <v>129</v>
      </c>
      <c r="G15" s="46" t="s">
        <v>130</v>
      </c>
      <c r="H15" s="47">
        <v>3</v>
      </c>
      <c r="I15" s="47">
        <v>3</v>
      </c>
      <c r="J15" s="60">
        <f t="shared" si="0"/>
        <v>9</v>
      </c>
      <c r="K15" s="60" t="s">
        <v>84</v>
      </c>
      <c r="L15" s="46" t="s">
        <v>131</v>
      </c>
      <c r="M15" s="47">
        <v>1</v>
      </c>
      <c r="N15" s="47">
        <v>3</v>
      </c>
      <c r="O15" s="58">
        <f t="shared" si="1"/>
        <v>3</v>
      </c>
      <c r="P15" s="59" t="s">
        <v>86</v>
      </c>
      <c r="Q15" s="46" t="s">
        <v>87</v>
      </c>
      <c r="R15" s="80" t="s">
        <v>88</v>
      </c>
    </row>
    <row r="16" spans="1:18" ht="28.9">
      <c r="A16" s="26"/>
      <c r="B16" s="86">
        <v>12</v>
      </c>
      <c r="C16" s="46" t="s">
        <v>89</v>
      </c>
      <c r="D16" s="46" t="s">
        <v>103</v>
      </c>
      <c r="E16" s="46" t="s">
        <v>132</v>
      </c>
      <c r="F16" s="46" t="s">
        <v>133</v>
      </c>
      <c r="G16" s="46" t="s">
        <v>134</v>
      </c>
      <c r="H16" s="47">
        <v>1</v>
      </c>
      <c r="I16" s="47">
        <v>3</v>
      </c>
      <c r="J16" s="58">
        <f t="shared" si="0"/>
        <v>3</v>
      </c>
      <c r="K16" s="59" t="s">
        <v>86</v>
      </c>
      <c r="L16" s="46" t="s">
        <v>135</v>
      </c>
      <c r="M16" s="47">
        <v>1</v>
      </c>
      <c r="N16" s="47">
        <v>3</v>
      </c>
      <c r="O16" s="58">
        <f t="shared" si="1"/>
        <v>3</v>
      </c>
      <c r="P16" s="59" t="s">
        <v>86</v>
      </c>
      <c r="Q16" s="46" t="s">
        <v>87</v>
      </c>
      <c r="R16" s="80" t="s">
        <v>88</v>
      </c>
    </row>
    <row r="17" spans="1:18" ht="28.9">
      <c r="A17" s="26"/>
      <c r="B17" s="86">
        <v>13</v>
      </c>
      <c r="C17" s="46" t="s">
        <v>89</v>
      </c>
      <c r="D17" s="46" t="s">
        <v>103</v>
      </c>
      <c r="E17" s="46" t="s">
        <v>136</v>
      </c>
      <c r="F17" s="46" t="s">
        <v>137</v>
      </c>
      <c r="G17" s="46" t="s">
        <v>138</v>
      </c>
      <c r="H17" s="47">
        <v>1</v>
      </c>
      <c r="I17" s="47">
        <v>3</v>
      </c>
      <c r="J17" s="58">
        <f t="shared" si="0"/>
        <v>3</v>
      </c>
      <c r="K17" s="59" t="s">
        <v>86</v>
      </c>
      <c r="L17" s="46" t="s">
        <v>139</v>
      </c>
      <c r="M17" s="47">
        <v>1</v>
      </c>
      <c r="N17" s="47">
        <v>3</v>
      </c>
      <c r="O17" s="58">
        <f t="shared" si="1"/>
        <v>3</v>
      </c>
      <c r="P17" s="59" t="s">
        <v>86</v>
      </c>
      <c r="Q17" s="46" t="s">
        <v>87</v>
      </c>
      <c r="R17" s="80" t="s">
        <v>88</v>
      </c>
    </row>
    <row r="18" spans="1:18" ht="43.15">
      <c r="A18" s="26"/>
      <c r="B18" s="86">
        <v>14</v>
      </c>
      <c r="C18" s="46" t="s">
        <v>89</v>
      </c>
      <c r="D18" s="46" t="s">
        <v>140</v>
      </c>
      <c r="E18" s="46" t="s">
        <v>141</v>
      </c>
      <c r="F18" s="46" t="s">
        <v>142</v>
      </c>
      <c r="G18" s="46" t="s">
        <v>143</v>
      </c>
      <c r="H18" s="50">
        <v>3</v>
      </c>
      <c r="I18" s="50">
        <v>3</v>
      </c>
      <c r="J18" s="60">
        <f t="shared" si="0"/>
        <v>9</v>
      </c>
      <c r="K18" s="60" t="s">
        <v>84</v>
      </c>
      <c r="L18" s="46" t="s">
        <v>144</v>
      </c>
      <c r="M18" s="50">
        <v>1</v>
      </c>
      <c r="N18" s="50">
        <v>3</v>
      </c>
      <c r="O18" s="58">
        <f t="shared" si="1"/>
        <v>3</v>
      </c>
      <c r="P18" s="59" t="s">
        <v>86</v>
      </c>
      <c r="Q18" s="46" t="s">
        <v>87</v>
      </c>
      <c r="R18" s="80" t="s">
        <v>88</v>
      </c>
    </row>
    <row r="19" spans="1:18" ht="43.15">
      <c r="A19" s="26"/>
      <c r="B19" s="86">
        <v>15</v>
      </c>
      <c r="C19" s="46" t="s">
        <v>89</v>
      </c>
      <c r="D19" s="46" t="s">
        <v>140</v>
      </c>
      <c r="E19" s="46" t="s">
        <v>145</v>
      </c>
      <c r="F19" s="46" t="s">
        <v>146</v>
      </c>
      <c r="G19" s="46" t="s">
        <v>147</v>
      </c>
      <c r="H19" s="50">
        <v>3</v>
      </c>
      <c r="I19" s="50">
        <v>3</v>
      </c>
      <c r="J19" s="60">
        <f t="shared" si="0"/>
        <v>9</v>
      </c>
      <c r="K19" s="60" t="s">
        <v>84</v>
      </c>
      <c r="L19" s="46" t="s">
        <v>148</v>
      </c>
      <c r="M19" s="50">
        <v>1</v>
      </c>
      <c r="N19" s="50">
        <v>3</v>
      </c>
      <c r="O19" s="58">
        <f t="shared" si="1"/>
        <v>3</v>
      </c>
      <c r="P19" s="59" t="s">
        <v>86</v>
      </c>
      <c r="Q19" s="46" t="s">
        <v>87</v>
      </c>
      <c r="R19" s="80" t="s">
        <v>88</v>
      </c>
    </row>
    <row r="20" spans="1:18" ht="28.9">
      <c r="A20" s="26"/>
      <c r="B20" s="86">
        <v>16</v>
      </c>
      <c r="C20" s="46" t="s">
        <v>89</v>
      </c>
      <c r="D20" s="46" t="s">
        <v>140</v>
      </c>
      <c r="E20" s="46" t="s">
        <v>149</v>
      </c>
      <c r="F20" s="46" t="s">
        <v>150</v>
      </c>
      <c r="G20" s="46" t="s">
        <v>151</v>
      </c>
      <c r="H20" s="47">
        <v>3</v>
      </c>
      <c r="I20" s="47">
        <v>2</v>
      </c>
      <c r="J20" s="60">
        <f t="shared" si="0"/>
        <v>6</v>
      </c>
      <c r="K20" s="60" t="s">
        <v>84</v>
      </c>
      <c r="L20" s="46" t="s">
        <v>152</v>
      </c>
      <c r="M20" s="47">
        <v>2</v>
      </c>
      <c r="N20" s="47">
        <v>2</v>
      </c>
      <c r="O20" s="58">
        <f t="shared" si="1"/>
        <v>4</v>
      </c>
      <c r="P20" s="59" t="s">
        <v>86</v>
      </c>
      <c r="Q20" s="46" t="s">
        <v>87</v>
      </c>
      <c r="R20" s="80" t="s">
        <v>88</v>
      </c>
    </row>
    <row r="21" spans="1:18" ht="43.15">
      <c r="A21" s="26"/>
      <c r="B21" s="86">
        <v>17</v>
      </c>
      <c r="C21" s="46" t="s">
        <v>89</v>
      </c>
      <c r="D21" s="46" t="s">
        <v>140</v>
      </c>
      <c r="E21" s="46" t="s">
        <v>153</v>
      </c>
      <c r="F21" s="46" t="s">
        <v>154</v>
      </c>
      <c r="G21" s="46" t="s">
        <v>155</v>
      </c>
      <c r="H21" s="47">
        <v>2</v>
      </c>
      <c r="I21" s="47">
        <v>2</v>
      </c>
      <c r="J21" s="58">
        <f t="shared" si="0"/>
        <v>4</v>
      </c>
      <c r="K21" s="59" t="s">
        <v>86</v>
      </c>
      <c r="L21" s="46" t="s">
        <v>156</v>
      </c>
      <c r="M21" s="47">
        <v>1</v>
      </c>
      <c r="N21" s="47">
        <v>2</v>
      </c>
      <c r="O21" s="58">
        <f t="shared" si="1"/>
        <v>2</v>
      </c>
      <c r="P21" s="59" t="s">
        <v>86</v>
      </c>
      <c r="Q21" s="46" t="s">
        <v>87</v>
      </c>
      <c r="R21" s="80" t="s">
        <v>88</v>
      </c>
    </row>
    <row r="22" spans="1:18" ht="43.15">
      <c r="A22" s="27"/>
      <c r="B22" s="86">
        <v>18</v>
      </c>
      <c r="C22" s="46" t="s">
        <v>89</v>
      </c>
      <c r="D22" s="46" t="s">
        <v>140</v>
      </c>
      <c r="E22" s="46" t="s">
        <v>157</v>
      </c>
      <c r="F22" s="46" t="s">
        <v>158</v>
      </c>
      <c r="G22" s="46" t="s">
        <v>159</v>
      </c>
      <c r="H22" s="61">
        <v>2</v>
      </c>
      <c r="I22" s="61">
        <v>2</v>
      </c>
      <c r="J22" s="58">
        <f t="shared" si="0"/>
        <v>4</v>
      </c>
      <c r="K22" s="59" t="s">
        <v>86</v>
      </c>
      <c r="L22" s="46" t="s">
        <v>160</v>
      </c>
      <c r="M22" s="61">
        <v>1</v>
      </c>
      <c r="N22" s="61">
        <v>2</v>
      </c>
      <c r="O22" s="58">
        <f t="shared" si="1"/>
        <v>2</v>
      </c>
      <c r="P22" s="59" t="s">
        <v>86</v>
      </c>
      <c r="Q22" s="46" t="s">
        <v>87</v>
      </c>
      <c r="R22" s="80" t="s">
        <v>88</v>
      </c>
    </row>
    <row r="23" spans="1:18" ht="28.9">
      <c r="A23" s="27"/>
      <c r="B23" s="86">
        <v>19</v>
      </c>
      <c r="C23" s="46" t="s">
        <v>89</v>
      </c>
      <c r="D23" s="46" t="s">
        <v>140</v>
      </c>
      <c r="E23" s="46" t="s">
        <v>161</v>
      </c>
      <c r="F23" s="46" t="s">
        <v>162</v>
      </c>
      <c r="G23" s="46" t="s">
        <v>163</v>
      </c>
      <c r="H23" s="62">
        <v>2</v>
      </c>
      <c r="I23" s="62">
        <v>2</v>
      </c>
      <c r="J23" s="58">
        <f t="shared" si="0"/>
        <v>4</v>
      </c>
      <c r="K23" s="59" t="s">
        <v>86</v>
      </c>
      <c r="L23" s="46" t="s">
        <v>164</v>
      </c>
      <c r="M23" s="62">
        <v>1</v>
      </c>
      <c r="N23" s="62">
        <v>2</v>
      </c>
      <c r="O23" s="58">
        <f t="shared" si="1"/>
        <v>2</v>
      </c>
      <c r="P23" s="59" t="s">
        <v>86</v>
      </c>
      <c r="Q23" s="46" t="s">
        <v>87</v>
      </c>
      <c r="R23" s="80" t="s">
        <v>88</v>
      </c>
    </row>
    <row r="24" spans="1:18" ht="43.15">
      <c r="A24" s="27"/>
      <c r="B24" s="86">
        <v>20</v>
      </c>
      <c r="C24" s="46" t="s">
        <v>165</v>
      </c>
      <c r="D24" s="46" t="s">
        <v>166</v>
      </c>
      <c r="E24" s="46" t="s">
        <v>167</v>
      </c>
      <c r="F24" s="46" t="s">
        <v>168</v>
      </c>
      <c r="G24" s="46" t="s">
        <v>169</v>
      </c>
      <c r="H24" s="61">
        <v>3</v>
      </c>
      <c r="I24" s="61">
        <v>3</v>
      </c>
      <c r="J24" s="60">
        <f t="shared" si="0"/>
        <v>9</v>
      </c>
      <c r="K24" s="60" t="s">
        <v>84</v>
      </c>
      <c r="L24" s="46" t="s">
        <v>170</v>
      </c>
      <c r="M24" s="61">
        <v>1</v>
      </c>
      <c r="N24" s="61">
        <v>3</v>
      </c>
      <c r="O24" s="58">
        <f t="shared" si="1"/>
        <v>3</v>
      </c>
      <c r="P24" s="59" t="s">
        <v>86</v>
      </c>
      <c r="Q24" s="46" t="s">
        <v>87</v>
      </c>
      <c r="R24" s="80" t="s">
        <v>88</v>
      </c>
    </row>
    <row r="25" spans="1:18" ht="28.9">
      <c r="A25" s="26"/>
      <c r="B25" s="86">
        <v>21</v>
      </c>
      <c r="C25" s="46" t="s">
        <v>165</v>
      </c>
      <c r="D25" s="46" t="s">
        <v>166</v>
      </c>
      <c r="E25" s="46" t="s">
        <v>171</v>
      </c>
      <c r="F25" s="46" t="s">
        <v>172</v>
      </c>
      <c r="G25" s="46" t="s">
        <v>173</v>
      </c>
      <c r="H25" s="50">
        <v>3</v>
      </c>
      <c r="I25" s="50">
        <v>3</v>
      </c>
      <c r="J25" s="60">
        <f t="shared" si="0"/>
        <v>9</v>
      </c>
      <c r="K25" s="60" t="s">
        <v>84</v>
      </c>
      <c r="L25" s="46" t="s">
        <v>174</v>
      </c>
      <c r="M25" s="50">
        <v>1</v>
      </c>
      <c r="N25" s="50">
        <v>3</v>
      </c>
      <c r="O25" s="58">
        <f t="shared" si="1"/>
        <v>3</v>
      </c>
      <c r="P25" s="59" t="s">
        <v>86</v>
      </c>
      <c r="Q25" s="47" t="s">
        <v>87</v>
      </c>
      <c r="R25" s="80" t="s">
        <v>88</v>
      </c>
    </row>
    <row r="26" spans="1:18" ht="28.9">
      <c r="A26" s="26"/>
      <c r="B26" s="86">
        <v>22</v>
      </c>
      <c r="C26" s="46" t="s">
        <v>165</v>
      </c>
      <c r="D26" s="46" t="s">
        <v>166</v>
      </c>
      <c r="E26" s="46" t="s">
        <v>175</v>
      </c>
      <c r="F26" s="46" t="s">
        <v>176</v>
      </c>
      <c r="G26" s="46" t="s">
        <v>177</v>
      </c>
      <c r="H26" s="50">
        <v>3</v>
      </c>
      <c r="I26" s="50">
        <v>3</v>
      </c>
      <c r="J26" s="60">
        <f t="shared" si="0"/>
        <v>9</v>
      </c>
      <c r="K26" s="60" t="s">
        <v>84</v>
      </c>
      <c r="L26" s="46" t="s">
        <v>178</v>
      </c>
      <c r="M26" s="50">
        <v>1</v>
      </c>
      <c r="N26" s="50">
        <v>3</v>
      </c>
      <c r="O26" s="58">
        <f t="shared" si="1"/>
        <v>3</v>
      </c>
      <c r="P26" s="59" t="s">
        <v>86</v>
      </c>
      <c r="Q26" s="47" t="s">
        <v>87</v>
      </c>
      <c r="R26" s="80" t="s">
        <v>88</v>
      </c>
    </row>
    <row r="27" spans="1:18" ht="28.9">
      <c r="A27" s="26"/>
      <c r="B27" s="86">
        <v>23</v>
      </c>
      <c r="C27" s="46" t="s">
        <v>165</v>
      </c>
      <c r="D27" s="46" t="s">
        <v>179</v>
      </c>
      <c r="E27" s="46" t="s">
        <v>180</v>
      </c>
      <c r="F27" s="46" t="s">
        <v>181</v>
      </c>
      <c r="G27" s="46" t="s">
        <v>182</v>
      </c>
      <c r="H27" s="48">
        <v>2</v>
      </c>
      <c r="I27" s="48">
        <v>3</v>
      </c>
      <c r="J27" s="60">
        <f t="shared" si="0"/>
        <v>6</v>
      </c>
      <c r="K27" s="60" t="s">
        <v>84</v>
      </c>
      <c r="L27" s="46" t="s">
        <v>183</v>
      </c>
      <c r="M27" s="48">
        <v>1</v>
      </c>
      <c r="N27" s="48">
        <v>3</v>
      </c>
      <c r="O27" s="58">
        <f t="shared" si="1"/>
        <v>3</v>
      </c>
      <c r="P27" s="59" t="s">
        <v>86</v>
      </c>
      <c r="Q27" s="48" t="s">
        <v>87</v>
      </c>
      <c r="R27" s="80" t="s">
        <v>88</v>
      </c>
    </row>
    <row r="28" spans="1:18" ht="28.9">
      <c r="A28" s="26"/>
      <c r="B28" s="86">
        <v>24</v>
      </c>
      <c r="C28" s="46" t="s">
        <v>184</v>
      </c>
      <c r="D28" s="46" t="s">
        <v>166</v>
      </c>
      <c r="E28" s="46" t="s">
        <v>185</v>
      </c>
      <c r="F28" s="46" t="s">
        <v>186</v>
      </c>
      <c r="G28" s="46" t="s">
        <v>187</v>
      </c>
      <c r="H28" s="47">
        <v>2</v>
      </c>
      <c r="I28" s="47">
        <v>2</v>
      </c>
      <c r="J28" s="58">
        <f t="shared" si="0"/>
        <v>4</v>
      </c>
      <c r="K28" s="59" t="s">
        <v>86</v>
      </c>
      <c r="L28" s="46" t="s">
        <v>188</v>
      </c>
      <c r="M28" s="47">
        <v>1</v>
      </c>
      <c r="N28" s="47">
        <v>2</v>
      </c>
      <c r="O28" s="58">
        <f t="shared" si="1"/>
        <v>2</v>
      </c>
      <c r="P28" s="59" t="s">
        <v>86</v>
      </c>
      <c r="Q28" s="46" t="s">
        <v>87</v>
      </c>
      <c r="R28" s="80" t="s">
        <v>88</v>
      </c>
    </row>
    <row r="29" spans="1:18" ht="28.9">
      <c r="A29" s="26"/>
      <c r="B29" s="86">
        <v>25</v>
      </c>
      <c r="C29" s="46" t="s">
        <v>184</v>
      </c>
      <c r="D29" s="46" t="s">
        <v>189</v>
      </c>
      <c r="E29" s="46" t="s">
        <v>190</v>
      </c>
      <c r="F29" s="46" t="s">
        <v>191</v>
      </c>
      <c r="G29" s="46" t="s">
        <v>192</v>
      </c>
      <c r="H29" s="47">
        <v>2</v>
      </c>
      <c r="I29" s="50">
        <v>2</v>
      </c>
      <c r="J29" s="58">
        <f t="shared" si="0"/>
        <v>4</v>
      </c>
      <c r="K29" s="59" t="s">
        <v>86</v>
      </c>
      <c r="L29" s="46" t="s">
        <v>193</v>
      </c>
      <c r="M29" s="47">
        <v>1</v>
      </c>
      <c r="N29" s="50">
        <v>2</v>
      </c>
      <c r="O29" s="58">
        <f t="shared" si="1"/>
        <v>2</v>
      </c>
      <c r="P29" s="59" t="s">
        <v>86</v>
      </c>
      <c r="Q29" s="46" t="s">
        <v>87</v>
      </c>
      <c r="R29" s="80" t="s">
        <v>88</v>
      </c>
    </row>
    <row r="30" spans="1:18" ht="43.15">
      <c r="A30" s="26"/>
      <c r="B30" s="86">
        <v>26</v>
      </c>
      <c r="C30" s="46" t="s">
        <v>184</v>
      </c>
      <c r="D30" s="46" t="s">
        <v>189</v>
      </c>
      <c r="E30" s="46" t="s">
        <v>194</v>
      </c>
      <c r="F30" s="46" t="s">
        <v>195</v>
      </c>
      <c r="G30" s="46" t="s">
        <v>196</v>
      </c>
      <c r="H30" s="47">
        <v>2</v>
      </c>
      <c r="I30" s="50">
        <v>2</v>
      </c>
      <c r="J30" s="58">
        <f t="shared" si="0"/>
        <v>4</v>
      </c>
      <c r="K30" s="59" t="s">
        <v>86</v>
      </c>
      <c r="L30" s="46" t="s">
        <v>197</v>
      </c>
      <c r="M30" s="47">
        <v>1</v>
      </c>
      <c r="N30" s="50">
        <v>2</v>
      </c>
      <c r="O30" s="58">
        <f t="shared" si="1"/>
        <v>2</v>
      </c>
      <c r="P30" s="59" t="s">
        <v>86</v>
      </c>
      <c r="Q30" s="46" t="s">
        <v>87</v>
      </c>
      <c r="R30" s="80" t="s">
        <v>88</v>
      </c>
    </row>
    <row r="31" spans="1:18" ht="43.15">
      <c r="A31" s="26"/>
      <c r="B31" s="86">
        <v>27</v>
      </c>
      <c r="C31" s="46" t="s">
        <v>184</v>
      </c>
      <c r="D31" s="46" t="s">
        <v>189</v>
      </c>
      <c r="E31" s="46" t="s">
        <v>198</v>
      </c>
      <c r="F31" s="46" t="s">
        <v>199</v>
      </c>
      <c r="G31" s="46" t="s">
        <v>200</v>
      </c>
      <c r="H31" s="47">
        <v>2</v>
      </c>
      <c r="I31" s="50">
        <v>3</v>
      </c>
      <c r="J31" s="60">
        <f t="shared" si="0"/>
        <v>6</v>
      </c>
      <c r="K31" s="60" t="s">
        <v>84</v>
      </c>
      <c r="L31" s="46" t="s">
        <v>201</v>
      </c>
      <c r="M31" s="47">
        <v>1</v>
      </c>
      <c r="N31" s="50">
        <v>3</v>
      </c>
      <c r="O31" s="58">
        <f t="shared" si="1"/>
        <v>3</v>
      </c>
      <c r="P31" s="59" t="s">
        <v>86</v>
      </c>
      <c r="Q31" s="46" t="s">
        <v>87</v>
      </c>
      <c r="R31" s="80" t="s">
        <v>88</v>
      </c>
    </row>
    <row r="32" spans="1:18" ht="28.9">
      <c r="A32" s="26"/>
      <c r="B32" s="86">
        <v>28</v>
      </c>
      <c r="C32" s="46" t="s">
        <v>184</v>
      </c>
      <c r="D32" s="46" t="s">
        <v>189</v>
      </c>
      <c r="E32" s="46" t="s">
        <v>202</v>
      </c>
      <c r="F32" s="46" t="s">
        <v>203</v>
      </c>
      <c r="G32" s="46" t="s">
        <v>204</v>
      </c>
      <c r="H32" s="47">
        <v>2</v>
      </c>
      <c r="I32" s="50">
        <v>2</v>
      </c>
      <c r="J32" s="58">
        <f t="shared" si="0"/>
        <v>4</v>
      </c>
      <c r="K32" s="59" t="s">
        <v>86</v>
      </c>
      <c r="L32" s="46" t="s">
        <v>205</v>
      </c>
      <c r="M32" s="47">
        <v>1</v>
      </c>
      <c r="N32" s="50">
        <v>2</v>
      </c>
      <c r="O32" s="58">
        <f t="shared" si="1"/>
        <v>2</v>
      </c>
      <c r="P32" s="59" t="s">
        <v>86</v>
      </c>
      <c r="Q32" s="46" t="s">
        <v>87</v>
      </c>
      <c r="R32" s="80" t="s">
        <v>88</v>
      </c>
    </row>
    <row r="33" spans="1:18" ht="28.9">
      <c r="A33" s="26"/>
      <c r="B33" s="86">
        <v>29</v>
      </c>
      <c r="C33" s="46" t="s">
        <v>206</v>
      </c>
      <c r="D33" s="46" t="s">
        <v>207</v>
      </c>
      <c r="E33" s="46" t="s">
        <v>208</v>
      </c>
      <c r="F33" s="46" t="s">
        <v>209</v>
      </c>
      <c r="G33" s="46" t="s">
        <v>210</v>
      </c>
      <c r="H33" s="55">
        <v>2</v>
      </c>
      <c r="I33" s="55">
        <v>2</v>
      </c>
      <c r="J33" s="58">
        <f t="shared" ref="J33:J41" si="2">H33*I33</f>
        <v>4</v>
      </c>
      <c r="K33" s="59" t="s">
        <v>86</v>
      </c>
      <c r="L33" s="46" t="s">
        <v>211</v>
      </c>
      <c r="M33" s="55">
        <v>2</v>
      </c>
      <c r="N33" s="55">
        <v>2</v>
      </c>
      <c r="O33" s="58">
        <f t="shared" ref="O33:O41" si="3">M33*N33</f>
        <v>4</v>
      </c>
      <c r="P33" s="59" t="s">
        <v>86</v>
      </c>
      <c r="Q33" s="54" t="s">
        <v>87</v>
      </c>
      <c r="R33" s="80" t="s">
        <v>88</v>
      </c>
    </row>
    <row r="34" spans="1:18" ht="28.9">
      <c r="A34" s="26"/>
      <c r="B34" s="86">
        <v>30</v>
      </c>
      <c r="C34" s="46" t="s">
        <v>206</v>
      </c>
      <c r="D34" s="46" t="s">
        <v>212</v>
      </c>
      <c r="E34" s="46" t="s">
        <v>213</v>
      </c>
      <c r="F34" s="46" t="s">
        <v>214</v>
      </c>
      <c r="G34" s="46" t="s">
        <v>215</v>
      </c>
      <c r="H34" s="55">
        <v>4</v>
      </c>
      <c r="I34" s="55">
        <v>2</v>
      </c>
      <c r="J34" s="60">
        <f t="shared" si="2"/>
        <v>8</v>
      </c>
      <c r="K34" s="60" t="s">
        <v>84</v>
      </c>
      <c r="L34" s="46" t="s">
        <v>216</v>
      </c>
      <c r="M34" s="55">
        <v>2</v>
      </c>
      <c r="N34" s="55">
        <v>2</v>
      </c>
      <c r="O34" s="58">
        <f t="shared" si="3"/>
        <v>4</v>
      </c>
      <c r="P34" s="59" t="s">
        <v>86</v>
      </c>
      <c r="Q34" s="54" t="s">
        <v>87</v>
      </c>
      <c r="R34" s="80" t="s">
        <v>88</v>
      </c>
    </row>
    <row r="35" spans="1:18" ht="28.9">
      <c r="A35" s="26"/>
      <c r="B35" s="86">
        <v>31</v>
      </c>
      <c r="C35" s="46" t="s">
        <v>206</v>
      </c>
      <c r="D35" s="46" t="s">
        <v>217</v>
      </c>
      <c r="E35" s="46" t="s">
        <v>218</v>
      </c>
      <c r="F35" s="46" t="s">
        <v>219</v>
      </c>
      <c r="G35" s="46" t="s">
        <v>220</v>
      </c>
      <c r="H35" s="56">
        <v>2</v>
      </c>
      <c r="I35" s="55">
        <v>3</v>
      </c>
      <c r="J35" s="60">
        <f t="shared" si="2"/>
        <v>6</v>
      </c>
      <c r="K35" s="60" t="s">
        <v>84</v>
      </c>
      <c r="L35" s="46" t="s">
        <v>221</v>
      </c>
      <c r="M35" s="56">
        <v>1</v>
      </c>
      <c r="N35" s="55">
        <v>3</v>
      </c>
      <c r="O35" s="58">
        <f t="shared" si="3"/>
        <v>3</v>
      </c>
      <c r="P35" s="59" t="s">
        <v>86</v>
      </c>
      <c r="Q35" s="54" t="s">
        <v>87</v>
      </c>
      <c r="R35" s="80" t="s">
        <v>88</v>
      </c>
    </row>
    <row r="36" spans="1:18" ht="14.45" customHeight="1">
      <c r="A36" s="26"/>
      <c r="B36" s="86">
        <v>32</v>
      </c>
      <c r="C36" s="46" t="s">
        <v>206</v>
      </c>
      <c r="D36" s="46" t="s">
        <v>222</v>
      </c>
      <c r="E36" s="46" t="s">
        <v>223</v>
      </c>
      <c r="F36" s="46" t="s">
        <v>224</v>
      </c>
      <c r="G36" s="46" t="s">
        <v>225</v>
      </c>
      <c r="H36" s="56">
        <v>2</v>
      </c>
      <c r="I36" s="56">
        <v>2</v>
      </c>
      <c r="J36" s="58">
        <f t="shared" si="2"/>
        <v>4</v>
      </c>
      <c r="K36" s="59" t="s">
        <v>86</v>
      </c>
      <c r="L36" s="46" t="s">
        <v>226</v>
      </c>
      <c r="M36" s="56">
        <v>1</v>
      </c>
      <c r="N36" s="56">
        <v>2</v>
      </c>
      <c r="O36" s="58">
        <f t="shared" si="3"/>
        <v>2</v>
      </c>
      <c r="P36" s="59" t="s">
        <v>86</v>
      </c>
      <c r="Q36" s="54" t="s">
        <v>87</v>
      </c>
      <c r="R36" s="80" t="s">
        <v>88</v>
      </c>
    </row>
    <row r="37" spans="1:18" ht="14.45" customHeight="1">
      <c r="A37" s="26"/>
      <c r="B37" s="86">
        <v>33</v>
      </c>
      <c r="C37" s="46" t="s">
        <v>206</v>
      </c>
      <c r="D37" s="46" t="s">
        <v>227</v>
      </c>
      <c r="E37" s="46" t="s">
        <v>228</v>
      </c>
      <c r="F37" s="46" t="s">
        <v>229</v>
      </c>
      <c r="G37" s="46" t="s">
        <v>230</v>
      </c>
      <c r="H37" s="55">
        <v>2</v>
      </c>
      <c r="I37" s="55">
        <v>2</v>
      </c>
      <c r="J37" s="58">
        <f t="shared" si="2"/>
        <v>4</v>
      </c>
      <c r="K37" s="59" t="s">
        <v>86</v>
      </c>
      <c r="L37" s="46" t="s">
        <v>231</v>
      </c>
      <c r="M37" s="55">
        <v>1</v>
      </c>
      <c r="N37" s="55">
        <v>2</v>
      </c>
      <c r="O37" s="58">
        <f t="shared" si="3"/>
        <v>2</v>
      </c>
      <c r="P37" s="59" t="s">
        <v>86</v>
      </c>
      <c r="Q37" s="54" t="s">
        <v>87</v>
      </c>
      <c r="R37" s="80" t="s">
        <v>88</v>
      </c>
    </row>
    <row r="38" spans="1:18" ht="14.45" customHeight="1">
      <c r="A38" s="26"/>
      <c r="B38" s="86">
        <v>34</v>
      </c>
      <c r="C38" s="46" t="s">
        <v>206</v>
      </c>
      <c r="D38" s="46" t="s">
        <v>232</v>
      </c>
      <c r="E38" s="46" t="s">
        <v>233</v>
      </c>
      <c r="F38" s="46" t="s">
        <v>234</v>
      </c>
      <c r="G38" s="46" t="s">
        <v>235</v>
      </c>
      <c r="H38" s="55">
        <v>4</v>
      </c>
      <c r="I38" s="55">
        <v>2</v>
      </c>
      <c r="J38" s="60">
        <f t="shared" si="2"/>
        <v>8</v>
      </c>
      <c r="K38" s="60" t="s">
        <v>84</v>
      </c>
      <c r="L38" s="46" t="s">
        <v>236</v>
      </c>
      <c r="M38" s="55">
        <v>2</v>
      </c>
      <c r="N38" s="55">
        <v>2</v>
      </c>
      <c r="O38" s="58">
        <f t="shared" si="3"/>
        <v>4</v>
      </c>
      <c r="P38" s="59" t="s">
        <v>86</v>
      </c>
      <c r="Q38" s="54" t="s">
        <v>87</v>
      </c>
      <c r="R38" s="80" t="s">
        <v>88</v>
      </c>
    </row>
    <row r="39" spans="1:18" ht="43.15">
      <c r="A39" s="26"/>
      <c r="B39" s="86">
        <v>35</v>
      </c>
      <c r="C39" s="46" t="s">
        <v>206</v>
      </c>
      <c r="D39" s="46" t="s">
        <v>237</v>
      </c>
      <c r="E39" s="46" t="s">
        <v>238</v>
      </c>
      <c r="F39" s="46" t="s">
        <v>239</v>
      </c>
      <c r="G39" s="46" t="s">
        <v>240</v>
      </c>
      <c r="H39" s="55">
        <v>2</v>
      </c>
      <c r="I39" s="55">
        <v>2</v>
      </c>
      <c r="J39" s="58">
        <f t="shared" si="2"/>
        <v>4</v>
      </c>
      <c r="K39" s="59" t="s">
        <v>86</v>
      </c>
      <c r="L39" s="46" t="s">
        <v>241</v>
      </c>
      <c r="M39" s="55">
        <v>1</v>
      </c>
      <c r="N39" s="55">
        <v>2</v>
      </c>
      <c r="O39" s="58">
        <f t="shared" si="3"/>
        <v>2</v>
      </c>
      <c r="P39" s="59" t="s">
        <v>86</v>
      </c>
      <c r="Q39" s="54" t="s">
        <v>87</v>
      </c>
      <c r="R39" s="80" t="s">
        <v>88</v>
      </c>
    </row>
    <row r="40" spans="1:18" ht="43.15">
      <c r="A40" s="26"/>
      <c r="B40" s="86">
        <v>36</v>
      </c>
      <c r="C40" s="46" t="s">
        <v>206</v>
      </c>
      <c r="D40" s="46" t="s">
        <v>242</v>
      </c>
      <c r="E40" s="46" t="s">
        <v>243</v>
      </c>
      <c r="F40" s="46" t="s">
        <v>244</v>
      </c>
      <c r="G40" s="46" t="s">
        <v>245</v>
      </c>
      <c r="H40" s="57">
        <v>2</v>
      </c>
      <c r="I40" s="71">
        <v>2</v>
      </c>
      <c r="J40" s="58">
        <f t="shared" si="2"/>
        <v>4</v>
      </c>
      <c r="K40" s="59" t="s">
        <v>86</v>
      </c>
      <c r="L40" s="46" t="s">
        <v>246</v>
      </c>
      <c r="M40" s="57">
        <v>1</v>
      </c>
      <c r="N40" s="71">
        <v>2</v>
      </c>
      <c r="O40" s="58">
        <f t="shared" si="3"/>
        <v>2</v>
      </c>
      <c r="P40" s="59" t="s">
        <v>86</v>
      </c>
      <c r="Q40" s="54" t="s">
        <v>87</v>
      </c>
      <c r="R40" s="80" t="s">
        <v>88</v>
      </c>
    </row>
    <row r="41" spans="1:18" ht="28.9">
      <c r="A41" s="26"/>
      <c r="B41" s="86">
        <v>37</v>
      </c>
      <c r="C41" s="46" t="s">
        <v>206</v>
      </c>
      <c r="D41" s="46" t="s">
        <v>247</v>
      </c>
      <c r="E41" s="46" t="s">
        <v>248</v>
      </c>
      <c r="F41" s="46" t="s">
        <v>249</v>
      </c>
      <c r="G41" s="46" t="s">
        <v>250</v>
      </c>
      <c r="H41" s="56">
        <v>4</v>
      </c>
      <c r="I41" s="55">
        <v>2</v>
      </c>
      <c r="J41" s="60">
        <f t="shared" si="2"/>
        <v>8</v>
      </c>
      <c r="K41" s="60" t="s">
        <v>84</v>
      </c>
      <c r="L41" s="46" t="s">
        <v>251</v>
      </c>
      <c r="M41" s="56">
        <v>2</v>
      </c>
      <c r="N41" s="55">
        <v>2</v>
      </c>
      <c r="O41" s="58">
        <f t="shared" si="3"/>
        <v>4</v>
      </c>
      <c r="P41" s="59" t="s">
        <v>86</v>
      </c>
      <c r="Q41" s="56" t="s">
        <v>87</v>
      </c>
      <c r="R41" s="80" t="s">
        <v>88</v>
      </c>
    </row>
    <row r="42" spans="1:18" ht="28.9">
      <c r="A42" s="26"/>
      <c r="B42" s="86">
        <v>38</v>
      </c>
      <c r="C42" s="46" t="s">
        <v>252</v>
      </c>
      <c r="D42" s="46" t="s">
        <v>253</v>
      </c>
      <c r="E42" s="46" t="s">
        <v>254</v>
      </c>
      <c r="F42" s="46" t="s">
        <v>255</v>
      </c>
      <c r="G42" s="46" t="s">
        <v>256</v>
      </c>
      <c r="H42" s="50">
        <v>2</v>
      </c>
      <c r="I42" s="50">
        <v>2</v>
      </c>
      <c r="J42" s="58">
        <f t="shared" si="0"/>
        <v>4</v>
      </c>
      <c r="K42" s="59" t="s">
        <v>86</v>
      </c>
      <c r="L42" s="46" t="s">
        <v>257</v>
      </c>
      <c r="M42" s="50">
        <v>1</v>
      </c>
      <c r="N42" s="50">
        <v>2</v>
      </c>
      <c r="O42" s="58">
        <f t="shared" si="1"/>
        <v>2</v>
      </c>
      <c r="P42" s="59" t="s">
        <v>86</v>
      </c>
      <c r="Q42" s="46" t="s">
        <v>87</v>
      </c>
      <c r="R42" s="80" t="s">
        <v>88</v>
      </c>
    </row>
    <row r="43" spans="1:18" ht="28.9">
      <c r="A43" s="26"/>
      <c r="B43" s="86">
        <v>39</v>
      </c>
      <c r="C43" s="46" t="s">
        <v>252</v>
      </c>
      <c r="D43" s="46" t="s">
        <v>253</v>
      </c>
      <c r="E43" s="46" t="s">
        <v>258</v>
      </c>
      <c r="F43" s="46" t="s">
        <v>259</v>
      </c>
      <c r="G43" s="46" t="s">
        <v>260</v>
      </c>
      <c r="H43" s="47">
        <v>3</v>
      </c>
      <c r="I43" s="47">
        <v>2</v>
      </c>
      <c r="J43" s="60">
        <f t="shared" si="0"/>
        <v>6</v>
      </c>
      <c r="K43" s="60" t="s">
        <v>84</v>
      </c>
      <c r="L43" s="46" t="s">
        <v>261</v>
      </c>
      <c r="M43" s="47">
        <v>2</v>
      </c>
      <c r="N43" s="47">
        <v>2</v>
      </c>
      <c r="O43" s="58">
        <f t="shared" si="1"/>
        <v>4</v>
      </c>
      <c r="P43" s="59" t="s">
        <v>86</v>
      </c>
      <c r="Q43" s="46" t="s">
        <v>87</v>
      </c>
      <c r="R43" s="80" t="s">
        <v>88</v>
      </c>
    </row>
    <row r="44" spans="1:18" ht="28.9">
      <c r="A44" s="26"/>
      <c r="B44" s="86">
        <v>40</v>
      </c>
      <c r="C44" s="46" t="s">
        <v>252</v>
      </c>
      <c r="D44" s="46" t="s">
        <v>253</v>
      </c>
      <c r="E44" s="46" t="s">
        <v>262</v>
      </c>
      <c r="F44" s="46" t="s">
        <v>263</v>
      </c>
      <c r="G44" s="46" t="s">
        <v>264</v>
      </c>
      <c r="H44" s="50">
        <v>3</v>
      </c>
      <c r="I44" s="50">
        <v>2</v>
      </c>
      <c r="J44" s="60">
        <f t="shared" si="0"/>
        <v>6</v>
      </c>
      <c r="K44" s="60" t="s">
        <v>84</v>
      </c>
      <c r="L44" s="46" t="s">
        <v>265</v>
      </c>
      <c r="M44" s="50">
        <v>2</v>
      </c>
      <c r="N44" s="50">
        <v>2</v>
      </c>
      <c r="O44" s="58">
        <f t="shared" si="1"/>
        <v>4</v>
      </c>
      <c r="P44" s="59" t="s">
        <v>86</v>
      </c>
      <c r="Q44" s="46" t="s">
        <v>87</v>
      </c>
      <c r="R44" s="80" t="s">
        <v>88</v>
      </c>
    </row>
    <row r="45" spans="1:18" ht="28.9">
      <c r="A45" s="26"/>
      <c r="B45" s="86">
        <v>41</v>
      </c>
      <c r="C45" s="46" t="s">
        <v>252</v>
      </c>
      <c r="D45" s="46" t="s">
        <v>253</v>
      </c>
      <c r="E45" s="46" t="s">
        <v>266</v>
      </c>
      <c r="F45" s="46" t="s">
        <v>267</v>
      </c>
      <c r="G45" s="46" t="s">
        <v>268</v>
      </c>
      <c r="H45" s="50">
        <v>2</v>
      </c>
      <c r="I45" s="50">
        <v>3</v>
      </c>
      <c r="J45" s="60">
        <f t="shared" si="0"/>
        <v>6</v>
      </c>
      <c r="K45" s="60" t="s">
        <v>84</v>
      </c>
      <c r="L45" s="46" t="s">
        <v>269</v>
      </c>
      <c r="M45" s="50">
        <v>1</v>
      </c>
      <c r="N45" s="50">
        <v>3</v>
      </c>
      <c r="O45" s="58">
        <f t="shared" si="1"/>
        <v>3</v>
      </c>
      <c r="P45" s="59" t="s">
        <v>86</v>
      </c>
      <c r="Q45" s="46" t="s">
        <v>87</v>
      </c>
      <c r="R45" s="80" t="s">
        <v>88</v>
      </c>
    </row>
    <row r="46" spans="1:18" ht="28.9">
      <c r="A46" s="26"/>
      <c r="B46" s="86">
        <v>42</v>
      </c>
      <c r="C46" s="46" t="s">
        <v>252</v>
      </c>
      <c r="D46" s="46" t="s">
        <v>253</v>
      </c>
      <c r="E46" s="46" t="s">
        <v>270</v>
      </c>
      <c r="F46" s="46" t="s">
        <v>271</v>
      </c>
      <c r="G46" s="46" t="s">
        <v>272</v>
      </c>
      <c r="H46" s="47">
        <v>2</v>
      </c>
      <c r="I46" s="47">
        <v>2</v>
      </c>
      <c r="J46" s="58">
        <f t="shared" si="0"/>
        <v>4</v>
      </c>
      <c r="K46" s="59" t="s">
        <v>86</v>
      </c>
      <c r="L46" s="46" t="s">
        <v>273</v>
      </c>
      <c r="M46" s="47">
        <v>2</v>
      </c>
      <c r="N46" s="47">
        <v>2</v>
      </c>
      <c r="O46" s="58">
        <f t="shared" si="1"/>
        <v>4</v>
      </c>
      <c r="P46" s="59" t="s">
        <v>86</v>
      </c>
      <c r="Q46" s="46" t="s">
        <v>87</v>
      </c>
      <c r="R46" s="80" t="s">
        <v>88</v>
      </c>
    </row>
    <row r="47" spans="1:18" ht="28.9">
      <c r="A47" s="26"/>
      <c r="B47" s="86">
        <v>43</v>
      </c>
      <c r="C47" s="46" t="s">
        <v>252</v>
      </c>
      <c r="D47" s="46" t="s">
        <v>253</v>
      </c>
      <c r="E47" s="46" t="s">
        <v>217</v>
      </c>
      <c r="F47" s="46" t="s">
        <v>274</v>
      </c>
      <c r="G47" s="46" t="s">
        <v>275</v>
      </c>
      <c r="H47" s="47">
        <v>2</v>
      </c>
      <c r="I47" s="50">
        <v>2</v>
      </c>
      <c r="J47" s="58">
        <f t="shared" si="0"/>
        <v>4</v>
      </c>
      <c r="K47" s="59" t="s">
        <v>86</v>
      </c>
      <c r="L47" s="46" t="s">
        <v>276</v>
      </c>
      <c r="M47" s="47">
        <v>1</v>
      </c>
      <c r="N47" s="50">
        <v>2</v>
      </c>
      <c r="O47" s="58">
        <f t="shared" si="1"/>
        <v>2</v>
      </c>
      <c r="P47" s="59" t="s">
        <v>86</v>
      </c>
      <c r="Q47" s="46" t="s">
        <v>87</v>
      </c>
      <c r="R47" s="80" t="s">
        <v>88</v>
      </c>
    </row>
    <row r="48" spans="1:18" ht="28.9">
      <c r="A48" s="26"/>
      <c r="B48" s="86">
        <v>44</v>
      </c>
      <c r="C48" s="46" t="s">
        <v>252</v>
      </c>
      <c r="D48" s="46" t="s">
        <v>253</v>
      </c>
      <c r="E48" s="46" t="s">
        <v>222</v>
      </c>
      <c r="F48" s="46" t="s">
        <v>277</v>
      </c>
      <c r="G48" s="46" t="s">
        <v>278</v>
      </c>
      <c r="H48" s="47">
        <v>2</v>
      </c>
      <c r="I48" s="47">
        <v>2</v>
      </c>
      <c r="J48" s="58">
        <f t="shared" si="0"/>
        <v>4</v>
      </c>
      <c r="K48" s="59" t="s">
        <v>86</v>
      </c>
      <c r="L48" s="46" t="s">
        <v>279</v>
      </c>
      <c r="M48" s="47">
        <v>1</v>
      </c>
      <c r="N48" s="47">
        <v>2</v>
      </c>
      <c r="O48" s="58">
        <f t="shared" si="1"/>
        <v>2</v>
      </c>
      <c r="P48" s="59" t="s">
        <v>86</v>
      </c>
      <c r="Q48" s="46" t="s">
        <v>87</v>
      </c>
      <c r="R48" s="80" t="s">
        <v>88</v>
      </c>
    </row>
    <row r="49" spans="1:18" ht="28.9">
      <c r="A49" s="26"/>
      <c r="B49" s="86">
        <v>45</v>
      </c>
      <c r="C49" s="46" t="s">
        <v>252</v>
      </c>
      <c r="D49" s="46" t="s">
        <v>253</v>
      </c>
      <c r="E49" s="46" t="s">
        <v>227</v>
      </c>
      <c r="F49" s="46" t="s">
        <v>280</v>
      </c>
      <c r="G49" s="46" t="s">
        <v>281</v>
      </c>
      <c r="H49" s="50">
        <v>2</v>
      </c>
      <c r="I49" s="50">
        <v>2</v>
      </c>
      <c r="J49" s="58">
        <f t="shared" si="0"/>
        <v>4</v>
      </c>
      <c r="K49" s="59" t="s">
        <v>86</v>
      </c>
      <c r="L49" s="46" t="s">
        <v>282</v>
      </c>
      <c r="M49" s="50">
        <v>1</v>
      </c>
      <c r="N49" s="50">
        <v>2</v>
      </c>
      <c r="O49" s="58">
        <f t="shared" si="1"/>
        <v>2</v>
      </c>
      <c r="P49" s="59" t="s">
        <v>86</v>
      </c>
      <c r="Q49" s="46" t="s">
        <v>87</v>
      </c>
      <c r="R49" s="80" t="s">
        <v>88</v>
      </c>
    </row>
    <row r="50" spans="1:18" ht="28.9">
      <c r="A50" s="26"/>
      <c r="B50" s="86">
        <v>46</v>
      </c>
      <c r="C50" s="46" t="s">
        <v>252</v>
      </c>
      <c r="D50" s="46" t="s">
        <v>253</v>
      </c>
      <c r="E50" s="46" t="s">
        <v>232</v>
      </c>
      <c r="F50" s="46" t="s">
        <v>283</v>
      </c>
      <c r="G50" s="46" t="s">
        <v>284</v>
      </c>
      <c r="H50" s="50">
        <v>3</v>
      </c>
      <c r="I50" s="50">
        <v>2</v>
      </c>
      <c r="J50" s="60">
        <f t="shared" si="0"/>
        <v>6</v>
      </c>
      <c r="K50" s="60" t="s">
        <v>84</v>
      </c>
      <c r="L50" s="46" t="s">
        <v>285</v>
      </c>
      <c r="M50" s="50">
        <v>2</v>
      </c>
      <c r="N50" s="50">
        <v>2</v>
      </c>
      <c r="O50" s="58">
        <f t="shared" si="1"/>
        <v>4</v>
      </c>
      <c r="P50" s="59" t="s">
        <v>86</v>
      </c>
      <c r="Q50" s="46" t="s">
        <v>87</v>
      </c>
      <c r="R50" s="80" t="s">
        <v>88</v>
      </c>
    </row>
    <row r="51" spans="1:18" ht="28.9">
      <c r="A51" s="26"/>
      <c r="B51" s="86">
        <v>47</v>
      </c>
      <c r="C51" s="46" t="s">
        <v>252</v>
      </c>
      <c r="D51" s="46" t="s">
        <v>253</v>
      </c>
      <c r="E51" s="46" t="s">
        <v>286</v>
      </c>
      <c r="F51" s="46" t="s">
        <v>287</v>
      </c>
      <c r="G51" s="46" t="s">
        <v>288</v>
      </c>
      <c r="H51" s="50">
        <v>2</v>
      </c>
      <c r="I51" s="50">
        <v>2</v>
      </c>
      <c r="J51" s="58">
        <f t="shared" si="0"/>
        <v>4</v>
      </c>
      <c r="K51" s="59" t="s">
        <v>86</v>
      </c>
      <c r="L51" s="46" t="s">
        <v>289</v>
      </c>
      <c r="M51" s="50">
        <v>1</v>
      </c>
      <c r="N51" s="50">
        <v>2</v>
      </c>
      <c r="O51" s="58">
        <f t="shared" si="1"/>
        <v>2</v>
      </c>
      <c r="P51" s="59" t="s">
        <v>86</v>
      </c>
      <c r="Q51" s="46" t="s">
        <v>87</v>
      </c>
      <c r="R51" s="80" t="s">
        <v>88</v>
      </c>
    </row>
    <row r="52" spans="1:18" ht="43.15">
      <c r="A52" s="26"/>
      <c r="B52" s="86">
        <v>48</v>
      </c>
      <c r="C52" s="46" t="s">
        <v>252</v>
      </c>
      <c r="D52" s="46" t="s">
        <v>290</v>
      </c>
      <c r="E52" s="46" t="s">
        <v>242</v>
      </c>
      <c r="F52" s="46" t="s">
        <v>291</v>
      </c>
      <c r="G52" s="46" t="s">
        <v>292</v>
      </c>
      <c r="H52" s="47">
        <v>2</v>
      </c>
      <c r="I52" s="50">
        <v>2</v>
      </c>
      <c r="J52" s="58">
        <f t="shared" si="0"/>
        <v>4</v>
      </c>
      <c r="K52" s="59" t="s">
        <v>86</v>
      </c>
      <c r="L52" s="46" t="s">
        <v>293</v>
      </c>
      <c r="M52" s="47">
        <v>1</v>
      </c>
      <c r="N52" s="50">
        <v>2</v>
      </c>
      <c r="O52" s="58">
        <f t="shared" si="1"/>
        <v>2</v>
      </c>
      <c r="P52" s="59" t="s">
        <v>86</v>
      </c>
      <c r="Q52" s="46" t="s">
        <v>87</v>
      </c>
      <c r="R52" s="80" t="s">
        <v>88</v>
      </c>
    </row>
    <row r="53" spans="1:18" ht="28.9">
      <c r="A53" s="26"/>
      <c r="B53" s="86">
        <v>49</v>
      </c>
      <c r="C53" s="46" t="s">
        <v>252</v>
      </c>
      <c r="D53" s="46" t="s">
        <v>294</v>
      </c>
      <c r="E53" s="46" t="s">
        <v>247</v>
      </c>
      <c r="F53" s="46" t="s">
        <v>295</v>
      </c>
      <c r="G53" s="46" t="s">
        <v>296</v>
      </c>
      <c r="H53" s="47">
        <v>3</v>
      </c>
      <c r="I53" s="50">
        <v>2</v>
      </c>
      <c r="J53" s="60">
        <f t="shared" si="0"/>
        <v>6</v>
      </c>
      <c r="K53" s="60" t="s">
        <v>84</v>
      </c>
      <c r="L53" s="46" t="s">
        <v>297</v>
      </c>
      <c r="M53" s="47">
        <v>2</v>
      </c>
      <c r="N53" s="50">
        <v>2</v>
      </c>
      <c r="O53" s="58">
        <f t="shared" si="1"/>
        <v>4</v>
      </c>
      <c r="P53" s="59" t="s">
        <v>86</v>
      </c>
      <c r="Q53" s="46" t="s">
        <v>87</v>
      </c>
      <c r="R53" s="80" t="s">
        <v>88</v>
      </c>
    </row>
    <row r="54" spans="1:18" ht="28.9">
      <c r="A54" s="26"/>
      <c r="B54" s="86">
        <v>50</v>
      </c>
      <c r="C54" s="46" t="s">
        <v>298</v>
      </c>
      <c r="D54" s="46" t="s">
        <v>299</v>
      </c>
      <c r="E54" s="46" t="s">
        <v>300</v>
      </c>
      <c r="F54" s="46" t="s">
        <v>301</v>
      </c>
      <c r="G54" s="46" t="s">
        <v>302</v>
      </c>
      <c r="H54" s="47">
        <v>2</v>
      </c>
      <c r="I54" s="50">
        <v>2</v>
      </c>
      <c r="J54" s="58">
        <f t="shared" si="0"/>
        <v>4</v>
      </c>
      <c r="K54" s="59" t="s">
        <v>86</v>
      </c>
      <c r="L54" s="46" t="s">
        <v>303</v>
      </c>
      <c r="M54" s="47">
        <v>1</v>
      </c>
      <c r="N54" s="50">
        <v>2</v>
      </c>
      <c r="O54" s="58">
        <f t="shared" si="1"/>
        <v>2</v>
      </c>
      <c r="P54" s="59" t="s">
        <v>86</v>
      </c>
      <c r="Q54" s="46" t="s">
        <v>87</v>
      </c>
      <c r="R54" s="80" t="s">
        <v>88</v>
      </c>
    </row>
    <row r="55" spans="1:18" ht="28.9">
      <c r="A55" s="26"/>
      <c r="B55" s="86">
        <v>51</v>
      </c>
      <c r="C55" s="46" t="s">
        <v>298</v>
      </c>
      <c r="D55" s="46" t="s">
        <v>299</v>
      </c>
      <c r="E55" s="46" t="s">
        <v>304</v>
      </c>
      <c r="F55" s="46" t="s">
        <v>305</v>
      </c>
      <c r="G55" s="46" t="s">
        <v>306</v>
      </c>
      <c r="H55" s="47">
        <v>2</v>
      </c>
      <c r="I55" s="53">
        <v>2</v>
      </c>
      <c r="J55" s="58">
        <f t="shared" si="0"/>
        <v>4</v>
      </c>
      <c r="K55" s="59" t="s">
        <v>86</v>
      </c>
      <c r="L55" s="46" t="s">
        <v>307</v>
      </c>
      <c r="M55" s="47">
        <v>1</v>
      </c>
      <c r="N55" s="53">
        <v>2</v>
      </c>
      <c r="O55" s="58">
        <f t="shared" si="1"/>
        <v>2</v>
      </c>
      <c r="P55" s="59" t="s">
        <v>86</v>
      </c>
      <c r="Q55" s="46" t="s">
        <v>87</v>
      </c>
      <c r="R55" s="80" t="s">
        <v>88</v>
      </c>
    </row>
    <row r="56" spans="1:18" ht="28.9">
      <c r="A56" s="28"/>
      <c r="B56" s="86">
        <v>52</v>
      </c>
      <c r="C56" s="46" t="s">
        <v>298</v>
      </c>
      <c r="D56" s="46" t="s">
        <v>308</v>
      </c>
      <c r="E56" s="46" t="s">
        <v>309</v>
      </c>
      <c r="F56" s="46" t="s">
        <v>310</v>
      </c>
      <c r="G56" s="46" t="s">
        <v>311</v>
      </c>
      <c r="H56" s="47">
        <v>2</v>
      </c>
      <c r="I56" s="50">
        <v>2</v>
      </c>
      <c r="J56" s="58">
        <f t="shared" si="0"/>
        <v>4</v>
      </c>
      <c r="K56" s="59" t="s">
        <v>86</v>
      </c>
      <c r="L56" s="46" t="s">
        <v>312</v>
      </c>
      <c r="M56" s="47">
        <v>1</v>
      </c>
      <c r="N56" s="50">
        <v>2</v>
      </c>
      <c r="O56" s="58">
        <f t="shared" si="1"/>
        <v>2</v>
      </c>
      <c r="P56" s="59" t="s">
        <v>86</v>
      </c>
      <c r="Q56" s="49" t="s">
        <v>87</v>
      </c>
      <c r="R56" s="80" t="s">
        <v>88</v>
      </c>
    </row>
    <row r="57" spans="1:18" ht="43.15">
      <c r="A57" s="28"/>
      <c r="B57" s="86">
        <v>53</v>
      </c>
      <c r="C57" s="46" t="s">
        <v>298</v>
      </c>
      <c r="D57" s="46" t="s">
        <v>308</v>
      </c>
      <c r="E57" s="46" t="s">
        <v>313</v>
      </c>
      <c r="F57" s="46" t="s">
        <v>310</v>
      </c>
      <c r="G57" s="46" t="s">
        <v>311</v>
      </c>
      <c r="H57" s="47">
        <v>2</v>
      </c>
      <c r="I57" s="50">
        <v>2</v>
      </c>
      <c r="J57" s="58">
        <f t="shared" si="0"/>
        <v>4</v>
      </c>
      <c r="K57" s="59" t="s">
        <v>86</v>
      </c>
      <c r="L57" s="46" t="s">
        <v>314</v>
      </c>
      <c r="M57" s="47">
        <v>1</v>
      </c>
      <c r="N57" s="50">
        <v>2</v>
      </c>
      <c r="O57" s="58">
        <f t="shared" si="1"/>
        <v>2</v>
      </c>
      <c r="P57" s="59" t="s">
        <v>86</v>
      </c>
      <c r="Q57" s="49" t="s">
        <v>87</v>
      </c>
      <c r="R57" s="80" t="s">
        <v>88</v>
      </c>
    </row>
    <row r="58" spans="1:18" ht="28.9">
      <c r="A58" s="28"/>
      <c r="B58" s="86">
        <v>54</v>
      </c>
      <c r="C58" s="46" t="s">
        <v>298</v>
      </c>
      <c r="D58" s="46" t="s">
        <v>315</v>
      </c>
      <c r="E58" s="46" t="s">
        <v>316</v>
      </c>
      <c r="F58" s="46" t="s">
        <v>317</v>
      </c>
      <c r="G58" s="46" t="s">
        <v>318</v>
      </c>
      <c r="H58" s="47">
        <v>3</v>
      </c>
      <c r="I58" s="53">
        <v>3</v>
      </c>
      <c r="J58" s="60">
        <f t="shared" si="0"/>
        <v>9</v>
      </c>
      <c r="K58" s="60" t="s">
        <v>84</v>
      </c>
      <c r="L58" s="46" t="s">
        <v>319</v>
      </c>
      <c r="M58" s="47">
        <v>2</v>
      </c>
      <c r="N58" s="53">
        <v>3</v>
      </c>
      <c r="O58" s="58">
        <f t="shared" si="1"/>
        <v>6</v>
      </c>
      <c r="P58" s="59" t="s">
        <v>86</v>
      </c>
      <c r="Q58" s="49" t="s">
        <v>87</v>
      </c>
      <c r="R58" s="80" t="s">
        <v>88</v>
      </c>
    </row>
    <row r="59" spans="1:18" ht="28.9">
      <c r="A59" s="28"/>
      <c r="B59" s="86">
        <v>55</v>
      </c>
      <c r="C59" s="46" t="s">
        <v>298</v>
      </c>
      <c r="D59" s="46" t="s">
        <v>320</v>
      </c>
      <c r="E59" s="46" t="s">
        <v>321</v>
      </c>
      <c r="F59" s="46" t="s">
        <v>322</v>
      </c>
      <c r="G59" s="46" t="s">
        <v>323</v>
      </c>
      <c r="H59" s="47">
        <v>3</v>
      </c>
      <c r="I59" s="50">
        <v>3</v>
      </c>
      <c r="J59" s="60">
        <f t="shared" si="0"/>
        <v>9</v>
      </c>
      <c r="K59" s="60" t="s">
        <v>84</v>
      </c>
      <c r="L59" s="46" t="s">
        <v>324</v>
      </c>
      <c r="M59" s="47">
        <v>2</v>
      </c>
      <c r="N59" s="50">
        <v>3</v>
      </c>
      <c r="O59" s="58">
        <f t="shared" si="1"/>
        <v>6</v>
      </c>
      <c r="P59" s="59" t="s">
        <v>86</v>
      </c>
      <c r="Q59" s="49" t="s">
        <v>87</v>
      </c>
      <c r="R59" s="80" t="s">
        <v>88</v>
      </c>
    </row>
    <row r="60" spans="1:18" ht="28.9">
      <c r="A60" s="26"/>
      <c r="B60" s="86">
        <v>56</v>
      </c>
      <c r="C60" s="46" t="s">
        <v>298</v>
      </c>
      <c r="D60" s="46" t="s">
        <v>325</v>
      </c>
      <c r="E60" s="46" t="s">
        <v>326</v>
      </c>
      <c r="F60" s="46" t="s">
        <v>327</v>
      </c>
      <c r="G60" s="46" t="s">
        <v>328</v>
      </c>
      <c r="H60" s="47">
        <v>2</v>
      </c>
      <c r="I60" s="50">
        <v>2</v>
      </c>
      <c r="J60" s="58">
        <f t="shared" si="0"/>
        <v>4</v>
      </c>
      <c r="K60" s="59" t="s">
        <v>86</v>
      </c>
      <c r="L60" s="46" t="s">
        <v>329</v>
      </c>
      <c r="M60" s="47">
        <v>1</v>
      </c>
      <c r="N60" s="50">
        <v>2</v>
      </c>
      <c r="O60" s="58">
        <f t="shared" si="1"/>
        <v>2</v>
      </c>
      <c r="P60" s="59" t="s">
        <v>86</v>
      </c>
      <c r="Q60" s="46" t="s">
        <v>87</v>
      </c>
      <c r="R60" s="80" t="s">
        <v>88</v>
      </c>
    </row>
    <row r="61" spans="1:18" ht="28.9">
      <c r="A61" s="26"/>
      <c r="B61" s="86">
        <v>57</v>
      </c>
      <c r="C61" s="46" t="s">
        <v>298</v>
      </c>
      <c r="D61" s="46" t="s">
        <v>330</v>
      </c>
      <c r="E61" s="46" t="s">
        <v>331</v>
      </c>
      <c r="F61" s="46" t="s">
        <v>332</v>
      </c>
      <c r="G61" s="46" t="s">
        <v>333</v>
      </c>
      <c r="H61" s="47">
        <v>2</v>
      </c>
      <c r="I61" s="50">
        <v>2</v>
      </c>
      <c r="J61" s="58">
        <f t="shared" si="0"/>
        <v>4</v>
      </c>
      <c r="K61" s="59" t="s">
        <v>86</v>
      </c>
      <c r="L61" s="46" t="s">
        <v>334</v>
      </c>
      <c r="M61" s="47">
        <v>1</v>
      </c>
      <c r="N61" s="50">
        <v>2</v>
      </c>
      <c r="O61" s="58">
        <f t="shared" si="1"/>
        <v>2</v>
      </c>
      <c r="P61" s="59" t="s">
        <v>86</v>
      </c>
      <c r="Q61" s="46" t="s">
        <v>87</v>
      </c>
      <c r="R61" s="80" t="s">
        <v>88</v>
      </c>
    </row>
    <row r="62" spans="1:18" ht="28.9">
      <c r="A62" s="26"/>
      <c r="B62" s="86">
        <v>58</v>
      </c>
      <c r="C62" s="46" t="s">
        <v>298</v>
      </c>
      <c r="D62" s="46" t="s">
        <v>335</v>
      </c>
      <c r="E62" s="46" t="s">
        <v>336</v>
      </c>
      <c r="F62" s="46" t="s">
        <v>337</v>
      </c>
      <c r="G62" s="46" t="s">
        <v>338</v>
      </c>
      <c r="H62" s="47">
        <v>2</v>
      </c>
      <c r="I62" s="50">
        <v>2</v>
      </c>
      <c r="J62" s="58">
        <f t="shared" si="0"/>
        <v>4</v>
      </c>
      <c r="K62" s="59" t="s">
        <v>86</v>
      </c>
      <c r="L62" s="46" t="s">
        <v>339</v>
      </c>
      <c r="M62" s="47">
        <v>1</v>
      </c>
      <c r="N62" s="50">
        <v>2</v>
      </c>
      <c r="O62" s="58">
        <f t="shared" si="1"/>
        <v>2</v>
      </c>
      <c r="P62" s="59" t="s">
        <v>86</v>
      </c>
      <c r="Q62" s="49" t="s">
        <v>87</v>
      </c>
      <c r="R62" s="80" t="s">
        <v>88</v>
      </c>
    </row>
    <row r="63" spans="1:18" ht="28.9">
      <c r="A63" s="26"/>
      <c r="B63" s="86">
        <v>59</v>
      </c>
      <c r="C63" s="46" t="s">
        <v>298</v>
      </c>
      <c r="D63" s="46" t="s">
        <v>340</v>
      </c>
      <c r="E63" s="46" t="s">
        <v>341</v>
      </c>
      <c r="F63" s="46" t="s">
        <v>342</v>
      </c>
      <c r="G63" s="46" t="s">
        <v>343</v>
      </c>
      <c r="H63" s="63">
        <v>3</v>
      </c>
      <c r="I63" s="64">
        <v>2</v>
      </c>
      <c r="J63" s="60">
        <f t="shared" si="0"/>
        <v>6</v>
      </c>
      <c r="K63" s="60" t="s">
        <v>84</v>
      </c>
      <c r="L63" s="46" t="s">
        <v>344</v>
      </c>
      <c r="M63" s="63">
        <v>1</v>
      </c>
      <c r="N63" s="64">
        <v>2</v>
      </c>
      <c r="O63" s="58">
        <f t="shared" si="1"/>
        <v>2</v>
      </c>
      <c r="P63" s="59" t="s">
        <v>86</v>
      </c>
      <c r="Q63" s="49" t="s">
        <v>87</v>
      </c>
      <c r="R63" s="80" t="s">
        <v>88</v>
      </c>
    </row>
    <row r="64" spans="1:18" ht="28.9">
      <c r="A64" s="26"/>
      <c r="B64" s="86">
        <v>60</v>
      </c>
      <c r="C64" s="46" t="s">
        <v>345</v>
      </c>
      <c r="D64" s="46" t="s">
        <v>346</v>
      </c>
      <c r="E64" s="46" t="s">
        <v>347</v>
      </c>
      <c r="F64" s="46" t="s">
        <v>348</v>
      </c>
      <c r="G64" s="46" t="s">
        <v>349</v>
      </c>
      <c r="H64" s="52">
        <v>3</v>
      </c>
      <c r="I64" s="51">
        <v>3</v>
      </c>
      <c r="J64" s="60">
        <f t="shared" ref="J64:J73" si="4">H64*I64</f>
        <v>9</v>
      </c>
      <c r="K64" s="60" t="s">
        <v>84</v>
      </c>
      <c r="L64" s="46" t="s">
        <v>350</v>
      </c>
      <c r="M64" s="52">
        <v>1</v>
      </c>
      <c r="N64" s="51">
        <v>3</v>
      </c>
      <c r="O64" s="58">
        <f t="shared" ref="O64:O73" si="5">M64*N64</f>
        <v>3</v>
      </c>
      <c r="P64" s="59" t="s">
        <v>86</v>
      </c>
      <c r="Q64" s="47" t="s">
        <v>87</v>
      </c>
      <c r="R64" s="80" t="s">
        <v>88</v>
      </c>
    </row>
    <row r="65" spans="1:18" ht="28.9">
      <c r="A65" s="26"/>
      <c r="B65" s="86">
        <v>61</v>
      </c>
      <c r="C65" s="46" t="s">
        <v>345</v>
      </c>
      <c r="D65" s="46" t="s">
        <v>346</v>
      </c>
      <c r="E65" s="46" t="s">
        <v>351</v>
      </c>
      <c r="F65" s="46" t="s">
        <v>352</v>
      </c>
      <c r="G65" s="46" t="s">
        <v>353</v>
      </c>
      <c r="H65" s="52">
        <v>3</v>
      </c>
      <c r="I65" s="51">
        <v>2</v>
      </c>
      <c r="J65" s="60">
        <f t="shared" si="4"/>
        <v>6</v>
      </c>
      <c r="K65" s="60" t="s">
        <v>84</v>
      </c>
      <c r="L65" s="46" t="s">
        <v>354</v>
      </c>
      <c r="M65" s="52">
        <v>2</v>
      </c>
      <c r="N65" s="51">
        <v>2</v>
      </c>
      <c r="O65" s="58">
        <f t="shared" si="5"/>
        <v>4</v>
      </c>
      <c r="P65" s="59" t="s">
        <v>86</v>
      </c>
      <c r="Q65" s="47" t="s">
        <v>87</v>
      </c>
      <c r="R65" s="80" t="s">
        <v>88</v>
      </c>
    </row>
    <row r="66" spans="1:18" ht="28.9">
      <c r="A66" s="26"/>
      <c r="B66" s="86">
        <v>62</v>
      </c>
      <c r="C66" s="46" t="s">
        <v>345</v>
      </c>
      <c r="D66" s="46" t="s">
        <v>346</v>
      </c>
      <c r="E66" s="46" t="s">
        <v>355</v>
      </c>
      <c r="F66" s="46" t="s">
        <v>356</v>
      </c>
      <c r="G66" s="46" t="s">
        <v>357</v>
      </c>
      <c r="H66" s="52">
        <v>3</v>
      </c>
      <c r="I66" s="51">
        <v>2</v>
      </c>
      <c r="J66" s="60">
        <f t="shared" si="4"/>
        <v>6</v>
      </c>
      <c r="K66" s="60" t="s">
        <v>84</v>
      </c>
      <c r="L66" s="46" t="s">
        <v>358</v>
      </c>
      <c r="M66" s="52">
        <v>2</v>
      </c>
      <c r="N66" s="51">
        <v>2</v>
      </c>
      <c r="O66" s="58">
        <f t="shared" si="5"/>
        <v>4</v>
      </c>
      <c r="P66" s="59" t="s">
        <v>86</v>
      </c>
      <c r="Q66" s="47" t="s">
        <v>87</v>
      </c>
      <c r="R66" s="80" t="s">
        <v>88</v>
      </c>
    </row>
    <row r="67" spans="1:18" ht="28.9">
      <c r="A67" s="26"/>
      <c r="B67" s="86">
        <v>63</v>
      </c>
      <c r="C67" s="46" t="s">
        <v>345</v>
      </c>
      <c r="D67" s="46" t="s">
        <v>346</v>
      </c>
      <c r="E67" s="46" t="s">
        <v>359</v>
      </c>
      <c r="F67" s="46" t="s">
        <v>360</v>
      </c>
      <c r="G67" s="46" t="s">
        <v>361</v>
      </c>
      <c r="H67" s="52">
        <v>3</v>
      </c>
      <c r="I67" s="51">
        <v>2</v>
      </c>
      <c r="J67" s="60">
        <f t="shared" si="4"/>
        <v>6</v>
      </c>
      <c r="K67" s="60" t="s">
        <v>84</v>
      </c>
      <c r="L67" s="46" t="s">
        <v>362</v>
      </c>
      <c r="M67" s="52">
        <v>2</v>
      </c>
      <c r="N67" s="51">
        <v>2</v>
      </c>
      <c r="O67" s="58">
        <f t="shared" si="5"/>
        <v>4</v>
      </c>
      <c r="P67" s="59" t="s">
        <v>86</v>
      </c>
      <c r="Q67" s="47" t="s">
        <v>87</v>
      </c>
      <c r="R67" s="80" t="s">
        <v>88</v>
      </c>
    </row>
    <row r="68" spans="1:18" ht="28.9">
      <c r="A68" s="26"/>
      <c r="B68" s="86">
        <v>64</v>
      </c>
      <c r="C68" s="46" t="s">
        <v>345</v>
      </c>
      <c r="D68" s="46" t="s">
        <v>346</v>
      </c>
      <c r="E68" s="46" t="s">
        <v>363</v>
      </c>
      <c r="F68" s="46" t="s">
        <v>364</v>
      </c>
      <c r="G68" s="46" t="s">
        <v>365</v>
      </c>
      <c r="H68" s="52">
        <v>3</v>
      </c>
      <c r="I68" s="51">
        <v>3</v>
      </c>
      <c r="J68" s="60">
        <f t="shared" si="4"/>
        <v>9</v>
      </c>
      <c r="K68" s="60" t="s">
        <v>84</v>
      </c>
      <c r="L68" s="46" t="s">
        <v>366</v>
      </c>
      <c r="M68" s="52">
        <v>1</v>
      </c>
      <c r="N68" s="51">
        <v>3</v>
      </c>
      <c r="O68" s="58">
        <f t="shared" si="5"/>
        <v>3</v>
      </c>
      <c r="P68" s="59" t="s">
        <v>86</v>
      </c>
      <c r="Q68" s="47" t="s">
        <v>87</v>
      </c>
      <c r="R68" s="80" t="s">
        <v>88</v>
      </c>
    </row>
    <row r="69" spans="1:18" ht="28.9">
      <c r="A69" s="26"/>
      <c r="B69" s="86">
        <v>65</v>
      </c>
      <c r="C69" s="46" t="s">
        <v>345</v>
      </c>
      <c r="D69" s="46" t="s">
        <v>346</v>
      </c>
      <c r="E69" s="46" t="s">
        <v>367</v>
      </c>
      <c r="F69" s="46" t="s">
        <v>368</v>
      </c>
      <c r="G69" s="46" t="s">
        <v>369</v>
      </c>
      <c r="H69" s="52">
        <v>3</v>
      </c>
      <c r="I69" s="51">
        <v>2</v>
      </c>
      <c r="J69" s="60">
        <f t="shared" si="4"/>
        <v>6</v>
      </c>
      <c r="K69" s="60" t="s">
        <v>84</v>
      </c>
      <c r="L69" s="46" t="s">
        <v>370</v>
      </c>
      <c r="M69" s="52">
        <v>1</v>
      </c>
      <c r="N69" s="51">
        <v>2</v>
      </c>
      <c r="O69" s="58">
        <f t="shared" si="5"/>
        <v>2</v>
      </c>
      <c r="P69" s="59" t="s">
        <v>86</v>
      </c>
      <c r="Q69" s="47" t="s">
        <v>87</v>
      </c>
      <c r="R69" s="80" t="s">
        <v>88</v>
      </c>
    </row>
    <row r="70" spans="1:18" ht="28.9">
      <c r="A70" s="26"/>
      <c r="B70" s="86">
        <v>66</v>
      </c>
      <c r="C70" s="46" t="s">
        <v>345</v>
      </c>
      <c r="D70" s="46" t="s">
        <v>346</v>
      </c>
      <c r="E70" s="46" t="s">
        <v>371</v>
      </c>
      <c r="F70" s="46" t="s">
        <v>372</v>
      </c>
      <c r="G70" s="46" t="s">
        <v>373</v>
      </c>
      <c r="H70" s="52">
        <v>3</v>
      </c>
      <c r="I70" s="51">
        <v>3</v>
      </c>
      <c r="J70" s="60">
        <f t="shared" si="4"/>
        <v>9</v>
      </c>
      <c r="K70" s="60" t="s">
        <v>84</v>
      </c>
      <c r="L70" s="46" t="s">
        <v>374</v>
      </c>
      <c r="M70" s="52">
        <v>1</v>
      </c>
      <c r="N70" s="51">
        <v>3</v>
      </c>
      <c r="O70" s="58">
        <f t="shared" si="5"/>
        <v>3</v>
      </c>
      <c r="P70" s="59" t="s">
        <v>86</v>
      </c>
      <c r="Q70" s="47" t="s">
        <v>87</v>
      </c>
      <c r="R70" s="80" t="s">
        <v>88</v>
      </c>
    </row>
    <row r="71" spans="1:18" ht="28.9">
      <c r="A71" s="26"/>
      <c r="B71" s="86">
        <v>67</v>
      </c>
      <c r="C71" s="46" t="s">
        <v>345</v>
      </c>
      <c r="D71" s="46" t="s">
        <v>346</v>
      </c>
      <c r="E71" s="46" t="s">
        <v>375</v>
      </c>
      <c r="F71" s="46" t="s">
        <v>376</v>
      </c>
      <c r="G71" s="46" t="s">
        <v>377</v>
      </c>
      <c r="H71" s="52">
        <v>3</v>
      </c>
      <c r="I71" s="51">
        <v>3</v>
      </c>
      <c r="J71" s="60">
        <f t="shared" si="4"/>
        <v>9</v>
      </c>
      <c r="K71" s="60" t="s">
        <v>84</v>
      </c>
      <c r="L71" s="46" t="s">
        <v>378</v>
      </c>
      <c r="M71" s="52">
        <v>1</v>
      </c>
      <c r="N71" s="51">
        <v>3</v>
      </c>
      <c r="O71" s="58">
        <f t="shared" si="5"/>
        <v>3</v>
      </c>
      <c r="P71" s="59" t="s">
        <v>86</v>
      </c>
      <c r="Q71" s="47" t="s">
        <v>87</v>
      </c>
      <c r="R71" s="80" t="s">
        <v>88</v>
      </c>
    </row>
    <row r="72" spans="1:18" ht="28.9">
      <c r="A72" s="26"/>
      <c r="B72" s="86">
        <v>68</v>
      </c>
      <c r="C72" s="46" t="s">
        <v>345</v>
      </c>
      <c r="D72" s="46" t="s">
        <v>346</v>
      </c>
      <c r="E72" s="46" t="s">
        <v>379</v>
      </c>
      <c r="F72" s="46" t="s">
        <v>380</v>
      </c>
      <c r="G72" s="46" t="s">
        <v>381</v>
      </c>
      <c r="H72" s="52">
        <v>3</v>
      </c>
      <c r="I72" s="51">
        <v>3</v>
      </c>
      <c r="J72" s="60">
        <f t="shared" si="4"/>
        <v>9</v>
      </c>
      <c r="K72" s="60" t="s">
        <v>84</v>
      </c>
      <c r="L72" s="46" t="s">
        <v>382</v>
      </c>
      <c r="M72" s="52">
        <v>1</v>
      </c>
      <c r="N72" s="51">
        <v>3</v>
      </c>
      <c r="O72" s="58">
        <f t="shared" si="5"/>
        <v>3</v>
      </c>
      <c r="P72" s="59" t="s">
        <v>86</v>
      </c>
      <c r="Q72" s="47" t="s">
        <v>87</v>
      </c>
      <c r="R72" s="80" t="s">
        <v>88</v>
      </c>
    </row>
    <row r="73" spans="1:18" ht="28.9">
      <c r="A73" s="26"/>
      <c r="B73" s="86">
        <v>69</v>
      </c>
      <c r="C73" s="46" t="s">
        <v>345</v>
      </c>
      <c r="D73" s="46" t="s">
        <v>346</v>
      </c>
      <c r="E73" s="46" t="s">
        <v>383</v>
      </c>
      <c r="F73" s="46" t="s">
        <v>384</v>
      </c>
      <c r="G73" s="46" t="s">
        <v>385</v>
      </c>
      <c r="H73" s="52">
        <v>3</v>
      </c>
      <c r="I73" s="51">
        <v>3</v>
      </c>
      <c r="J73" s="60">
        <f t="shared" si="4"/>
        <v>9</v>
      </c>
      <c r="K73" s="60" t="s">
        <v>84</v>
      </c>
      <c r="L73" s="46" t="s">
        <v>386</v>
      </c>
      <c r="M73" s="52">
        <v>1</v>
      </c>
      <c r="N73" s="51">
        <v>3</v>
      </c>
      <c r="O73" s="58">
        <f t="shared" si="5"/>
        <v>3</v>
      </c>
      <c r="P73" s="59" t="s">
        <v>86</v>
      </c>
      <c r="Q73" s="47" t="s">
        <v>87</v>
      </c>
      <c r="R73" s="80" t="s">
        <v>88</v>
      </c>
    </row>
    <row r="74" spans="1:18">
      <c r="A74" s="26"/>
      <c r="B74" s="163" t="s">
        <v>387</v>
      </c>
      <c r="C74" s="164"/>
      <c r="D74" s="164"/>
      <c r="E74" s="164"/>
      <c r="F74" s="164"/>
      <c r="G74" s="164"/>
      <c r="H74" s="164"/>
      <c r="I74" s="164"/>
      <c r="J74" s="164"/>
      <c r="K74" s="164"/>
      <c r="L74" s="164"/>
      <c r="M74" s="164"/>
      <c r="N74" s="164"/>
      <c r="O74" s="164"/>
      <c r="P74" s="164"/>
      <c r="Q74" s="164"/>
      <c r="R74" s="165"/>
    </row>
    <row r="75" spans="1:18" ht="43.15">
      <c r="A75" s="26"/>
      <c r="B75" s="86">
        <v>70</v>
      </c>
      <c r="C75" s="46" t="s">
        <v>79</v>
      </c>
      <c r="D75" s="46" t="s">
        <v>80</v>
      </c>
      <c r="E75" s="46" t="s">
        <v>388</v>
      </c>
      <c r="F75" s="46" t="s">
        <v>389</v>
      </c>
      <c r="G75" s="46" t="s">
        <v>390</v>
      </c>
      <c r="H75" s="47">
        <v>4</v>
      </c>
      <c r="I75" s="47">
        <v>3</v>
      </c>
      <c r="J75" s="60">
        <f>H75*I75</f>
        <v>12</v>
      </c>
      <c r="K75" s="60" t="s">
        <v>84</v>
      </c>
      <c r="L75" s="46" t="s">
        <v>391</v>
      </c>
      <c r="M75" s="47">
        <v>1</v>
      </c>
      <c r="N75" s="47">
        <v>3</v>
      </c>
      <c r="O75" s="58">
        <f>M75*N75</f>
        <v>3</v>
      </c>
      <c r="P75" s="59" t="s">
        <v>86</v>
      </c>
      <c r="Q75" s="46" t="s">
        <v>87</v>
      </c>
      <c r="R75" s="80" t="s">
        <v>88</v>
      </c>
    </row>
    <row r="76" spans="1:18" ht="57.6">
      <c r="A76" s="26"/>
      <c r="B76" s="86">
        <v>71</v>
      </c>
      <c r="C76" s="46" t="s">
        <v>79</v>
      </c>
      <c r="D76" s="46" t="s">
        <v>80</v>
      </c>
      <c r="E76" s="46" t="s">
        <v>392</v>
      </c>
      <c r="F76" s="46" t="s">
        <v>393</v>
      </c>
      <c r="G76" s="46" t="s">
        <v>394</v>
      </c>
      <c r="H76" s="47">
        <v>3</v>
      </c>
      <c r="I76" s="47">
        <v>3</v>
      </c>
      <c r="J76" s="60">
        <f>H76*I76</f>
        <v>9</v>
      </c>
      <c r="K76" s="60" t="s">
        <v>84</v>
      </c>
      <c r="L76" s="46" t="s">
        <v>395</v>
      </c>
      <c r="M76" s="47">
        <v>1</v>
      </c>
      <c r="N76" s="47">
        <v>3</v>
      </c>
      <c r="O76" s="58">
        <f t="shared" ref="O76:O78" si="6">M76*N76</f>
        <v>3</v>
      </c>
      <c r="P76" s="59" t="s">
        <v>86</v>
      </c>
      <c r="Q76" s="46" t="s">
        <v>87</v>
      </c>
      <c r="R76" s="80" t="s">
        <v>88</v>
      </c>
    </row>
    <row r="77" spans="1:18" ht="57.6">
      <c r="A77" s="26"/>
      <c r="B77" s="86">
        <v>72</v>
      </c>
      <c r="C77" s="46" t="s">
        <v>79</v>
      </c>
      <c r="D77" s="46" t="s">
        <v>80</v>
      </c>
      <c r="E77" s="46" t="s">
        <v>396</v>
      </c>
      <c r="F77" s="46" t="s">
        <v>397</v>
      </c>
      <c r="G77" s="46" t="s">
        <v>398</v>
      </c>
      <c r="H77" s="47">
        <v>3</v>
      </c>
      <c r="I77" s="47">
        <v>3</v>
      </c>
      <c r="J77" s="60">
        <f t="shared" ref="J77:J78" si="7">H77*I77</f>
        <v>9</v>
      </c>
      <c r="K77" s="60" t="s">
        <v>84</v>
      </c>
      <c r="L77" s="46" t="s">
        <v>399</v>
      </c>
      <c r="M77" s="47">
        <v>1</v>
      </c>
      <c r="N77" s="47">
        <v>3</v>
      </c>
      <c r="O77" s="58">
        <f t="shared" si="6"/>
        <v>3</v>
      </c>
      <c r="P77" s="59" t="s">
        <v>86</v>
      </c>
      <c r="Q77" s="46" t="s">
        <v>87</v>
      </c>
      <c r="R77" s="80" t="s">
        <v>88</v>
      </c>
    </row>
    <row r="78" spans="1:18" ht="43.15">
      <c r="A78" s="26"/>
      <c r="B78" s="86">
        <v>73</v>
      </c>
      <c r="C78" s="46" t="s">
        <v>89</v>
      </c>
      <c r="D78" s="46" t="s">
        <v>103</v>
      </c>
      <c r="E78" s="46" t="s">
        <v>400</v>
      </c>
      <c r="F78" s="46" t="s">
        <v>401</v>
      </c>
      <c r="G78" s="46" t="s">
        <v>402</v>
      </c>
      <c r="H78" s="47">
        <v>3</v>
      </c>
      <c r="I78" s="47">
        <v>3</v>
      </c>
      <c r="J78" s="60">
        <f t="shared" si="7"/>
        <v>9</v>
      </c>
      <c r="K78" s="60" t="s">
        <v>84</v>
      </c>
      <c r="L78" s="46" t="s">
        <v>403</v>
      </c>
      <c r="M78" s="47">
        <v>1</v>
      </c>
      <c r="N78" s="47">
        <v>3</v>
      </c>
      <c r="O78" s="58">
        <f t="shared" si="6"/>
        <v>3</v>
      </c>
      <c r="P78" s="59" t="s">
        <v>86</v>
      </c>
      <c r="Q78" s="46" t="s">
        <v>87</v>
      </c>
      <c r="R78" s="80" t="s">
        <v>88</v>
      </c>
    </row>
    <row r="79" spans="1:18" ht="28.9">
      <c r="A79" s="26"/>
      <c r="B79" s="86">
        <v>74</v>
      </c>
      <c r="C79" s="46" t="s">
        <v>340</v>
      </c>
      <c r="D79" s="46" t="s">
        <v>404</v>
      </c>
      <c r="E79" s="46" t="s">
        <v>405</v>
      </c>
      <c r="F79" s="46" t="s">
        <v>406</v>
      </c>
      <c r="G79" s="46" t="s">
        <v>407</v>
      </c>
      <c r="H79" s="51">
        <v>2</v>
      </c>
      <c r="I79" s="51">
        <v>3</v>
      </c>
      <c r="J79" s="60">
        <f t="shared" ref="J79:J90" si="8">H79*I79</f>
        <v>6</v>
      </c>
      <c r="K79" s="60" t="s">
        <v>84</v>
      </c>
      <c r="L79" s="46" t="s">
        <v>408</v>
      </c>
      <c r="M79" s="51">
        <v>1</v>
      </c>
      <c r="N79" s="51">
        <v>3</v>
      </c>
      <c r="O79" s="58">
        <f t="shared" ref="O79:O90" si="9">M79*N79</f>
        <v>3</v>
      </c>
      <c r="P79" s="59" t="s">
        <v>86</v>
      </c>
      <c r="Q79" s="51" t="s">
        <v>87</v>
      </c>
      <c r="R79" s="80" t="s">
        <v>88</v>
      </c>
    </row>
    <row r="80" spans="1:18" ht="28.9">
      <c r="A80" s="26"/>
      <c r="B80" s="86">
        <v>75</v>
      </c>
      <c r="C80" s="46" t="s">
        <v>340</v>
      </c>
      <c r="D80" s="46" t="s">
        <v>409</v>
      </c>
      <c r="E80" s="46" t="s">
        <v>410</v>
      </c>
      <c r="F80" s="46" t="s">
        <v>411</v>
      </c>
      <c r="G80" s="46" t="s">
        <v>412</v>
      </c>
      <c r="H80" s="51">
        <v>3</v>
      </c>
      <c r="I80" s="51">
        <v>3</v>
      </c>
      <c r="J80" s="60">
        <f t="shared" si="8"/>
        <v>9</v>
      </c>
      <c r="K80" s="60" t="s">
        <v>84</v>
      </c>
      <c r="L80" s="46" t="s">
        <v>413</v>
      </c>
      <c r="M80" s="51">
        <v>1</v>
      </c>
      <c r="N80" s="51">
        <v>3</v>
      </c>
      <c r="O80" s="58">
        <f t="shared" si="9"/>
        <v>3</v>
      </c>
      <c r="P80" s="59" t="s">
        <v>86</v>
      </c>
      <c r="Q80" s="51" t="s">
        <v>87</v>
      </c>
      <c r="R80" s="80" t="s">
        <v>88</v>
      </c>
    </row>
    <row r="81" spans="1:18" ht="28.9">
      <c r="A81" s="26"/>
      <c r="B81" s="86">
        <v>76</v>
      </c>
      <c r="C81" s="46" t="s">
        <v>340</v>
      </c>
      <c r="D81" s="46" t="s">
        <v>414</v>
      </c>
      <c r="E81" s="46" t="s">
        <v>415</v>
      </c>
      <c r="F81" s="46" t="s">
        <v>416</v>
      </c>
      <c r="G81" s="46" t="s">
        <v>417</v>
      </c>
      <c r="H81" s="51">
        <v>3</v>
      </c>
      <c r="I81" s="51">
        <v>3</v>
      </c>
      <c r="J81" s="60">
        <f t="shared" si="8"/>
        <v>9</v>
      </c>
      <c r="K81" s="60" t="s">
        <v>84</v>
      </c>
      <c r="L81" s="46" t="s">
        <v>418</v>
      </c>
      <c r="M81" s="51">
        <v>1</v>
      </c>
      <c r="N81" s="51">
        <v>3</v>
      </c>
      <c r="O81" s="58">
        <f t="shared" si="9"/>
        <v>3</v>
      </c>
      <c r="P81" s="59" t="s">
        <v>86</v>
      </c>
      <c r="Q81" s="51" t="s">
        <v>87</v>
      </c>
      <c r="R81" s="80" t="s">
        <v>88</v>
      </c>
    </row>
    <row r="82" spans="1:18" ht="43.15">
      <c r="A82" s="26"/>
      <c r="B82" s="86">
        <v>77</v>
      </c>
      <c r="C82" s="46" t="s">
        <v>340</v>
      </c>
      <c r="D82" s="46" t="s">
        <v>419</v>
      </c>
      <c r="E82" s="46" t="s">
        <v>420</v>
      </c>
      <c r="F82" s="46" t="s">
        <v>421</v>
      </c>
      <c r="G82" s="46" t="s">
        <v>422</v>
      </c>
      <c r="H82" s="51">
        <v>2</v>
      </c>
      <c r="I82" s="51">
        <v>3</v>
      </c>
      <c r="J82" s="60">
        <f t="shared" si="8"/>
        <v>6</v>
      </c>
      <c r="K82" s="60" t="s">
        <v>84</v>
      </c>
      <c r="L82" s="46" t="s">
        <v>423</v>
      </c>
      <c r="M82" s="51">
        <v>1</v>
      </c>
      <c r="N82" s="51">
        <v>3</v>
      </c>
      <c r="O82" s="58">
        <f t="shared" si="9"/>
        <v>3</v>
      </c>
      <c r="P82" s="59" t="s">
        <v>86</v>
      </c>
      <c r="Q82" s="51" t="s">
        <v>87</v>
      </c>
      <c r="R82" s="80" t="s">
        <v>88</v>
      </c>
    </row>
    <row r="83" spans="1:18" ht="28.9">
      <c r="A83" s="26"/>
      <c r="B83" s="86">
        <v>78</v>
      </c>
      <c r="C83" s="46" t="s">
        <v>340</v>
      </c>
      <c r="D83" s="46" t="s">
        <v>424</v>
      </c>
      <c r="E83" s="46" t="s">
        <v>425</v>
      </c>
      <c r="F83" s="46" t="s">
        <v>426</v>
      </c>
      <c r="G83" s="46" t="s">
        <v>427</v>
      </c>
      <c r="H83" s="51">
        <v>2</v>
      </c>
      <c r="I83" s="51">
        <v>3</v>
      </c>
      <c r="J83" s="60">
        <f t="shared" si="8"/>
        <v>6</v>
      </c>
      <c r="K83" s="60" t="s">
        <v>84</v>
      </c>
      <c r="L83" s="46" t="s">
        <v>428</v>
      </c>
      <c r="M83" s="51">
        <v>1</v>
      </c>
      <c r="N83" s="51">
        <v>3</v>
      </c>
      <c r="O83" s="58">
        <f t="shared" si="9"/>
        <v>3</v>
      </c>
      <c r="P83" s="59" t="s">
        <v>86</v>
      </c>
      <c r="Q83" s="51" t="s">
        <v>87</v>
      </c>
      <c r="R83" s="80" t="s">
        <v>88</v>
      </c>
    </row>
    <row r="84" spans="1:18" ht="28.9">
      <c r="A84" s="26"/>
      <c r="B84" s="86">
        <v>79</v>
      </c>
      <c r="C84" s="46" t="s">
        <v>340</v>
      </c>
      <c r="D84" s="46" t="s">
        <v>429</v>
      </c>
      <c r="E84" s="46" t="s">
        <v>430</v>
      </c>
      <c r="F84" s="46" t="s">
        <v>431</v>
      </c>
      <c r="G84" s="46" t="s">
        <v>432</v>
      </c>
      <c r="H84" s="51">
        <v>2</v>
      </c>
      <c r="I84" s="51">
        <v>3</v>
      </c>
      <c r="J84" s="60">
        <f t="shared" si="8"/>
        <v>6</v>
      </c>
      <c r="K84" s="60" t="s">
        <v>84</v>
      </c>
      <c r="L84" s="46" t="s">
        <v>433</v>
      </c>
      <c r="M84" s="51">
        <v>1</v>
      </c>
      <c r="N84" s="51">
        <v>3</v>
      </c>
      <c r="O84" s="58">
        <f t="shared" si="9"/>
        <v>3</v>
      </c>
      <c r="P84" s="59" t="s">
        <v>86</v>
      </c>
      <c r="Q84" s="51" t="s">
        <v>87</v>
      </c>
      <c r="R84" s="80" t="s">
        <v>88</v>
      </c>
    </row>
    <row r="85" spans="1:18" ht="28.9">
      <c r="A85" s="26"/>
      <c r="B85" s="86">
        <v>80</v>
      </c>
      <c r="C85" s="46" t="s">
        <v>340</v>
      </c>
      <c r="D85" s="46" t="s">
        <v>434</v>
      </c>
      <c r="E85" s="46" t="s">
        <v>435</v>
      </c>
      <c r="F85" s="46" t="s">
        <v>436</v>
      </c>
      <c r="G85" s="46" t="s">
        <v>437</v>
      </c>
      <c r="H85" s="51">
        <v>2</v>
      </c>
      <c r="I85" s="51">
        <v>3</v>
      </c>
      <c r="J85" s="60">
        <f t="shared" si="8"/>
        <v>6</v>
      </c>
      <c r="K85" s="60" t="s">
        <v>84</v>
      </c>
      <c r="L85" s="46" t="s">
        <v>438</v>
      </c>
      <c r="M85" s="51">
        <v>1</v>
      </c>
      <c r="N85" s="51">
        <v>3</v>
      </c>
      <c r="O85" s="58">
        <f t="shared" si="9"/>
        <v>3</v>
      </c>
      <c r="P85" s="59" t="s">
        <v>86</v>
      </c>
      <c r="Q85" s="51" t="s">
        <v>87</v>
      </c>
      <c r="R85" s="80" t="s">
        <v>88</v>
      </c>
    </row>
    <row r="86" spans="1:18" ht="28.9">
      <c r="A86" s="26"/>
      <c r="B86" s="86">
        <v>81</v>
      </c>
      <c r="C86" s="46" t="s">
        <v>340</v>
      </c>
      <c r="D86" s="46" t="s">
        <v>439</v>
      </c>
      <c r="E86" s="46" t="s">
        <v>440</v>
      </c>
      <c r="F86" s="46" t="s">
        <v>441</v>
      </c>
      <c r="G86" s="46" t="s">
        <v>442</v>
      </c>
      <c r="H86" s="51">
        <v>3</v>
      </c>
      <c r="I86" s="51">
        <v>3</v>
      </c>
      <c r="J86" s="60">
        <f t="shared" si="8"/>
        <v>9</v>
      </c>
      <c r="K86" s="60" t="s">
        <v>84</v>
      </c>
      <c r="L86" s="46" t="s">
        <v>443</v>
      </c>
      <c r="M86" s="51">
        <v>1</v>
      </c>
      <c r="N86" s="51">
        <v>3</v>
      </c>
      <c r="O86" s="58">
        <f t="shared" si="9"/>
        <v>3</v>
      </c>
      <c r="P86" s="59" t="s">
        <v>86</v>
      </c>
      <c r="Q86" s="51" t="s">
        <v>87</v>
      </c>
      <c r="R86" s="80" t="s">
        <v>88</v>
      </c>
    </row>
    <row r="87" spans="1:18" ht="28.9">
      <c r="A87" s="26"/>
      <c r="B87" s="86">
        <v>82</v>
      </c>
      <c r="C87" s="46" t="s">
        <v>340</v>
      </c>
      <c r="D87" s="46" t="s">
        <v>444</v>
      </c>
      <c r="E87" s="46" t="s">
        <v>445</v>
      </c>
      <c r="F87" s="46" t="s">
        <v>446</v>
      </c>
      <c r="G87" s="46" t="s">
        <v>447</v>
      </c>
      <c r="H87" s="51">
        <v>3</v>
      </c>
      <c r="I87" s="51">
        <v>3</v>
      </c>
      <c r="J87" s="60">
        <f t="shared" si="8"/>
        <v>9</v>
      </c>
      <c r="K87" s="60" t="s">
        <v>84</v>
      </c>
      <c r="L87" s="46" t="s">
        <v>448</v>
      </c>
      <c r="M87" s="51">
        <v>1</v>
      </c>
      <c r="N87" s="51">
        <v>3</v>
      </c>
      <c r="O87" s="58">
        <f t="shared" si="9"/>
        <v>3</v>
      </c>
      <c r="P87" s="59" t="s">
        <v>86</v>
      </c>
      <c r="Q87" s="51" t="s">
        <v>87</v>
      </c>
      <c r="R87" s="80" t="s">
        <v>88</v>
      </c>
    </row>
    <row r="88" spans="1:18" ht="28.9">
      <c r="A88" s="26"/>
      <c r="B88" s="86">
        <v>83</v>
      </c>
      <c r="C88" s="46" t="s">
        <v>340</v>
      </c>
      <c r="D88" s="46" t="s">
        <v>449</v>
      </c>
      <c r="E88" s="46" t="s">
        <v>450</v>
      </c>
      <c r="F88" s="46" t="s">
        <v>451</v>
      </c>
      <c r="G88" s="46" t="s">
        <v>452</v>
      </c>
      <c r="H88" s="51">
        <v>3</v>
      </c>
      <c r="I88" s="51">
        <v>3</v>
      </c>
      <c r="J88" s="60">
        <f t="shared" si="8"/>
        <v>9</v>
      </c>
      <c r="K88" s="60" t="s">
        <v>84</v>
      </c>
      <c r="L88" s="46" t="s">
        <v>453</v>
      </c>
      <c r="M88" s="51">
        <v>1</v>
      </c>
      <c r="N88" s="51">
        <v>3</v>
      </c>
      <c r="O88" s="58">
        <f t="shared" si="9"/>
        <v>3</v>
      </c>
      <c r="P88" s="59" t="s">
        <v>86</v>
      </c>
      <c r="Q88" s="51" t="s">
        <v>87</v>
      </c>
      <c r="R88" s="80" t="s">
        <v>88</v>
      </c>
    </row>
    <row r="89" spans="1:18" ht="28.9">
      <c r="A89" s="26"/>
      <c r="B89" s="86">
        <v>84</v>
      </c>
      <c r="C89" s="46" t="s">
        <v>340</v>
      </c>
      <c r="D89" s="46" t="s">
        <v>454</v>
      </c>
      <c r="E89" s="46" t="s">
        <v>455</v>
      </c>
      <c r="F89" s="46" t="s">
        <v>456</v>
      </c>
      <c r="G89" s="46" t="s">
        <v>457</v>
      </c>
      <c r="H89" s="51">
        <v>2</v>
      </c>
      <c r="I89" s="51">
        <v>3</v>
      </c>
      <c r="J89" s="58">
        <f t="shared" si="8"/>
        <v>6</v>
      </c>
      <c r="K89" s="59" t="s">
        <v>86</v>
      </c>
      <c r="L89" s="46" t="s">
        <v>458</v>
      </c>
      <c r="M89" s="51">
        <v>1</v>
      </c>
      <c r="N89" s="51">
        <v>3</v>
      </c>
      <c r="O89" s="58">
        <f t="shared" si="9"/>
        <v>3</v>
      </c>
      <c r="P89" s="59" t="s">
        <v>86</v>
      </c>
      <c r="Q89" s="51" t="s">
        <v>87</v>
      </c>
      <c r="R89" s="80" t="s">
        <v>88</v>
      </c>
    </row>
    <row r="90" spans="1:18" ht="28.9">
      <c r="A90" s="26"/>
      <c r="B90" s="86">
        <v>85</v>
      </c>
      <c r="C90" s="46" t="s">
        <v>340</v>
      </c>
      <c r="D90" s="46" t="s">
        <v>459</v>
      </c>
      <c r="E90" s="46" t="s">
        <v>460</v>
      </c>
      <c r="F90" s="46" t="s">
        <v>461</v>
      </c>
      <c r="G90" s="46" t="s">
        <v>462</v>
      </c>
      <c r="H90" s="51">
        <v>3</v>
      </c>
      <c r="I90" s="51">
        <v>3</v>
      </c>
      <c r="J90" s="60">
        <f t="shared" si="8"/>
        <v>9</v>
      </c>
      <c r="K90" s="60" t="s">
        <v>84</v>
      </c>
      <c r="L90" s="46" t="s">
        <v>463</v>
      </c>
      <c r="M90" s="51">
        <v>1</v>
      </c>
      <c r="N90" s="51">
        <v>3</v>
      </c>
      <c r="O90" s="58">
        <f t="shared" si="9"/>
        <v>3</v>
      </c>
      <c r="P90" s="59" t="s">
        <v>86</v>
      </c>
      <c r="Q90" s="51" t="s">
        <v>87</v>
      </c>
      <c r="R90" s="80" t="s">
        <v>88</v>
      </c>
    </row>
    <row r="91" spans="1:18">
      <c r="A91" s="26"/>
      <c r="B91" s="163" t="s">
        <v>464</v>
      </c>
      <c r="C91" s="164"/>
      <c r="D91" s="164"/>
      <c r="E91" s="164"/>
      <c r="F91" s="164"/>
      <c r="G91" s="164"/>
      <c r="H91" s="164"/>
      <c r="I91" s="164"/>
      <c r="J91" s="164"/>
      <c r="K91" s="164"/>
      <c r="L91" s="164"/>
      <c r="M91" s="164"/>
      <c r="N91" s="164"/>
      <c r="O91" s="164"/>
      <c r="P91" s="164"/>
      <c r="Q91" s="164"/>
      <c r="R91" s="165"/>
    </row>
    <row r="92" spans="1:18" ht="28.9">
      <c r="A92" s="26"/>
      <c r="B92" s="86">
        <v>86</v>
      </c>
      <c r="C92" s="46" t="s">
        <v>165</v>
      </c>
      <c r="D92" s="46" t="s">
        <v>179</v>
      </c>
      <c r="E92" s="46" t="s">
        <v>465</v>
      </c>
      <c r="F92" s="46" t="s">
        <v>466</v>
      </c>
      <c r="G92" s="46" t="s">
        <v>467</v>
      </c>
      <c r="H92" s="48">
        <v>2</v>
      </c>
      <c r="I92" s="48">
        <v>3</v>
      </c>
      <c r="J92" s="60">
        <f t="shared" ref="J92:J102" si="10">H92*I92</f>
        <v>6</v>
      </c>
      <c r="K92" s="60" t="s">
        <v>84</v>
      </c>
      <c r="L92" s="46" t="s">
        <v>468</v>
      </c>
      <c r="M92" s="48">
        <v>1</v>
      </c>
      <c r="N92" s="48">
        <v>3</v>
      </c>
      <c r="O92" s="58">
        <f t="shared" ref="O92:O101" si="11">M92*N92</f>
        <v>3</v>
      </c>
      <c r="P92" s="59" t="s">
        <v>86</v>
      </c>
      <c r="Q92" s="48" t="s">
        <v>87</v>
      </c>
      <c r="R92" s="80" t="s">
        <v>88</v>
      </c>
    </row>
    <row r="93" spans="1:18" ht="28.9">
      <c r="A93" s="26"/>
      <c r="B93" s="86">
        <v>87</v>
      </c>
      <c r="C93" s="46" t="s">
        <v>298</v>
      </c>
      <c r="D93" s="46" t="s">
        <v>469</v>
      </c>
      <c r="E93" s="46" t="s">
        <v>470</v>
      </c>
      <c r="F93" s="46" t="s">
        <v>471</v>
      </c>
      <c r="G93" s="46" t="s">
        <v>472</v>
      </c>
      <c r="H93" s="54">
        <v>2</v>
      </c>
      <c r="I93" s="65">
        <v>2</v>
      </c>
      <c r="J93" s="58">
        <f t="shared" si="10"/>
        <v>4</v>
      </c>
      <c r="K93" s="59" t="s">
        <v>86</v>
      </c>
      <c r="L93" s="46" t="s">
        <v>473</v>
      </c>
      <c r="M93" s="54">
        <v>1</v>
      </c>
      <c r="N93" s="65">
        <v>2</v>
      </c>
      <c r="O93" s="58">
        <f t="shared" si="11"/>
        <v>2</v>
      </c>
      <c r="P93" s="59" t="s">
        <v>86</v>
      </c>
      <c r="Q93" s="66" t="s">
        <v>87</v>
      </c>
      <c r="R93" s="80" t="s">
        <v>88</v>
      </c>
    </row>
    <row r="94" spans="1:18" ht="28.9">
      <c r="A94" s="26"/>
      <c r="B94" s="86">
        <v>88</v>
      </c>
      <c r="C94" s="46" t="s">
        <v>298</v>
      </c>
      <c r="D94" s="46" t="s">
        <v>474</v>
      </c>
      <c r="E94" s="46" t="s">
        <v>475</v>
      </c>
      <c r="F94" s="46" t="s">
        <v>471</v>
      </c>
      <c r="G94" s="46" t="s">
        <v>472</v>
      </c>
      <c r="H94" s="56">
        <v>2</v>
      </c>
      <c r="I94" s="55">
        <v>2</v>
      </c>
      <c r="J94" s="58">
        <f t="shared" si="10"/>
        <v>4</v>
      </c>
      <c r="K94" s="59" t="s">
        <v>86</v>
      </c>
      <c r="L94" s="46" t="s">
        <v>476</v>
      </c>
      <c r="M94" s="56">
        <v>1</v>
      </c>
      <c r="N94" s="55">
        <v>2</v>
      </c>
      <c r="O94" s="58">
        <f t="shared" si="11"/>
        <v>2</v>
      </c>
      <c r="P94" s="59" t="s">
        <v>86</v>
      </c>
      <c r="Q94" s="67" t="s">
        <v>87</v>
      </c>
      <c r="R94" s="80" t="s">
        <v>88</v>
      </c>
    </row>
    <row r="95" spans="1:18" ht="28.9">
      <c r="A95" s="26"/>
      <c r="B95" s="86">
        <v>89</v>
      </c>
      <c r="C95" s="46" t="s">
        <v>298</v>
      </c>
      <c r="D95" s="46" t="s">
        <v>477</v>
      </c>
      <c r="E95" s="46" t="s">
        <v>478</v>
      </c>
      <c r="F95" s="46" t="s">
        <v>479</v>
      </c>
      <c r="G95" s="46" t="s">
        <v>480</v>
      </c>
      <c r="H95" s="68">
        <v>3</v>
      </c>
      <c r="I95" s="69">
        <v>3</v>
      </c>
      <c r="J95" s="60">
        <f t="shared" si="10"/>
        <v>9</v>
      </c>
      <c r="K95" s="60" t="s">
        <v>84</v>
      </c>
      <c r="L95" s="46" t="s">
        <v>481</v>
      </c>
      <c r="M95" s="68">
        <v>2</v>
      </c>
      <c r="N95" s="69">
        <v>3</v>
      </c>
      <c r="O95" s="58">
        <f t="shared" si="11"/>
        <v>6</v>
      </c>
      <c r="P95" s="59" t="s">
        <v>86</v>
      </c>
      <c r="Q95" s="70" t="s">
        <v>87</v>
      </c>
      <c r="R95" s="80" t="s">
        <v>88</v>
      </c>
    </row>
    <row r="96" spans="1:18" ht="28.9">
      <c r="A96" s="26"/>
      <c r="B96" s="86">
        <v>90</v>
      </c>
      <c r="C96" s="46" t="s">
        <v>298</v>
      </c>
      <c r="D96" s="46" t="s">
        <v>482</v>
      </c>
      <c r="E96" s="46" t="s">
        <v>483</v>
      </c>
      <c r="F96" s="46" t="s">
        <v>484</v>
      </c>
      <c r="G96" s="46" t="s">
        <v>485</v>
      </c>
      <c r="H96" s="52">
        <v>3</v>
      </c>
      <c r="I96" s="51">
        <v>3</v>
      </c>
      <c r="J96" s="60">
        <f t="shared" si="10"/>
        <v>9</v>
      </c>
      <c r="K96" s="60" t="s">
        <v>84</v>
      </c>
      <c r="L96" s="46" t="s">
        <v>486</v>
      </c>
      <c r="M96" s="52">
        <v>1</v>
      </c>
      <c r="N96" s="51">
        <v>3</v>
      </c>
      <c r="O96" s="58">
        <f t="shared" si="11"/>
        <v>3</v>
      </c>
      <c r="P96" s="59" t="s">
        <v>86</v>
      </c>
      <c r="Q96" s="47" t="s">
        <v>87</v>
      </c>
      <c r="R96" s="80" t="s">
        <v>88</v>
      </c>
    </row>
    <row r="97" spans="1:18" ht="43.15">
      <c r="A97" s="26"/>
      <c r="B97" s="86">
        <v>91</v>
      </c>
      <c r="C97" s="46" t="s">
        <v>298</v>
      </c>
      <c r="D97" s="46" t="s">
        <v>482</v>
      </c>
      <c r="E97" s="46" t="s">
        <v>487</v>
      </c>
      <c r="F97" s="46" t="s">
        <v>488</v>
      </c>
      <c r="G97" s="46" t="s">
        <v>489</v>
      </c>
      <c r="H97" s="52">
        <v>2</v>
      </c>
      <c r="I97" s="51">
        <v>3</v>
      </c>
      <c r="J97" s="60">
        <f t="shared" si="10"/>
        <v>6</v>
      </c>
      <c r="K97" s="60" t="s">
        <v>84</v>
      </c>
      <c r="L97" s="46" t="s">
        <v>490</v>
      </c>
      <c r="M97" s="52">
        <v>1</v>
      </c>
      <c r="N97" s="51">
        <v>3</v>
      </c>
      <c r="O97" s="58">
        <f t="shared" si="11"/>
        <v>3</v>
      </c>
      <c r="P97" s="59" t="s">
        <v>86</v>
      </c>
      <c r="Q97" s="47" t="s">
        <v>87</v>
      </c>
      <c r="R97" s="80" t="s">
        <v>88</v>
      </c>
    </row>
    <row r="98" spans="1:18" ht="28.9">
      <c r="A98" s="26"/>
      <c r="B98" s="86">
        <v>92</v>
      </c>
      <c r="C98" s="46" t="s">
        <v>298</v>
      </c>
      <c r="D98" s="46" t="s">
        <v>482</v>
      </c>
      <c r="E98" s="46" t="s">
        <v>491</v>
      </c>
      <c r="F98" s="46" t="s">
        <v>492</v>
      </c>
      <c r="G98" s="46" t="s">
        <v>493</v>
      </c>
      <c r="H98" s="52">
        <v>3</v>
      </c>
      <c r="I98" s="51">
        <v>3</v>
      </c>
      <c r="J98" s="60">
        <f t="shared" si="10"/>
        <v>9</v>
      </c>
      <c r="K98" s="60" t="s">
        <v>84</v>
      </c>
      <c r="L98" s="46" t="s">
        <v>494</v>
      </c>
      <c r="M98" s="52">
        <v>1</v>
      </c>
      <c r="N98" s="51">
        <v>3</v>
      </c>
      <c r="O98" s="58">
        <f t="shared" si="11"/>
        <v>3</v>
      </c>
      <c r="P98" s="59" t="s">
        <v>86</v>
      </c>
      <c r="Q98" s="47" t="s">
        <v>87</v>
      </c>
      <c r="R98" s="80" t="s">
        <v>88</v>
      </c>
    </row>
    <row r="99" spans="1:18" ht="28.9">
      <c r="A99" s="26"/>
      <c r="B99" s="86">
        <v>93</v>
      </c>
      <c r="C99" s="46" t="s">
        <v>298</v>
      </c>
      <c r="D99" s="46" t="s">
        <v>482</v>
      </c>
      <c r="E99" s="46" t="s">
        <v>495</v>
      </c>
      <c r="F99" s="46" t="s">
        <v>496</v>
      </c>
      <c r="G99" s="46" t="s">
        <v>497</v>
      </c>
      <c r="H99" s="52">
        <v>2</v>
      </c>
      <c r="I99" s="51">
        <v>3</v>
      </c>
      <c r="J99" s="60">
        <f t="shared" si="10"/>
        <v>6</v>
      </c>
      <c r="K99" s="60" t="s">
        <v>84</v>
      </c>
      <c r="L99" s="46" t="s">
        <v>498</v>
      </c>
      <c r="M99" s="52">
        <v>1</v>
      </c>
      <c r="N99" s="51">
        <v>3</v>
      </c>
      <c r="O99" s="58">
        <f t="shared" si="11"/>
        <v>3</v>
      </c>
      <c r="P99" s="59" t="s">
        <v>86</v>
      </c>
      <c r="Q99" s="47" t="s">
        <v>87</v>
      </c>
      <c r="R99" s="80" t="s">
        <v>88</v>
      </c>
    </row>
    <row r="100" spans="1:18" ht="28.9">
      <c r="A100" s="26"/>
      <c r="B100" s="86">
        <v>94</v>
      </c>
      <c r="C100" s="46" t="s">
        <v>298</v>
      </c>
      <c r="D100" s="46" t="s">
        <v>482</v>
      </c>
      <c r="E100" s="46" t="s">
        <v>499</v>
      </c>
      <c r="F100" s="46" t="s">
        <v>500</v>
      </c>
      <c r="G100" s="46" t="s">
        <v>501</v>
      </c>
      <c r="H100" s="52">
        <v>2</v>
      </c>
      <c r="I100" s="51">
        <v>3</v>
      </c>
      <c r="J100" s="60">
        <f t="shared" si="10"/>
        <v>6</v>
      </c>
      <c r="K100" s="60" t="s">
        <v>84</v>
      </c>
      <c r="L100" s="46" t="s">
        <v>502</v>
      </c>
      <c r="M100" s="52">
        <v>1</v>
      </c>
      <c r="N100" s="51">
        <v>3</v>
      </c>
      <c r="O100" s="58">
        <f t="shared" si="11"/>
        <v>3</v>
      </c>
      <c r="P100" s="59" t="s">
        <v>86</v>
      </c>
      <c r="Q100" s="47" t="s">
        <v>87</v>
      </c>
      <c r="R100" s="80" t="s">
        <v>88</v>
      </c>
    </row>
    <row r="101" spans="1:18" ht="28.9">
      <c r="A101" s="26"/>
      <c r="B101" s="86">
        <v>95</v>
      </c>
      <c r="C101" s="46" t="s">
        <v>298</v>
      </c>
      <c r="D101" s="46" t="s">
        <v>482</v>
      </c>
      <c r="E101" s="46" t="s">
        <v>503</v>
      </c>
      <c r="F101" s="46" t="s">
        <v>504</v>
      </c>
      <c r="G101" s="46" t="s">
        <v>505</v>
      </c>
      <c r="H101" s="52">
        <v>2</v>
      </c>
      <c r="I101" s="51">
        <v>3</v>
      </c>
      <c r="J101" s="60">
        <f t="shared" si="10"/>
        <v>6</v>
      </c>
      <c r="K101" s="60" t="s">
        <v>84</v>
      </c>
      <c r="L101" s="46" t="s">
        <v>506</v>
      </c>
      <c r="M101" s="52">
        <v>1</v>
      </c>
      <c r="N101" s="51">
        <v>3</v>
      </c>
      <c r="O101" s="58">
        <f t="shared" si="11"/>
        <v>3</v>
      </c>
      <c r="P101" s="59" t="s">
        <v>86</v>
      </c>
      <c r="Q101" s="47" t="s">
        <v>87</v>
      </c>
      <c r="R101" s="80" t="s">
        <v>88</v>
      </c>
    </row>
    <row r="102" spans="1:18" ht="28.9">
      <c r="A102" s="26"/>
      <c r="B102" s="86">
        <v>96</v>
      </c>
      <c r="C102" s="46" t="s">
        <v>298</v>
      </c>
      <c r="D102" s="46" t="s">
        <v>482</v>
      </c>
      <c r="E102" s="46" t="s">
        <v>507</v>
      </c>
      <c r="F102" s="46" t="s">
        <v>508</v>
      </c>
      <c r="G102" s="46" t="s">
        <v>509</v>
      </c>
      <c r="H102" s="52">
        <v>3</v>
      </c>
      <c r="I102" s="51">
        <v>3</v>
      </c>
      <c r="J102" s="60">
        <f t="shared" si="10"/>
        <v>9</v>
      </c>
      <c r="K102" s="60" t="s">
        <v>84</v>
      </c>
      <c r="L102" s="46" t="s">
        <v>510</v>
      </c>
      <c r="M102" s="52">
        <v>1</v>
      </c>
      <c r="N102" s="51">
        <v>3</v>
      </c>
      <c r="O102" s="58">
        <f t="shared" ref="O102:O118" si="12">M102*N102</f>
        <v>3</v>
      </c>
      <c r="P102" s="59" t="s">
        <v>86</v>
      </c>
      <c r="Q102" s="47" t="s">
        <v>87</v>
      </c>
      <c r="R102" s="80" t="s">
        <v>88</v>
      </c>
    </row>
    <row r="103" spans="1:18" ht="28.9">
      <c r="A103" s="26"/>
      <c r="B103" s="86">
        <v>97</v>
      </c>
      <c r="C103" s="46" t="s">
        <v>298</v>
      </c>
      <c r="D103" s="46" t="s">
        <v>482</v>
      </c>
      <c r="E103" s="46" t="s">
        <v>511</v>
      </c>
      <c r="F103" s="46" t="s">
        <v>508</v>
      </c>
      <c r="G103" s="46" t="s">
        <v>509</v>
      </c>
      <c r="H103" s="52">
        <v>3</v>
      </c>
      <c r="I103" s="51">
        <v>3</v>
      </c>
      <c r="J103" s="60">
        <f t="shared" ref="J103:J118" si="13">H103*I103</f>
        <v>9</v>
      </c>
      <c r="K103" s="60" t="s">
        <v>84</v>
      </c>
      <c r="L103" s="46" t="s">
        <v>512</v>
      </c>
      <c r="M103" s="52">
        <v>1</v>
      </c>
      <c r="N103" s="51">
        <v>3</v>
      </c>
      <c r="O103" s="58">
        <f t="shared" si="12"/>
        <v>3</v>
      </c>
      <c r="P103" s="59" t="s">
        <v>86</v>
      </c>
      <c r="Q103" s="47" t="s">
        <v>87</v>
      </c>
      <c r="R103" s="80" t="s">
        <v>88</v>
      </c>
    </row>
    <row r="104" spans="1:18" ht="28.9">
      <c r="A104" s="26"/>
      <c r="B104" s="86">
        <v>98</v>
      </c>
      <c r="C104" s="46" t="s">
        <v>298</v>
      </c>
      <c r="D104" s="46" t="s">
        <v>482</v>
      </c>
      <c r="E104" s="46" t="s">
        <v>513</v>
      </c>
      <c r="F104" s="46" t="s">
        <v>514</v>
      </c>
      <c r="G104" s="46" t="s">
        <v>515</v>
      </c>
      <c r="H104" s="52">
        <v>3</v>
      </c>
      <c r="I104" s="51">
        <v>3</v>
      </c>
      <c r="J104" s="60">
        <f t="shared" si="13"/>
        <v>9</v>
      </c>
      <c r="K104" s="60" t="s">
        <v>84</v>
      </c>
      <c r="L104" s="46" t="s">
        <v>516</v>
      </c>
      <c r="M104" s="52">
        <v>1</v>
      </c>
      <c r="N104" s="51">
        <v>3</v>
      </c>
      <c r="O104" s="58">
        <f t="shared" si="12"/>
        <v>3</v>
      </c>
      <c r="P104" s="59" t="s">
        <v>86</v>
      </c>
      <c r="Q104" s="47" t="s">
        <v>87</v>
      </c>
      <c r="R104" s="80" t="s">
        <v>88</v>
      </c>
    </row>
    <row r="105" spans="1:18" ht="28.9">
      <c r="A105" s="26"/>
      <c r="B105" s="86">
        <v>99</v>
      </c>
      <c r="C105" s="46" t="s">
        <v>298</v>
      </c>
      <c r="D105" s="46" t="s">
        <v>482</v>
      </c>
      <c r="E105" s="46" t="s">
        <v>517</v>
      </c>
      <c r="F105" s="46" t="s">
        <v>518</v>
      </c>
      <c r="G105" s="46" t="s">
        <v>519</v>
      </c>
      <c r="H105" s="52">
        <v>3</v>
      </c>
      <c r="I105" s="51">
        <v>3</v>
      </c>
      <c r="J105" s="60">
        <f t="shared" si="13"/>
        <v>9</v>
      </c>
      <c r="K105" s="60" t="s">
        <v>84</v>
      </c>
      <c r="L105" s="46" t="s">
        <v>520</v>
      </c>
      <c r="M105" s="52">
        <v>1</v>
      </c>
      <c r="N105" s="51">
        <v>3</v>
      </c>
      <c r="O105" s="58">
        <f t="shared" si="12"/>
        <v>3</v>
      </c>
      <c r="P105" s="59" t="s">
        <v>86</v>
      </c>
      <c r="Q105" s="47" t="s">
        <v>87</v>
      </c>
      <c r="R105" s="80" t="s">
        <v>88</v>
      </c>
    </row>
    <row r="106" spans="1:18" ht="28.9">
      <c r="A106" s="26"/>
      <c r="B106" s="86">
        <v>100</v>
      </c>
      <c r="C106" s="46" t="s">
        <v>298</v>
      </c>
      <c r="D106" s="46" t="s">
        <v>482</v>
      </c>
      <c r="E106" s="46" t="s">
        <v>521</v>
      </c>
      <c r="F106" s="46" t="s">
        <v>518</v>
      </c>
      <c r="G106" s="46" t="s">
        <v>519</v>
      </c>
      <c r="H106" s="52">
        <v>3</v>
      </c>
      <c r="I106" s="51">
        <v>3</v>
      </c>
      <c r="J106" s="60">
        <f t="shared" si="13"/>
        <v>9</v>
      </c>
      <c r="K106" s="60" t="s">
        <v>84</v>
      </c>
      <c r="L106" s="46" t="s">
        <v>522</v>
      </c>
      <c r="M106" s="52">
        <v>1</v>
      </c>
      <c r="N106" s="51">
        <v>3</v>
      </c>
      <c r="O106" s="58">
        <f t="shared" si="12"/>
        <v>3</v>
      </c>
      <c r="P106" s="59" t="s">
        <v>86</v>
      </c>
      <c r="Q106" s="47" t="s">
        <v>87</v>
      </c>
      <c r="R106" s="80" t="s">
        <v>88</v>
      </c>
    </row>
    <row r="107" spans="1:18" ht="28.9">
      <c r="A107" s="26"/>
      <c r="B107" s="86">
        <v>101</v>
      </c>
      <c r="C107" s="46" t="s">
        <v>298</v>
      </c>
      <c r="D107" s="46" t="s">
        <v>482</v>
      </c>
      <c r="E107" s="46" t="s">
        <v>523</v>
      </c>
      <c r="F107" s="46" t="s">
        <v>524</v>
      </c>
      <c r="G107" s="46" t="s">
        <v>525</v>
      </c>
      <c r="H107" s="52">
        <v>3</v>
      </c>
      <c r="I107" s="51">
        <v>3</v>
      </c>
      <c r="J107" s="60">
        <f t="shared" si="13"/>
        <v>9</v>
      </c>
      <c r="K107" s="60" t="s">
        <v>84</v>
      </c>
      <c r="L107" s="46" t="s">
        <v>526</v>
      </c>
      <c r="M107" s="52">
        <v>1</v>
      </c>
      <c r="N107" s="51">
        <v>3</v>
      </c>
      <c r="O107" s="58">
        <f t="shared" si="12"/>
        <v>3</v>
      </c>
      <c r="P107" s="59" t="s">
        <v>86</v>
      </c>
      <c r="Q107" s="47" t="s">
        <v>87</v>
      </c>
      <c r="R107" s="80" t="s">
        <v>88</v>
      </c>
    </row>
    <row r="108" spans="1:18" ht="28.9">
      <c r="A108" s="26"/>
      <c r="B108" s="86">
        <v>102</v>
      </c>
      <c r="C108" s="46" t="s">
        <v>298</v>
      </c>
      <c r="D108" s="46" t="s">
        <v>482</v>
      </c>
      <c r="E108" s="46" t="s">
        <v>527</v>
      </c>
      <c r="F108" s="46" t="s">
        <v>528</v>
      </c>
      <c r="G108" s="46" t="s">
        <v>529</v>
      </c>
      <c r="H108" s="52">
        <v>3</v>
      </c>
      <c r="I108" s="51">
        <v>3</v>
      </c>
      <c r="J108" s="60">
        <f t="shared" si="13"/>
        <v>9</v>
      </c>
      <c r="K108" s="60" t="s">
        <v>84</v>
      </c>
      <c r="L108" s="46" t="s">
        <v>530</v>
      </c>
      <c r="M108" s="52">
        <v>1</v>
      </c>
      <c r="N108" s="51">
        <v>3</v>
      </c>
      <c r="O108" s="58">
        <f t="shared" si="12"/>
        <v>3</v>
      </c>
      <c r="P108" s="59" t="s">
        <v>86</v>
      </c>
      <c r="Q108" s="47" t="s">
        <v>87</v>
      </c>
      <c r="R108" s="80" t="s">
        <v>88</v>
      </c>
    </row>
    <row r="109" spans="1:18" ht="28.9">
      <c r="A109" s="26"/>
      <c r="B109" s="86">
        <v>103</v>
      </c>
      <c r="C109" s="46" t="s">
        <v>345</v>
      </c>
      <c r="D109" s="46" t="s">
        <v>346</v>
      </c>
      <c r="E109" s="46" t="s">
        <v>531</v>
      </c>
      <c r="F109" s="46" t="s">
        <v>532</v>
      </c>
      <c r="G109" s="46" t="s">
        <v>533</v>
      </c>
      <c r="H109" s="52">
        <v>3</v>
      </c>
      <c r="I109" s="51">
        <v>3</v>
      </c>
      <c r="J109" s="60">
        <f t="shared" si="13"/>
        <v>9</v>
      </c>
      <c r="K109" s="60" t="s">
        <v>84</v>
      </c>
      <c r="L109" s="46" t="s">
        <v>534</v>
      </c>
      <c r="M109" s="52">
        <v>1</v>
      </c>
      <c r="N109" s="51">
        <v>3</v>
      </c>
      <c r="O109" s="58">
        <f t="shared" si="12"/>
        <v>3</v>
      </c>
      <c r="P109" s="59" t="s">
        <v>86</v>
      </c>
      <c r="Q109" s="47" t="s">
        <v>87</v>
      </c>
      <c r="R109" s="80" t="s">
        <v>88</v>
      </c>
    </row>
    <row r="110" spans="1:18" ht="28.9">
      <c r="A110" s="26"/>
      <c r="B110" s="86">
        <v>104</v>
      </c>
      <c r="C110" s="46" t="s">
        <v>345</v>
      </c>
      <c r="D110" s="46" t="s">
        <v>346</v>
      </c>
      <c r="E110" s="46" t="s">
        <v>535</v>
      </c>
      <c r="F110" s="46" t="s">
        <v>536</v>
      </c>
      <c r="G110" s="46" t="s">
        <v>537</v>
      </c>
      <c r="H110" s="52">
        <v>3</v>
      </c>
      <c r="I110" s="51">
        <v>3</v>
      </c>
      <c r="J110" s="60">
        <f t="shared" si="13"/>
        <v>9</v>
      </c>
      <c r="K110" s="60" t="s">
        <v>84</v>
      </c>
      <c r="L110" s="46" t="s">
        <v>538</v>
      </c>
      <c r="M110" s="52">
        <v>1</v>
      </c>
      <c r="N110" s="51">
        <v>3</v>
      </c>
      <c r="O110" s="58">
        <f t="shared" si="12"/>
        <v>3</v>
      </c>
      <c r="P110" s="59" t="s">
        <v>86</v>
      </c>
      <c r="Q110" s="47" t="s">
        <v>87</v>
      </c>
      <c r="R110" s="80" t="s">
        <v>88</v>
      </c>
    </row>
    <row r="111" spans="1:18" ht="28.9">
      <c r="A111" s="26"/>
      <c r="B111" s="86">
        <v>105</v>
      </c>
      <c r="C111" s="46" t="s">
        <v>345</v>
      </c>
      <c r="D111" s="46" t="s">
        <v>346</v>
      </c>
      <c r="E111" s="46" t="s">
        <v>539</v>
      </c>
      <c r="F111" s="46" t="s">
        <v>540</v>
      </c>
      <c r="G111" s="46" t="s">
        <v>541</v>
      </c>
      <c r="H111" s="52">
        <v>3</v>
      </c>
      <c r="I111" s="51">
        <v>3</v>
      </c>
      <c r="J111" s="60">
        <f t="shared" si="13"/>
        <v>9</v>
      </c>
      <c r="K111" s="60" t="s">
        <v>84</v>
      </c>
      <c r="L111" s="46" t="s">
        <v>542</v>
      </c>
      <c r="M111" s="52">
        <v>1</v>
      </c>
      <c r="N111" s="51">
        <v>3</v>
      </c>
      <c r="O111" s="58">
        <f t="shared" si="12"/>
        <v>3</v>
      </c>
      <c r="P111" s="59" t="s">
        <v>86</v>
      </c>
      <c r="Q111" s="47" t="s">
        <v>87</v>
      </c>
      <c r="R111" s="80" t="s">
        <v>88</v>
      </c>
    </row>
    <row r="112" spans="1:18" ht="28.9">
      <c r="A112" s="26"/>
      <c r="B112" s="86">
        <v>106</v>
      </c>
      <c r="C112" s="46" t="s">
        <v>345</v>
      </c>
      <c r="D112" s="46" t="s">
        <v>346</v>
      </c>
      <c r="E112" s="46" t="s">
        <v>543</v>
      </c>
      <c r="F112" s="46" t="s">
        <v>544</v>
      </c>
      <c r="G112" s="46" t="s">
        <v>545</v>
      </c>
      <c r="H112" s="52">
        <v>3</v>
      </c>
      <c r="I112" s="51">
        <v>3</v>
      </c>
      <c r="J112" s="60">
        <f t="shared" si="13"/>
        <v>9</v>
      </c>
      <c r="K112" s="60" t="s">
        <v>84</v>
      </c>
      <c r="L112" s="46" t="s">
        <v>546</v>
      </c>
      <c r="M112" s="52">
        <v>1</v>
      </c>
      <c r="N112" s="51">
        <v>3</v>
      </c>
      <c r="O112" s="58">
        <f t="shared" si="12"/>
        <v>3</v>
      </c>
      <c r="P112" s="59" t="s">
        <v>86</v>
      </c>
      <c r="Q112" s="47" t="s">
        <v>87</v>
      </c>
      <c r="R112" s="80" t="s">
        <v>88</v>
      </c>
    </row>
    <row r="113" spans="1:18" ht="28.9">
      <c r="A113" s="26"/>
      <c r="B113" s="86">
        <v>107</v>
      </c>
      <c r="C113" s="46" t="s">
        <v>345</v>
      </c>
      <c r="D113" s="46" t="s">
        <v>346</v>
      </c>
      <c r="E113" s="46" t="s">
        <v>547</v>
      </c>
      <c r="F113" s="46" t="s">
        <v>548</v>
      </c>
      <c r="G113" s="46" t="s">
        <v>549</v>
      </c>
      <c r="H113" s="52">
        <v>3</v>
      </c>
      <c r="I113" s="51">
        <v>3</v>
      </c>
      <c r="J113" s="60">
        <f t="shared" si="13"/>
        <v>9</v>
      </c>
      <c r="K113" s="60" t="s">
        <v>84</v>
      </c>
      <c r="L113" s="46" t="s">
        <v>550</v>
      </c>
      <c r="M113" s="52">
        <v>1</v>
      </c>
      <c r="N113" s="51">
        <v>3</v>
      </c>
      <c r="O113" s="58">
        <f t="shared" si="12"/>
        <v>3</v>
      </c>
      <c r="P113" s="59" t="s">
        <v>86</v>
      </c>
      <c r="Q113" s="47" t="s">
        <v>87</v>
      </c>
      <c r="R113" s="80" t="s">
        <v>88</v>
      </c>
    </row>
    <row r="114" spans="1:18" ht="28.9">
      <c r="A114" s="26"/>
      <c r="B114" s="86">
        <v>108</v>
      </c>
      <c r="C114" s="46" t="s">
        <v>345</v>
      </c>
      <c r="D114" s="46" t="s">
        <v>346</v>
      </c>
      <c r="E114" s="46" t="s">
        <v>551</v>
      </c>
      <c r="F114" s="46" t="s">
        <v>552</v>
      </c>
      <c r="G114" s="46" t="s">
        <v>553</v>
      </c>
      <c r="H114" s="52">
        <v>3</v>
      </c>
      <c r="I114" s="51">
        <v>3</v>
      </c>
      <c r="J114" s="60">
        <f t="shared" si="13"/>
        <v>9</v>
      </c>
      <c r="K114" s="60" t="s">
        <v>84</v>
      </c>
      <c r="L114" s="46" t="s">
        <v>554</v>
      </c>
      <c r="M114" s="52">
        <v>1</v>
      </c>
      <c r="N114" s="51">
        <v>3</v>
      </c>
      <c r="O114" s="58">
        <f t="shared" si="12"/>
        <v>3</v>
      </c>
      <c r="P114" s="59" t="s">
        <v>86</v>
      </c>
      <c r="Q114" s="47" t="s">
        <v>87</v>
      </c>
      <c r="R114" s="80" t="s">
        <v>88</v>
      </c>
    </row>
    <row r="115" spans="1:18" ht="28.9">
      <c r="A115" s="26"/>
      <c r="B115" s="86">
        <v>109</v>
      </c>
      <c r="C115" s="46" t="s">
        <v>345</v>
      </c>
      <c r="D115" s="46" t="s">
        <v>346</v>
      </c>
      <c r="E115" s="46" t="s">
        <v>555</v>
      </c>
      <c r="F115" s="46" t="s">
        <v>556</v>
      </c>
      <c r="G115" s="46" t="s">
        <v>557</v>
      </c>
      <c r="H115" s="52">
        <v>3</v>
      </c>
      <c r="I115" s="51">
        <v>2</v>
      </c>
      <c r="J115" s="60">
        <f t="shared" si="13"/>
        <v>6</v>
      </c>
      <c r="K115" s="60" t="s">
        <v>84</v>
      </c>
      <c r="L115" s="46" t="s">
        <v>558</v>
      </c>
      <c r="M115" s="52">
        <v>1</v>
      </c>
      <c r="N115" s="51">
        <v>2</v>
      </c>
      <c r="O115" s="58">
        <f t="shared" si="12"/>
        <v>2</v>
      </c>
      <c r="P115" s="59" t="s">
        <v>86</v>
      </c>
      <c r="Q115" s="47" t="s">
        <v>87</v>
      </c>
      <c r="R115" s="80" t="s">
        <v>88</v>
      </c>
    </row>
    <row r="116" spans="1:18" ht="28.9">
      <c r="A116" s="26"/>
      <c r="B116" s="86">
        <v>110</v>
      </c>
      <c r="C116" s="46" t="s">
        <v>345</v>
      </c>
      <c r="D116" s="46" t="s">
        <v>346</v>
      </c>
      <c r="E116" s="46" t="s">
        <v>559</v>
      </c>
      <c r="F116" s="46" t="s">
        <v>560</v>
      </c>
      <c r="G116" s="46" t="s">
        <v>561</v>
      </c>
      <c r="H116" s="52">
        <v>3</v>
      </c>
      <c r="I116" s="51">
        <v>3</v>
      </c>
      <c r="J116" s="60">
        <f t="shared" si="13"/>
        <v>9</v>
      </c>
      <c r="K116" s="60" t="s">
        <v>84</v>
      </c>
      <c r="L116" s="46" t="s">
        <v>562</v>
      </c>
      <c r="M116" s="52">
        <v>1</v>
      </c>
      <c r="N116" s="51">
        <v>3</v>
      </c>
      <c r="O116" s="58">
        <f t="shared" si="12"/>
        <v>3</v>
      </c>
      <c r="P116" s="59" t="s">
        <v>86</v>
      </c>
      <c r="Q116" s="47" t="s">
        <v>87</v>
      </c>
      <c r="R116" s="80" t="s">
        <v>88</v>
      </c>
    </row>
    <row r="117" spans="1:18" ht="43.15">
      <c r="A117" s="26"/>
      <c r="B117" s="86">
        <v>111</v>
      </c>
      <c r="C117" s="46" t="s">
        <v>563</v>
      </c>
      <c r="D117" s="46" t="s">
        <v>564</v>
      </c>
      <c r="E117" s="46" t="s">
        <v>565</v>
      </c>
      <c r="F117" s="46" t="s">
        <v>566</v>
      </c>
      <c r="G117" s="46" t="s">
        <v>567</v>
      </c>
      <c r="H117" s="51">
        <v>4</v>
      </c>
      <c r="I117" s="51">
        <v>3</v>
      </c>
      <c r="J117" s="60">
        <f t="shared" si="13"/>
        <v>12</v>
      </c>
      <c r="K117" s="60" t="s">
        <v>84</v>
      </c>
      <c r="L117" s="46" t="s">
        <v>568</v>
      </c>
      <c r="M117" s="51">
        <v>1</v>
      </c>
      <c r="N117" s="51">
        <v>3</v>
      </c>
      <c r="O117" s="58">
        <f t="shared" si="12"/>
        <v>3</v>
      </c>
      <c r="P117" s="59" t="s">
        <v>86</v>
      </c>
      <c r="Q117" s="51" t="s">
        <v>87</v>
      </c>
      <c r="R117" s="80" t="s">
        <v>88</v>
      </c>
    </row>
    <row r="118" spans="1:18" ht="43.15">
      <c r="A118" s="26"/>
      <c r="B118" s="86">
        <v>112</v>
      </c>
      <c r="C118" s="46" t="s">
        <v>563</v>
      </c>
      <c r="D118" s="46" t="s">
        <v>569</v>
      </c>
      <c r="E118" s="46" t="s">
        <v>565</v>
      </c>
      <c r="F118" s="46" t="s">
        <v>566</v>
      </c>
      <c r="G118" s="46" t="s">
        <v>567</v>
      </c>
      <c r="H118" s="51">
        <v>4</v>
      </c>
      <c r="I118" s="51">
        <v>3</v>
      </c>
      <c r="J118" s="60">
        <f t="shared" si="13"/>
        <v>12</v>
      </c>
      <c r="K118" s="60" t="s">
        <v>84</v>
      </c>
      <c r="L118" s="46" t="s">
        <v>568</v>
      </c>
      <c r="M118" s="51">
        <v>1</v>
      </c>
      <c r="N118" s="51">
        <v>3</v>
      </c>
      <c r="O118" s="58">
        <f t="shared" si="12"/>
        <v>3</v>
      </c>
      <c r="P118" s="59" t="s">
        <v>86</v>
      </c>
      <c r="Q118" s="51" t="s">
        <v>87</v>
      </c>
      <c r="R118" s="80" t="s">
        <v>88</v>
      </c>
    </row>
    <row r="119" spans="1:18">
      <c r="A119" s="26"/>
      <c r="R119" s="84"/>
    </row>
    <row r="120" spans="1:18">
      <c r="A120" s="26"/>
      <c r="R120" s="84"/>
    </row>
    <row r="121" spans="1:18">
      <c r="A121" s="26"/>
      <c r="R121" s="84"/>
    </row>
    <row r="122" spans="1:18">
      <c r="A122" s="26"/>
      <c r="R122" s="84"/>
    </row>
    <row r="123" spans="1:18">
      <c r="A123" s="26"/>
      <c r="R123" s="84"/>
    </row>
    <row r="124" spans="1:18">
      <c r="A124" s="26"/>
      <c r="R124" s="84"/>
    </row>
    <row r="125" spans="1:18">
      <c r="A125" s="26"/>
      <c r="R125" s="84"/>
    </row>
    <row r="126" spans="1:18">
      <c r="A126" s="26"/>
      <c r="R126" s="84"/>
    </row>
    <row r="127" spans="1:18">
      <c r="A127" s="26"/>
      <c r="R127" s="84"/>
    </row>
    <row r="128" spans="1:18">
      <c r="A128" s="26"/>
      <c r="R128" s="84"/>
    </row>
    <row r="129" spans="1:18">
      <c r="A129" s="26"/>
      <c r="R129" s="84"/>
    </row>
    <row r="130" spans="1:18">
      <c r="A130" s="26"/>
      <c r="R130" s="84"/>
    </row>
    <row r="131" spans="1:18">
      <c r="A131" s="26"/>
      <c r="R131" s="84"/>
    </row>
    <row r="132" spans="1:18">
      <c r="A132" s="26"/>
      <c r="R132" s="84"/>
    </row>
    <row r="133" spans="1:18">
      <c r="A133" s="26"/>
      <c r="R133" s="84"/>
    </row>
    <row r="134" spans="1:18">
      <c r="A134" s="26"/>
      <c r="R134" s="84"/>
    </row>
    <row r="135" spans="1:18">
      <c r="A135" s="26"/>
      <c r="R135" s="84"/>
    </row>
    <row r="136" spans="1:18">
      <c r="A136" s="26"/>
      <c r="R136" s="84"/>
    </row>
    <row r="137" spans="1:18">
      <c r="A137" s="26"/>
      <c r="R137" s="84"/>
    </row>
    <row r="138" spans="1:18">
      <c r="A138" s="26"/>
      <c r="R138" s="84"/>
    </row>
    <row r="139" spans="1:18">
      <c r="A139" s="26"/>
      <c r="R139" s="84"/>
    </row>
    <row r="140" spans="1:18">
      <c r="A140" s="26"/>
      <c r="R140" s="84"/>
    </row>
    <row r="141" spans="1:18">
      <c r="A141" s="26"/>
      <c r="R141" s="84"/>
    </row>
    <row r="142" spans="1:18">
      <c r="A142" s="26"/>
      <c r="R142" s="84"/>
    </row>
    <row r="143" spans="1:18">
      <c r="A143" s="26"/>
      <c r="R143" s="84"/>
    </row>
    <row r="144" spans="1:18">
      <c r="A144" s="26"/>
      <c r="R144" s="84"/>
    </row>
    <row r="145" spans="1:18">
      <c r="A145" s="26"/>
      <c r="R145" s="84"/>
    </row>
    <row r="146" spans="1:18">
      <c r="A146" s="26"/>
      <c r="R146" s="84"/>
    </row>
    <row r="147" spans="1:18">
      <c r="A147" s="26"/>
      <c r="R147" s="84"/>
    </row>
    <row r="148" spans="1:18">
      <c r="A148" s="26"/>
      <c r="R148" s="84"/>
    </row>
    <row r="149" spans="1:18">
      <c r="A149" s="26"/>
      <c r="R149" s="84"/>
    </row>
    <row r="150" spans="1:18">
      <c r="A150" s="26"/>
      <c r="R150" s="84"/>
    </row>
    <row r="151" spans="1:18">
      <c r="A151" s="26"/>
      <c r="R151" s="84"/>
    </row>
    <row r="152" spans="1:18">
      <c r="A152" s="26"/>
      <c r="R152" s="84"/>
    </row>
    <row r="153" spans="1:18">
      <c r="A153" s="26"/>
      <c r="R153" s="84"/>
    </row>
    <row r="154" spans="1:18">
      <c r="A154" s="26"/>
      <c r="R154" s="84"/>
    </row>
    <row r="155" spans="1:18">
      <c r="A155" s="26"/>
      <c r="R155" s="84"/>
    </row>
    <row r="156" spans="1:18">
      <c r="A156" s="26"/>
      <c r="R156" s="84"/>
    </row>
    <row r="157" spans="1:18">
      <c r="A157" s="26"/>
      <c r="R157" s="84"/>
    </row>
    <row r="158" spans="1:18">
      <c r="A158" s="26"/>
      <c r="R158" s="84"/>
    </row>
    <row r="159" spans="1:18">
      <c r="A159" s="26"/>
      <c r="R159" s="84"/>
    </row>
    <row r="160" spans="1:18">
      <c r="A160" s="26"/>
      <c r="R160" s="84"/>
    </row>
    <row r="161" spans="1:18">
      <c r="A161" s="26"/>
      <c r="R161" s="84"/>
    </row>
    <row r="162" spans="1:18">
      <c r="A162" s="26"/>
      <c r="R162" s="84"/>
    </row>
    <row r="163" spans="1:18">
      <c r="A163" s="26"/>
      <c r="R163" s="84"/>
    </row>
    <row r="164" spans="1:18">
      <c r="A164" s="26"/>
      <c r="R164" s="84"/>
    </row>
    <row r="165" spans="1:18">
      <c r="A165" s="26"/>
      <c r="R165" s="84"/>
    </row>
    <row r="166" spans="1:18">
      <c r="A166" s="26"/>
      <c r="R166" s="84"/>
    </row>
    <row r="167" spans="1:18">
      <c r="A167" s="26"/>
      <c r="R167" s="84"/>
    </row>
    <row r="168" spans="1:18">
      <c r="A168" s="26"/>
      <c r="R168" s="84"/>
    </row>
    <row r="169" spans="1:18">
      <c r="A169" s="26"/>
      <c r="R169" s="84"/>
    </row>
    <row r="170" spans="1:18">
      <c r="A170" s="26"/>
      <c r="R170" s="84"/>
    </row>
    <row r="171" spans="1:18">
      <c r="A171" s="26"/>
      <c r="R171" s="84"/>
    </row>
    <row r="172" spans="1:18">
      <c r="A172" s="26"/>
      <c r="R172" s="84"/>
    </row>
    <row r="173" spans="1:18">
      <c r="A173" s="26"/>
      <c r="R173" s="84"/>
    </row>
    <row r="174" spans="1:18">
      <c r="A174" s="26"/>
      <c r="R174" s="84"/>
    </row>
    <row r="175" spans="1:18">
      <c r="A175" s="26"/>
      <c r="R175" s="84"/>
    </row>
    <row r="176" spans="1:18">
      <c r="A176" s="26"/>
      <c r="R176" s="84"/>
    </row>
    <row r="177" spans="1:18">
      <c r="A177" s="26"/>
      <c r="R177" s="84"/>
    </row>
    <row r="178" spans="1:18">
      <c r="A178" s="26"/>
      <c r="R178" s="84"/>
    </row>
    <row r="179" spans="1:18">
      <c r="A179" s="26"/>
      <c r="R179" s="84"/>
    </row>
    <row r="180" spans="1:18">
      <c r="A180" s="26"/>
      <c r="R180" s="84"/>
    </row>
    <row r="181" spans="1:18">
      <c r="A181" s="26"/>
      <c r="R181" s="84"/>
    </row>
    <row r="182" spans="1:18">
      <c r="A182" s="26"/>
      <c r="R182" s="84"/>
    </row>
    <row r="183" spans="1:18">
      <c r="A183" s="26"/>
      <c r="R183" s="84"/>
    </row>
    <row r="184" spans="1:18">
      <c r="A184" s="26"/>
      <c r="R184" s="84"/>
    </row>
    <row r="185" spans="1:18">
      <c r="A185" s="26"/>
      <c r="R185" s="84"/>
    </row>
    <row r="186" spans="1:18">
      <c r="A186" s="26"/>
      <c r="R186" s="84"/>
    </row>
    <row r="187" spans="1:18">
      <c r="A187" s="26"/>
      <c r="R187" s="84"/>
    </row>
    <row r="188" spans="1:18">
      <c r="A188" s="26"/>
      <c r="R188" s="84"/>
    </row>
    <row r="189" spans="1:18">
      <c r="A189" s="26"/>
      <c r="R189" s="84"/>
    </row>
    <row r="190" spans="1:18">
      <c r="A190" s="26"/>
      <c r="R190" s="84"/>
    </row>
    <row r="191" spans="1:18">
      <c r="A191" s="26"/>
      <c r="R191" s="84"/>
    </row>
    <row r="192" spans="1:18">
      <c r="A192" s="26"/>
      <c r="R192" s="84"/>
    </row>
    <row r="193" spans="1:18">
      <c r="A193" s="26"/>
      <c r="R193" s="84"/>
    </row>
    <row r="194" spans="1:18">
      <c r="A194" s="26"/>
      <c r="R194" s="84"/>
    </row>
    <row r="195" spans="1:18">
      <c r="A195" s="26"/>
      <c r="R195" s="84"/>
    </row>
    <row r="196" spans="1:18">
      <c r="A196" s="26"/>
      <c r="R196" s="84"/>
    </row>
    <row r="197" spans="1:18">
      <c r="A197" s="26"/>
      <c r="R197" s="84"/>
    </row>
    <row r="198" spans="1:18">
      <c r="A198" s="26"/>
      <c r="R198" s="84"/>
    </row>
    <row r="199" spans="1:18">
      <c r="A199" s="26"/>
      <c r="R199" s="84"/>
    </row>
    <row r="200" spans="1:18">
      <c r="A200" s="26"/>
      <c r="R200" s="84"/>
    </row>
    <row r="201" spans="1:18">
      <c r="A201" s="26"/>
      <c r="R201" s="84"/>
    </row>
    <row r="202" spans="1:18">
      <c r="A202" s="26"/>
      <c r="R202" s="84"/>
    </row>
    <row r="203" spans="1:18">
      <c r="A203" s="26"/>
      <c r="R203" s="84"/>
    </row>
    <row r="204" spans="1:18">
      <c r="A204" s="26"/>
      <c r="R204" s="84"/>
    </row>
    <row r="205" spans="1:18">
      <c r="A205" s="26"/>
      <c r="R205" s="84"/>
    </row>
    <row r="206" spans="1:18">
      <c r="A206" s="26"/>
      <c r="R206" s="84"/>
    </row>
    <row r="207" spans="1:18">
      <c r="A207" s="26"/>
      <c r="R207" s="84"/>
    </row>
    <row r="208" spans="1:18">
      <c r="A208" s="26"/>
      <c r="R208" s="84"/>
    </row>
    <row r="209" spans="1:18">
      <c r="A209" s="26"/>
      <c r="R209" s="84"/>
    </row>
    <row r="210" spans="1:18">
      <c r="A210" s="26"/>
      <c r="R210" s="84"/>
    </row>
    <row r="211" spans="1:18">
      <c r="A211" s="26"/>
      <c r="R211" s="84"/>
    </row>
    <row r="212" spans="1:18">
      <c r="A212" s="26"/>
      <c r="R212" s="84"/>
    </row>
    <row r="213" spans="1:18">
      <c r="A213" s="26"/>
      <c r="R213" s="84"/>
    </row>
    <row r="214" spans="1:18">
      <c r="A214" s="26"/>
      <c r="R214" s="84"/>
    </row>
    <row r="215" spans="1:18">
      <c r="A215" s="26"/>
      <c r="R215" s="84"/>
    </row>
    <row r="216" spans="1:18">
      <c r="A216" s="26"/>
      <c r="R216" s="84"/>
    </row>
    <row r="217" spans="1:18">
      <c r="A217" s="26"/>
      <c r="R217" s="84"/>
    </row>
    <row r="218" spans="1:18">
      <c r="A218" s="26"/>
      <c r="R218" s="84"/>
    </row>
    <row r="219" spans="1:18">
      <c r="A219" s="26"/>
      <c r="R219" s="84"/>
    </row>
    <row r="220" spans="1:18">
      <c r="A220" s="26"/>
      <c r="R220" s="84"/>
    </row>
    <row r="221" spans="1:18">
      <c r="A221" s="26"/>
      <c r="R221" s="84"/>
    </row>
    <row r="222" spans="1:18">
      <c r="A222" s="26"/>
      <c r="R222" s="84"/>
    </row>
    <row r="223" spans="1:18">
      <c r="A223" s="26"/>
      <c r="R223" s="84"/>
    </row>
    <row r="224" spans="1:18">
      <c r="A224" s="26"/>
      <c r="R224" s="84"/>
    </row>
    <row r="225" spans="1:18">
      <c r="A225" s="26"/>
      <c r="R225" s="84"/>
    </row>
    <row r="226" spans="1:18">
      <c r="A226" s="26"/>
      <c r="R226" s="84"/>
    </row>
    <row r="227" spans="1:18">
      <c r="A227" s="26"/>
      <c r="R227" s="84"/>
    </row>
    <row r="228" spans="1:18">
      <c r="A228" s="26"/>
      <c r="R228" s="84"/>
    </row>
    <row r="229" spans="1:18">
      <c r="A229" s="26"/>
      <c r="R229" s="84"/>
    </row>
    <row r="230" spans="1:18">
      <c r="A230" s="26"/>
      <c r="R230" s="84"/>
    </row>
    <row r="231" spans="1:18">
      <c r="A231" s="26"/>
      <c r="R231" s="84"/>
    </row>
    <row r="232" spans="1:18">
      <c r="A232" s="26"/>
      <c r="R232" s="84"/>
    </row>
    <row r="233" spans="1:18">
      <c r="A233" s="26"/>
      <c r="R233" s="84"/>
    </row>
    <row r="234" spans="1:18">
      <c r="A234" s="26"/>
      <c r="R234" s="84"/>
    </row>
    <row r="235" spans="1:18">
      <c r="A235" s="26"/>
      <c r="R235" s="84"/>
    </row>
    <row r="236" spans="1:18">
      <c r="A236" s="26"/>
      <c r="R236" s="84"/>
    </row>
    <row r="237" spans="1:18">
      <c r="A237" s="26"/>
      <c r="R237" s="84"/>
    </row>
    <row r="238" spans="1:18">
      <c r="A238" s="26"/>
      <c r="R238" s="84"/>
    </row>
    <row r="239" spans="1:18">
      <c r="A239" s="26"/>
      <c r="R239" s="84"/>
    </row>
    <row r="240" spans="1:18">
      <c r="A240" s="26"/>
      <c r="R240" s="84"/>
    </row>
    <row r="241" spans="1:18">
      <c r="A241" s="26"/>
      <c r="R241" s="84"/>
    </row>
    <row r="242" spans="1:18">
      <c r="A242" s="26"/>
      <c r="R242" s="84"/>
    </row>
    <row r="243" spans="1:18">
      <c r="A243" s="26"/>
      <c r="R243" s="84"/>
    </row>
    <row r="244" spans="1:18">
      <c r="A244" s="26"/>
      <c r="R244" s="84"/>
    </row>
    <row r="245" spans="1:18">
      <c r="A245" s="26"/>
      <c r="R245" s="84"/>
    </row>
    <row r="246" spans="1:18">
      <c r="A246" s="26"/>
      <c r="R246" s="84"/>
    </row>
    <row r="247" spans="1:18">
      <c r="A247" s="26"/>
      <c r="R247" s="84"/>
    </row>
    <row r="248" spans="1:18">
      <c r="A248" s="26"/>
      <c r="R248" s="84"/>
    </row>
    <row r="249" spans="1:18">
      <c r="A249" s="26"/>
      <c r="R249" s="84"/>
    </row>
    <row r="250" spans="1:18">
      <c r="A250" s="26"/>
      <c r="R250" s="84"/>
    </row>
    <row r="251" spans="1:18">
      <c r="A251" s="26"/>
      <c r="R251" s="84"/>
    </row>
    <row r="252" spans="1:18">
      <c r="A252" s="26"/>
      <c r="R252" s="84"/>
    </row>
    <row r="253" spans="1:18">
      <c r="A253" s="26"/>
      <c r="R253" s="84"/>
    </row>
    <row r="254" spans="1:18">
      <c r="A254" s="26"/>
      <c r="R254" s="84"/>
    </row>
    <row r="255" spans="1:18">
      <c r="A255" s="26"/>
      <c r="R255" s="84"/>
    </row>
    <row r="256" spans="1:18">
      <c r="A256" s="26"/>
      <c r="R256" s="84"/>
    </row>
    <row r="257" spans="1:18">
      <c r="A257" s="26"/>
      <c r="R257" s="84"/>
    </row>
    <row r="258" spans="1:18">
      <c r="A258" s="26"/>
      <c r="R258" s="84"/>
    </row>
    <row r="259" spans="1:18">
      <c r="A259" s="26"/>
      <c r="R259" s="84"/>
    </row>
    <row r="260" spans="1:18">
      <c r="A260" s="26"/>
      <c r="R260" s="84"/>
    </row>
    <row r="261" spans="1:18">
      <c r="A261" s="26"/>
      <c r="R261" s="84"/>
    </row>
    <row r="262" spans="1:18">
      <c r="A262" s="26"/>
      <c r="R262" s="84"/>
    </row>
    <row r="263" spans="1:18">
      <c r="A263" s="26"/>
      <c r="R263" s="84"/>
    </row>
    <row r="264" spans="1:18">
      <c r="A264" s="26"/>
      <c r="R264" s="84"/>
    </row>
    <row r="265" spans="1:18">
      <c r="A265" s="26"/>
      <c r="R265" s="84"/>
    </row>
    <row r="266" spans="1:18">
      <c r="A266" s="26"/>
      <c r="R266" s="84"/>
    </row>
    <row r="267" spans="1:18">
      <c r="A267" s="26"/>
      <c r="R267" s="84"/>
    </row>
    <row r="268" spans="1:18">
      <c r="A268" s="26"/>
      <c r="R268" s="84"/>
    </row>
    <row r="269" spans="1:18">
      <c r="A269" s="26"/>
      <c r="R269" s="84"/>
    </row>
    <row r="270" spans="1:18">
      <c r="A270" s="26"/>
      <c r="R270" s="84"/>
    </row>
    <row r="271" spans="1:18">
      <c r="A271" s="26"/>
      <c r="R271" s="84"/>
    </row>
    <row r="272" spans="1:18">
      <c r="A272" s="26"/>
      <c r="R272" s="84"/>
    </row>
    <row r="273" spans="1:18">
      <c r="A273" s="26"/>
      <c r="R273" s="84"/>
    </row>
    <row r="274" spans="1:18">
      <c r="A274" s="26"/>
      <c r="R274" s="84"/>
    </row>
    <row r="275" spans="1:18">
      <c r="A275" s="26"/>
      <c r="R275" s="84"/>
    </row>
    <row r="276" spans="1:18">
      <c r="A276" s="26"/>
      <c r="R276" s="84"/>
    </row>
    <row r="277" spans="1:18">
      <c r="A277" s="26"/>
      <c r="R277" s="84"/>
    </row>
    <row r="278" spans="1:18">
      <c r="A278" s="26"/>
      <c r="R278" s="84"/>
    </row>
    <row r="279" spans="1:18">
      <c r="A279" s="26"/>
      <c r="R279" s="84"/>
    </row>
    <row r="280" spans="1:18">
      <c r="A280" s="26"/>
      <c r="R280" s="84"/>
    </row>
    <row r="281" spans="1:18">
      <c r="A281" s="26"/>
      <c r="R281" s="84"/>
    </row>
    <row r="282" spans="1:18">
      <c r="A282" s="26"/>
      <c r="R282" s="84"/>
    </row>
    <row r="283" spans="1:18">
      <c r="A283" s="26"/>
      <c r="R283" s="84"/>
    </row>
    <row r="284" spans="1:18">
      <c r="A284" s="26"/>
      <c r="R284" s="84"/>
    </row>
    <row r="285" spans="1:18">
      <c r="A285" s="26"/>
      <c r="R285" s="84"/>
    </row>
    <row r="286" spans="1:18">
      <c r="A286" s="26"/>
      <c r="R286" s="84"/>
    </row>
    <row r="287" spans="1:18">
      <c r="A287" s="26"/>
      <c r="R287" s="84"/>
    </row>
    <row r="288" spans="1:18">
      <c r="A288" s="26"/>
      <c r="R288" s="84"/>
    </row>
    <row r="289" spans="1:18">
      <c r="A289" s="26"/>
      <c r="R289" s="84"/>
    </row>
    <row r="290" spans="1:18">
      <c r="A290" s="26"/>
      <c r="R290" s="84"/>
    </row>
    <row r="291" spans="1:18">
      <c r="A291" s="26"/>
      <c r="R291" s="84"/>
    </row>
    <row r="292" spans="1:18">
      <c r="A292" s="26"/>
      <c r="R292" s="84"/>
    </row>
    <row r="293" spans="1:18">
      <c r="A293" s="26"/>
      <c r="R293" s="84"/>
    </row>
    <row r="294" spans="1:18">
      <c r="A294" s="26"/>
      <c r="R294" s="84"/>
    </row>
    <row r="295" spans="1:18">
      <c r="A295" s="26"/>
      <c r="R295" s="84"/>
    </row>
    <row r="296" spans="1:18">
      <c r="A296" s="26"/>
      <c r="R296" s="84"/>
    </row>
    <row r="297" spans="1:18">
      <c r="A297" s="26"/>
      <c r="R297" s="84"/>
    </row>
    <row r="298" spans="1:18">
      <c r="A298" s="26"/>
      <c r="R298" s="84"/>
    </row>
    <row r="299" spans="1:18">
      <c r="A299" s="26"/>
      <c r="R299" s="84"/>
    </row>
    <row r="300" spans="1:18">
      <c r="A300" s="26"/>
      <c r="R300" s="84"/>
    </row>
    <row r="301" spans="1:18">
      <c r="A301" s="26"/>
      <c r="R301" s="84"/>
    </row>
    <row r="302" spans="1:18">
      <c r="A302" s="26"/>
      <c r="R302" s="84"/>
    </row>
    <row r="303" spans="1:18">
      <c r="A303" s="26"/>
      <c r="R303" s="84"/>
    </row>
    <row r="304" spans="1:18">
      <c r="A304" s="26"/>
      <c r="R304" s="84"/>
    </row>
    <row r="305" spans="1:18">
      <c r="A305" s="26"/>
      <c r="R305" s="84"/>
    </row>
    <row r="306" spans="1:18">
      <c r="A306" s="26"/>
      <c r="R306" s="84"/>
    </row>
    <row r="307" spans="1:18">
      <c r="A307" s="26"/>
      <c r="R307" s="84"/>
    </row>
    <row r="308" spans="1:18">
      <c r="A308" s="26"/>
      <c r="R308" s="84"/>
    </row>
    <row r="309" spans="1:18">
      <c r="A309" s="26"/>
      <c r="R309" s="84"/>
    </row>
    <row r="310" spans="1:18">
      <c r="A310" s="26"/>
      <c r="R310" s="84"/>
    </row>
    <row r="311" spans="1:18">
      <c r="A311" s="26"/>
      <c r="R311" s="84"/>
    </row>
    <row r="312" spans="1:18">
      <c r="A312" s="26"/>
      <c r="R312" s="84"/>
    </row>
    <row r="313" spans="1:18">
      <c r="A313" s="26"/>
      <c r="R313" s="84"/>
    </row>
    <row r="314" spans="1:18">
      <c r="A314" s="26"/>
      <c r="R314" s="84"/>
    </row>
    <row r="315" spans="1:18">
      <c r="A315" s="26"/>
      <c r="R315" s="84"/>
    </row>
    <row r="316" spans="1:18">
      <c r="A316" s="26"/>
      <c r="R316" s="84"/>
    </row>
    <row r="317" spans="1:18">
      <c r="A317" s="26"/>
      <c r="R317" s="84"/>
    </row>
    <row r="318" spans="1:18">
      <c r="A318" s="26"/>
      <c r="R318" s="84"/>
    </row>
    <row r="319" spans="1:18">
      <c r="A319" s="26"/>
      <c r="R319" s="84"/>
    </row>
    <row r="320" spans="1:18">
      <c r="A320" s="26"/>
      <c r="R320" s="84"/>
    </row>
    <row r="321" spans="1:18">
      <c r="A321" s="26"/>
      <c r="R321" s="84"/>
    </row>
    <row r="322" spans="1:18">
      <c r="A322" s="26"/>
      <c r="R322" s="84"/>
    </row>
    <row r="323" spans="1:18">
      <c r="A323" s="26"/>
      <c r="R323" s="84"/>
    </row>
    <row r="324" spans="1:18">
      <c r="A324" s="26"/>
      <c r="R324" s="84"/>
    </row>
    <row r="325" spans="1:18">
      <c r="A325" s="26"/>
      <c r="R325" s="84"/>
    </row>
    <row r="326" spans="1:18">
      <c r="A326" s="26"/>
      <c r="R326" s="84"/>
    </row>
    <row r="327" spans="1:18">
      <c r="A327" s="26"/>
      <c r="R327" s="84"/>
    </row>
    <row r="328" spans="1:18">
      <c r="A328" s="26"/>
      <c r="R328" s="84"/>
    </row>
    <row r="329" spans="1:18">
      <c r="A329" s="26"/>
      <c r="R329" s="84"/>
    </row>
    <row r="330" spans="1:18">
      <c r="A330" s="26"/>
      <c r="R330" s="84"/>
    </row>
    <row r="331" spans="1:18">
      <c r="A331" s="26"/>
      <c r="R331" s="84"/>
    </row>
    <row r="332" spans="1:18">
      <c r="A332" s="26"/>
      <c r="R332" s="84"/>
    </row>
    <row r="333" spans="1:18">
      <c r="A333" s="26"/>
      <c r="R333" s="84"/>
    </row>
    <row r="334" spans="1:18">
      <c r="A334" s="26"/>
      <c r="R334" s="84"/>
    </row>
    <row r="335" spans="1:18">
      <c r="A335" s="26"/>
      <c r="R335" s="84"/>
    </row>
    <row r="336" spans="1:18">
      <c r="A336" s="26"/>
      <c r="R336" s="84"/>
    </row>
    <row r="337" spans="1:18">
      <c r="A337" s="26"/>
      <c r="R337" s="84"/>
    </row>
    <row r="338" spans="1:18">
      <c r="A338" s="26"/>
      <c r="R338" s="84"/>
    </row>
    <row r="339" spans="1:18">
      <c r="A339" s="26"/>
      <c r="R339" s="84"/>
    </row>
    <row r="340" spans="1:18">
      <c r="A340" s="26"/>
      <c r="R340" s="84"/>
    </row>
    <row r="341" spans="1:18">
      <c r="A341" s="26"/>
      <c r="R341" s="84"/>
    </row>
    <row r="342" spans="1:18">
      <c r="A342" s="26"/>
      <c r="R342" s="84"/>
    </row>
    <row r="343" spans="1:18">
      <c r="A343" s="26"/>
      <c r="R343" s="84"/>
    </row>
    <row r="344" spans="1:18">
      <c r="A344" s="26"/>
      <c r="R344" s="84"/>
    </row>
    <row r="345" spans="1:18">
      <c r="A345" s="26"/>
      <c r="R345" s="84"/>
    </row>
    <row r="346" spans="1:18">
      <c r="A346" s="26"/>
      <c r="R346" s="84"/>
    </row>
    <row r="347" spans="1:18">
      <c r="A347" s="26"/>
      <c r="R347" s="84"/>
    </row>
    <row r="348" spans="1:18">
      <c r="A348" s="26"/>
      <c r="R348" s="84"/>
    </row>
    <row r="349" spans="1:18">
      <c r="A349" s="26"/>
      <c r="R349" s="84"/>
    </row>
    <row r="350" spans="1:18">
      <c r="A350" s="26"/>
      <c r="R350" s="84"/>
    </row>
    <row r="351" spans="1:18">
      <c r="A351" s="26"/>
      <c r="R351" s="84"/>
    </row>
    <row r="352" spans="1:18">
      <c r="A352" s="26"/>
      <c r="R352" s="84"/>
    </row>
    <row r="353" spans="1:18">
      <c r="A353" s="26"/>
      <c r="R353" s="84"/>
    </row>
    <row r="354" spans="1:18">
      <c r="A354" s="26"/>
      <c r="R354" s="84"/>
    </row>
    <row r="355" spans="1:18">
      <c r="A355" s="26"/>
      <c r="R355" s="84"/>
    </row>
    <row r="356" spans="1:18">
      <c r="A356" s="26"/>
      <c r="R356" s="84"/>
    </row>
    <row r="357" spans="1:18">
      <c r="A357" s="26"/>
      <c r="R357" s="84"/>
    </row>
    <row r="358" spans="1:18">
      <c r="A358" s="26"/>
      <c r="R358" s="84"/>
    </row>
    <row r="359" spans="1:18">
      <c r="A359" s="26"/>
      <c r="R359" s="84"/>
    </row>
    <row r="360" spans="1:18">
      <c r="A360" s="26"/>
      <c r="R360" s="84"/>
    </row>
    <row r="361" spans="1:18">
      <c r="A361" s="26"/>
      <c r="R361" s="84"/>
    </row>
    <row r="362" spans="1:18">
      <c r="A362" s="26"/>
      <c r="R362" s="84"/>
    </row>
    <row r="363" spans="1:18">
      <c r="A363" s="26"/>
      <c r="R363" s="84"/>
    </row>
    <row r="364" spans="1:18">
      <c r="A364" s="26"/>
      <c r="R364" s="84"/>
    </row>
    <row r="365" spans="1:18">
      <c r="A365" s="26"/>
      <c r="R365" s="84"/>
    </row>
    <row r="366" spans="1:18">
      <c r="A366" s="26"/>
      <c r="R366" s="84"/>
    </row>
    <row r="367" spans="1:18">
      <c r="A367" s="26"/>
      <c r="R367" s="84"/>
    </row>
    <row r="368" spans="1:18">
      <c r="A368" s="26"/>
      <c r="R368" s="84"/>
    </row>
    <row r="369" spans="1:18">
      <c r="A369" s="26"/>
      <c r="R369" s="84"/>
    </row>
    <row r="370" spans="1:18">
      <c r="A370" s="26"/>
      <c r="R370" s="84"/>
    </row>
    <row r="371" spans="1:18">
      <c r="A371" s="26"/>
      <c r="R371" s="84"/>
    </row>
    <row r="372" spans="1:18">
      <c r="A372" s="26"/>
      <c r="R372" s="84"/>
    </row>
    <row r="373" spans="1:18">
      <c r="A373" s="26"/>
      <c r="R373" s="84"/>
    </row>
    <row r="374" spans="1:18">
      <c r="A374" s="26"/>
      <c r="R374" s="84"/>
    </row>
    <row r="375" spans="1:18">
      <c r="A375" s="26"/>
      <c r="R375" s="84"/>
    </row>
    <row r="376" spans="1:18">
      <c r="A376" s="26"/>
      <c r="R376" s="84"/>
    </row>
    <row r="377" spans="1:18">
      <c r="A377" s="26"/>
      <c r="R377" s="84"/>
    </row>
    <row r="378" spans="1:18">
      <c r="A378" s="26"/>
      <c r="R378" s="84"/>
    </row>
    <row r="379" spans="1:18">
      <c r="A379" s="26"/>
      <c r="R379" s="84"/>
    </row>
    <row r="380" spans="1:18">
      <c r="A380" s="26"/>
      <c r="R380" s="84"/>
    </row>
    <row r="381" spans="1:18">
      <c r="A381" s="26"/>
      <c r="R381" s="84"/>
    </row>
    <row r="382" spans="1:18">
      <c r="A382" s="26"/>
      <c r="R382" s="84"/>
    </row>
    <row r="383" spans="1:18">
      <c r="A383" s="26"/>
      <c r="R383" s="84"/>
    </row>
    <row r="384" spans="1:18">
      <c r="A384" s="26"/>
      <c r="R384" s="84"/>
    </row>
    <row r="385" spans="1:18">
      <c r="A385" s="26"/>
      <c r="R385" s="84"/>
    </row>
    <row r="386" spans="1:18">
      <c r="A386" s="26"/>
      <c r="R386" s="84"/>
    </row>
    <row r="387" spans="1:18">
      <c r="A387" s="26"/>
      <c r="R387" s="84"/>
    </row>
    <row r="388" spans="1:18">
      <c r="A388" s="26"/>
      <c r="R388" s="84"/>
    </row>
    <row r="389" spans="1:18">
      <c r="A389" s="26"/>
      <c r="R389" s="84"/>
    </row>
    <row r="390" spans="1:18">
      <c r="A390" s="26"/>
      <c r="R390" s="84"/>
    </row>
    <row r="391" spans="1:18">
      <c r="A391" s="26"/>
      <c r="R391" s="84"/>
    </row>
    <row r="392" spans="1:18">
      <c r="A392" s="26"/>
      <c r="R392" s="84"/>
    </row>
    <row r="393" spans="1:18">
      <c r="A393" s="26"/>
      <c r="R393" s="84"/>
    </row>
    <row r="394" spans="1:18">
      <c r="A394" s="26"/>
      <c r="R394" s="84"/>
    </row>
    <row r="395" spans="1:18">
      <c r="A395" s="26"/>
      <c r="R395" s="84"/>
    </row>
    <row r="396" spans="1:18">
      <c r="A396" s="26"/>
      <c r="R396" s="84"/>
    </row>
    <row r="397" spans="1:18">
      <c r="A397" s="26"/>
      <c r="R397" s="84"/>
    </row>
    <row r="398" spans="1:18">
      <c r="A398" s="26"/>
      <c r="R398" s="84"/>
    </row>
    <row r="399" spans="1:18">
      <c r="A399" s="26"/>
      <c r="R399" s="84"/>
    </row>
    <row r="400" spans="1:18">
      <c r="A400" s="26"/>
      <c r="R400" s="84"/>
    </row>
    <row r="401" spans="1:18">
      <c r="A401" s="26"/>
      <c r="R401" s="84"/>
    </row>
    <row r="402" spans="1:18">
      <c r="A402" s="26"/>
      <c r="R402" s="84"/>
    </row>
    <row r="403" spans="1:18">
      <c r="A403" s="26"/>
      <c r="R403" s="84"/>
    </row>
    <row r="404" spans="1:18">
      <c r="A404" s="26"/>
      <c r="R404" s="84"/>
    </row>
    <row r="405" spans="1:18">
      <c r="A405" s="26"/>
      <c r="R405" s="84"/>
    </row>
    <row r="406" spans="1:18">
      <c r="A406" s="26"/>
      <c r="R406" s="84"/>
    </row>
    <row r="407" spans="1:18">
      <c r="A407" s="26"/>
      <c r="R407" s="84"/>
    </row>
    <row r="408" spans="1:18">
      <c r="A408" s="26"/>
      <c r="R408" s="84"/>
    </row>
    <row r="409" spans="1:18">
      <c r="A409" s="26"/>
      <c r="R409" s="84"/>
    </row>
    <row r="410" spans="1:18">
      <c r="A410" s="26"/>
      <c r="R410" s="84"/>
    </row>
    <row r="411" spans="1:18">
      <c r="A411" s="26"/>
      <c r="R411" s="84"/>
    </row>
    <row r="412" spans="1:18">
      <c r="A412" s="26"/>
      <c r="R412" s="84"/>
    </row>
    <row r="413" spans="1:18">
      <c r="A413" s="26"/>
      <c r="R413" s="84"/>
    </row>
    <row r="414" spans="1:18">
      <c r="A414" s="26"/>
      <c r="R414" s="84"/>
    </row>
    <row r="415" spans="1:18">
      <c r="A415" s="26"/>
      <c r="R415" s="84"/>
    </row>
    <row r="416" spans="1:18">
      <c r="A416" s="26"/>
      <c r="R416" s="84"/>
    </row>
    <row r="417" spans="1:18">
      <c r="A417" s="26"/>
      <c r="R417" s="84"/>
    </row>
    <row r="418" spans="1:18">
      <c r="A418" s="26"/>
      <c r="R418" s="84"/>
    </row>
    <row r="419" spans="1:18">
      <c r="A419" s="26"/>
      <c r="R419" s="84"/>
    </row>
    <row r="420" spans="1:18">
      <c r="A420" s="26"/>
      <c r="R420" s="84"/>
    </row>
    <row r="421" spans="1:18">
      <c r="A421" s="26"/>
      <c r="R421" s="84"/>
    </row>
    <row r="422" spans="1:18">
      <c r="A422" s="26"/>
      <c r="R422" s="84"/>
    </row>
    <row r="423" spans="1:18">
      <c r="A423" s="26"/>
      <c r="R423" s="84"/>
    </row>
    <row r="424" spans="1:18">
      <c r="A424" s="26"/>
      <c r="R424" s="84"/>
    </row>
    <row r="425" spans="1:18">
      <c r="A425" s="26"/>
      <c r="R425" s="84"/>
    </row>
    <row r="426" spans="1:18">
      <c r="A426" s="26"/>
      <c r="R426" s="84"/>
    </row>
    <row r="427" spans="1:18">
      <c r="A427" s="26"/>
      <c r="R427" s="84"/>
    </row>
    <row r="428" spans="1:18">
      <c r="A428" s="26"/>
      <c r="R428" s="84"/>
    </row>
    <row r="429" spans="1:18">
      <c r="A429" s="26"/>
      <c r="R429" s="84"/>
    </row>
    <row r="430" spans="1:18">
      <c r="A430" s="26"/>
      <c r="R430" s="84"/>
    </row>
    <row r="431" spans="1:18">
      <c r="A431" s="26"/>
      <c r="R431" s="84"/>
    </row>
    <row r="432" spans="1:18">
      <c r="A432" s="26"/>
      <c r="R432" s="84"/>
    </row>
    <row r="433" spans="1:18">
      <c r="A433" s="26"/>
      <c r="R433" s="84"/>
    </row>
    <row r="434" spans="1:18">
      <c r="A434" s="26"/>
      <c r="R434" s="84"/>
    </row>
    <row r="435" spans="1:18">
      <c r="A435" s="26"/>
      <c r="R435" s="84"/>
    </row>
    <row r="436" spans="1:18">
      <c r="A436" s="26"/>
      <c r="R436" s="84"/>
    </row>
    <row r="437" spans="1:18">
      <c r="A437" s="26"/>
      <c r="R437" s="84"/>
    </row>
    <row r="438" spans="1:18">
      <c r="A438" s="26"/>
      <c r="R438" s="84"/>
    </row>
    <row r="439" spans="1:18">
      <c r="A439" s="26"/>
      <c r="R439" s="84"/>
    </row>
    <row r="440" spans="1:18">
      <c r="A440" s="26"/>
      <c r="R440" s="84"/>
    </row>
    <row r="441" spans="1:18">
      <c r="A441" s="26"/>
      <c r="R441" s="84"/>
    </row>
    <row r="442" spans="1:18">
      <c r="A442" s="26"/>
      <c r="R442" s="84"/>
    </row>
    <row r="443" spans="1:18">
      <c r="A443" s="26"/>
      <c r="R443" s="84"/>
    </row>
    <row r="444" spans="1:18">
      <c r="A444" s="26"/>
      <c r="R444" s="84"/>
    </row>
    <row r="445" spans="1:18">
      <c r="A445" s="26"/>
      <c r="R445" s="84"/>
    </row>
    <row r="446" spans="1:18">
      <c r="A446" s="26"/>
      <c r="R446" s="84"/>
    </row>
    <row r="447" spans="1:18">
      <c r="A447" s="26"/>
      <c r="R447" s="84"/>
    </row>
    <row r="448" spans="1:18">
      <c r="A448" s="26"/>
      <c r="R448" s="84"/>
    </row>
    <row r="449" spans="1:18">
      <c r="A449" s="26"/>
      <c r="R449" s="84"/>
    </row>
    <row r="450" spans="1:18">
      <c r="A450" s="26"/>
      <c r="R450" s="84"/>
    </row>
    <row r="451" spans="1:18">
      <c r="A451" s="26"/>
      <c r="R451" s="84"/>
    </row>
    <row r="452" spans="1:18">
      <c r="A452" s="26"/>
      <c r="R452" s="84"/>
    </row>
    <row r="453" spans="1:18">
      <c r="A453" s="26"/>
      <c r="R453" s="84"/>
    </row>
    <row r="454" spans="1:18">
      <c r="A454" s="26"/>
      <c r="R454" s="84"/>
    </row>
    <row r="455" spans="1:18">
      <c r="A455" s="26"/>
      <c r="R455" s="84"/>
    </row>
    <row r="456" spans="1:18">
      <c r="A456" s="26"/>
      <c r="R456" s="84"/>
    </row>
    <row r="457" spans="1:18">
      <c r="A457" s="26"/>
      <c r="R457" s="84"/>
    </row>
    <row r="458" spans="1:18">
      <c r="A458" s="26"/>
      <c r="R458" s="84"/>
    </row>
    <row r="459" spans="1:18">
      <c r="A459" s="26"/>
      <c r="R459" s="84"/>
    </row>
    <row r="460" spans="1:18">
      <c r="A460" s="26"/>
      <c r="R460" s="84"/>
    </row>
    <row r="461" spans="1:18">
      <c r="A461" s="26"/>
      <c r="R461" s="84"/>
    </row>
    <row r="462" spans="1:18">
      <c r="A462" s="26"/>
      <c r="R462" s="84"/>
    </row>
    <row r="463" spans="1:18">
      <c r="A463" s="26"/>
      <c r="R463" s="84"/>
    </row>
    <row r="464" spans="1:18">
      <c r="A464" s="26"/>
      <c r="R464" s="84"/>
    </row>
    <row r="465" spans="1:18">
      <c r="A465" s="26"/>
      <c r="R465" s="84"/>
    </row>
    <row r="466" spans="1:18">
      <c r="A466" s="26"/>
      <c r="R466" s="84"/>
    </row>
    <row r="467" spans="1:18">
      <c r="A467" s="26"/>
      <c r="R467" s="84"/>
    </row>
    <row r="468" spans="1:18">
      <c r="A468" s="26"/>
      <c r="R468" s="84"/>
    </row>
    <row r="469" spans="1:18">
      <c r="A469" s="26"/>
      <c r="R469" s="84"/>
    </row>
    <row r="470" spans="1:18">
      <c r="A470" s="26"/>
      <c r="R470" s="84"/>
    </row>
    <row r="471" spans="1:18">
      <c r="A471" s="26"/>
      <c r="R471" s="84"/>
    </row>
    <row r="472" spans="1:18">
      <c r="A472" s="26"/>
      <c r="R472" s="84"/>
    </row>
    <row r="473" spans="1:18">
      <c r="A473" s="26"/>
      <c r="R473" s="84"/>
    </row>
    <row r="474" spans="1:18">
      <c r="A474" s="26"/>
      <c r="R474" s="84"/>
    </row>
    <row r="475" spans="1:18">
      <c r="A475" s="26"/>
      <c r="R475" s="84"/>
    </row>
    <row r="476" spans="1:18">
      <c r="A476" s="26"/>
      <c r="R476" s="84"/>
    </row>
    <row r="477" spans="1:18">
      <c r="A477" s="26"/>
      <c r="R477" s="84"/>
    </row>
    <row r="478" spans="1:18">
      <c r="A478" s="26"/>
      <c r="R478" s="84"/>
    </row>
    <row r="479" spans="1:18">
      <c r="A479" s="26"/>
      <c r="R479" s="84"/>
    </row>
    <row r="480" spans="1:18">
      <c r="A480" s="26"/>
      <c r="R480" s="84"/>
    </row>
    <row r="481" spans="1:18">
      <c r="A481" s="26"/>
      <c r="R481" s="84"/>
    </row>
    <row r="482" spans="1:18">
      <c r="A482" s="26"/>
      <c r="R482" s="84"/>
    </row>
    <row r="483" spans="1:18">
      <c r="A483" s="26"/>
      <c r="R483" s="84"/>
    </row>
    <row r="484" spans="1:18">
      <c r="A484" s="26"/>
      <c r="R484" s="84"/>
    </row>
    <row r="485" spans="1:18">
      <c r="A485" s="26"/>
      <c r="R485" s="84"/>
    </row>
    <row r="486" spans="1:18">
      <c r="A486" s="26"/>
      <c r="R486" s="84"/>
    </row>
    <row r="487" spans="1:18">
      <c r="A487" s="26"/>
      <c r="R487" s="84"/>
    </row>
    <row r="488" spans="1:18">
      <c r="A488" s="26"/>
      <c r="R488" s="84"/>
    </row>
    <row r="489" spans="1:18">
      <c r="A489" s="26"/>
      <c r="R489" s="84"/>
    </row>
    <row r="490" spans="1:18">
      <c r="A490" s="26"/>
      <c r="R490" s="84"/>
    </row>
    <row r="491" spans="1:18">
      <c r="A491" s="26"/>
      <c r="R491" s="84"/>
    </row>
    <row r="492" spans="1:18">
      <c r="A492" s="26"/>
      <c r="R492" s="84"/>
    </row>
    <row r="493" spans="1:18">
      <c r="A493" s="26"/>
      <c r="R493" s="84"/>
    </row>
    <row r="494" spans="1:18">
      <c r="A494" s="26"/>
      <c r="R494" s="84"/>
    </row>
    <row r="495" spans="1:18">
      <c r="A495" s="26"/>
      <c r="R495" s="84"/>
    </row>
    <row r="496" spans="1:18">
      <c r="A496" s="26"/>
      <c r="R496" s="84"/>
    </row>
    <row r="497" spans="1:18">
      <c r="A497" s="26"/>
      <c r="R497" s="84"/>
    </row>
    <row r="498" spans="1:18">
      <c r="A498" s="26"/>
      <c r="R498" s="84"/>
    </row>
    <row r="499" spans="1:18">
      <c r="A499" s="26"/>
      <c r="R499" s="84"/>
    </row>
    <row r="500" spans="1:18">
      <c r="A500" s="26"/>
      <c r="R500" s="84"/>
    </row>
    <row r="501" spans="1:18">
      <c r="A501" s="26"/>
      <c r="R501" s="84"/>
    </row>
    <row r="502" spans="1:18">
      <c r="A502" s="26"/>
      <c r="R502" s="84"/>
    </row>
    <row r="503" spans="1:18">
      <c r="A503" s="26"/>
      <c r="R503" s="84"/>
    </row>
    <row r="504" spans="1:18">
      <c r="A504" s="26"/>
      <c r="R504" s="84"/>
    </row>
    <row r="505" spans="1:18">
      <c r="A505" s="26"/>
      <c r="R505" s="84"/>
    </row>
    <row r="506" spans="1:18">
      <c r="A506" s="26"/>
      <c r="R506" s="84"/>
    </row>
    <row r="507" spans="1:18">
      <c r="A507" s="26"/>
      <c r="R507" s="84"/>
    </row>
    <row r="508" spans="1:18">
      <c r="A508" s="26"/>
      <c r="R508" s="84"/>
    </row>
    <row r="509" spans="1:18">
      <c r="A509" s="26"/>
      <c r="R509" s="84"/>
    </row>
    <row r="510" spans="1:18">
      <c r="A510" s="26"/>
      <c r="R510" s="84"/>
    </row>
    <row r="511" spans="1:18">
      <c r="A511" s="26"/>
      <c r="R511" s="84"/>
    </row>
    <row r="512" spans="1:18">
      <c r="A512" s="26"/>
      <c r="R512" s="84"/>
    </row>
    <row r="513" spans="1:18">
      <c r="A513" s="26"/>
      <c r="R513" s="84"/>
    </row>
    <row r="514" spans="1:18">
      <c r="A514" s="26"/>
      <c r="R514" s="84"/>
    </row>
    <row r="515" spans="1:18">
      <c r="A515" s="26"/>
      <c r="R515" s="84"/>
    </row>
    <row r="516" spans="1:18">
      <c r="A516" s="26"/>
      <c r="R516" s="84"/>
    </row>
    <row r="517" spans="1:18">
      <c r="A517" s="26"/>
      <c r="R517" s="84"/>
    </row>
    <row r="518" spans="1:18">
      <c r="A518" s="26"/>
      <c r="R518" s="84"/>
    </row>
    <row r="519" spans="1:18">
      <c r="A519" s="26"/>
      <c r="R519" s="84"/>
    </row>
    <row r="520" spans="1:18">
      <c r="A520" s="26"/>
      <c r="R520" s="84"/>
    </row>
    <row r="521" spans="1:18">
      <c r="A521" s="26"/>
      <c r="R521" s="84"/>
    </row>
    <row r="522" spans="1:18">
      <c r="A522" s="26"/>
      <c r="R522" s="84"/>
    </row>
    <row r="523" spans="1:18">
      <c r="A523" s="26"/>
      <c r="R523" s="84"/>
    </row>
    <row r="524" spans="1:18">
      <c r="A524" s="26"/>
      <c r="R524" s="84"/>
    </row>
    <row r="525" spans="1:18">
      <c r="A525" s="26"/>
      <c r="R525" s="84"/>
    </row>
    <row r="526" spans="1:18">
      <c r="A526" s="26"/>
      <c r="R526" s="84"/>
    </row>
    <row r="527" spans="1:18">
      <c r="A527" s="26"/>
      <c r="R527" s="84"/>
    </row>
    <row r="528" spans="1:18">
      <c r="A528" s="26"/>
      <c r="R528" s="84"/>
    </row>
    <row r="529" spans="1:18">
      <c r="A529" s="26"/>
      <c r="R529" s="84"/>
    </row>
    <row r="530" spans="1:18">
      <c r="A530" s="26"/>
      <c r="R530" s="84"/>
    </row>
    <row r="531" spans="1:18">
      <c r="A531" s="26"/>
      <c r="R531" s="84"/>
    </row>
    <row r="532" spans="1:18">
      <c r="A532" s="26"/>
      <c r="R532" s="84"/>
    </row>
    <row r="533" spans="1:18">
      <c r="A533" s="26"/>
      <c r="R533" s="84"/>
    </row>
    <row r="534" spans="1:18">
      <c r="A534" s="26"/>
      <c r="R534" s="84"/>
    </row>
    <row r="535" spans="1:18">
      <c r="A535" s="26"/>
      <c r="R535" s="84"/>
    </row>
    <row r="536" spans="1:18">
      <c r="A536" s="26"/>
      <c r="R536" s="84"/>
    </row>
    <row r="537" spans="1:18">
      <c r="A537" s="26"/>
      <c r="R537" s="84"/>
    </row>
    <row r="538" spans="1:18">
      <c r="A538" s="26"/>
      <c r="R538" s="84"/>
    </row>
    <row r="539" spans="1:18">
      <c r="A539" s="26"/>
      <c r="R539" s="84"/>
    </row>
    <row r="540" spans="1:18">
      <c r="A540" s="26"/>
      <c r="R540" s="84"/>
    </row>
    <row r="541" spans="1:18">
      <c r="A541" s="26"/>
      <c r="R541" s="84"/>
    </row>
    <row r="542" spans="1:18">
      <c r="A542" s="26"/>
      <c r="R542" s="84"/>
    </row>
    <row r="543" spans="1:18">
      <c r="A543" s="26"/>
      <c r="R543" s="84"/>
    </row>
    <row r="544" spans="1:18">
      <c r="A544" s="26"/>
      <c r="R544" s="84"/>
    </row>
    <row r="545" spans="1:18">
      <c r="A545" s="26"/>
      <c r="R545" s="84"/>
    </row>
    <row r="546" spans="1:18">
      <c r="A546" s="26"/>
      <c r="R546" s="84"/>
    </row>
    <row r="547" spans="1:18">
      <c r="A547" s="26"/>
      <c r="R547" s="84"/>
    </row>
    <row r="548" spans="1:18">
      <c r="A548" s="26"/>
      <c r="R548" s="84"/>
    </row>
    <row r="549" spans="1:18">
      <c r="A549" s="26"/>
      <c r="R549" s="84"/>
    </row>
    <row r="550" spans="1:18">
      <c r="A550" s="26"/>
      <c r="R550" s="84"/>
    </row>
    <row r="551" spans="1:18">
      <c r="A551" s="26"/>
      <c r="R551" s="84"/>
    </row>
    <row r="552" spans="1:18">
      <c r="A552" s="26"/>
      <c r="R552" s="84"/>
    </row>
    <row r="553" spans="1:18">
      <c r="A553" s="26"/>
      <c r="R553" s="84"/>
    </row>
    <row r="554" spans="1:18">
      <c r="A554" s="26"/>
      <c r="R554" s="84"/>
    </row>
    <row r="555" spans="1:18">
      <c r="A555" s="26"/>
      <c r="R555" s="84"/>
    </row>
    <row r="556" spans="1:18">
      <c r="A556" s="26"/>
      <c r="R556" s="84"/>
    </row>
    <row r="557" spans="1:18">
      <c r="A557" s="26"/>
      <c r="R557" s="84"/>
    </row>
    <row r="558" spans="1:18">
      <c r="A558" s="26"/>
      <c r="R558" s="84"/>
    </row>
    <row r="559" spans="1:18">
      <c r="A559" s="26"/>
      <c r="R559" s="84"/>
    </row>
    <row r="560" spans="1:18">
      <c r="A560" s="26"/>
      <c r="R560" s="84"/>
    </row>
    <row r="561" spans="1:18">
      <c r="A561" s="26"/>
      <c r="R561" s="84"/>
    </row>
    <row r="562" spans="1:18">
      <c r="A562" s="26"/>
      <c r="R562" s="84"/>
    </row>
    <row r="563" spans="1:18">
      <c r="A563" s="26"/>
      <c r="R563" s="84"/>
    </row>
    <row r="564" spans="1:18">
      <c r="A564" s="26"/>
      <c r="R564" s="84"/>
    </row>
    <row r="565" spans="1:18">
      <c r="A565" s="26"/>
      <c r="R565" s="84"/>
    </row>
    <row r="566" spans="1:18">
      <c r="A566" s="26"/>
      <c r="R566" s="84"/>
    </row>
    <row r="567" spans="1:18">
      <c r="A567" s="26"/>
      <c r="R567" s="84"/>
    </row>
    <row r="568" spans="1:18">
      <c r="A568" s="26"/>
      <c r="R568" s="84"/>
    </row>
    <row r="569" spans="1:18">
      <c r="A569" s="26"/>
      <c r="R569" s="84"/>
    </row>
    <row r="570" spans="1:18">
      <c r="A570" s="26"/>
      <c r="R570" s="84"/>
    </row>
    <row r="571" spans="1:18">
      <c r="A571" s="26"/>
      <c r="R571" s="84"/>
    </row>
    <row r="572" spans="1:18">
      <c r="A572" s="26"/>
      <c r="R572" s="84"/>
    </row>
    <row r="573" spans="1:18">
      <c r="A573" s="26"/>
      <c r="R573" s="84"/>
    </row>
    <row r="574" spans="1:18">
      <c r="A574" s="26"/>
      <c r="R574" s="84"/>
    </row>
    <row r="575" spans="1:18">
      <c r="A575" s="26"/>
      <c r="R575" s="84"/>
    </row>
    <row r="576" spans="1:18">
      <c r="A576" s="26"/>
      <c r="R576" s="84"/>
    </row>
    <row r="577" spans="1:18">
      <c r="A577" s="26"/>
      <c r="R577" s="84"/>
    </row>
    <row r="578" spans="1:18">
      <c r="A578" s="26"/>
      <c r="R578" s="84"/>
    </row>
    <row r="579" spans="1:18">
      <c r="A579" s="26"/>
      <c r="R579" s="84"/>
    </row>
    <row r="580" spans="1:18">
      <c r="A580" s="26"/>
      <c r="R580" s="84"/>
    </row>
    <row r="581" spans="1:18">
      <c r="A581" s="26"/>
      <c r="R581" s="84"/>
    </row>
    <row r="582" spans="1:18">
      <c r="A582" s="26"/>
      <c r="R582" s="84"/>
    </row>
    <row r="583" spans="1:18">
      <c r="A583" s="26"/>
      <c r="R583" s="84"/>
    </row>
    <row r="584" spans="1:18">
      <c r="A584" s="26"/>
      <c r="R584" s="84"/>
    </row>
    <row r="585" spans="1:18">
      <c r="A585" s="26"/>
      <c r="R585" s="84"/>
    </row>
    <row r="586" spans="1:18">
      <c r="A586" s="26"/>
      <c r="R586" s="84"/>
    </row>
    <row r="587" spans="1:18">
      <c r="A587" s="26"/>
      <c r="R587" s="84"/>
    </row>
    <row r="588" spans="1:18">
      <c r="A588" s="26"/>
      <c r="R588" s="84"/>
    </row>
    <row r="589" spans="1:18">
      <c r="A589" s="26"/>
      <c r="R589" s="84"/>
    </row>
    <row r="590" spans="1:18">
      <c r="A590" s="26"/>
      <c r="R590" s="84"/>
    </row>
    <row r="591" spans="1:18">
      <c r="A591" s="26"/>
      <c r="R591" s="84"/>
    </row>
    <row r="592" spans="1:18">
      <c r="A592" s="26"/>
      <c r="R592" s="84"/>
    </row>
    <row r="593" spans="1:18">
      <c r="A593" s="26"/>
      <c r="R593" s="84"/>
    </row>
    <row r="594" spans="1:18">
      <c r="A594" s="26"/>
      <c r="R594" s="84"/>
    </row>
    <row r="595" spans="1:18">
      <c r="A595" s="26"/>
      <c r="R595" s="84"/>
    </row>
    <row r="596" spans="1:18">
      <c r="A596" s="26"/>
      <c r="R596" s="84"/>
    </row>
    <row r="597" spans="1:18">
      <c r="A597" s="26"/>
      <c r="R597" s="84"/>
    </row>
    <row r="598" spans="1:18">
      <c r="A598" s="26"/>
      <c r="R598" s="84"/>
    </row>
    <row r="599" spans="1:18">
      <c r="A599" s="26"/>
      <c r="R599" s="84"/>
    </row>
    <row r="600" spans="1:18">
      <c r="A600" s="26"/>
      <c r="R600" s="84"/>
    </row>
    <row r="601" spans="1:18">
      <c r="A601" s="26"/>
      <c r="R601" s="84"/>
    </row>
    <row r="602" spans="1:18">
      <c r="A602" s="26"/>
      <c r="R602" s="84"/>
    </row>
    <row r="603" spans="1:18">
      <c r="A603" s="26"/>
      <c r="R603" s="84"/>
    </row>
    <row r="604" spans="1:18">
      <c r="A604" s="26"/>
      <c r="R604" s="84"/>
    </row>
    <row r="605" spans="1:18">
      <c r="A605" s="26"/>
      <c r="R605" s="84"/>
    </row>
    <row r="606" spans="1:18">
      <c r="A606" s="26"/>
      <c r="R606" s="84"/>
    </row>
    <row r="607" spans="1:18">
      <c r="A607" s="26"/>
      <c r="R607" s="84"/>
    </row>
    <row r="608" spans="1:18">
      <c r="A608" s="26"/>
      <c r="R608" s="84"/>
    </row>
    <row r="609" spans="1:18">
      <c r="A609" s="26"/>
      <c r="R609" s="84"/>
    </row>
    <row r="610" spans="1:18">
      <c r="A610" s="26"/>
      <c r="R610" s="84"/>
    </row>
    <row r="611" spans="1:18">
      <c r="A611" s="26"/>
      <c r="R611" s="84"/>
    </row>
    <row r="612" spans="1:18">
      <c r="A612" s="26"/>
      <c r="R612" s="84"/>
    </row>
    <row r="613" spans="1:18">
      <c r="A613" s="26"/>
      <c r="R613" s="84"/>
    </row>
    <row r="614" spans="1:18">
      <c r="A614" s="26"/>
      <c r="R614" s="84"/>
    </row>
    <row r="615" spans="1:18">
      <c r="A615" s="26"/>
      <c r="R615" s="84"/>
    </row>
    <row r="616" spans="1:18">
      <c r="A616" s="26"/>
      <c r="R616" s="84"/>
    </row>
    <row r="617" spans="1:18">
      <c r="A617" s="26"/>
      <c r="R617" s="84"/>
    </row>
    <row r="618" spans="1:18">
      <c r="A618" s="26"/>
      <c r="R618" s="84"/>
    </row>
    <row r="619" spans="1:18">
      <c r="A619" s="26"/>
      <c r="R619" s="84"/>
    </row>
    <row r="620" spans="1:18">
      <c r="A620" s="26"/>
      <c r="R620" s="84"/>
    </row>
    <row r="621" spans="1:18">
      <c r="A621" s="26"/>
      <c r="R621" s="84"/>
    </row>
    <row r="622" spans="1:18">
      <c r="A622" s="26"/>
      <c r="R622" s="84"/>
    </row>
    <row r="623" spans="1:18">
      <c r="A623" s="26"/>
      <c r="R623" s="84"/>
    </row>
    <row r="624" spans="1:18">
      <c r="A624" s="26"/>
      <c r="R624" s="84"/>
    </row>
    <row r="625" spans="1:18">
      <c r="A625" s="26"/>
      <c r="R625" s="84"/>
    </row>
    <row r="626" spans="1:18">
      <c r="A626" s="26"/>
      <c r="R626" s="84"/>
    </row>
    <row r="627" spans="1:18">
      <c r="A627" s="26"/>
      <c r="R627" s="84"/>
    </row>
    <row r="628" spans="1:18">
      <c r="A628" s="26"/>
      <c r="R628" s="84"/>
    </row>
    <row r="629" spans="1:18">
      <c r="A629" s="26"/>
      <c r="R629" s="84"/>
    </row>
    <row r="630" spans="1:18">
      <c r="A630" s="26"/>
      <c r="R630" s="84"/>
    </row>
    <row r="631" spans="1:18">
      <c r="A631" s="26"/>
      <c r="R631" s="84"/>
    </row>
    <row r="632" spans="1:18">
      <c r="A632" s="26"/>
      <c r="R632" s="84"/>
    </row>
    <row r="633" spans="1:18">
      <c r="A633" s="26"/>
      <c r="R633" s="84"/>
    </row>
    <row r="634" spans="1:18">
      <c r="A634" s="26"/>
      <c r="R634" s="84"/>
    </row>
    <row r="635" spans="1:18">
      <c r="A635" s="26"/>
      <c r="R635" s="84"/>
    </row>
    <row r="636" spans="1:18">
      <c r="A636" s="26"/>
      <c r="R636" s="84"/>
    </row>
    <row r="637" spans="1:18">
      <c r="A637" s="26"/>
      <c r="R637" s="84"/>
    </row>
    <row r="638" spans="1:18">
      <c r="A638" s="26"/>
      <c r="R638" s="84"/>
    </row>
    <row r="639" spans="1:18">
      <c r="A639" s="26"/>
      <c r="R639" s="84"/>
    </row>
    <row r="640" spans="1:18">
      <c r="A640" s="26"/>
      <c r="R640" s="84"/>
    </row>
    <row r="641" spans="1:18">
      <c r="A641" s="26"/>
      <c r="R641" s="84"/>
    </row>
    <row r="642" spans="1:18">
      <c r="A642" s="26"/>
      <c r="R642" s="84"/>
    </row>
    <row r="643" spans="1:18">
      <c r="A643" s="26"/>
      <c r="R643" s="84"/>
    </row>
    <row r="644" spans="1:18">
      <c r="A644" s="26"/>
      <c r="R644" s="84"/>
    </row>
    <row r="645" spans="1:18">
      <c r="A645" s="26"/>
      <c r="R645" s="84"/>
    </row>
    <row r="646" spans="1:18">
      <c r="A646" s="26"/>
      <c r="R646" s="84"/>
    </row>
    <row r="647" spans="1:18">
      <c r="A647" s="26"/>
      <c r="R647" s="84"/>
    </row>
    <row r="648" spans="1:18">
      <c r="A648" s="26"/>
      <c r="R648" s="84"/>
    </row>
    <row r="649" spans="1:18">
      <c r="A649" s="26"/>
      <c r="R649" s="84"/>
    </row>
    <row r="650" spans="1:18">
      <c r="A650" s="26"/>
      <c r="R650" s="84"/>
    </row>
    <row r="651" spans="1:18">
      <c r="A651" s="26"/>
      <c r="R651" s="84"/>
    </row>
    <row r="652" spans="1:18">
      <c r="A652" s="26"/>
      <c r="R652" s="84"/>
    </row>
    <row r="653" spans="1:18">
      <c r="A653" s="26"/>
      <c r="R653" s="84"/>
    </row>
    <row r="654" spans="1:18">
      <c r="A654" s="26"/>
      <c r="R654" s="84"/>
    </row>
    <row r="655" spans="1:18">
      <c r="A655" s="26"/>
      <c r="R655" s="84"/>
    </row>
    <row r="656" spans="1:18">
      <c r="A656" s="26"/>
      <c r="R656" s="84"/>
    </row>
    <row r="657" spans="1:18">
      <c r="A657" s="26"/>
      <c r="R657" s="84"/>
    </row>
    <row r="658" spans="1:18">
      <c r="A658" s="26"/>
      <c r="R658" s="84"/>
    </row>
    <row r="659" spans="1:18">
      <c r="A659" s="26"/>
      <c r="R659" s="84"/>
    </row>
    <row r="660" spans="1:18">
      <c r="A660" s="26"/>
      <c r="R660" s="84"/>
    </row>
    <row r="661" spans="1:18">
      <c r="A661" s="26"/>
      <c r="R661" s="84"/>
    </row>
    <row r="662" spans="1:18">
      <c r="A662" s="26"/>
      <c r="R662" s="84"/>
    </row>
    <row r="663" spans="1:18">
      <c r="A663" s="26"/>
      <c r="R663" s="84"/>
    </row>
    <row r="664" spans="1:18">
      <c r="A664" s="26"/>
      <c r="R664" s="84"/>
    </row>
    <row r="665" spans="1:18">
      <c r="A665" s="26"/>
      <c r="R665" s="84"/>
    </row>
    <row r="666" spans="1:18">
      <c r="A666" s="26"/>
      <c r="R666" s="84"/>
    </row>
    <row r="667" spans="1:18">
      <c r="A667" s="26"/>
      <c r="R667" s="84"/>
    </row>
    <row r="668" spans="1:18">
      <c r="A668" s="26"/>
      <c r="R668" s="84"/>
    </row>
    <row r="669" spans="1:18">
      <c r="A669" s="26"/>
      <c r="R669" s="84"/>
    </row>
    <row r="670" spans="1:18">
      <c r="A670" s="26"/>
      <c r="R670" s="84"/>
    </row>
    <row r="671" spans="1:18">
      <c r="A671" s="26"/>
      <c r="R671" s="84"/>
    </row>
    <row r="672" spans="1:18">
      <c r="A672" s="26"/>
      <c r="R672" s="84"/>
    </row>
    <row r="673" spans="1:18">
      <c r="A673" s="26"/>
      <c r="R673" s="84"/>
    </row>
    <row r="674" spans="1:18">
      <c r="A674" s="26"/>
      <c r="R674" s="84"/>
    </row>
    <row r="675" spans="1:18">
      <c r="A675" s="26"/>
      <c r="R675" s="84"/>
    </row>
    <row r="676" spans="1:18">
      <c r="A676" s="26"/>
      <c r="R676" s="84"/>
    </row>
    <row r="677" spans="1:18">
      <c r="A677" s="26"/>
      <c r="R677" s="84"/>
    </row>
    <row r="678" spans="1:18">
      <c r="A678" s="26"/>
      <c r="R678" s="84"/>
    </row>
    <row r="679" spans="1:18">
      <c r="A679" s="26"/>
      <c r="R679" s="84"/>
    </row>
    <row r="680" spans="1:18">
      <c r="A680" s="26"/>
      <c r="R680" s="84"/>
    </row>
    <row r="681" spans="1:18">
      <c r="A681" s="26"/>
      <c r="R681" s="84"/>
    </row>
    <row r="682" spans="1:18">
      <c r="A682" s="26"/>
      <c r="R682" s="84"/>
    </row>
    <row r="683" spans="1:18">
      <c r="A683" s="26"/>
      <c r="R683" s="84"/>
    </row>
    <row r="684" spans="1:18">
      <c r="A684" s="26"/>
      <c r="R684" s="84"/>
    </row>
    <row r="685" spans="1:18">
      <c r="A685" s="26"/>
      <c r="R685" s="84"/>
    </row>
    <row r="686" spans="1:18">
      <c r="A686" s="26"/>
      <c r="R686" s="84"/>
    </row>
    <row r="687" spans="1:18">
      <c r="A687" s="26"/>
      <c r="R687" s="84"/>
    </row>
    <row r="688" spans="1:18">
      <c r="A688" s="26"/>
      <c r="R688" s="84"/>
    </row>
    <row r="689" spans="1:18">
      <c r="A689" s="26"/>
      <c r="R689" s="84"/>
    </row>
    <row r="690" spans="1:18">
      <c r="A690" s="26"/>
      <c r="R690" s="84"/>
    </row>
    <row r="691" spans="1:18">
      <c r="A691" s="26"/>
      <c r="R691" s="84"/>
    </row>
    <row r="692" spans="1:18">
      <c r="A692" s="26"/>
      <c r="R692" s="84"/>
    </row>
    <row r="693" spans="1:18">
      <c r="A693" s="26"/>
      <c r="R693" s="84"/>
    </row>
    <row r="694" spans="1:18">
      <c r="A694" s="26"/>
      <c r="R694" s="84"/>
    </row>
    <row r="695" spans="1:18">
      <c r="A695" s="26"/>
      <c r="R695" s="85"/>
    </row>
    <row r="696" spans="1:18">
      <c r="A696" s="26"/>
    </row>
    <row r="697" spans="1:18">
      <c r="A697" s="26"/>
    </row>
    <row r="698" spans="1:18">
      <c r="A698" s="26"/>
    </row>
    <row r="699" spans="1:18">
      <c r="A699" s="26"/>
    </row>
    <row r="700" spans="1:18">
      <c r="A700" s="26"/>
    </row>
    <row r="701" spans="1:18">
      <c r="A701" s="26"/>
    </row>
    <row r="702" spans="1:18">
      <c r="A702" s="26"/>
    </row>
    <row r="703" spans="1:18">
      <c r="A703" s="26"/>
    </row>
    <row r="704" spans="1:18">
      <c r="A704" s="26"/>
    </row>
    <row r="705" spans="1:1">
      <c r="A705" s="26"/>
    </row>
    <row r="706" spans="1:1">
      <c r="A706" s="26"/>
    </row>
    <row r="707" spans="1:1">
      <c r="A707" s="26"/>
    </row>
    <row r="708" spans="1:1">
      <c r="A708" s="26"/>
    </row>
    <row r="709" spans="1:1">
      <c r="A709" s="26"/>
    </row>
    <row r="710" spans="1:1">
      <c r="A710" s="26"/>
    </row>
    <row r="711" spans="1:1">
      <c r="A711" s="26"/>
    </row>
    <row r="712" spans="1:1">
      <c r="A712" s="26"/>
    </row>
    <row r="713" spans="1:1">
      <c r="A713" s="26"/>
    </row>
    <row r="714" spans="1:1">
      <c r="A714" s="26"/>
    </row>
    <row r="715" spans="1:1">
      <c r="A715" s="26"/>
    </row>
    <row r="716" spans="1:1">
      <c r="A716" s="26"/>
    </row>
    <row r="717" spans="1:1">
      <c r="A717" s="26"/>
    </row>
    <row r="718" spans="1:1">
      <c r="A718" s="26"/>
    </row>
    <row r="719" spans="1:1">
      <c r="A719" s="26"/>
    </row>
    <row r="720" spans="1:1">
      <c r="A720" s="26"/>
    </row>
    <row r="721" spans="1:1">
      <c r="A721" s="26"/>
    </row>
    <row r="722" spans="1:1">
      <c r="A722" s="26"/>
    </row>
    <row r="723" spans="1:1">
      <c r="A723" s="26"/>
    </row>
    <row r="724" spans="1:1">
      <c r="A724" s="26"/>
    </row>
    <row r="725" spans="1:1">
      <c r="A725" s="26"/>
    </row>
    <row r="726" spans="1:1">
      <c r="A726" s="26"/>
    </row>
    <row r="727" spans="1:1">
      <c r="A727" s="26"/>
    </row>
    <row r="728" spans="1:1">
      <c r="A728" s="26"/>
    </row>
    <row r="729" spans="1:1">
      <c r="A729" s="26"/>
    </row>
    <row r="730" spans="1:1">
      <c r="A730" s="26"/>
    </row>
    <row r="731" spans="1:1">
      <c r="A731" s="26"/>
    </row>
    <row r="732" spans="1:1">
      <c r="A732" s="26"/>
    </row>
    <row r="733" spans="1:1">
      <c r="A733" s="26"/>
    </row>
  </sheetData>
  <autoFilter ref="A3:R118" xr:uid="{00000000-0001-0000-0100-000000000000}"/>
  <mergeCells count="6">
    <mergeCell ref="B91:R91"/>
    <mergeCell ref="B2:G2"/>
    <mergeCell ref="H2:J2"/>
    <mergeCell ref="M2:O2"/>
    <mergeCell ref="B4:R4"/>
    <mergeCell ref="B74:R74"/>
  </mergeCells>
  <pageMargins left="0.25" right="0.25" top="0.75" bottom="0.75" header="0" footer="0"/>
  <pageSetup paperSize="9" scale="19"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2148-3FAB-40C4-A5B3-1534F8D67F42}">
  <dimension ref="A1:Z16"/>
  <sheetViews>
    <sheetView workbookViewId="0">
      <selection activeCell="B3" sqref="B3"/>
    </sheetView>
  </sheetViews>
  <sheetFormatPr defaultColWidth="11.42578125" defaultRowHeight="14.45"/>
  <cols>
    <col min="1" max="1" width="6.7109375" customWidth="1"/>
    <col min="2" max="2" width="15.7109375" customWidth="1"/>
    <col min="3" max="3" width="25.140625" customWidth="1"/>
    <col min="4" max="4" width="21.140625" customWidth="1"/>
    <col min="5" max="5" width="17" customWidth="1"/>
    <col min="6" max="6" width="16.42578125" customWidth="1"/>
    <col min="7" max="7" width="9.28515625" customWidth="1"/>
    <col min="8" max="8" width="10.140625" customWidth="1"/>
    <col min="9" max="9" width="10.7109375" customWidth="1"/>
    <col min="10" max="10" width="12.7109375" customWidth="1"/>
    <col min="12" max="12" width="18.140625" customWidth="1"/>
    <col min="13" max="13" width="23" customWidth="1"/>
    <col min="14" max="14" width="16" customWidth="1"/>
    <col min="15" max="15" width="9.42578125" customWidth="1"/>
    <col min="16" max="16" width="8.85546875" customWidth="1"/>
  </cols>
  <sheetData>
    <row r="1" spans="1:26" ht="27.6">
      <c r="A1" s="175" t="s">
        <v>59</v>
      </c>
      <c r="B1" s="176"/>
      <c r="C1" s="176"/>
      <c r="D1" s="176"/>
      <c r="E1" s="176"/>
      <c r="F1" s="174"/>
      <c r="G1" s="177" t="s">
        <v>60</v>
      </c>
      <c r="H1" s="176"/>
      <c r="I1" s="176"/>
      <c r="J1" s="176"/>
      <c r="K1" s="12" t="s">
        <v>61</v>
      </c>
      <c r="L1" s="178" t="s">
        <v>62</v>
      </c>
      <c r="M1" s="176"/>
      <c r="N1" s="174"/>
      <c r="O1" s="179" t="s">
        <v>63</v>
      </c>
      <c r="P1" s="180"/>
      <c r="Q1" s="180"/>
      <c r="R1" s="181"/>
      <c r="S1" s="13" t="s">
        <v>61</v>
      </c>
      <c r="T1" s="175" t="s">
        <v>64</v>
      </c>
      <c r="U1" s="174"/>
      <c r="V1" s="182" t="s">
        <v>570</v>
      </c>
      <c r="W1" s="176"/>
      <c r="X1" s="174"/>
      <c r="Y1" s="173" t="s">
        <v>571</v>
      </c>
      <c r="Z1" s="174"/>
    </row>
    <row r="2" spans="1:26" ht="55.15">
      <c r="A2" s="14" t="s">
        <v>66</v>
      </c>
      <c r="B2" s="14" t="s">
        <v>572</v>
      </c>
      <c r="C2" s="14" t="s">
        <v>68</v>
      </c>
      <c r="D2" s="14" t="s">
        <v>573</v>
      </c>
      <c r="E2" s="14" t="s">
        <v>574</v>
      </c>
      <c r="F2" s="15" t="s">
        <v>71</v>
      </c>
      <c r="G2" s="16" t="s">
        <v>72</v>
      </c>
      <c r="H2" s="17" t="s">
        <v>73</v>
      </c>
      <c r="I2" s="17" t="s">
        <v>575</v>
      </c>
      <c r="J2" s="18" t="s">
        <v>576</v>
      </c>
      <c r="K2" s="19" t="s">
        <v>75</v>
      </c>
      <c r="L2" s="15" t="s">
        <v>577</v>
      </c>
      <c r="M2" s="14" t="s">
        <v>578</v>
      </c>
      <c r="N2" s="14" t="s">
        <v>579</v>
      </c>
      <c r="O2" s="20" t="s">
        <v>72</v>
      </c>
      <c r="P2" s="20" t="s">
        <v>73</v>
      </c>
      <c r="Q2" s="20" t="s">
        <v>575</v>
      </c>
      <c r="R2" s="21" t="s">
        <v>576</v>
      </c>
      <c r="S2" s="22" t="s">
        <v>75</v>
      </c>
      <c r="T2" s="23" t="s">
        <v>77</v>
      </c>
      <c r="U2" s="14" t="s">
        <v>580</v>
      </c>
      <c r="V2" s="14" t="s">
        <v>581</v>
      </c>
      <c r="W2" s="18" t="s">
        <v>582</v>
      </c>
      <c r="X2" s="23" t="s">
        <v>75</v>
      </c>
      <c r="Y2" s="14" t="s">
        <v>583</v>
      </c>
      <c r="Z2" s="14" t="s">
        <v>584</v>
      </c>
    </row>
    <row r="3" spans="1:26" ht="43.15">
      <c r="A3" s="11">
        <v>1</v>
      </c>
      <c r="B3" s="11" t="s">
        <v>340</v>
      </c>
      <c r="C3" s="11" t="s">
        <v>585</v>
      </c>
      <c r="D3" s="11" t="s">
        <v>410</v>
      </c>
      <c r="E3" s="11" t="s">
        <v>586</v>
      </c>
      <c r="F3" s="11" t="s">
        <v>587</v>
      </c>
      <c r="G3" s="11">
        <v>1</v>
      </c>
      <c r="H3" s="11">
        <v>3</v>
      </c>
      <c r="I3" s="11">
        <v>3</v>
      </c>
      <c r="J3" s="11">
        <v>9</v>
      </c>
      <c r="K3" s="11" t="s">
        <v>87</v>
      </c>
      <c r="L3" s="11" t="s">
        <v>588</v>
      </c>
      <c r="M3" s="11" t="s">
        <v>589</v>
      </c>
      <c r="N3" s="11" t="s">
        <v>590</v>
      </c>
      <c r="O3" s="11">
        <v>1</v>
      </c>
      <c r="P3" s="11">
        <v>2</v>
      </c>
      <c r="Q3" s="11">
        <v>2</v>
      </c>
      <c r="R3" s="11">
        <v>4</v>
      </c>
      <c r="S3" s="11" t="s">
        <v>88</v>
      </c>
      <c r="T3" s="11" t="s">
        <v>87</v>
      </c>
      <c r="U3" s="11" t="s">
        <v>591</v>
      </c>
      <c r="V3" s="4" t="s">
        <v>591</v>
      </c>
      <c r="W3" s="4" t="s">
        <v>591</v>
      </c>
      <c r="X3" s="4" t="s">
        <v>591</v>
      </c>
      <c r="Y3" s="4" t="s">
        <v>591</v>
      </c>
      <c r="Z3" s="4" t="s">
        <v>591</v>
      </c>
    </row>
    <row r="4" spans="1:26" ht="43.15">
      <c r="A4" s="11">
        <v>2</v>
      </c>
      <c r="B4" s="11" t="s">
        <v>340</v>
      </c>
      <c r="C4" s="11" t="s">
        <v>592</v>
      </c>
      <c r="D4" s="11" t="s">
        <v>415</v>
      </c>
      <c r="E4" s="11" t="s">
        <v>593</v>
      </c>
      <c r="F4" s="11" t="s">
        <v>594</v>
      </c>
      <c r="G4" s="11">
        <v>1</v>
      </c>
      <c r="H4" s="11">
        <v>3</v>
      </c>
      <c r="I4" s="11">
        <v>3</v>
      </c>
      <c r="J4" s="11">
        <v>9</v>
      </c>
      <c r="K4" s="11" t="s">
        <v>87</v>
      </c>
      <c r="L4" s="11" t="s">
        <v>595</v>
      </c>
      <c r="M4" s="11" t="s">
        <v>596</v>
      </c>
      <c r="N4" s="11" t="s">
        <v>597</v>
      </c>
      <c r="O4" s="11">
        <v>1</v>
      </c>
      <c r="P4" s="11">
        <v>2</v>
      </c>
      <c r="Q4" s="11">
        <v>2</v>
      </c>
      <c r="R4" s="11">
        <v>4</v>
      </c>
      <c r="S4" s="11" t="s">
        <v>88</v>
      </c>
      <c r="T4" s="11" t="s">
        <v>87</v>
      </c>
      <c r="U4" s="11" t="s">
        <v>591</v>
      </c>
      <c r="V4" s="4" t="s">
        <v>591</v>
      </c>
      <c r="W4" s="4" t="s">
        <v>591</v>
      </c>
      <c r="X4" s="4" t="s">
        <v>591</v>
      </c>
      <c r="Y4" s="4" t="s">
        <v>591</v>
      </c>
      <c r="Z4" s="4" t="s">
        <v>591</v>
      </c>
    </row>
    <row r="5" spans="1:26" ht="57.6">
      <c r="A5" s="11">
        <v>3</v>
      </c>
      <c r="B5" s="11" t="s">
        <v>340</v>
      </c>
      <c r="C5" s="11" t="s">
        <v>598</v>
      </c>
      <c r="D5" s="11" t="s">
        <v>405</v>
      </c>
      <c r="E5" s="11" t="s">
        <v>599</v>
      </c>
      <c r="F5" s="11" t="s">
        <v>600</v>
      </c>
      <c r="G5" s="11">
        <v>1</v>
      </c>
      <c r="H5" s="11">
        <v>2</v>
      </c>
      <c r="I5" s="11">
        <v>2</v>
      </c>
      <c r="J5" s="11">
        <v>4</v>
      </c>
      <c r="K5" s="11" t="s">
        <v>88</v>
      </c>
      <c r="L5" s="11" t="s">
        <v>601</v>
      </c>
      <c r="M5" s="11" t="s">
        <v>602</v>
      </c>
      <c r="N5" s="11" t="s">
        <v>603</v>
      </c>
      <c r="O5" s="11">
        <v>1</v>
      </c>
      <c r="P5" s="11">
        <v>2</v>
      </c>
      <c r="Q5" s="11">
        <v>1</v>
      </c>
      <c r="R5" s="11">
        <v>2</v>
      </c>
      <c r="S5" s="11" t="s">
        <v>88</v>
      </c>
      <c r="T5" s="11" t="s">
        <v>87</v>
      </c>
      <c r="U5" s="11" t="s">
        <v>591</v>
      </c>
      <c r="V5" s="4" t="s">
        <v>591</v>
      </c>
      <c r="W5" s="4" t="s">
        <v>591</v>
      </c>
      <c r="X5" s="4" t="s">
        <v>591</v>
      </c>
      <c r="Y5" s="4" t="s">
        <v>591</v>
      </c>
      <c r="Z5" s="4" t="s">
        <v>591</v>
      </c>
    </row>
    <row r="6" spans="1:26" ht="57.6">
      <c r="A6" s="11">
        <v>4</v>
      </c>
      <c r="B6" s="11" t="s">
        <v>340</v>
      </c>
      <c r="C6" s="11" t="s">
        <v>604</v>
      </c>
      <c r="D6" s="11" t="s">
        <v>420</v>
      </c>
      <c r="E6" s="11" t="s">
        <v>605</v>
      </c>
      <c r="F6" s="11" t="s">
        <v>606</v>
      </c>
      <c r="G6" s="11">
        <v>1</v>
      </c>
      <c r="H6" s="11">
        <v>2</v>
      </c>
      <c r="I6" s="11">
        <v>2</v>
      </c>
      <c r="J6" s="11">
        <v>4</v>
      </c>
      <c r="K6" s="11" t="s">
        <v>88</v>
      </c>
      <c r="L6" s="11" t="s">
        <v>607</v>
      </c>
      <c r="M6" s="11" t="s">
        <v>608</v>
      </c>
      <c r="N6" s="11" t="s">
        <v>609</v>
      </c>
      <c r="O6" s="11">
        <v>1</v>
      </c>
      <c r="P6" s="11">
        <v>2</v>
      </c>
      <c r="Q6" s="11">
        <v>1</v>
      </c>
      <c r="R6" s="11">
        <v>2</v>
      </c>
      <c r="S6" s="11" t="s">
        <v>88</v>
      </c>
      <c r="T6" s="11" t="s">
        <v>87</v>
      </c>
      <c r="U6" s="11" t="s">
        <v>591</v>
      </c>
      <c r="V6" s="4" t="s">
        <v>591</v>
      </c>
      <c r="W6" s="4" t="s">
        <v>591</v>
      </c>
      <c r="X6" s="4" t="s">
        <v>591</v>
      </c>
      <c r="Y6" s="4" t="s">
        <v>591</v>
      </c>
      <c r="Z6" s="4" t="s">
        <v>591</v>
      </c>
    </row>
    <row r="7" spans="1:26" ht="43.15">
      <c r="A7" s="11">
        <v>5</v>
      </c>
      <c r="B7" s="11" t="s">
        <v>340</v>
      </c>
      <c r="C7" s="11" t="s">
        <v>610</v>
      </c>
      <c r="D7" s="11" t="s">
        <v>425</v>
      </c>
      <c r="E7" s="11" t="s">
        <v>611</v>
      </c>
      <c r="F7" s="11" t="s">
        <v>612</v>
      </c>
      <c r="G7" s="11">
        <v>1</v>
      </c>
      <c r="H7" s="11">
        <v>2</v>
      </c>
      <c r="I7" s="11">
        <v>2</v>
      </c>
      <c r="J7" s="11">
        <v>4</v>
      </c>
      <c r="K7" s="11" t="s">
        <v>88</v>
      </c>
      <c r="L7" s="11" t="s">
        <v>613</v>
      </c>
      <c r="M7" s="11" t="s">
        <v>614</v>
      </c>
      <c r="N7" s="11" t="s">
        <v>615</v>
      </c>
      <c r="O7" s="11">
        <v>1</v>
      </c>
      <c r="P7" s="11">
        <v>2</v>
      </c>
      <c r="Q7" s="11">
        <v>1</v>
      </c>
      <c r="R7" s="11">
        <v>2</v>
      </c>
      <c r="S7" s="11" t="s">
        <v>88</v>
      </c>
      <c r="T7" s="11" t="s">
        <v>87</v>
      </c>
      <c r="U7" s="11" t="s">
        <v>591</v>
      </c>
      <c r="V7" s="4" t="s">
        <v>591</v>
      </c>
      <c r="W7" s="4" t="s">
        <v>591</v>
      </c>
      <c r="X7" s="4" t="s">
        <v>591</v>
      </c>
      <c r="Y7" s="4" t="s">
        <v>591</v>
      </c>
      <c r="Z7" s="4" t="s">
        <v>591</v>
      </c>
    </row>
    <row r="8" spans="1:26" ht="43.15">
      <c r="A8" s="11">
        <v>6</v>
      </c>
      <c r="B8" s="11" t="s">
        <v>340</v>
      </c>
      <c r="C8" s="11" t="s">
        <v>616</v>
      </c>
      <c r="D8" s="11" t="s">
        <v>430</v>
      </c>
      <c r="E8" s="11" t="s">
        <v>617</v>
      </c>
      <c r="F8" s="11" t="s">
        <v>618</v>
      </c>
      <c r="G8" s="11">
        <v>1</v>
      </c>
      <c r="H8" s="11">
        <v>3</v>
      </c>
      <c r="I8" s="11">
        <v>3</v>
      </c>
      <c r="J8" s="11">
        <v>9</v>
      </c>
      <c r="K8" s="11" t="s">
        <v>87</v>
      </c>
      <c r="L8" s="11" t="s">
        <v>619</v>
      </c>
      <c r="M8" s="11" t="s">
        <v>620</v>
      </c>
      <c r="N8" s="11" t="s">
        <v>621</v>
      </c>
      <c r="O8" s="11">
        <v>1</v>
      </c>
      <c r="P8" s="11">
        <v>2</v>
      </c>
      <c r="Q8" s="11">
        <v>2</v>
      </c>
      <c r="R8" s="11">
        <v>4</v>
      </c>
      <c r="S8" s="11" t="s">
        <v>88</v>
      </c>
      <c r="T8" s="11" t="s">
        <v>87</v>
      </c>
      <c r="U8" s="11" t="s">
        <v>591</v>
      </c>
      <c r="V8" s="4" t="s">
        <v>591</v>
      </c>
      <c r="W8" s="4" t="s">
        <v>591</v>
      </c>
      <c r="X8" s="4" t="s">
        <v>591</v>
      </c>
      <c r="Y8" s="4" t="s">
        <v>591</v>
      </c>
      <c r="Z8" s="4" t="s">
        <v>591</v>
      </c>
    </row>
    <row r="9" spans="1:26" ht="43.15">
      <c r="A9" s="11">
        <v>7</v>
      </c>
      <c r="B9" s="11" t="s">
        <v>340</v>
      </c>
      <c r="C9" s="11" t="s">
        <v>622</v>
      </c>
      <c r="D9" s="11" t="s">
        <v>435</v>
      </c>
      <c r="E9" s="11" t="s">
        <v>623</v>
      </c>
      <c r="F9" s="11" t="s">
        <v>624</v>
      </c>
      <c r="G9" s="11">
        <v>1</v>
      </c>
      <c r="H9" s="11">
        <v>2</v>
      </c>
      <c r="I9" s="11">
        <v>2</v>
      </c>
      <c r="J9" s="11">
        <v>4</v>
      </c>
      <c r="K9" s="11" t="s">
        <v>88</v>
      </c>
      <c r="L9" s="11" t="s">
        <v>625</v>
      </c>
      <c r="M9" s="11" t="s">
        <v>626</v>
      </c>
      <c r="N9" s="11" t="s">
        <v>627</v>
      </c>
      <c r="O9" s="11">
        <v>1</v>
      </c>
      <c r="P9" s="11">
        <v>2</v>
      </c>
      <c r="Q9" s="11">
        <v>1</v>
      </c>
      <c r="R9" s="11">
        <v>2</v>
      </c>
      <c r="S9" s="11" t="s">
        <v>88</v>
      </c>
      <c r="T9" s="11" t="s">
        <v>87</v>
      </c>
      <c r="U9" s="11" t="s">
        <v>591</v>
      </c>
      <c r="V9" s="4" t="s">
        <v>591</v>
      </c>
      <c r="W9" s="4" t="s">
        <v>591</v>
      </c>
      <c r="X9" s="4" t="s">
        <v>591</v>
      </c>
      <c r="Y9" s="4" t="s">
        <v>591</v>
      </c>
      <c r="Z9" s="4" t="s">
        <v>591</v>
      </c>
    </row>
    <row r="10" spans="1:26" ht="43.15">
      <c r="A10" s="11">
        <v>8</v>
      </c>
      <c r="B10" s="11" t="s">
        <v>340</v>
      </c>
      <c r="C10" s="11" t="s">
        <v>628</v>
      </c>
      <c r="D10" s="11" t="s">
        <v>440</v>
      </c>
      <c r="E10" s="11" t="s">
        <v>629</v>
      </c>
      <c r="F10" s="11" t="s">
        <v>630</v>
      </c>
      <c r="G10" s="11">
        <v>1</v>
      </c>
      <c r="H10" s="11">
        <v>3</v>
      </c>
      <c r="I10" s="11">
        <v>3</v>
      </c>
      <c r="J10" s="11">
        <v>9</v>
      </c>
      <c r="K10" s="11" t="s">
        <v>87</v>
      </c>
      <c r="L10" s="11" t="s">
        <v>631</v>
      </c>
      <c r="M10" s="11" t="s">
        <v>632</v>
      </c>
      <c r="N10" s="11" t="s">
        <v>633</v>
      </c>
      <c r="O10" s="11">
        <v>1</v>
      </c>
      <c r="P10" s="11">
        <v>2</v>
      </c>
      <c r="Q10" s="11">
        <v>2</v>
      </c>
      <c r="R10" s="11">
        <v>4</v>
      </c>
      <c r="S10" s="11" t="s">
        <v>88</v>
      </c>
      <c r="T10" s="11" t="s">
        <v>87</v>
      </c>
      <c r="U10" s="11" t="s">
        <v>591</v>
      </c>
      <c r="V10" s="4" t="s">
        <v>591</v>
      </c>
      <c r="W10" s="4" t="s">
        <v>591</v>
      </c>
      <c r="X10" s="4" t="s">
        <v>591</v>
      </c>
      <c r="Y10" s="4" t="s">
        <v>591</v>
      </c>
      <c r="Z10" s="4" t="s">
        <v>591</v>
      </c>
    </row>
    <row r="11" spans="1:26" ht="43.15">
      <c r="A11" s="11">
        <v>9</v>
      </c>
      <c r="B11" s="11" t="s">
        <v>340</v>
      </c>
      <c r="C11" s="11" t="s">
        <v>634</v>
      </c>
      <c r="D11" s="11" t="s">
        <v>445</v>
      </c>
      <c r="E11" s="11" t="s">
        <v>635</v>
      </c>
      <c r="F11" s="11" t="s">
        <v>636</v>
      </c>
      <c r="G11" s="11">
        <v>1</v>
      </c>
      <c r="H11" s="11">
        <v>3</v>
      </c>
      <c r="I11" s="11">
        <v>3</v>
      </c>
      <c r="J11" s="11">
        <v>9</v>
      </c>
      <c r="K11" s="11" t="s">
        <v>87</v>
      </c>
      <c r="L11" s="11" t="s">
        <v>637</v>
      </c>
      <c r="M11" s="11" t="s">
        <v>638</v>
      </c>
      <c r="N11" s="11" t="s">
        <v>639</v>
      </c>
      <c r="O11" s="11">
        <v>1</v>
      </c>
      <c r="P11" s="11">
        <v>2</v>
      </c>
      <c r="Q11" s="11">
        <v>2</v>
      </c>
      <c r="R11" s="11">
        <v>4</v>
      </c>
      <c r="S11" s="11" t="s">
        <v>88</v>
      </c>
      <c r="T11" s="11" t="s">
        <v>87</v>
      </c>
      <c r="U11" s="11" t="s">
        <v>591</v>
      </c>
      <c r="V11" s="4" t="s">
        <v>591</v>
      </c>
      <c r="W11" s="4" t="s">
        <v>591</v>
      </c>
      <c r="X11" s="4" t="s">
        <v>591</v>
      </c>
      <c r="Y11" s="4" t="s">
        <v>591</v>
      </c>
      <c r="Z11" s="4" t="s">
        <v>591</v>
      </c>
    </row>
    <row r="12" spans="1:26" ht="57.6">
      <c r="A12" s="11">
        <v>10</v>
      </c>
      <c r="B12" s="11" t="s">
        <v>340</v>
      </c>
      <c r="C12" s="11" t="s">
        <v>640</v>
      </c>
      <c r="D12" s="11" t="s">
        <v>450</v>
      </c>
      <c r="E12" s="11" t="s">
        <v>641</v>
      </c>
      <c r="F12" s="11" t="s">
        <v>642</v>
      </c>
      <c r="G12" s="11">
        <v>1</v>
      </c>
      <c r="H12" s="11">
        <v>3</v>
      </c>
      <c r="I12" s="11">
        <v>3</v>
      </c>
      <c r="J12" s="11">
        <v>9</v>
      </c>
      <c r="K12" s="11" t="s">
        <v>87</v>
      </c>
      <c r="L12" s="11" t="s">
        <v>643</v>
      </c>
      <c r="M12" s="11" t="s">
        <v>644</v>
      </c>
      <c r="N12" s="11" t="s">
        <v>645</v>
      </c>
      <c r="O12" s="11">
        <v>1</v>
      </c>
      <c r="P12" s="11">
        <v>2</v>
      </c>
      <c r="Q12" s="11">
        <v>2</v>
      </c>
      <c r="R12" s="11">
        <v>4</v>
      </c>
      <c r="S12" s="11" t="s">
        <v>88</v>
      </c>
      <c r="T12" s="11" t="s">
        <v>87</v>
      </c>
      <c r="U12" s="11" t="s">
        <v>591</v>
      </c>
      <c r="V12" s="4" t="s">
        <v>591</v>
      </c>
      <c r="W12" s="4" t="s">
        <v>591</v>
      </c>
      <c r="X12" s="4" t="s">
        <v>591</v>
      </c>
      <c r="Y12" s="4" t="s">
        <v>591</v>
      </c>
      <c r="Z12" s="4" t="s">
        <v>591</v>
      </c>
    </row>
    <row r="13" spans="1:26" ht="43.15">
      <c r="A13" s="11">
        <v>11</v>
      </c>
      <c r="B13" s="11" t="s">
        <v>340</v>
      </c>
      <c r="C13" s="11" t="s">
        <v>646</v>
      </c>
      <c r="D13" s="11" t="s">
        <v>455</v>
      </c>
      <c r="E13" s="11" t="s">
        <v>647</v>
      </c>
      <c r="F13" s="11" t="s">
        <v>648</v>
      </c>
      <c r="G13" s="11">
        <v>1</v>
      </c>
      <c r="H13" s="11">
        <v>2</v>
      </c>
      <c r="I13" s="11">
        <v>2</v>
      </c>
      <c r="J13" s="11">
        <v>4</v>
      </c>
      <c r="K13" s="11" t="s">
        <v>88</v>
      </c>
      <c r="L13" s="11" t="s">
        <v>649</v>
      </c>
      <c r="M13" s="11" t="s">
        <v>650</v>
      </c>
      <c r="N13" s="11" t="s">
        <v>651</v>
      </c>
      <c r="O13" s="11">
        <v>1</v>
      </c>
      <c r="P13" s="11">
        <v>2</v>
      </c>
      <c r="Q13" s="11">
        <v>1</v>
      </c>
      <c r="R13" s="11">
        <v>2</v>
      </c>
      <c r="S13" s="11" t="s">
        <v>88</v>
      </c>
      <c r="T13" s="11" t="s">
        <v>87</v>
      </c>
      <c r="U13" s="11" t="s">
        <v>591</v>
      </c>
      <c r="V13" s="4" t="s">
        <v>591</v>
      </c>
      <c r="W13" s="4" t="s">
        <v>591</v>
      </c>
      <c r="X13" s="4" t="s">
        <v>591</v>
      </c>
      <c r="Y13" s="4" t="s">
        <v>591</v>
      </c>
      <c r="Z13" s="4" t="s">
        <v>591</v>
      </c>
    </row>
    <row r="14" spans="1:26" ht="57.6">
      <c r="A14" s="11">
        <v>12</v>
      </c>
      <c r="B14" s="11" t="s">
        <v>340</v>
      </c>
      <c r="C14" s="11" t="s">
        <v>652</v>
      </c>
      <c r="D14" s="11" t="s">
        <v>460</v>
      </c>
      <c r="E14" s="11" t="s">
        <v>653</v>
      </c>
      <c r="F14" s="11" t="s">
        <v>654</v>
      </c>
      <c r="G14" s="11">
        <v>1</v>
      </c>
      <c r="H14" s="11">
        <v>3</v>
      </c>
      <c r="I14" s="11">
        <v>3</v>
      </c>
      <c r="J14" s="11">
        <v>9</v>
      </c>
      <c r="K14" s="11" t="s">
        <v>87</v>
      </c>
      <c r="L14" s="11" t="s">
        <v>655</v>
      </c>
      <c r="M14" s="11" t="s">
        <v>656</v>
      </c>
      <c r="N14" s="11" t="s">
        <v>657</v>
      </c>
      <c r="O14" s="11">
        <v>1</v>
      </c>
      <c r="P14" s="11">
        <v>2</v>
      </c>
      <c r="Q14" s="11">
        <v>2</v>
      </c>
      <c r="R14" s="11">
        <v>4</v>
      </c>
      <c r="S14" s="11" t="s">
        <v>88</v>
      </c>
      <c r="T14" s="11" t="s">
        <v>87</v>
      </c>
      <c r="U14" s="11" t="s">
        <v>591</v>
      </c>
      <c r="V14" s="4" t="s">
        <v>591</v>
      </c>
      <c r="W14" s="4" t="s">
        <v>591</v>
      </c>
      <c r="X14" s="4" t="s">
        <v>591</v>
      </c>
      <c r="Y14" s="4" t="s">
        <v>591</v>
      </c>
      <c r="Z14" s="4" t="s">
        <v>591</v>
      </c>
    </row>
    <row r="15" spans="1:26" ht="43.15">
      <c r="A15" s="11">
        <v>13</v>
      </c>
      <c r="B15" s="11" t="s">
        <v>563</v>
      </c>
      <c r="C15" s="11" t="s">
        <v>658</v>
      </c>
      <c r="D15" s="11" t="s">
        <v>565</v>
      </c>
      <c r="E15" s="11" t="s">
        <v>659</v>
      </c>
      <c r="F15" s="11" t="s">
        <v>660</v>
      </c>
      <c r="G15" s="11">
        <v>2</v>
      </c>
      <c r="H15" s="11">
        <v>3</v>
      </c>
      <c r="I15" s="11">
        <v>3</v>
      </c>
      <c r="J15" s="11">
        <v>18</v>
      </c>
      <c r="K15" s="11" t="s">
        <v>87</v>
      </c>
      <c r="L15" s="11" t="s">
        <v>661</v>
      </c>
      <c r="M15" s="11" t="s">
        <v>662</v>
      </c>
      <c r="N15" s="11" t="s">
        <v>663</v>
      </c>
      <c r="O15" s="11">
        <v>1</v>
      </c>
      <c r="P15" s="11">
        <v>2</v>
      </c>
      <c r="Q15" s="11">
        <v>2</v>
      </c>
      <c r="R15" s="11">
        <v>4</v>
      </c>
      <c r="S15" s="11" t="s">
        <v>88</v>
      </c>
      <c r="T15" s="11" t="s">
        <v>87</v>
      </c>
      <c r="U15" s="11" t="s">
        <v>591</v>
      </c>
      <c r="V15" s="4" t="s">
        <v>591</v>
      </c>
      <c r="W15" s="4" t="s">
        <v>591</v>
      </c>
      <c r="X15" s="4" t="s">
        <v>591</v>
      </c>
      <c r="Y15" s="4" t="s">
        <v>591</v>
      </c>
      <c r="Z15" s="4" t="s">
        <v>591</v>
      </c>
    </row>
    <row r="16" spans="1:26" ht="43.15">
      <c r="A16" s="11">
        <v>14</v>
      </c>
      <c r="B16" s="11" t="s">
        <v>563</v>
      </c>
      <c r="C16" s="11" t="s">
        <v>664</v>
      </c>
      <c r="D16" s="11" t="s">
        <v>565</v>
      </c>
      <c r="E16" s="11" t="s">
        <v>659</v>
      </c>
      <c r="F16" s="11" t="s">
        <v>660</v>
      </c>
      <c r="G16" s="11">
        <v>2</v>
      </c>
      <c r="H16" s="11">
        <v>3</v>
      </c>
      <c r="I16" s="11">
        <v>3</v>
      </c>
      <c r="J16" s="11">
        <v>18</v>
      </c>
      <c r="K16" s="11" t="s">
        <v>87</v>
      </c>
      <c r="L16" s="11" t="s">
        <v>661</v>
      </c>
      <c r="M16" s="11" t="s">
        <v>662</v>
      </c>
      <c r="N16" s="11" t="s">
        <v>663</v>
      </c>
      <c r="O16" s="11">
        <v>1</v>
      </c>
      <c r="P16" s="11">
        <v>2</v>
      </c>
      <c r="Q16" s="11">
        <v>2</v>
      </c>
      <c r="R16" s="11">
        <v>4</v>
      </c>
      <c r="S16" s="11" t="s">
        <v>88</v>
      </c>
      <c r="T16" s="11" t="s">
        <v>87</v>
      </c>
      <c r="U16" s="11" t="s">
        <v>591</v>
      </c>
      <c r="V16" s="4" t="s">
        <v>591</v>
      </c>
      <c r="W16" s="4" t="s">
        <v>591</v>
      </c>
      <c r="X16" s="4" t="s">
        <v>591</v>
      </c>
      <c r="Y16" s="4" t="s">
        <v>591</v>
      </c>
      <c r="Z16" s="4" t="s">
        <v>591</v>
      </c>
    </row>
  </sheetData>
  <mergeCells count="7">
    <mergeCell ref="Y1:Z1"/>
    <mergeCell ref="A1:F1"/>
    <mergeCell ref="G1:J1"/>
    <mergeCell ref="L1:N1"/>
    <mergeCell ref="O1:R1"/>
    <mergeCell ref="T1:U1"/>
    <mergeCell ref="V1:X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A1180-74B3-4250-A846-4B8791B87A5B}">
  <dimension ref="A1:C6"/>
  <sheetViews>
    <sheetView workbookViewId="0">
      <selection activeCell="D5" sqref="D5"/>
    </sheetView>
  </sheetViews>
  <sheetFormatPr defaultColWidth="47.85546875" defaultRowHeight="12"/>
  <cols>
    <col min="1" max="1" width="25.7109375" style="9" customWidth="1"/>
    <col min="2" max="16384" width="47.85546875" style="9"/>
  </cols>
  <sheetData>
    <row r="1" spans="1:3" ht="21" customHeight="1" thickBot="1">
      <c r="A1" s="10" t="s">
        <v>665</v>
      </c>
      <c r="B1" s="10" t="s">
        <v>666</v>
      </c>
      <c r="C1" s="24"/>
    </row>
    <row r="2" spans="1:3" ht="20.65" customHeight="1" thickBot="1">
      <c r="A2" s="5" t="s">
        <v>667</v>
      </c>
      <c r="B2" s="5" t="s">
        <v>668</v>
      </c>
    </row>
    <row r="3" spans="1:3" ht="24" customHeight="1" thickBot="1">
      <c r="A3" s="5" t="s">
        <v>669</v>
      </c>
      <c r="B3" s="5" t="s">
        <v>670</v>
      </c>
    </row>
    <row r="4" spans="1:3" ht="27" customHeight="1" thickBot="1">
      <c r="A4" s="5" t="s">
        <v>671</v>
      </c>
      <c r="B4" s="5" t="s">
        <v>672</v>
      </c>
    </row>
    <row r="5" spans="1:3" ht="27" customHeight="1" thickBot="1">
      <c r="A5" s="5" t="s">
        <v>673</v>
      </c>
      <c r="B5" s="5" t="s">
        <v>674</v>
      </c>
    </row>
    <row r="6" spans="1:3" ht="37.5" customHeight="1" thickBot="1">
      <c r="A6" s="5" t="s">
        <v>675</v>
      </c>
      <c r="B6" s="5" t="s">
        <v>676</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2578125" defaultRowHeight="15" customHeight="1"/>
  <cols>
    <col min="1" max="1" width="8.28515625" customWidth="1"/>
    <col min="2" max="2" width="17.28515625" customWidth="1"/>
    <col min="3" max="3" width="18.5703125" customWidth="1"/>
    <col min="4" max="4" width="10.28515625" customWidth="1"/>
    <col min="5" max="5" width="10.42578125" customWidth="1"/>
    <col min="6" max="6" width="10" customWidth="1"/>
    <col min="7" max="26" width="8.7109375" customWidth="1"/>
  </cols>
  <sheetData>
    <row r="1" spans="1:3" ht="14.25" customHeight="1">
      <c r="A1" s="1" t="s">
        <v>677</v>
      </c>
      <c r="B1" s="2" t="s">
        <v>678</v>
      </c>
      <c r="C1" s="2" t="s">
        <v>679</v>
      </c>
    </row>
    <row r="2" spans="1:3" ht="14.25" customHeight="1">
      <c r="A2" s="3" t="s">
        <v>680</v>
      </c>
      <c r="B2" s="3" t="s">
        <v>681</v>
      </c>
      <c r="C2" s="3" t="s">
        <v>682</v>
      </c>
    </row>
    <row r="3" spans="1:3" ht="14.25" customHeight="1">
      <c r="A3" s="3" t="s">
        <v>683</v>
      </c>
      <c r="B3" s="3" t="s">
        <v>684</v>
      </c>
      <c r="C3" s="3" t="s">
        <v>87</v>
      </c>
    </row>
    <row r="4" spans="1:3" ht="14.25" customHeight="1">
      <c r="A4" s="3" t="s">
        <v>685</v>
      </c>
      <c r="B4" s="3" t="s">
        <v>686</v>
      </c>
    </row>
    <row r="5" spans="1:3" ht="14.25" customHeight="1">
      <c r="A5" s="3" t="s">
        <v>681</v>
      </c>
      <c r="B5" s="3" t="s">
        <v>687</v>
      </c>
    </row>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29949-D4CE-4EEC-A6B4-09CF44E9BE86}">
  <dimension ref="B2:D9"/>
  <sheetViews>
    <sheetView workbookViewId="0">
      <selection activeCell="D9" sqref="D9"/>
    </sheetView>
  </sheetViews>
  <sheetFormatPr defaultColWidth="8.85546875" defaultRowHeight="14.45"/>
  <cols>
    <col min="2" max="2" width="13.28515625" customWidth="1"/>
    <col min="3" max="3" width="63.7109375" customWidth="1"/>
    <col min="4" max="4" width="30.7109375" customWidth="1"/>
  </cols>
  <sheetData>
    <row r="2" spans="2:4" ht="15.6">
      <c r="B2" s="116" t="s">
        <v>688</v>
      </c>
      <c r="C2" s="117" t="s">
        <v>689</v>
      </c>
      <c r="D2" s="29" t="s">
        <v>690</v>
      </c>
    </row>
    <row r="3" spans="2:4" ht="38.25" customHeight="1">
      <c r="B3" s="118" t="s">
        <v>691</v>
      </c>
      <c r="C3" s="119" t="s">
        <v>692</v>
      </c>
      <c r="D3" s="119" t="s">
        <v>7</v>
      </c>
    </row>
    <row r="4" spans="2:4" ht="47.25" customHeight="1">
      <c r="B4" s="118" t="s">
        <v>693</v>
      </c>
      <c r="C4" s="119" t="s">
        <v>694</v>
      </c>
      <c r="D4" s="119" t="s">
        <v>695</v>
      </c>
    </row>
    <row r="5" spans="2:4" ht="102" customHeight="1">
      <c r="B5" s="118" t="s">
        <v>696</v>
      </c>
      <c r="C5" s="119" t="s">
        <v>697</v>
      </c>
      <c r="D5" s="119" t="s">
        <v>698</v>
      </c>
    </row>
    <row r="6" spans="2:4" ht="60" customHeight="1">
      <c r="B6" s="118" t="s">
        <v>699</v>
      </c>
      <c r="C6" s="119" t="s">
        <v>700</v>
      </c>
      <c r="D6" s="119" t="s">
        <v>701</v>
      </c>
    </row>
    <row r="7" spans="2:4" ht="35.25" customHeight="1">
      <c r="B7" s="118" t="s">
        <v>702</v>
      </c>
      <c r="C7" s="119" t="s">
        <v>703</v>
      </c>
      <c r="D7" s="119" t="s">
        <v>704</v>
      </c>
    </row>
    <row r="8" spans="2:4" ht="34.5" customHeight="1">
      <c r="B8" s="118" t="s">
        <v>705</v>
      </c>
      <c r="C8" s="119" t="s">
        <v>706</v>
      </c>
      <c r="D8" s="119" t="s">
        <v>707</v>
      </c>
    </row>
    <row r="9" spans="2:4" ht="28.9">
      <c r="B9" s="73" t="s">
        <v>708</v>
      </c>
      <c r="C9" s="74" t="s">
        <v>709</v>
      </c>
      <c r="D9" s="119" t="s">
        <v>710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7F93-8E8B-453E-A584-DFF8B6534ABE}">
  <dimension ref="A1:G30"/>
  <sheetViews>
    <sheetView topLeftCell="A11" workbookViewId="0">
      <selection activeCell="A4" sqref="A4"/>
    </sheetView>
  </sheetViews>
  <sheetFormatPr defaultColWidth="9.140625" defaultRowHeight="14.45"/>
  <cols>
    <col min="1" max="1" width="18.7109375" bestFit="1" customWidth="1"/>
    <col min="2" max="2" width="67.7109375" customWidth="1"/>
    <col min="5" max="5" width="25.7109375" customWidth="1"/>
    <col min="6" max="6" width="11.28515625" bestFit="1" customWidth="1"/>
  </cols>
  <sheetData>
    <row r="1" spans="1:7" ht="15" thickBot="1">
      <c r="A1" s="87" t="s">
        <v>711</v>
      </c>
      <c r="B1" s="87"/>
      <c r="C1" s="87"/>
      <c r="D1" s="88"/>
      <c r="E1" s="88"/>
      <c r="F1" s="88"/>
      <c r="G1" s="88"/>
    </row>
    <row r="2" spans="1:7">
      <c r="A2" s="89" t="s">
        <v>712</v>
      </c>
      <c r="B2" s="89" t="s">
        <v>713</v>
      </c>
      <c r="C2" s="90" t="s">
        <v>714</v>
      </c>
      <c r="D2" s="88"/>
      <c r="E2" s="183" t="s">
        <v>715</v>
      </c>
      <c r="F2" s="186"/>
      <c r="G2" s="88"/>
    </row>
    <row r="3" spans="1:7">
      <c r="A3" s="91" t="s">
        <v>675</v>
      </c>
      <c r="B3" s="91" t="s">
        <v>716</v>
      </c>
      <c r="C3" s="92">
        <v>1</v>
      </c>
      <c r="D3" s="88"/>
      <c r="E3" s="187"/>
      <c r="F3" s="188"/>
      <c r="G3" s="88"/>
    </row>
    <row r="4" spans="1:7">
      <c r="A4" s="91" t="s">
        <v>673</v>
      </c>
      <c r="B4" s="93" t="s">
        <v>674</v>
      </c>
      <c r="C4" s="92">
        <v>2</v>
      </c>
      <c r="D4" s="88"/>
      <c r="E4" s="94" t="s">
        <v>717</v>
      </c>
      <c r="F4" s="94" t="s">
        <v>718</v>
      </c>
      <c r="G4" s="95"/>
    </row>
    <row r="5" spans="1:7">
      <c r="A5" s="91" t="s">
        <v>671</v>
      </c>
      <c r="B5" s="93" t="s">
        <v>672</v>
      </c>
      <c r="C5" s="92">
        <v>3</v>
      </c>
      <c r="D5" s="88"/>
      <c r="E5" s="96">
        <v>1</v>
      </c>
      <c r="F5" s="97" t="s">
        <v>86</v>
      </c>
      <c r="G5" s="95"/>
    </row>
    <row r="6" spans="1:7">
      <c r="A6" s="91" t="s">
        <v>669</v>
      </c>
      <c r="B6" s="93" t="s">
        <v>670</v>
      </c>
      <c r="C6" s="92">
        <v>4</v>
      </c>
      <c r="D6" s="88"/>
      <c r="E6" s="96">
        <v>2</v>
      </c>
      <c r="F6" s="97" t="s">
        <v>86</v>
      </c>
      <c r="G6" s="95"/>
    </row>
    <row r="7" spans="1:7">
      <c r="A7" s="91" t="s">
        <v>667</v>
      </c>
      <c r="B7" s="91" t="s">
        <v>668</v>
      </c>
      <c r="C7" s="92">
        <v>5</v>
      </c>
      <c r="D7" s="88"/>
      <c r="E7" s="96">
        <v>3</v>
      </c>
      <c r="F7" s="97" t="s">
        <v>86</v>
      </c>
      <c r="G7" s="95"/>
    </row>
    <row r="8" spans="1:7">
      <c r="A8" s="88"/>
      <c r="B8" s="88"/>
      <c r="C8" s="88"/>
      <c r="D8" s="95"/>
      <c r="E8" s="96">
        <v>4</v>
      </c>
      <c r="F8" s="97" t="s">
        <v>86</v>
      </c>
      <c r="G8" s="88"/>
    </row>
    <row r="9" spans="1:7">
      <c r="A9" s="98" t="s">
        <v>719</v>
      </c>
      <c r="B9" s="89" t="s">
        <v>713</v>
      </c>
      <c r="C9" s="90" t="s">
        <v>714</v>
      </c>
      <c r="D9" s="88"/>
      <c r="E9" s="96">
        <v>5</v>
      </c>
      <c r="F9" s="97" t="s">
        <v>86</v>
      </c>
      <c r="G9" s="88"/>
    </row>
    <row r="10" spans="1:7">
      <c r="A10" s="88" t="s">
        <v>720</v>
      </c>
      <c r="B10" s="88" t="s">
        <v>721</v>
      </c>
      <c r="C10" s="92">
        <v>1</v>
      </c>
      <c r="D10" s="88"/>
      <c r="E10" s="99">
        <v>6</v>
      </c>
      <c r="F10" s="100" t="s">
        <v>84</v>
      </c>
      <c r="G10" s="88"/>
    </row>
    <row r="11" spans="1:7">
      <c r="A11" s="88" t="s">
        <v>722</v>
      </c>
      <c r="B11" s="88" t="s">
        <v>723</v>
      </c>
      <c r="C11" s="92">
        <v>2</v>
      </c>
      <c r="D11" s="88"/>
      <c r="E11" s="99">
        <v>8</v>
      </c>
      <c r="F11" s="100" t="s">
        <v>84</v>
      </c>
      <c r="G11" s="88"/>
    </row>
    <row r="12" spans="1:7">
      <c r="A12" s="88" t="s">
        <v>724</v>
      </c>
      <c r="B12" s="88" t="s">
        <v>725</v>
      </c>
      <c r="C12" s="92">
        <v>3</v>
      </c>
      <c r="D12" s="88"/>
      <c r="E12" s="99">
        <v>9</v>
      </c>
      <c r="F12" s="100" t="s">
        <v>84</v>
      </c>
      <c r="G12" s="88"/>
    </row>
    <row r="13" spans="1:7">
      <c r="A13" s="88" t="s">
        <v>726</v>
      </c>
      <c r="B13" s="88" t="s">
        <v>727</v>
      </c>
      <c r="C13" s="92">
        <v>4</v>
      </c>
      <c r="D13" s="88"/>
      <c r="E13" s="99">
        <v>10</v>
      </c>
      <c r="F13" s="100" t="s">
        <v>84</v>
      </c>
      <c r="G13" s="88"/>
    </row>
    <row r="14" spans="1:7">
      <c r="A14" s="88" t="s">
        <v>728</v>
      </c>
      <c r="B14" s="88" t="s">
        <v>729</v>
      </c>
      <c r="C14" s="92">
        <v>5</v>
      </c>
      <c r="D14" s="88"/>
      <c r="E14" s="99">
        <v>12</v>
      </c>
      <c r="F14" s="100" t="s">
        <v>84</v>
      </c>
      <c r="G14" s="88"/>
    </row>
    <row r="15" spans="1:7">
      <c r="A15" s="88"/>
      <c r="B15" s="88"/>
      <c r="C15" s="88"/>
      <c r="D15" s="88"/>
      <c r="E15" s="101">
        <v>15</v>
      </c>
      <c r="F15" s="102" t="s">
        <v>730</v>
      </c>
      <c r="G15" s="95"/>
    </row>
    <row r="16" spans="1:7">
      <c r="A16" s="87" t="s">
        <v>731</v>
      </c>
      <c r="B16" s="87"/>
      <c r="C16" s="87"/>
      <c r="D16" s="103"/>
      <c r="E16" s="101">
        <v>16</v>
      </c>
      <c r="F16" s="102" t="s">
        <v>730</v>
      </c>
      <c r="G16" s="95"/>
    </row>
    <row r="17" spans="1:7">
      <c r="A17" s="89" t="s">
        <v>712</v>
      </c>
      <c r="B17" s="89"/>
      <c r="C17" s="90" t="s">
        <v>714</v>
      </c>
      <c r="D17" s="104"/>
      <c r="E17" s="101">
        <v>20</v>
      </c>
      <c r="F17" s="102" t="s">
        <v>730</v>
      </c>
      <c r="G17" s="95"/>
    </row>
    <row r="18" spans="1:7" ht="15" thickBot="1">
      <c r="A18" s="91" t="s">
        <v>675</v>
      </c>
      <c r="B18" s="91"/>
      <c r="C18" s="95">
        <v>1</v>
      </c>
      <c r="D18" s="95"/>
      <c r="E18" s="105">
        <v>25</v>
      </c>
      <c r="F18" s="106" t="s">
        <v>730</v>
      </c>
      <c r="G18" s="95"/>
    </row>
    <row r="19" spans="1:7">
      <c r="A19" s="91" t="s">
        <v>673</v>
      </c>
      <c r="B19" s="91"/>
      <c r="C19" s="95">
        <v>2</v>
      </c>
      <c r="D19" s="95"/>
      <c r="E19" s="88"/>
      <c r="F19" s="88"/>
      <c r="G19" s="88"/>
    </row>
    <row r="20" spans="1:7">
      <c r="A20" s="91" t="s">
        <v>671</v>
      </c>
      <c r="B20" s="91"/>
      <c r="C20" s="95">
        <v>3</v>
      </c>
      <c r="D20" s="95"/>
      <c r="E20" s="88"/>
      <c r="F20" s="88"/>
      <c r="G20" s="88"/>
    </row>
    <row r="21" spans="1:7">
      <c r="A21" s="91" t="s">
        <v>669</v>
      </c>
      <c r="B21" s="91"/>
      <c r="C21" s="95">
        <v>4</v>
      </c>
      <c r="D21" s="95"/>
      <c r="E21" s="88"/>
      <c r="F21" s="88"/>
      <c r="G21" s="88"/>
    </row>
    <row r="22" spans="1:7">
      <c r="A22" s="91" t="s">
        <v>667</v>
      </c>
      <c r="B22" s="91"/>
      <c r="C22" s="95">
        <v>5</v>
      </c>
      <c r="D22" s="95"/>
      <c r="E22" s="88"/>
      <c r="F22" s="88"/>
      <c r="G22" s="88"/>
    </row>
    <row r="23" spans="1:7">
      <c r="A23" s="88"/>
      <c r="B23" s="88"/>
      <c r="C23" s="88"/>
      <c r="D23" s="95"/>
      <c r="E23" s="88"/>
      <c r="F23" s="88"/>
      <c r="G23" s="88"/>
    </row>
    <row r="24" spans="1:7" ht="24">
      <c r="A24" s="89" t="s">
        <v>732</v>
      </c>
      <c r="B24" s="89"/>
      <c r="C24" s="90" t="s">
        <v>714</v>
      </c>
      <c r="D24" s="104"/>
      <c r="E24" s="107" t="s">
        <v>733</v>
      </c>
      <c r="F24" s="108" t="s">
        <v>734</v>
      </c>
      <c r="G24" s="88"/>
    </row>
    <row r="25" spans="1:7">
      <c r="A25" s="88" t="s">
        <v>720</v>
      </c>
      <c r="B25" s="88"/>
      <c r="C25" s="95">
        <v>1</v>
      </c>
      <c r="D25" s="88"/>
      <c r="E25" s="109" t="s">
        <v>735</v>
      </c>
      <c r="F25" s="110" t="s">
        <v>591</v>
      </c>
      <c r="G25" s="88"/>
    </row>
    <row r="26" spans="1:7">
      <c r="A26" s="88" t="s">
        <v>722</v>
      </c>
      <c r="B26" s="88"/>
      <c r="C26" s="95">
        <v>2</v>
      </c>
      <c r="D26" s="88"/>
      <c r="E26" s="111" t="s">
        <v>736</v>
      </c>
      <c r="F26" s="112" t="s">
        <v>737</v>
      </c>
      <c r="G26" s="88"/>
    </row>
    <row r="27" spans="1:7">
      <c r="A27" s="88" t="s">
        <v>724</v>
      </c>
      <c r="B27" s="88"/>
      <c r="C27" s="95">
        <v>3</v>
      </c>
      <c r="D27" s="88"/>
      <c r="E27" s="184" t="s">
        <v>738</v>
      </c>
      <c r="F27" s="185" t="s">
        <v>739</v>
      </c>
      <c r="G27" s="88"/>
    </row>
    <row r="28" spans="1:7">
      <c r="A28" s="88" t="s">
        <v>726</v>
      </c>
      <c r="B28" s="88"/>
      <c r="C28" s="95">
        <v>4</v>
      </c>
      <c r="D28" s="88"/>
      <c r="E28" s="189"/>
      <c r="F28" s="190"/>
      <c r="G28" s="88"/>
    </row>
    <row r="29" spans="1:7">
      <c r="A29" s="88" t="s">
        <v>728</v>
      </c>
      <c r="B29" s="88"/>
      <c r="C29" s="95">
        <v>5</v>
      </c>
      <c r="D29" s="88"/>
      <c r="E29" s="88"/>
      <c r="F29" s="88"/>
      <c r="G29" s="88"/>
    </row>
    <row r="30" spans="1:7">
      <c r="A30" s="88"/>
      <c r="B30" s="88"/>
      <c r="C30" s="88"/>
      <c r="D30" s="88"/>
      <c r="E30" s="88"/>
      <c r="F30" s="88"/>
      <c r="G30" s="88"/>
    </row>
  </sheetData>
  <mergeCells count="3">
    <mergeCell ref="E2:F3"/>
    <mergeCell ref="E27:E28"/>
    <mergeCell ref="F27:F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CBDB3C246F8194BBDECA4154A62B9BE" ma:contentTypeVersion="10" ma:contentTypeDescription="Crear nuevo documento." ma:contentTypeScope="" ma:versionID="ade27a0438fce5661c693d5d83f2414f">
  <xsd:schema xmlns:xsd="http://www.w3.org/2001/XMLSchema" xmlns:xs="http://www.w3.org/2001/XMLSchema" xmlns:p="http://schemas.microsoft.com/office/2006/metadata/properties" xmlns:ns2="9c84046b-1756-41ad-84ec-826e2bed40c8" xmlns:ns3="14ea127c-854f-41fb-9adb-d090df6732b5" targetNamespace="http://schemas.microsoft.com/office/2006/metadata/properties" ma:root="true" ma:fieldsID="8608c0c8d32bb895e704b9ffe02c8082" ns2:_="" ns3:_="">
    <xsd:import namespace="9c84046b-1756-41ad-84ec-826e2bed40c8"/>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84046b-1756-41ad-84ec-826e2bed40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84046b-1756-41ad-84ec-826e2bed40c8">
      <Terms xmlns="http://schemas.microsoft.com/office/infopath/2007/PartnerControls"/>
    </lcf76f155ced4ddcb4097134ff3c332f>
    <TaxCatchAll xmlns="14ea127c-854f-41fb-9adb-d090df6732b5" xsi:nil="true"/>
  </documentManagement>
</p:properties>
</file>

<file path=customXml/itemProps1.xml><?xml version="1.0" encoding="utf-8"?>
<ds:datastoreItem xmlns:ds="http://schemas.openxmlformats.org/officeDocument/2006/customXml" ds:itemID="{12E46B50-E675-4F68-A85F-586934786D16}"/>
</file>

<file path=customXml/itemProps2.xml><?xml version="1.0" encoding="utf-8"?>
<ds:datastoreItem xmlns:ds="http://schemas.openxmlformats.org/officeDocument/2006/customXml" ds:itemID="{6E937611-F526-49A1-96BB-893E1DF06C9D}"/>
</file>

<file path=customXml/itemProps3.xml><?xml version="1.0" encoding="utf-8"?>
<ds:datastoreItem xmlns:ds="http://schemas.openxmlformats.org/officeDocument/2006/customXml" ds:itemID="{0A4FED26-6795-44D1-B980-8C71A66993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NSL</dc:creator>
  <cp:keywords/>
  <dc:description/>
  <cp:lastModifiedBy>sandrabalseiro@smartmdr.com</cp:lastModifiedBy>
  <cp:revision/>
  <dcterms:created xsi:type="dcterms:W3CDTF">2017-02-24T16:17:56Z</dcterms:created>
  <dcterms:modified xsi:type="dcterms:W3CDTF">2025-06-18T14:58:51Z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0x010100ECBDB3C246F8194BBDECA4154A62B9BE</vt:lpwstr>
  </property>
  <property fmtid="{D5CDD505-2E9C-101B-9397-08002B2CF9AE}" pid="3" name="MediaServiceImageTags">
    <vt:lpwstr/>
  </property>
</Properties>
</file>