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5"/>
  <workbookPr defaultThemeVersion="166925"/>
  <mc:AlternateContent xmlns:mc="http://schemas.openxmlformats.org/markup-compatibility/2006">
    <mc:Choice Requires="x15">
      <x15ac:absPath xmlns:x15ac="http://schemas.microsoft.com/office/spreadsheetml/2010/11/ac" url="https://hssmilonltd.sharepoint.com/sites/STAGE/Shared Documents/General/02 Working Documents/01 - Work Progress &amp; Deliverables/04 Task 1.1.3/"/>
    </mc:Choice>
  </mc:AlternateContent>
  <xr:revisionPtr revIDLastSave="0" documentId="8_{5253EFB3-C102-4F3B-985F-6355C7D0F348}" xr6:coauthVersionLast="47" xr6:coauthVersionMax="47" xr10:uidLastSave="{00000000-0000-0000-0000-000000000000}"/>
  <workbookProtection workbookAlgorithmName="SHA-512" workbookHashValue="ijk/yAfYn2Xga4zWO/IlPHCZSBDyE40ru+sFzrm+vtYtfP1Eibysb/A1npc1Bw1zmYsstuPlI27nlKhsvG9qmw==" workbookSaltValue="zSaeQBKmO1hoC3W1t7u1Dg==" workbookSpinCount="100000" lockStructure="1"/>
  <bookViews>
    <workbookView xWindow="-108" yWindow="-108" windowWidth="23256" windowHeight="13896" xr2:uid="{5E6C8923-059C-469F-9288-A90B9C2D666E}"/>
  </bookViews>
  <sheets>
    <sheet name="ST Plan" sheetId="3" r:id="rId1"/>
    <sheet name="Enterprise Plan" sheetId="7" r:id="rId2"/>
    <sheet name="Data" sheetId="8" state="hidden" r:id="rId3"/>
    <sheet name="Data 2" sheetId="9"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8" l="1" a="1"/>
  <c r="B3" i="8" s="1"/>
  <c r="B4" i="8" a="1"/>
  <c r="B4" i="8" s="1"/>
  <c r="B5" i="8" a="1"/>
  <c r="B5" i="8" s="1"/>
  <c r="B6" i="8" a="1"/>
  <c r="B6" i="8" s="1"/>
  <c r="B7" i="8" a="1"/>
  <c r="B7" i="8" s="1"/>
  <c r="B8" i="8" a="1"/>
  <c r="B8" i="8" s="1"/>
  <c r="B9" i="8" a="1"/>
  <c r="B9" i="8" s="1"/>
  <c r="B10" i="8" a="1"/>
  <c r="B10" i="8" s="1"/>
  <c r="B11" i="8" a="1"/>
  <c r="B11" i="8" s="1"/>
  <c r="B12" i="8" a="1"/>
  <c r="B12" i="8" s="1"/>
  <c r="U38" i="3"/>
  <c r="U39" i="3"/>
  <c r="U40" i="3"/>
  <c r="U41" i="3"/>
  <c r="U42" i="3"/>
  <c r="U43" i="3"/>
  <c r="U44" i="3"/>
  <c r="U45" i="3"/>
  <c r="U46" i="3"/>
  <c r="T38" i="3"/>
  <c r="T39" i="3"/>
  <c r="T40" i="3"/>
  <c r="T41" i="3"/>
  <c r="T42" i="3"/>
  <c r="T43" i="3"/>
  <c r="T44" i="3"/>
  <c r="T45" i="3"/>
  <c r="T46" i="3"/>
  <c r="S38" i="3"/>
  <c r="S39" i="3"/>
  <c r="S40" i="3"/>
  <c r="S41" i="3"/>
  <c r="S42" i="3"/>
  <c r="S43" i="3"/>
  <c r="S44" i="3"/>
  <c r="S45" i="3"/>
  <c r="S46" i="3"/>
  <c r="R38" i="3"/>
  <c r="R39" i="3"/>
  <c r="R40" i="3"/>
  <c r="R41" i="3"/>
  <c r="L8" i="7" s="1"/>
  <c r="R42" i="3"/>
  <c r="G9" i="7" s="1"/>
  <c r="R43" i="3"/>
  <c r="I10" i="7" s="1"/>
  <c r="R44" i="3"/>
  <c r="F11" i="7" s="1"/>
  <c r="R45" i="3"/>
  <c r="F12" i="7" s="1"/>
  <c r="R46" i="3"/>
  <c r="H13" i="7" s="1"/>
  <c r="R37" i="3"/>
  <c r="D11" i="7"/>
  <c r="D12" i="7"/>
  <c r="U37" i="3"/>
  <c r="D5" i="7"/>
  <c r="D6" i="7"/>
  <c r="D7" i="7"/>
  <c r="D8" i="7"/>
  <c r="D9" i="7"/>
  <c r="D10" i="7"/>
  <c r="D13" i="7"/>
  <c r="D4" i="7"/>
  <c r="K8" i="7" l="1"/>
  <c r="H8" i="7"/>
  <c r="G8" i="7"/>
  <c r="J8" i="7"/>
  <c r="I8" i="7"/>
  <c r="F10" i="7"/>
  <c r="F9" i="7"/>
  <c r="M9" i="7"/>
  <c r="M8" i="7"/>
  <c r="L9" i="7"/>
  <c r="K9" i="7"/>
  <c r="J9" i="7"/>
  <c r="I9" i="7"/>
  <c r="H9" i="7"/>
  <c r="K13" i="7"/>
  <c r="G13" i="7"/>
  <c r="L10" i="7"/>
  <c r="H10" i="7"/>
  <c r="J13" i="7"/>
  <c r="K10" i="7"/>
  <c r="G10" i="7"/>
  <c r="M13" i="7"/>
  <c r="I13" i="7"/>
  <c r="J10" i="7"/>
  <c r="L13" i="7"/>
  <c r="M10" i="7"/>
  <c r="V37" i="3" a="1"/>
  <c r="V37" i="3" s="1"/>
  <c r="E4" i="7" s="1" a="1"/>
  <c r="E4" i="7" s="1"/>
  <c r="D2" i="7"/>
  <c r="T37" i="3"/>
  <c r="W37" i="3" l="1" a="1"/>
  <c r="W37" i="3" l="1"/>
  <c r="N4" i="7" s="1" a="1"/>
  <c r="N4" i="7" s="1"/>
  <c r="S37" i="3"/>
  <c r="I6" i="7" l="1"/>
  <c r="M6" i="7"/>
  <c r="F6" i="7"/>
  <c r="J6" i="7"/>
  <c r="G6" i="7"/>
  <c r="K6" i="7"/>
  <c r="H6" i="7"/>
  <c r="L6" i="7"/>
  <c r="H4" i="7"/>
  <c r="L4" i="7"/>
  <c r="I4" i="7"/>
  <c r="M4" i="7"/>
  <c r="J4" i="7"/>
  <c r="G4" i="7"/>
  <c r="K4" i="7"/>
  <c r="F4" i="7"/>
  <c r="F5" i="7"/>
  <c r="J5" i="7"/>
  <c r="G5" i="7"/>
  <c r="K5" i="7"/>
  <c r="H5" i="7"/>
  <c r="L5" i="7"/>
  <c r="I5" i="7"/>
  <c r="M5" i="7"/>
  <c r="F8" i="7"/>
  <c r="H7" i="7"/>
  <c r="L7" i="7"/>
  <c r="I7" i="7"/>
  <c r="M7" i="7"/>
  <c r="J7" i="7"/>
  <c r="G7" i="7"/>
  <c r="K7"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<sst xmlns="http://schemas.openxmlformats.org/spreadsheetml/2006/main" count="1221" uniqueCount="584">
  <si>
    <t>Sustainable Transition Plan</t>
  </si>
  <si>
    <t>Enterprise Profile</t>
  </si>
  <si>
    <t>Name:</t>
  </si>
  <si>
    <t>SPIKA TECH S.L.</t>
  </si>
  <si>
    <t>Country:</t>
  </si>
  <si>
    <t xml:space="preserve"> Spain</t>
  </si>
  <si>
    <t>Email:</t>
  </si>
  <si>
    <t>carlosz@spikatech.com</t>
  </si>
  <si>
    <t>Sector:</t>
  </si>
  <si>
    <t>Scientific research and development</t>
  </si>
  <si>
    <t>Description of Your Enterprise:</t>
  </si>
  <si>
    <t>Spika Tech operates in the technology sector, focusing on research and innovation in different sectors. To do this, we merge design and programming processes, using the latest techniques, seeking quality in their development</t>
  </si>
  <si>
    <t>Sustainable Advisor (SA) Details</t>
  </si>
  <si>
    <t>SA Name</t>
  </si>
  <si>
    <t xml:space="preserve">Íñigo Irizar </t>
  </si>
  <si>
    <t>SA Email:</t>
  </si>
  <si>
    <t>inigo.irizar@outlook.com</t>
  </si>
  <si>
    <t>Current Enterprise (Project) Performance in Year 2022 (Baseline Data)</t>
  </si>
  <si>
    <t>Enterprise Improvement Target by 2030</t>
  </si>
  <si>
    <t>Transition 
Area</t>
  </si>
  <si>
    <t>Total Amount 
(Baseline)</t>
  </si>
  <si>
    <t>Break-Down</t>
  </si>
  <si>
    <t>Enterprise Self Target Estimation</t>
  </si>
  <si>
    <t>Type</t>
  </si>
  <si>
    <t>Amount</t>
  </si>
  <si>
    <t>Year</t>
  </si>
  <si>
    <t>Total</t>
  </si>
  <si>
    <t>Environmental</t>
  </si>
  <si>
    <t>Energy Reduction</t>
  </si>
  <si>
    <t>kWh</t>
  </si>
  <si>
    <t>Renewable</t>
  </si>
  <si>
    <t>Non-Renewable</t>
  </si>
  <si>
    <t>Water Reduction</t>
  </si>
  <si>
    <t>m3</t>
  </si>
  <si>
    <t>Recycled</t>
  </si>
  <si>
    <t>non-Recycled</t>
  </si>
  <si>
    <t>Waste Reduction</t>
  </si>
  <si>
    <t>Tons</t>
  </si>
  <si>
    <t>Landfill</t>
  </si>
  <si>
    <t>Hazardous</t>
  </si>
  <si>
    <t>Reduce Raw Material</t>
  </si>
  <si>
    <t>Virgin</t>
  </si>
  <si>
    <t>Carbon Footprint Reduction</t>
  </si>
  <si>
    <t>Scope 1</t>
  </si>
  <si>
    <t>Scope 2</t>
  </si>
  <si>
    <t>Scope 3</t>
  </si>
  <si>
    <t>Social</t>
  </si>
  <si>
    <t>Increase Investment in Local Community</t>
  </si>
  <si>
    <t>Not active in local community</t>
  </si>
  <si>
    <t>Invest in Emplyee Development</t>
  </si>
  <si>
    <t>Identified skills gaps to provide training</t>
  </si>
  <si>
    <t>Governance</t>
  </si>
  <si>
    <t>Increase Investment in Research &amp; Development</t>
  </si>
  <si>
    <t>Assessed required budget</t>
  </si>
  <si>
    <t>Increase Sustainable Strategies in Your Enterprise</t>
  </si>
  <si>
    <t>Strategy at starting phase</t>
  </si>
  <si>
    <t>Implemented</t>
  </si>
  <si>
    <t>Increase Sustainable Champions</t>
  </si>
  <si>
    <t>Not at the moment</t>
  </si>
  <si>
    <t>Recruit new people</t>
  </si>
  <si>
    <t>Reporting</t>
  </si>
  <si>
    <t>Your Enterprise CSRD ready?</t>
  </si>
  <si>
    <t>No impact to us now</t>
  </si>
  <si>
    <t>In-progress</t>
  </si>
  <si>
    <t>Opportunities for Sustainable Transformation</t>
  </si>
  <si>
    <t>Activity No</t>
  </si>
  <si>
    <t>Transition Area</t>
  </si>
  <si>
    <t xml:space="preserve">Opportunities Identified </t>
  </si>
  <si>
    <t>Actionable Time Line</t>
  </si>
  <si>
    <t>Internal Stakeholders</t>
  </si>
  <si>
    <t>Estimated Cost</t>
  </si>
  <si>
    <t>Project Title</t>
  </si>
  <si>
    <t>Project Description</t>
  </si>
  <si>
    <t>Highlevel Project Benefits</t>
  </si>
  <si>
    <t>Start</t>
  </si>
  <si>
    <t>Finsh</t>
  </si>
  <si>
    <t>Action No</t>
  </si>
  <si>
    <t>Project</t>
  </si>
  <si>
    <t>Enabling Transition Area</t>
  </si>
  <si>
    <t>Baseline</t>
  </si>
  <si>
    <t>0-5 Years</t>
  </si>
  <si>
    <t>Increase Productivity</t>
  </si>
  <si>
    <t>-</t>
  </si>
  <si>
    <t>Defining Technologies To Be Used In The Chosen Project And Identifying Expected Benefits</t>
  </si>
  <si>
    <t>Technology</t>
  </si>
  <si>
    <t>Expected Benefits at End of the Project</t>
  </si>
  <si>
    <t>Your Comments</t>
  </si>
  <si>
    <t>AR environment - not real production</t>
  </si>
  <si>
    <t>EU Taxonomy for Sustainable Activities</t>
  </si>
  <si>
    <t>Category</t>
  </si>
  <si>
    <t>Answers</t>
  </si>
  <si>
    <t>1. What is your enterprise (project) NACE level I sector?</t>
  </si>
  <si>
    <t>9) Professional, scientific and technical activities</t>
  </si>
  <si>
    <t>2. Please select she Taxonomy-Eligible activities best describes your enterprise (project)?</t>
  </si>
  <si>
    <t>9.1. Close to market research, development and innovation</t>
  </si>
  <si>
    <t>3. What sustainable EU objective does your enterprise contribute to?</t>
  </si>
  <si>
    <t>Transition to a circular economy</t>
  </si>
  <si>
    <t>4. Does your enterprise (project) comply with Do No Significant Harm (DNSH) from your economic activity (project)?</t>
  </si>
  <si>
    <t>DNSH - Compliant</t>
  </si>
  <si>
    <t xml:space="preserve">5. Does your enterprise (project) comply with minimum safeguards criteria?  </t>
  </si>
  <si>
    <t>Minimum Safeguard - Compliant</t>
  </si>
  <si>
    <t xml:space="preserve"> :  Transition Plan</t>
  </si>
  <si>
    <t>Transtion 
Area</t>
  </si>
  <si>
    <t>Baseline
2022</t>
  </si>
  <si>
    <t>Opportunity Timeline</t>
  </si>
  <si>
    <t>Future Improvement Target</t>
  </si>
  <si>
    <t>NACE Level 1</t>
  </si>
  <si>
    <t>Transition Areas</t>
  </si>
  <si>
    <t>5 Year</t>
  </si>
  <si>
    <t>Staff Development</t>
  </si>
  <si>
    <t>Strategy</t>
  </si>
  <si>
    <t>Strategy - Future</t>
  </si>
  <si>
    <t>Sustainable Champion</t>
  </si>
  <si>
    <t>Sustainable Champion - Future</t>
  </si>
  <si>
    <t>Innovation</t>
  </si>
  <si>
    <t>Community</t>
  </si>
  <si>
    <t>CSRD</t>
  </si>
  <si>
    <t>CSRD Future</t>
  </si>
  <si>
    <t>List of european countries</t>
  </si>
  <si>
    <t>List of industries</t>
  </si>
  <si>
    <t>States</t>
  </si>
  <si>
    <t>Economic Activity</t>
  </si>
  <si>
    <t>DNSH</t>
  </si>
  <si>
    <t>Minimum Safeguards</t>
  </si>
  <si>
    <t>1) Forestry</t>
  </si>
  <si>
    <t>2) Environmental protection and restoration activities</t>
  </si>
  <si>
    <t>3) Manufacturing</t>
  </si>
  <si>
    <t>4) Energy</t>
  </si>
  <si>
    <t>5) Water supply, sewerage, waste management and remediation</t>
  </si>
  <si>
    <t>6) Transport</t>
  </si>
  <si>
    <t>7) Construction and real estate activities</t>
  </si>
  <si>
    <t>8) Information and communication</t>
  </si>
  <si>
    <t>CSRD Compliance</t>
  </si>
  <si>
    <t>Not considered training</t>
  </si>
  <si>
    <t>Strategy is not defined yet</t>
  </si>
  <si>
    <t>Not required</t>
  </si>
  <si>
    <t>Develop in-house people</t>
  </si>
  <si>
    <t>No innovation budget</t>
  </si>
  <si>
    <t>Don't know of the Legislation</t>
  </si>
  <si>
    <t xml:space="preserve"> Czech Republic</t>
  </si>
  <si>
    <t>Accommodation and food service activities</t>
  </si>
  <si>
    <t>Yes</t>
  </si>
  <si>
    <t>Climate change adaptation</t>
  </si>
  <si>
    <t>1.1. Afforestation</t>
  </si>
  <si>
    <t>2.1. Restoration of wetlands</t>
  </si>
  <si>
    <t>3.1. Manufacture of renewable energy technologies</t>
  </si>
  <si>
    <t>4.1. Electricity generation using solar photovoltaic technology</t>
  </si>
  <si>
    <t>5.1. Construction, extension and operation of water collection, treatment and supply systems</t>
  </si>
  <si>
    <t>6.1. Passenger interurban rail transport</t>
  </si>
  <si>
    <t>7.1. Construction of new buildings</t>
  </si>
  <si>
    <t>8.1. Data processing, hosting and related activities</t>
  </si>
  <si>
    <t>Recognise the need of a Champion</t>
  </si>
  <si>
    <t>Support some activites</t>
  </si>
  <si>
    <t>No - haven't started</t>
  </si>
  <si>
    <t xml:space="preserve"> Denmark</t>
  </si>
  <si>
    <t>Activities of extra-territorial organisations and bodies</t>
  </si>
  <si>
    <t>No</t>
  </si>
  <si>
    <t>Climate change mitigation</t>
  </si>
  <si>
    <t>DNSH - Not Compliant</t>
  </si>
  <si>
    <t>Minimum Safeguard - Not Compliant</t>
  </si>
  <si>
    <t>1.2. Rehabilitation and restoration of forests, including reforestation and natural forest regeneration after an extreme event</t>
  </si>
  <si>
    <t>3.2. Manufacture of equipment for the production and use of hydrogen</t>
  </si>
  <si>
    <t>4.2. Electricity generation using concentrated solar power (CSP) technology</t>
  </si>
  <si>
    <t>5.2. Renewal of water collection, treatment and supply systems</t>
  </si>
  <si>
    <t>6.2. Freight rail transport</t>
  </si>
  <si>
    <t>7.2. Renovation of existing buildings</t>
  </si>
  <si>
    <t>8.2. Data-driven solutions for GHG emissions reductions</t>
  </si>
  <si>
    <t>9.2. Research, development and innovation for direct air capture of CO2</t>
  </si>
  <si>
    <t xml:space="preserve">Provide ad hoc training </t>
  </si>
  <si>
    <t>Strategy is agreed at high level</t>
  </si>
  <si>
    <t>Developing the skills</t>
  </si>
  <si>
    <t>Plan to secure the budget</t>
  </si>
  <si>
    <t>Employees encouraged to support</t>
  </si>
  <si>
    <t>Large organisations request data</t>
  </si>
  <si>
    <t>Yes - Implemented</t>
  </si>
  <si>
    <t xml:space="preserve"> Estonia</t>
  </si>
  <si>
    <t>Activities of households as employers; undifferentiated goods- and services-producing activities of households for own use</t>
  </si>
  <si>
    <t>Pollution prevention and control</t>
  </si>
  <si>
    <t>DNSH - Not Assessed</t>
  </si>
  <si>
    <t>1.3. Forest management</t>
  </si>
  <si>
    <t>3.3. Manufacture of low carbon technologies for transport</t>
  </si>
  <si>
    <t>4.3. Electricity generation from wind power</t>
  </si>
  <si>
    <t>5.3. Construction, extension and operation of waste water collection and treatment</t>
  </si>
  <si>
    <t>6.3. Urban and suburban transport, road passenger transport</t>
  </si>
  <si>
    <t>7.3. Installation, maintenance and repair of energy efficiency equipment</t>
  </si>
  <si>
    <t>9.3. Professional services related to energy performance of buildings</t>
  </si>
  <si>
    <t>Organisation wide structured training</t>
  </si>
  <si>
    <t>Strategy is fully defined and review regularly</t>
  </si>
  <si>
    <t>Champions are in place</t>
  </si>
  <si>
    <t>Secured the budget</t>
  </si>
  <si>
    <t>Actively engaged to make an impact</t>
  </si>
  <si>
    <t>Will be impacting in near terms</t>
  </si>
  <si>
    <t xml:space="preserve"> Finland</t>
  </si>
  <si>
    <t>Administrative and support service activities</t>
  </si>
  <si>
    <t>Protection and restoration of biodiversity and ecosystems</t>
  </si>
  <si>
    <t>1.4. Conservation forestry</t>
  </si>
  <si>
    <t>3.4. Manufacture of batteries</t>
  </si>
  <si>
    <t>4.4. Electricity generation from ocean energy technologies</t>
  </si>
  <si>
    <t>5.4. Renewal of waste water collection and treatment</t>
  </si>
  <si>
    <t>6.4. Operation of personal mobility devices, cycle logistics</t>
  </si>
  <si>
    <t>7.4. Installation, maintenance and repair of charging stations for electric vehicles in buildings (and parking spaces attached to buildings)</t>
  </si>
  <si>
    <t xml:space="preserve"> France</t>
  </si>
  <si>
    <t>Agriculture, forestry and fishing</t>
  </si>
  <si>
    <t>Sustainable use and protection of water and marine resources</t>
  </si>
  <si>
    <t>3.5. Manufacture of energy efficiency equipment for buildings</t>
  </si>
  <si>
    <t>4.5. Electricity generation from hydropower</t>
  </si>
  <si>
    <t>5.5. Collection and transport of non-hazardous waste in source segregated fractions</t>
  </si>
  <si>
    <t>6.5. Transport by motorbikes, passenger cars and light commercial vehicles</t>
  </si>
  <si>
    <t>7.5. Installation, maintenance and repair of instruments and devices for measuring, regulation and controlling energy performance of buildings</t>
  </si>
  <si>
    <t>Increase Recycling</t>
  </si>
  <si>
    <t xml:space="preserve"> Germany</t>
  </si>
  <si>
    <t>Arts, entertainment and recreation</t>
  </si>
  <si>
    <t>3.6. Manufacture of other low carbon technologies</t>
  </si>
  <si>
    <t>4.6. Electricity generation from geothermal energy</t>
  </si>
  <si>
    <t>5.6. Anaerobic digestion of sewage sludge</t>
  </si>
  <si>
    <t>6.6. Freight transport services by road</t>
  </si>
  <si>
    <t>7.6. Installation, maintenance and repair of renewable energy technologies</t>
  </si>
  <si>
    <t>Increase Process Improvements</t>
  </si>
  <si>
    <t xml:space="preserve"> Greece</t>
  </si>
  <si>
    <t xml:space="preserve">Construction </t>
  </si>
  <si>
    <t>3.7. Manufacture of cement</t>
  </si>
  <si>
    <t>4.7. Electricity generation from renewable non-fossil gaseous and liquid fuels</t>
  </si>
  <si>
    <t>5.7. Anaerobic digestion of bio-waste</t>
  </si>
  <si>
    <t>6.7. Inland passenger water transport</t>
  </si>
  <si>
    <t>7.7. Acquisition and ownership of buildings</t>
  </si>
  <si>
    <t xml:space="preserve"> Hungary</t>
  </si>
  <si>
    <t>Education</t>
  </si>
  <si>
    <t>3.8. Manufacture of aluminium</t>
  </si>
  <si>
    <t>4.8. Electricity generation from bioenergy</t>
  </si>
  <si>
    <t>5.8. Composting of bio-waste</t>
  </si>
  <si>
    <t>6.8. Inland freight water transport</t>
  </si>
  <si>
    <t xml:space="preserve"> Iceland</t>
  </si>
  <si>
    <t>Electricity, gas, steam and air-conditioning supply</t>
  </si>
  <si>
    <t>10) Other - Move to question 5</t>
  </si>
  <si>
    <t>3.9. Manufacture of iron and steel</t>
  </si>
  <si>
    <t>4.9. Transmission and distribution of electricity</t>
  </si>
  <si>
    <t>5.9. Material recovery from non-hazardous waste</t>
  </si>
  <si>
    <t>6.9. Retrofitting of inland water passenger and freight transport</t>
  </si>
  <si>
    <t xml:space="preserve"> Ireland</t>
  </si>
  <si>
    <t>Financial and insurance activities</t>
  </si>
  <si>
    <t>3.10. Manufacture of hydrogen</t>
  </si>
  <si>
    <t>4.10. Storage of electricity</t>
  </si>
  <si>
    <t>5.10. Landfill gas capture and utilisation</t>
  </si>
  <si>
    <t>6.10. Sea and coastal freight water transport, vessels for port operations and auxiliary activities</t>
  </si>
  <si>
    <t xml:space="preserve"> Italy</t>
  </si>
  <si>
    <t>Human health services</t>
  </si>
  <si>
    <t>3.11. Manufacture of carbon black</t>
  </si>
  <si>
    <t>4.11. Storage of thermal energy</t>
  </si>
  <si>
    <t>5.11. Transport of CO2</t>
  </si>
  <si>
    <t>6.11. Sea and coastal passenger water transport</t>
  </si>
  <si>
    <t xml:space="preserve"> Latvia</t>
  </si>
  <si>
    <t xml:space="preserve">IT and other information services </t>
  </si>
  <si>
    <t>3.12. Manufacture of soda ash</t>
  </si>
  <si>
    <t>4.12. Storage of hydrogen</t>
  </si>
  <si>
    <t>5.12. Underground permanent geological storage of CO2</t>
  </si>
  <si>
    <t>6.12. Retrofitting of sea and coastal freight and passenger water transport</t>
  </si>
  <si>
    <t xml:space="preserve"> Liechtenstein</t>
  </si>
  <si>
    <t>Legal, accounting, management, architecture, engineering, technical testing and analysis activities</t>
  </si>
  <si>
    <t>3.13. Manufacture of chlorine</t>
  </si>
  <si>
    <t>4.13. Manufacture of biogas and biofuels for use in transport and of bioliquids</t>
  </si>
  <si>
    <t>6.13. Infrastructure for personal mobility, cycle logistics</t>
  </si>
  <si>
    <t>Water Usage Reduction</t>
  </si>
  <si>
    <t xml:space="preserve"> Lithuania</t>
  </si>
  <si>
    <t>Manufacture of basic metals and fabricated metal products, except machinery and equipment</t>
  </si>
  <si>
    <t>3.14. Manufacture of organic basic chemicals</t>
  </si>
  <si>
    <t>4.14. Transmission and distribution networks for renewable and low-carbon gases</t>
  </si>
  <si>
    <t>6.14. Infrastructure for rail transport</t>
  </si>
  <si>
    <t xml:space="preserve"> Luxembourg</t>
  </si>
  <si>
    <t>Manufacture of chemicals and chemical products</t>
  </si>
  <si>
    <t>3.15. Manufacture of anhydrous ammonia</t>
  </si>
  <si>
    <t>4.15. District heating/cooling distribution</t>
  </si>
  <si>
    <t>6.15. Infrastructure enabling low-carbon road transport and public transport</t>
  </si>
  <si>
    <t xml:space="preserve"> Malta</t>
  </si>
  <si>
    <t>Manufacture of coke, and refined petroleum products</t>
  </si>
  <si>
    <t>3.16. Manufacture of nitric acid</t>
  </si>
  <si>
    <t>4.16. Installation and operation of electric heat pumps</t>
  </si>
  <si>
    <t>6.16. Infrastructure enabling low carbon water transport</t>
  </si>
  <si>
    <t xml:space="preserve"> Netherlands</t>
  </si>
  <si>
    <t xml:space="preserve">Manufacture of computer, electronic and optical products </t>
  </si>
  <si>
    <t>3.17. Manufacture of plastics in primary form</t>
  </si>
  <si>
    <t>4.17. Cogeneration of heat/cool and power from solar energy</t>
  </si>
  <si>
    <t>6.17. Low carbon airport infrastructure</t>
  </si>
  <si>
    <t xml:space="preserve"> Norway</t>
  </si>
  <si>
    <t xml:space="preserve">Manufacture of electrical equipment </t>
  </si>
  <si>
    <t>4.18. Cogeneration of heat/cool and power from geothermal energy</t>
  </si>
  <si>
    <t xml:space="preserve"> Poland</t>
  </si>
  <si>
    <t xml:space="preserve">Manufacture of food products, beverages and tobacco products </t>
  </si>
  <si>
    <t>4.19. Cogeneration of heat/cool and power from renewable non-fossil gaseous and liquid fuels</t>
  </si>
  <si>
    <t xml:space="preserve"> Portugal</t>
  </si>
  <si>
    <t>Manufacture of machinery and equipment n.e.c.</t>
  </si>
  <si>
    <t>4.20. Cogeneration of heat/cool and power from bioenergy</t>
  </si>
  <si>
    <t xml:space="preserve"> Republic of Cyprus</t>
  </si>
  <si>
    <t>Manufacture of pharmaceuticals, medicinal chemical and botanical products</t>
  </si>
  <si>
    <t>4.21. Production of heat/cool from solar thermal heating</t>
  </si>
  <si>
    <t xml:space="preserve"> Romania</t>
  </si>
  <si>
    <t>Manufacture of rubber and plastics products, and other non-metallic mineral products</t>
  </si>
  <si>
    <t>4.22. Production of heat/cool from geothermal energy</t>
  </si>
  <si>
    <t xml:space="preserve"> Slovakia</t>
  </si>
  <si>
    <t>Manufacture of textiles, apparel, leather and related products</t>
  </si>
  <si>
    <t>4.23. Production of heat/cool from renewable non-fossil gaseous and liquid fuels</t>
  </si>
  <si>
    <t xml:space="preserve"> Slovenia</t>
  </si>
  <si>
    <t xml:space="preserve">Manufacture of transport equipment </t>
  </si>
  <si>
    <t>4.24. Production of heat/cool from bioenergy</t>
  </si>
  <si>
    <t xml:space="preserve">Manufacture of wood and paper products, and printing </t>
  </si>
  <si>
    <t>4.25. Production of heat/cool using waste heat</t>
  </si>
  <si>
    <t xml:space="preserve"> Sweden</t>
  </si>
  <si>
    <t>Mining and quarrying</t>
  </si>
  <si>
    <t>4.26. Pre-commercial stages of advanced technologies to produce energy from nuclear processes with minimal waste from the fuel cycle</t>
  </si>
  <si>
    <t>Austria</t>
  </si>
  <si>
    <t>Other manufacturing, and repair and installation of machinery and equipment</t>
  </si>
  <si>
    <t>4.27. Construction and safe operation of new nuclear power plants, for the generation of electricity or heat, including for hydrogen production, using best-available technologies</t>
  </si>
  <si>
    <t>Belgium</t>
  </si>
  <si>
    <t>Other professional, scientific and technical activities</t>
  </si>
  <si>
    <t>4.28. Electricity generation from nuclear energy in existing installations</t>
  </si>
  <si>
    <t>Bulgaria</t>
  </si>
  <si>
    <t>Other services</t>
  </si>
  <si>
    <t>4.29. Electricity generation from fossil gaseous fuels</t>
  </si>
  <si>
    <t>Croatia</t>
  </si>
  <si>
    <t>Public administration and defence, compulsory social security</t>
  </si>
  <si>
    <t>4.30. High-efficiency co-generation of heat/cool and power from fossil gaseous fuels</t>
  </si>
  <si>
    <t>Other</t>
  </si>
  <si>
    <t>Publishing, audiovisual and broadcasting activities</t>
  </si>
  <si>
    <t>4.31. Production of heat/cool from fossil gaseous fuels in an efficient district heating and cooling system</t>
  </si>
  <si>
    <t>United Kingdom</t>
  </si>
  <si>
    <t>Real estate activities*</t>
  </si>
  <si>
    <t>Residential care and social work activities</t>
  </si>
  <si>
    <t>Telecommunications</t>
  </si>
  <si>
    <t>Transportation and storage</t>
  </si>
  <si>
    <t xml:space="preserve">Water supply, sewerage, waste management and remediation </t>
  </si>
  <si>
    <t>Wholesale and retail trade, repair of motor vehicles and motorcycles</t>
  </si>
  <si>
    <t>SME implementation plans opportunities</t>
  </si>
  <si>
    <t>Version 2023-12-12</t>
  </si>
  <si>
    <t>Improvement</t>
  </si>
  <si>
    <t>Reduction</t>
  </si>
  <si>
    <t>Financial benefits</t>
  </si>
  <si>
    <t>#</t>
  </si>
  <si>
    <t>Module</t>
  </si>
  <si>
    <t>Code</t>
  </si>
  <si>
    <t>Description</t>
  </si>
  <si>
    <t>Energy</t>
  </si>
  <si>
    <t>Water</t>
  </si>
  <si>
    <t>Waste</t>
  </si>
  <si>
    <t>Raw material</t>
  </si>
  <si>
    <t>Carbon footprint</t>
  </si>
  <si>
    <t>TRL</t>
  </si>
  <si>
    <t>Prod. efficiency</t>
  </si>
  <si>
    <t>Methods</t>
  </si>
  <si>
    <t>Cost red.</t>
  </si>
  <si>
    <t>Income incr.</t>
  </si>
  <si>
    <t>PS1</t>
  </si>
  <si>
    <t>PS1-03</t>
  </si>
  <si>
    <t>3D printing</t>
  </si>
  <si>
    <t>X</t>
  </si>
  <si>
    <t>PA3</t>
  </si>
  <si>
    <t>PA3-02</t>
  </si>
  <si>
    <t>5G Networks</t>
  </si>
  <si>
    <t>PA4</t>
  </si>
  <si>
    <t>PA4-07</t>
  </si>
  <si>
    <t>Additive manufacturing</t>
  </si>
  <si>
    <t>PA2</t>
  </si>
  <si>
    <t>PA2-02</t>
  </si>
  <si>
    <t>Advanced Cobotics</t>
  </si>
  <si>
    <t> </t>
  </si>
  <si>
    <t>BM6</t>
  </si>
  <si>
    <t>BM6-04</t>
  </si>
  <si>
    <t>Advanced digital tools for remote team work &amp; management</t>
  </si>
  <si>
    <t>PA2-01</t>
  </si>
  <si>
    <t>Advanced Robotics</t>
  </si>
  <si>
    <t>PA3-01</t>
  </si>
  <si>
    <t>AI-power predictive maintenance and manufacturing</t>
  </si>
  <si>
    <t>PA7</t>
  </si>
  <si>
    <t>PA7-04</t>
  </si>
  <si>
    <t>Application of artificial intelligence</t>
  </si>
  <si>
    <t>PA6</t>
  </si>
  <si>
    <t>PA6-02</t>
  </si>
  <si>
    <t>AR</t>
  </si>
  <si>
    <t>PS8</t>
  </si>
  <si>
    <t>PS8-04</t>
  </si>
  <si>
    <t>Artificial technologies and algorithms</t>
  </si>
  <si>
    <t>PA8</t>
  </si>
  <si>
    <t>PA8-02</t>
  </si>
  <si>
    <t>Augmented and virtual reality technologies</t>
  </si>
  <si>
    <t>PA4-08</t>
  </si>
  <si>
    <t>Augmented reality</t>
  </si>
  <si>
    <t>PA4-01</t>
  </si>
  <si>
    <t>Autonomous robots</t>
  </si>
  <si>
    <t>PE5</t>
  </si>
  <si>
    <t>PE5-01</t>
  </si>
  <si>
    <t>Bateries</t>
  </si>
  <si>
    <t>PA4-09</t>
  </si>
  <si>
    <t>Big data and analytics</t>
  </si>
  <si>
    <t>PE2</t>
  </si>
  <si>
    <t>PE2-05</t>
  </si>
  <si>
    <t>Binder Jetting</t>
  </si>
  <si>
    <t>BJ, MBJ</t>
  </si>
  <si>
    <t>BM4</t>
  </si>
  <si>
    <t>BM4-02</t>
  </si>
  <si>
    <t>Capital budgeting</t>
  </si>
  <si>
    <t>PS9</t>
  </si>
  <si>
    <t>PS9-03</t>
  </si>
  <si>
    <t>Carbon footprint calculation</t>
  </si>
  <si>
    <t>BM7</t>
  </si>
  <si>
    <t>BM7-03</t>
  </si>
  <si>
    <t>Change Communication</t>
  </si>
  <si>
    <t>BM7-05</t>
  </si>
  <si>
    <t>Change Engagement and Support</t>
  </si>
  <si>
    <t>BM7-06</t>
  </si>
  <si>
    <t>Change Evaluation and Continuous Improvement</t>
  </si>
  <si>
    <t>BM7-01</t>
  </si>
  <si>
    <t>Change leadership</t>
  </si>
  <si>
    <t>BM7-04</t>
  </si>
  <si>
    <t>Change Planning and Implementation</t>
  </si>
  <si>
    <t>BM7-02</t>
  </si>
  <si>
    <t>Change Readiness Assessment​</t>
  </si>
  <si>
    <t>PE3</t>
  </si>
  <si>
    <t>PE3-01</t>
  </si>
  <si>
    <t>Circular design</t>
  </si>
  <si>
    <t>PS4</t>
  </si>
  <si>
    <t>PS4-01</t>
  </si>
  <si>
    <t>Circulate product and materials (repair, reuse, refurbish, recycle)</t>
  </si>
  <si>
    <t>x</t>
  </si>
  <si>
    <t>PA4-06</t>
  </si>
  <si>
    <t>Clou computing</t>
  </si>
  <si>
    <t>PS8-03</t>
  </si>
  <si>
    <t>Communication protocols</t>
  </si>
  <si>
    <t>BM3</t>
  </si>
  <si>
    <t>BM3-01</t>
  </si>
  <si>
    <t>Competitive advantage (technology and organization)</t>
  </si>
  <si>
    <t>BM3-02</t>
  </si>
  <si>
    <t>Cost saving (more effective technologies)</t>
  </si>
  <si>
    <t>PS2</t>
  </si>
  <si>
    <t>PS2-01</t>
  </si>
  <si>
    <t>Critical raw materials</t>
  </si>
  <si>
    <t>BM8</t>
  </si>
  <si>
    <t>BM8-01</t>
  </si>
  <si>
    <t>PA4-05</t>
  </si>
  <si>
    <t>Cybersecurity</t>
  </si>
  <si>
    <t>PE7</t>
  </si>
  <si>
    <t>PE7-03</t>
  </si>
  <si>
    <t>Data management and analytics technologies</t>
  </si>
  <si>
    <t>BM6-03</t>
  </si>
  <si>
    <t>Digital technologies - cyber-physical systems</t>
  </si>
  <si>
    <t>BM6-02</t>
  </si>
  <si>
    <t>Digital technologies - photonics</t>
  </si>
  <si>
    <t>BM6-01</t>
  </si>
  <si>
    <t>Digital technologies - semiconductor components and systems</t>
  </si>
  <si>
    <t>PS8-01</t>
  </si>
  <si>
    <t>Digital twin</t>
  </si>
  <si>
    <t>PS7</t>
  </si>
  <si>
    <t>PS7-01</t>
  </si>
  <si>
    <t>PE2-06</t>
  </si>
  <si>
    <t>Directed Energy Deposition</t>
  </si>
  <si>
    <t>LBAM,WAAM</t>
  </si>
  <si>
    <t>PA3-03</t>
  </si>
  <si>
    <t>Edge Computing</t>
  </si>
  <si>
    <t>PE7-01</t>
  </si>
  <si>
    <t>PS7-03</t>
  </si>
  <si>
    <t>PE5-02</t>
  </si>
  <si>
    <t>Electric vehicle</t>
  </si>
  <si>
    <t>BM1</t>
  </si>
  <si>
    <t>BM1-02</t>
  </si>
  <si>
    <t>Energy-efficient technologies (LED lighting with sensors, Efficient consumer electronics, ...)</t>
  </si>
  <si>
    <t>PS1-02</t>
  </si>
  <si>
    <t>Energy-efficient Technologies (Smart sensors, ...)</t>
  </si>
  <si>
    <t>BM4-01</t>
  </si>
  <si>
    <t>Financial planning</t>
  </si>
  <si>
    <t>PE6</t>
  </si>
  <si>
    <t>PE6-04</t>
  </si>
  <si>
    <t>Head-Mounted Displays (HMDs)</t>
  </si>
  <si>
    <t>PS6</t>
  </si>
  <si>
    <t>PS6-02</t>
  </si>
  <si>
    <t>Heat pumps</t>
  </si>
  <si>
    <t>PA4-03</t>
  </si>
  <si>
    <t>Horizontal and vertical system integration</t>
  </si>
  <si>
    <t>PA8-01</t>
  </si>
  <si>
    <t>Human simulation</t>
  </si>
  <si>
    <t>PA7-01</t>
  </si>
  <si>
    <t>Implementation of edge computing technology</t>
  </si>
  <si>
    <t>PS5</t>
  </si>
  <si>
    <t>PS5-02</t>
  </si>
  <si>
    <t>Improve the product and package logistic</t>
  </si>
  <si>
    <t>BM2</t>
  </si>
  <si>
    <t>BM2-02</t>
  </si>
  <si>
    <t>Integration of sustainable strategic planning</t>
  </si>
  <si>
    <t>PS7-02</t>
  </si>
  <si>
    <t>Internet of Things technologies</t>
  </si>
  <si>
    <t>BM4-03</t>
  </si>
  <si>
    <t>Investment decisions</t>
  </si>
  <si>
    <t>PS6-04</t>
  </si>
  <si>
    <t>Local energy storage</t>
  </si>
  <si>
    <t>BM3-05</t>
  </si>
  <si>
    <t>Long term viability</t>
  </si>
  <si>
    <t>BM3-04</t>
  </si>
  <si>
    <t>Market access and reputation</t>
  </si>
  <si>
    <t>PE2-01</t>
  </si>
  <si>
    <t>Material Extrusion</t>
  </si>
  <si>
    <t>FDM,FFF,CFF</t>
  </si>
  <si>
    <t>PE2-04</t>
  </si>
  <si>
    <t>Material Jetting</t>
  </si>
  <si>
    <t>PJM, DOD</t>
  </si>
  <si>
    <t>PE6-02</t>
  </si>
  <si>
    <t>Motion Tracking Sensors</t>
  </si>
  <si>
    <t>PE3-05</t>
  </si>
  <si>
    <t>Next generation materials (higher-performance materials)</t>
  </si>
  <si>
    <t>PS6-01</t>
  </si>
  <si>
    <t>Photovoltaics</t>
  </si>
  <si>
    <t>PE2-03</t>
  </si>
  <si>
    <t>Powder Bed Fusion</t>
  </si>
  <si>
    <t>SLS,SLM, EBM</t>
  </si>
  <si>
    <t>PS5-01</t>
  </si>
  <si>
    <t>Redesign the packaging strategy (size, volume, new materials, reduce material usage)</t>
  </si>
  <si>
    <t>PS4-03</t>
  </si>
  <si>
    <t>Reduce waste and pollution</t>
  </si>
  <si>
    <t xml:space="preserve"> </t>
  </si>
  <si>
    <t>BM3-03</t>
  </si>
  <si>
    <t>Regulatory compliance</t>
  </si>
  <si>
    <t>N/A</t>
  </si>
  <si>
    <t>PS2-02</t>
  </si>
  <si>
    <t>Remanufacturing</t>
  </si>
  <si>
    <t>PS4-02</t>
  </si>
  <si>
    <t>Renewable energy</t>
  </si>
  <si>
    <t>BM1-01</t>
  </si>
  <si>
    <t>Renewable energy (Wind energy, Solar energy, ...)</t>
  </si>
  <si>
    <t>PS1-01</t>
  </si>
  <si>
    <t>Renewable Energy: Implementing solar, wind, or hydropower sources</t>
  </si>
  <si>
    <t>PS5-03</t>
  </si>
  <si>
    <t xml:space="preserve">Reuse and recycle the package materials </t>
  </si>
  <si>
    <t>PE7-02</t>
  </si>
  <si>
    <t>RFID technology</t>
  </si>
  <si>
    <t>PS9-02</t>
  </si>
  <si>
    <t>Risk management</t>
  </si>
  <si>
    <t>PS4-04</t>
  </si>
  <si>
    <t xml:space="preserve">Sharing and exchange economy (change of customer behaviour) </t>
  </si>
  <si>
    <t>PE2-07</t>
  </si>
  <si>
    <t>Sheet Lamination</t>
  </si>
  <si>
    <t>LOM</t>
  </si>
  <si>
    <t>PS8-02</t>
  </si>
  <si>
    <t>Simulation</t>
  </si>
  <si>
    <t>PA4-02</t>
  </si>
  <si>
    <t>PA8-03</t>
  </si>
  <si>
    <t>Simulation and digital twins</t>
  </si>
  <si>
    <t>PA5</t>
  </si>
  <si>
    <t>PA5-01</t>
  </si>
  <si>
    <t>Simulation, explanation of Smart Logistics Technologies and software like AGV, AMR, ACR, Smart Warehouse systems, etc.</t>
  </si>
  <si>
    <t>BM1-04</t>
  </si>
  <si>
    <t>Social impact initiatives</t>
  </si>
  <si>
    <t>PS9-01</t>
  </si>
  <si>
    <t>Sustainability and strategic planning</t>
  </si>
  <si>
    <t>BM2-01</t>
  </si>
  <si>
    <t>Sustainability transition strategic planning</t>
  </si>
  <si>
    <t>PE3-03</t>
  </si>
  <si>
    <t>Sustainable manufacturing (avoiding causing harm to the local environment)</t>
  </si>
  <si>
    <t>PE3-02</t>
  </si>
  <si>
    <t>Sustainable materials (natural materials, renewable materials, non-toxic and harmless material)</t>
  </si>
  <si>
    <t>PE3-04</t>
  </si>
  <si>
    <t>Sustainable packaging and transportation​ (Biodegradable Packaging, Recyclable Packaging, Reusable Packaging, Plant-Based Packaging, ...)</t>
  </si>
  <si>
    <t>BM8-02</t>
  </si>
  <si>
    <t>Sustainable reporting to attract sustainable finance</t>
  </si>
  <si>
    <t>BM1-03</t>
  </si>
  <si>
    <t>Sustainable supply chains</t>
  </si>
  <si>
    <t>PA7-02</t>
  </si>
  <si>
    <t>Synergy with 5g networks</t>
  </si>
  <si>
    <t>PA7-03</t>
  </si>
  <si>
    <t>Synergy with cloud(s)</t>
  </si>
  <si>
    <t>PA4-04</t>
  </si>
  <si>
    <t>The industrial Internet of Things</t>
  </si>
  <si>
    <t>PE2-02</t>
  </si>
  <si>
    <t>Vat Photopolymerization</t>
  </si>
  <si>
    <t>SLA,DLP</t>
  </si>
  <si>
    <t>PE6-01</t>
  </si>
  <si>
    <t>Virtual reality technology</t>
  </si>
  <si>
    <t>PA6-01</t>
  </si>
  <si>
    <t>VR environment - not real production</t>
  </si>
  <si>
    <t>VR</t>
  </si>
  <si>
    <t>PS6-03</t>
  </si>
  <si>
    <t>Water recovery system</t>
  </si>
  <si>
    <t>PE6-03</t>
  </si>
  <si>
    <t>Wireless Connectivity</t>
  </si>
  <si>
    <t>OF-00</t>
  </si>
  <si>
    <t>x.Other financial method</t>
  </si>
  <si>
    <t>OM-00</t>
  </si>
  <si>
    <t>x.Other management method</t>
  </si>
  <si>
    <t>OT-00</t>
  </si>
  <si>
    <t>x.Other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</si>
</sst>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409]mmm\-yy;@"/>
    <numFmt numFmtId="165" formatCode="#,##0\ [$€-1]"/>
    <numFmt numFmtId="166" formatCode="_-* #,##0_-;\-* #,##0_-;_-* &quot;-&quot;??_-;_-@_-"/>
    <numFmt numFmtId="167" formatCode="_-[$€-2]\ * #,##0_-;\-[$€-2]\ * #,##0_-;_-[$€-2]\ * &quot;-&quot;??_-;_-@_-"/>
  </numFmts>
  <fonts count="23">
    <font>
      <sz val="11"/>
      <color theme="1"/>
      <name val="Calibri"/>
      <family val="2"/>
      <scheme val="minor"/>
    </font>
    <font>
      <b/>
      <sz val="11"/>
      <color theme="1"/>
      <name val="Calibri"/>
      <family val="2"/>
      <scheme val="minor"/>
    </font>
    <font>
      <b/>
      <sz val="18"/>
      <color theme="0"/>
      <name val="Calibri"/>
      <family val="2"/>
      <scheme val="minor"/>
    </font>
    <font>
      <b/>
      <sz val="11"/>
      <color theme="9" tint="-0.499984740745262"/>
      <name val="Calibri"/>
      <family val="2"/>
      <scheme val="minor"/>
    </font>
    <font>
      <sz val="11"/>
      <color theme="9" tint="-0.499984740745262"/>
      <name val="Calibri"/>
      <family val="2"/>
      <scheme val="minor"/>
    </font>
    <font>
      <sz val="11"/>
      <color theme="1"/>
      <name val="Calibri"/>
      <family val="2"/>
      <scheme val="minor"/>
    </font>
    <font>
      <sz val="11"/>
      <color theme="0"/>
      <name val="Calibri"/>
      <family val="2"/>
      <scheme val="minor"/>
    </font>
    <font>
      <b/>
      <sz val="20"/>
      <color theme="0"/>
      <name val="Calibri"/>
      <family val="2"/>
      <scheme val="minor"/>
    </font>
    <font>
      <b/>
      <sz val="12"/>
      <color theme="0"/>
      <name val="Calibri"/>
      <family val="2"/>
      <scheme val="minor"/>
    </font>
    <font>
      <i/>
      <sz val="11"/>
      <color theme="9" tint="-0.499984740745262"/>
      <name val="Calibri"/>
      <family val="2"/>
      <scheme val="minor"/>
    </font>
    <font>
      <b/>
      <sz val="12"/>
      <color rgb="FF2E461E"/>
      <name val="Calibri"/>
      <family val="2"/>
      <scheme val="minor"/>
    </font>
    <font>
      <sz val="11"/>
      <color rgb="FF2E461E"/>
      <name val="Calibri"/>
      <family val="2"/>
      <scheme val="minor"/>
    </font>
    <font>
      <b/>
      <sz val="11"/>
      <color rgb="FF2E461E"/>
      <name val="Calibri"/>
      <family val="2"/>
      <scheme val="minor"/>
    </font>
    <font>
      <b/>
      <sz val="11"/>
      <color theme="0"/>
      <name val="Calibri"/>
      <family val="2"/>
      <scheme val="minor"/>
    </font>
    <font>
      <sz val="11"/>
      <color theme="1"/>
      <name val="Calibri"/>
      <family val="2"/>
      <charset val="238"/>
      <scheme val="minor"/>
    </font>
    <font>
      <sz val="8"/>
      <color theme="1"/>
      <name val="Calibri"/>
      <family val="2"/>
      <scheme val="minor"/>
    </font>
    <font>
      <sz val="8"/>
      <name val="Calibri"/>
      <family val="2"/>
      <scheme val="minor"/>
    </font>
    <font>
      <sz val="11"/>
      <color rgb="FF000000"/>
      <name val="Calibri"/>
      <family val="2"/>
      <charset val="238"/>
    </font>
    <font>
      <b/>
      <sz val="32"/>
      <color theme="1"/>
      <name val="Calibri"/>
      <family val="2"/>
      <charset val="238"/>
      <scheme val="minor"/>
    </font>
    <font>
      <sz val="12"/>
      <color theme="1"/>
      <name val="Calibri"/>
      <family val="2"/>
      <scheme val="minor"/>
    </font>
    <font>
      <b/>
      <sz val="11"/>
      <color theme="1"/>
      <name val="Calibri"/>
      <family val="2"/>
      <charset val="238"/>
      <scheme val="minor"/>
    </font>
    <font>
      <sz val="11"/>
      <color rgb="FF0E0F11"/>
      <name val="Open Sans"/>
      <charset val="1"/>
    </font>
    <font>
      <sz val="11"/>
      <color rgb="FF2E461E"/>
      <name val="Calibri"/>
      <charset val="1"/>
    </font>
  </fonts>
  <fills count="12">
    <fill>
      <patternFill patternType="none"/>
    </fill>
    <fill>
      <patternFill patternType="gray125"/>
    </fill>
    <fill>
      <patternFill patternType="solid">
        <fgColor theme="9" tint="0.79998168889431442"/>
        <bgColor indexed="64"/>
      </patternFill>
    </fill>
    <fill>
      <patternFill patternType="solid">
        <fgColor rgb="FF008000"/>
        <bgColor indexed="64"/>
      </patternFill>
    </fill>
    <fill>
      <patternFill patternType="solid">
        <fgColor rgb="FF006600"/>
        <bgColor indexed="64"/>
      </patternFill>
    </fill>
    <fill>
      <patternFill patternType="solid">
        <fgColor rgb="FF6AA343"/>
        <bgColor indexed="64"/>
      </patternFill>
    </fill>
    <fill>
      <patternFill patternType="solid">
        <fgColor rgb="FF8FC171"/>
        <bgColor indexed="64"/>
      </patternFill>
    </fill>
    <fill>
      <patternFill patternType="solid">
        <fgColor rgb="FFF1F7ED"/>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bgColor theme="4"/>
      </patternFill>
    </fill>
    <fill>
      <patternFill patternType="solid">
        <fgColor rgb="FFFFFFFF"/>
        <bgColor indexed="64"/>
      </patternFill>
    </fill>
  </fills>
  <borders count="148">
    <border>
      <left/>
      <right/>
      <top/>
      <bottom/>
      <diagonal/>
    </border>
    <border>
      <left style="thin">
        <color indexed="64"/>
      </left>
      <right style="thin">
        <color indexed="64"/>
      </right>
      <top style="thin">
        <color indexed="64"/>
      </top>
      <bottom style="thin">
        <color indexed="64"/>
      </bottom>
      <diagonal/>
    </border>
    <border>
      <left style="medium">
        <color theme="9"/>
      </left>
      <right/>
      <top style="medium">
        <color theme="9"/>
      </top>
      <bottom/>
      <diagonal/>
    </border>
    <border>
      <left style="medium">
        <color theme="9"/>
      </left>
      <right/>
      <top/>
      <bottom style="medium">
        <color theme="9"/>
      </bottom>
      <diagonal/>
    </border>
    <border>
      <left style="medium">
        <color theme="9"/>
      </left>
      <right style="medium">
        <color theme="9"/>
      </right>
      <top style="medium">
        <color theme="9"/>
      </top>
      <bottom/>
      <diagonal/>
    </border>
    <border>
      <left style="medium">
        <color theme="9"/>
      </left>
      <right/>
      <top style="medium">
        <color theme="9"/>
      </top>
      <bottom style="medium">
        <color theme="9"/>
      </bottom>
      <diagonal/>
    </border>
    <border>
      <left/>
      <right style="medium">
        <color theme="9"/>
      </right>
      <top style="medium">
        <color theme="9"/>
      </top>
      <bottom style="medium">
        <color theme="9"/>
      </bottom>
      <diagonal/>
    </border>
    <border>
      <left/>
      <right style="medium">
        <color theme="9"/>
      </right>
      <top/>
      <bottom style="medium">
        <color theme="9"/>
      </bottom>
      <diagonal/>
    </border>
    <border>
      <left/>
      <right/>
      <top style="medium">
        <color theme="9"/>
      </top>
      <bottom style="medium">
        <color theme="9"/>
      </bottom>
      <diagonal/>
    </border>
    <border>
      <left/>
      <right/>
      <top style="medium">
        <color theme="9"/>
      </top>
      <bottom/>
      <diagonal/>
    </border>
    <border>
      <left/>
      <right style="medium">
        <color theme="9"/>
      </right>
      <top style="medium">
        <color theme="9"/>
      </top>
      <bottom/>
      <diagonal/>
    </border>
    <border>
      <left style="medium">
        <color theme="9"/>
      </left>
      <right style="medium">
        <color theme="9"/>
      </right>
      <top/>
      <bottom/>
      <diagonal/>
    </border>
    <border>
      <left/>
      <right style="medium">
        <color theme="9"/>
      </right>
      <top/>
      <bottom/>
      <diagonal/>
    </border>
    <border>
      <left/>
      <right/>
      <top/>
      <bottom style="medium">
        <color theme="9"/>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dashed">
        <color theme="9" tint="0.59999389629810485"/>
      </left>
      <right style="dashed">
        <color theme="9" tint="0.59999389629810485"/>
      </right>
      <top style="dashed">
        <color theme="9" tint="0.59999389629810485"/>
      </top>
      <bottom style="dashed">
        <color theme="9" tint="0.59999389629810485"/>
      </bottom>
      <diagonal/>
    </border>
    <border>
      <left style="medium">
        <color rgb="FF6AA343"/>
      </left>
      <right/>
      <top style="medium">
        <color rgb="FF6AA343"/>
      </top>
      <bottom/>
      <diagonal/>
    </border>
    <border>
      <left/>
      <right style="medium">
        <color rgb="FF6AA343"/>
      </right>
      <top style="medium">
        <color rgb="FF6AA343"/>
      </top>
      <bottom/>
      <diagonal/>
    </border>
    <border>
      <left style="medium">
        <color rgb="FF6AA343"/>
      </left>
      <right/>
      <top/>
      <bottom/>
      <diagonal/>
    </border>
    <border>
      <left/>
      <right style="medium">
        <color rgb="FF6AA343"/>
      </right>
      <top/>
      <bottom/>
      <diagonal/>
    </border>
    <border>
      <left style="medium">
        <color rgb="FF6AA343"/>
      </left>
      <right/>
      <top/>
      <bottom style="medium">
        <color rgb="FF6AA343"/>
      </bottom>
      <diagonal/>
    </border>
    <border>
      <left/>
      <right style="medium">
        <color rgb="FF6AA343"/>
      </right>
      <top/>
      <bottom style="medium">
        <color rgb="FF6AA343"/>
      </bottom>
      <diagonal/>
    </border>
    <border>
      <left style="medium">
        <color rgb="FF6AA343"/>
      </left>
      <right style="medium">
        <color rgb="FF6AA343"/>
      </right>
      <top style="medium">
        <color rgb="FF6AA343"/>
      </top>
      <bottom/>
      <diagonal/>
    </border>
    <border>
      <left style="medium">
        <color rgb="FF6AA343"/>
      </left>
      <right style="medium">
        <color rgb="FF6AA343"/>
      </right>
      <top/>
      <bottom style="medium">
        <color rgb="FF6AA343"/>
      </bottom>
      <diagonal/>
    </border>
    <border>
      <left style="medium">
        <color rgb="FF6AA343"/>
      </left>
      <right/>
      <top style="medium">
        <color rgb="FF6AA343"/>
      </top>
      <bottom style="medium">
        <color rgb="FF6AA343"/>
      </bottom>
      <diagonal/>
    </border>
    <border>
      <left/>
      <right/>
      <top style="medium">
        <color rgb="FF6AA343"/>
      </top>
      <bottom style="medium">
        <color rgb="FF6AA343"/>
      </bottom>
      <diagonal/>
    </border>
    <border>
      <left/>
      <right style="medium">
        <color rgb="FF6AA343"/>
      </right>
      <top style="medium">
        <color rgb="FF6AA343"/>
      </top>
      <bottom style="medium">
        <color rgb="FF6AA343"/>
      </bottom>
      <diagonal/>
    </border>
    <border>
      <left style="thin">
        <color rgb="FF6AA343"/>
      </left>
      <right style="thin">
        <color rgb="FF6AA343"/>
      </right>
      <top style="thin">
        <color rgb="FF6AA343"/>
      </top>
      <bottom style="thin">
        <color rgb="FF6AA343"/>
      </bottom>
      <diagonal/>
    </border>
    <border>
      <left/>
      <right/>
      <top style="medium">
        <color rgb="FF6AA343"/>
      </top>
      <bottom/>
      <diagonal/>
    </border>
    <border>
      <left style="medium">
        <color rgb="FF6AA343"/>
      </left>
      <right style="thin">
        <color rgb="FF6AA343"/>
      </right>
      <top style="medium">
        <color rgb="FF6AA343"/>
      </top>
      <bottom style="thin">
        <color rgb="FF6AA343"/>
      </bottom>
      <diagonal/>
    </border>
    <border>
      <left style="medium">
        <color rgb="FF6AA343"/>
      </left>
      <right style="thin">
        <color rgb="FF6AA343"/>
      </right>
      <top style="thin">
        <color rgb="FF6AA343"/>
      </top>
      <bottom style="thin">
        <color rgb="FF6AA343"/>
      </bottom>
      <diagonal/>
    </border>
    <border>
      <left style="medium">
        <color rgb="FF6AA343"/>
      </left>
      <right style="thin">
        <color rgb="FF6AA343"/>
      </right>
      <top style="thin">
        <color rgb="FF6AA343"/>
      </top>
      <bottom style="medium">
        <color rgb="FF6AA343"/>
      </bottom>
      <diagonal/>
    </border>
    <border>
      <left style="thin">
        <color rgb="FF6AA343"/>
      </left>
      <right style="thin">
        <color rgb="FF6AA343"/>
      </right>
      <top style="thin">
        <color rgb="FF6AA343"/>
      </top>
      <bottom style="medium">
        <color rgb="FF6AA343"/>
      </bottom>
      <diagonal/>
    </border>
    <border>
      <left style="thin">
        <color rgb="FF6AA343"/>
      </left>
      <right/>
      <top style="medium">
        <color rgb="FF6AA343"/>
      </top>
      <bottom style="thin">
        <color rgb="FF6AA343"/>
      </bottom>
      <diagonal/>
    </border>
    <border>
      <left/>
      <right style="thin">
        <color rgb="FF6AA343"/>
      </right>
      <top style="medium">
        <color rgb="FF6AA343"/>
      </top>
      <bottom style="thin">
        <color rgb="FF6AA343"/>
      </bottom>
      <diagonal/>
    </border>
    <border>
      <left style="thin">
        <color rgb="FF6AA343"/>
      </left>
      <right style="thin">
        <color rgb="FF6AA343"/>
      </right>
      <top/>
      <bottom style="thin">
        <color rgb="FF6AA343"/>
      </bottom>
      <diagonal/>
    </border>
    <border>
      <left/>
      <right/>
      <top style="thin">
        <color rgb="FF6AA343"/>
      </top>
      <bottom style="thin">
        <color rgb="FF6AA343"/>
      </bottom>
      <diagonal/>
    </border>
    <border>
      <left style="medium">
        <color rgb="FF6AA343"/>
      </left>
      <right style="medium">
        <color rgb="FF6AA343"/>
      </right>
      <top style="medium">
        <color rgb="FF6AA343"/>
      </top>
      <bottom style="thin">
        <color rgb="FF6AA343"/>
      </bottom>
      <diagonal/>
    </border>
    <border>
      <left style="medium">
        <color rgb="FF6AA343"/>
      </left>
      <right style="medium">
        <color rgb="FF6AA343"/>
      </right>
      <top style="thin">
        <color rgb="FF6AA343"/>
      </top>
      <bottom style="thin">
        <color rgb="FF6AA343"/>
      </bottom>
      <diagonal/>
    </border>
    <border>
      <left style="medium">
        <color rgb="FF6AA343"/>
      </left>
      <right style="medium">
        <color rgb="FF6AA343"/>
      </right>
      <top style="thin">
        <color rgb="FF6AA343"/>
      </top>
      <bottom style="medium">
        <color rgb="FF6AA343"/>
      </bottom>
      <diagonal/>
    </border>
    <border>
      <left style="thin">
        <color rgb="FF6AA343"/>
      </left>
      <right/>
      <top style="thin">
        <color rgb="FF6AA343"/>
      </top>
      <bottom style="thin">
        <color rgb="FF6AA343"/>
      </bottom>
      <diagonal/>
    </border>
    <border>
      <left/>
      <right style="medium">
        <color rgb="FF6AA343"/>
      </right>
      <top style="medium">
        <color rgb="FF6AA343"/>
      </top>
      <bottom style="thin">
        <color rgb="FF6AA343"/>
      </bottom>
      <diagonal/>
    </border>
    <border>
      <left/>
      <right style="medium">
        <color rgb="FF6AA343"/>
      </right>
      <top style="thin">
        <color rgb="FF6AA343"/>
      </top>
      <bottom style="thin">
        <color rgb="FF6AA343"/>
      </bottom>
      <diagonal/>
    </border>
    <border>
      <left/>
      <right style="medium">
        <color rgb="FF6AA343"/>
      </right>
      <top style="thin">
        <color rgb="FF6AA343"/>
      </top>
      <bottom style="medium">
        <color rgb="FF6AA343"/>
      </bottom>
      <diagonal/>
    </border>
    <border>
      <left/>
      <right/>
      <top style="medium">
        <color rgb="FF6AA343"/>
      </top>
      <bottom style="thin">
        <color rgb="FF6AA343"/>
      </bottom>
      <diagonal/>
    </border>
    <border>
      <left style="medium">
        <color rgb="FF6AA343"/>
      </left>
      <right/>
      <top style="medium">
        <color rgb="FF6AA343"/>
      </top>
      <bottom style="thin">
        <color rgb="FF6AA343"/>
      </bottom>
      <diagonal/>
    </border>
    <border>
      <left style="medium">
        <color rgb="FF6AA343"/>
      </left>
      <right/>
      <top style="thin">
        <color rgb="FF6AA343"/>
      </top>
      <bottom style="thin">
        <color rgb="FF6AA343"/>
      </bottom>
      <diagonal/>
    </border>
    <border>
      <left style="medium">
        <color rgb="FF6AA343"/>
      </left>
      <right/>
      <top style="thin">
        <color rgb="FF6AA343"/>
      </top>
      <bottom style="medium">
        <color rgb="FF6AA343"/>
      </bottom>
      <diagonal/>
    </border>
    <border>
      <left/>
      <right style="thin">
        <color indexed="64"/>
      </right>
      <top style="thin">
        <color indexed="64"/>
      </top>
      <bottom style="thin">
        <color indexed="64"/>
      </bottom>
      <diagonal/>
    </border>
    <border>
      <left/>
      <right/>
      <top/>
      <bottom style="medium">
        <color rgb="FF6AA343"/>
      </bottom>
      <diagonal/>
    </border>
    <border>
      <left style="thin">
        <color rgb="FF6AA343"/>
      </left>
      <right style="thin">
        <color rgb="FF6AA343"/>
      </right>
      <top style="medium">
        <color rgb="FF6AA343"/>
      </top>
      <bottom/>
      <diagonal/>
    </border>
    <border>
      <left style="thin">
        <color rgb="FF6AA343"/>
      </left>
      <right style="thin">
        <color rgb="FF6AA343"/>
      </right>
      <top style="thin">
        <color rgb="FF6AA343"/>
      </top>
      <bottom/>
      <diagonal/>
    </border>
    <border>
      <left style="thin">
        <color rgb="FF6AA343"/>
      </left>
      <right style="thin">
        <color rgb="FF6AA343"/>
      </right>
      <top/>
      <bottom/>
      <diagonal/>
    </border>
    <border>
      <left style="medium">
        <color theme="9"/>
      </left>
      <right/>
      <top style="medium">
        <color theme="9"/>
      </top>
      <bottom style="thin">
        <color rgb="FF6AA343"/>
      </bottom>
      <diagonal/>
    </border>
    <border>
      <left/>
      <right style="medium">
        <color theme="9"/>
      </right>
      <top style="medium">
        <color theme="9"/>
      </top>
      <bottom style="thin">
        <color rgb="FF6AA343"/>
      </bottom>
      <diagonal/>
    </border>
    <border>
      <left style="medium">
        <color theme="9"/>
      </left>
      <right/>
      <top style="thin">
        <color rgb="FF6AA343"/>
      </top>
      <bottom style="thin">
        <color rgb="FF6AA343"/>
      </bottom>
      <diagonal/>
    </border>
    <border>
      <left/>
      <right style="medium">
        <color theme="9"/>
      </right>
      <top style="thin">
        <color rgb="FF6AA343"/>
      </top>
      <bottom style="thin">
        <color rgb="FF6AA343"/>
      </bottom>
      <diagonal/>
    </border>
    <border>
      <left style="medium">
        <color theme="9"/>
      </left>
      <right/>
      <top style="thin">
        <color rgb="FF6AA343"/>
      </top>
      <bottom style="medium">
        <color theme="9"/>
      </bottom>
      <diagonal/>
    </border>
    <border>
      <left/>
      <right style="medium">
        <color theme="9"/>
      </right>
      <top style="thin">
        <color rgb="FF6AA343"/>
      </top>
      <bottom style="medium">
        <color theme="9"/>
      </bottom>
      <diagonal/>
    </border>
    <border>
      <left style="thin">
        <color rgb="FF6AA343"/>
      </left>
      <right/>
      <top style="thin">
        <color rgb="FF6AA343"/>
      </top>
      <bottom/>
      <diagonal/>
    </border>
    <border>
      <left style="medium">
        <color rgb="FF6AA343"/>
      </left>
      <right/>
      <top style="medium">
        <color rgb="FF6AA343"/>
      </top>
      <bottom style="medium">
        <color theme="9"/>
      </bottom>
      <diagonal/>
    </border>
    <border>
      <left/>
      <right style="medium">
        <color rgb="FF6AA343"/>
      </right>
      <top style="medium">
        <color rgb="FF6AA343"/>
      </top>
      <bottom style="medium">
        <color theme="9"/>
      </bottom>
      <diagonal/>
    </border>
    <border>
      <left style="thin">
        <color theme="9"/>
      </left>
      <right style="thin">
        <color theme="9"/>
      </right>
      <top style="thin">
        <color theme="9"/>
      </top>
      <bottom style="thin">
        <color theme="9"/>
      </bottom>
      <diagonal/>
    </border>
    <border>
      <left style="medium">
        <color theme="9"/>
      </left>
      <right/>
      <top style="thin">
        <color rgb="FF6AA343"/>
      </top>
      <bottom/>
      <diagonal/>
    </border>
    <border>
      <left/>
      <right style="medium">
        <color theme="9"/>
      </right>
      <top style="thin">
        <color rgb="FF6AA343"/>
      </top>
      <bottom/>
      <diagonal/>
    </border>
    <border>
      <left style="medium">
        <color theme="9"/>
      </left>
      <right style="thin">
        <color theme="9"/>
      </right>
      <top style="medium">
        <color theme="9"/>
      </top>
      <bottom style="thin">
        <color theme="9"/>
      </bottom>
      <diagonal/>
    </border>
    <border>
      <left style="thin">
        <color theme="9"/>
      </left>
      <right style="medium">
        <color theme="9"/>
      </right>
      <top style="medium">
        <color theme="9"/>
      </top>
      <bottom style="thin">
        <color theme="9"/>
      </bottom>
      <diagonal/>
    </border>
    <border>
      <left style="medium">
        <color theme="9"/>
      </left>
      <right style="thin">
        <color theme="9"/>
      </right>
      <top style="thin">
        <color theme="9"/>
      </top>
      <bottom style="thin">
        <color theme="9"/>
      </bottom>
      <diagonal/>
    </border>
    <border>
      <left style="thin">
        <color theme="9"/>
      </left>
      <right style="medium">
        <color theme="9"/>
      </right>
      <top style="thin">
        <color theme="9"/>
      </top>
      <bottom style="thin">
        <color theme="9"/>
      </bottom>
      <diagonal/>
    </border>
    <border>
      <left style="medium">
        <color theme="9"/>
      </left>
      <right style="thin">
        <color theme="9"/>
      </right>
      <top style="thin">
        <color theme="9"/>
      </top>
      <bottom style="medium">
        <color theme="9"/>
      </bottom>
      <diagonal/>
    </border>
    <border>
      <left style="thin">
        <color theme="9"/>
      </left>
      <right style="medium">
        <color theme="9"/>
      </right>
      <top style="thin">
        <color theme="9"/>
      </top>
      <bottom style="medium">
        <color theme="9"/>
      </bottom>
      <diagonal/>
    </border>
    <border>
      <left style="thin">
        <color theme="9"/>
      </left>
      <right style="thin">
        <color theme="9"/>
      </right>
      <top style="medium">
        <color theme="9"/>
      </top>
      <bottom style="thin">
        <color theme="9"/>
      </bottom>
      <diagonal/>
    </border>
    <border>
      <left style="thin">
        <color theme="9"/>
      </left>
      <right style="thin">
        <color theme="9"/>
      </right>
      <top style="thin">
        <color theme="9"/>
      </top>
      <bottom style="medium">
        <color theme="9"/>
      </bottom>
      <diagonal/>
    </border>
    <border>
      <left style="medium">
        <color theme="9"/>
      </left>
      <right style="thin">
        <color theme="9"/>
      </right>
      <top style="medium">
        <color theme="9"/>
      </top>
      <bottom style="medium">
        <color theme="9"/>
      </bottom>
      <diagonal/>
    </border>
    <border>
      <left style="thin">
        <color theme="9"/>
      </left>
      <right style="thin">
        <color theme="9"/>
      </right>
      <top style="medium">
        <color theme="9"/>
      </top>
      <bottom style="medium">
        <color theme="9"/>
      </bottom>
      <diagonal/>
    </border>
    <border>
      <left style="thin">
        <color theme="9"/>
      </left>
      <right/>
      <top style="thin">
        <color theme="9"/>
      </top>
      <bottom style="thin">
        <color theme="9"/>
      </bottom>
      <diagonal/>
    </border>
    <border>
      <left style="thin">
        <color theme="9"/>
      </left>
      <right style="medium">
        <color theme="9"/>
      </right>
      <top style="medium">
        <color theme="9"/>
      </top>
      <bottom style="medium">
        <color theme="9"/>
      </bottom>
      <diagonal/>
    </border>
    <border>
      <left style="thin">
        <color theme="9"/>
      </left>
      <right/>
      <top style="medium">
        <color theme="9"/>
      </top>
      <bottom style="thin">
        <color theme="9"/>
      </bottom>
      <diagonal/>
    </border>
    <border>
      <left/>
      <right/>
      <top style="medium">
        <color theme="9"/>
      </top>
      <bottom style="thin">
        <color rgb="FF6AA343"/>
      </bottom>
      <diagonal/>
    </border>
    <border>
      <left style="medium">
        <color theme="9"/>
      </left>
      <right style="thin">
        <color theme="9"/>
      </right>
      <top style="thin">
        <color theme="9"/>
      </top>
      <bottom/>
      <diagonal/>
    </border>
    <border>
      <left style="thin">
        <color theme="9"/>
      </left>
      <right style="medium">
        <color theme="9"/>
      </right>
      <top style="thin">
        <color theme="9"/>
      </top>
      <bottom/>
      <diagonal/>
    </border>
    <border>
      <left style="medium">
        <color theme="9"/>
      </left>
      <right style="medium">
        <color theme="9"/>
      </right>
      <top style="medium">
        <color theme="9"/>
      </top>
      <bottom style="thin">
        <color theme="9"/>
      </bottom>
      <diagonal/>
    </border>
    <border>
      <left style="medium">
        <color theme="9"/>
      </left>
      <right style="medium">
        <color theme="9"/>
      </right>
      <top style="thin">
        <color theme="9"/>
      </top>
      <bottom style="thin">
        <color theme="9"/>
      </bottom>
      <diagonal/>
    </border>
    <border>
      <left style="medium">
        <color theme="9"/>
      </left>
      <right style="medium">
        <color theme="9"/>
      </right>
      <top style="thin">
        <color theme="9"/>
      </top>
      <bottom style="medium">
        <color theme="9"/>
      </bottom>
      <diagonal/>
    </border>
    <border>
      <left style="medium">
        <color theme="9"/>
      </left>
      <right/>
      <top style="medium">
        <color theme="9"/>
      </top>
      <bottom style="thin">
        <color theme="9"/>
      </bottom>
      <diagonal/>
    </border>
    <border>
      <left style="medium">
        <color theme="9"/>
      </left>
      <right/>
      <top style="thin">
        <color theme="9"/>
      </top>
      <bottom style="thin">
        <color theme="9"/>
      </bottom>
      <diagonal/>
    </border>
    <border>
      <left style="medium">
        <color theme="9"/>
      </left>
      <right/>
      <top style="thin">
        <color theme="9"/>
      </top>
      <bottom style="medium">
        <color theme="9"/>
      </bottom>
      <diagonal/>
    </border>
    <border>
      <left/>
      <right/>
      <top style="thin">
        <color theme="9"/>
      </top>
      <bottom style="thin">
        <color theme="9"/>
      </bottom>
      <diagonal/>
    </border>
    <border>
      <left/>
      <right style="medium">
        <color theme="9"/>
      </right>
      <top style="thin">
        <color theme="9"/>
      </top>
      <bottom style="thin">
        <color theme="9"/>
      </bottom>
      <diagonal/>
    </border>
    <border>
      <left/>
      <right/>
      <top style="thin">
        <color theme="9"/>
      </top>
      <bottom style="medium">
        <color theme="9"/>
      </bottom>
      <diagonal/>
    </border>
    <border>
      <left/>
      <right style="medium">
        <color theme="9"/>
      </right>
      <top style="thin">
        <color theme="9"/>
      </top>
      <bottom style="medium">
        <color theme="9"/>
      </bottom>
      <diagonal/>
    </border>
    <border>
      <left style="medium">
        <color theme="9"/>
      </left>
      <right style="medium">
        <color theme="9"/>
      </right>
      <top/>
      <bottom style="medium">
        <color theme="9"/>
      </bottom>
      <diagonal/>
    </border>
    <border>
      <left style="medium">
        <color theme="9"/>
      </left>
      <right/>
      <top/>
      <bottom/>
      <diagonal/>
    </border>
    <border>
      <left style="medium">
        <color rgb="FF6AA343"/>
      </left>
      <right/>
      <top style="thin">
        <color rgb="FF6AA343"/>
      </top>
      <bottom/>
      <diagonal/>
    </border>
    <border>
      <left style="medium">
        <color theme="9"/>
      </left>
      <right style="medium">
        <color theme="9"/>
      </right>
      <top style="thin">
        <color theme="9"/>
      </top>
      <bottom/>
      <diagonal/>
    </border>
    <border>
      <left style="medium">
        <color theme="9"/>
      </left>
      <right/>
      <top style="thin">
        <color theme="9"/>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9"/>
      </left>
      <right/>
      <top style="thin">
        <color theme="9"/>
      </top>
      <bottom style="medium">
        <color theme="9"/>
      </bottom>
      <diagonal/>
    </border>
    <border>
      <left style="thin">
        <color theme="9"/>
      </left>
      <right/>
      <top style="medium">
        <color theme="9"/>
      </top>
      <bottom style="medium">
        <color theme="9"/>
      </bottom>
      <diagonal/>
    </border>
    <border>
      <left/>
      <right/>
      <top style="thin">
        <color rgb="FF6AA343"/>
      </top>
      <bottom/>
      <diagonal/>
    </border>
    <border>
      <left/>
      <right/>
      <top style="thin">
        <color rgb="FF6AA343"/>
      </top>
      <bottom style="medium">
        <color theme="9"/>
      </bottom>
      <diagonal/>
    </border>
    <border>
      <left/>
      <right style="thin">
        <color theme="9"/>
      </right>
      <top style="medium">
        <color theme="9"/>
      </top>
      <bottom style="thin">
        <color theme="9"/>
      </bottom>
      <diagonal/>
    </border>
    <border>
      <left/>
      <right style="thin">
        <color theme="9"/>
      </right>
      <top style="thin">
        <color theme="9"/>
      </top>
      <bottom style="thin">
        <color theme="9"/>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theme="9"/>
      </right>
      <top style="thin">
        <color theme="9"/>
      </top>
      <bottom style="medium">
        <color theme="9"/>
      </bottom>
      <diagonal/>
    </border>
    <border>
      <left style="medium">
        <color rgb="FF00B050"/>
      </left>
      <right/>
      <top style="medium">
        <color theme="9"/>
      </top>
      <bottom style="medium">
        <color theme="9"/>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rgb="FF000000"/>
      </left>
      <right style="medium">
        <color indexed="64"/>
      </right>
      <top style="thin">
        <color rgb="FF000000"/>
      </top>
      <bottom style="thin">
        <color rgb="FF000000"/>
      </bottom>
      <diagonal/>
    </border>
    <border>
      <left/>
      <right style="medium">
        <color indexed="64"/>
      </right>
      <top/>
      <bottom/>
      <diagonal/>
    </border>
    <border>
      <left style="thin">
        <color rgb="FF000000"/>
      </left>
      <right style="medium">
        <color indexed="64"/>
      </right>
      <top style="thin">
        <color rgb="FF000000"/>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4">
    <xf numFmtId="0" fontId="0" fillId="0" borderId="0"/>
    <xf numFmtId="9" fontId="5" fillId="0" borderId="0" applyFont="0" applyFill="0" applyBorder="0" applyAlignment="0" applyProtection="0"/>
    <xf numFmtId="0" fontId="14" fillId="0" borderId="0"/>
    <xf numFmtId="43" fontId="5" fillId="0" borderId="0" applyFont="0" applyFill="0" applyBorder="0" applyAlignment="0" applyProtection="0"/>
  </cellStyleXfs>
  <cellXfs count="376">
    <xf numFmtId="0" fontId="0" fillId="0" borderId="0" xfId="0"/>
    <xf numFmtId="0" fontId="0" fillId="0" borderId="1" xfId="0" applyBorder="1"/>
    <xf numFmtId="0" fontId="0" fillId="0" borderId="1" xfId="0" applyBorder="1" applyAlignment="1">
      <alignment horizontal="center"/>
    </xf>
    <xf numFmtId="0" fontId="3" fillId="2" borderId="11" xfId="0" applyFont="1" applyFill="1" applyBorder="1" applyAlignment="1">
      <alignment horizontal="center" vertical="center"/>
    </xf>
    <xf numFmtId="0" fontId="3" fillId="2" borderId="1" xfId="0" applyFont="1" applyFill="1" applyBorder="1" applyAlignment="1">
      <alignment horizontal="center"/>
    </xf>
    <xf numFmtId="0" fontId="6" fillId="3" borderId="14" xfId="0" applyFont="1" applyFill="1" applyBorder="1" applyAlignment="1">
      <alignment horizontal="center" vertical="center"/>
    </xf>
    <xf numFmtId="0" fontId="6" fillId="3" borderId="19" xfId="0" applyFont="1" applyFill="1" applyBorder="1" applyAlignment="1">
      <alignment horizontal="center" vertical="center"/>
    </xf>
    <xf numFmtId="0" fontId="1" fillId="5" borderId="14" xfId="0" applyFont="1" applyFill="1" applyBorder="1" applyAlignment="1">
      <alignment horizontal="left" vertical="center" wrapText="1"/>
    </xf>
    <xf numFmtId="9" fontId="0" fillId="6" borderId="16" xfId="0" applyNumberFormat="1" applyFill="1" applyBorder="1" applyAlignment="1">
      <alignment horizontal="center" vertical="center"/>
    </xf>
    <xf numFmtId="0" fontId="0" fillId="6" borderId="16" xfId="0" applyFill="1" applyBorder="1" applyAlignment="1">
      <alignment horizontal="center" vertical="center"/>
    </xf>
    <xf numFmtId="14" fontId="0" fillId="0" borderId="1" xfId="0" applyNumberFormat="1" applyBorder="1"/>
    <xf numFmtId="9" fontId="0" fillId="0" borderId="1" xfId="1" applyFont="1" applyBorder="1"/>
    <xf numFmtId="9" fontId="0" fillId="0" borderId="1" xfId="1" applyFont="1" applyBorder="1" applyAlignment="1">
      <alignment horizontal="right"/>
    </xf>
    <xf numFmtId="0" fontId="0" fillId="0" borderId="1" xfId="0" applyBorder="1" applyAlignment="1">
      <alignment horizontal="right"/>
    </xf>
    <xf numFmtId="0" fontId="3" fillId="2" borderId="1" xfId="0" applyFont="1" applyFill="1" applyBorder="1" applyAlignment="1">
      <alignment horizontal="left"/>
    </xf>
    <xf numFmtId="0" fontId="3" fillId="2" borderId="28" xfId="0" applyFont="1" applyFill="1" applyBorder="1" applyAlignment="1">
      <alignment horizontal="center" vertical="center"/>
    </xf>
    <xf numFmtId="0" fontId="3" fillId="2" borderId="4" xfId="0" applyFont="1" applyFill="1" applyBorder="1" applyAlignment="1">
      <alignment horizontal="center"/>
    </xf>
    <xf numFmtId="0" fontId="3" fillId="2" borderId="0" xfId="0" applyFont="1" applyFill="1" applyAlignment="1">
      <alignment horizontal="center"/>
    </xf>
    <xf numFmtId="0" fontId="3" fillId="7" borderId="35" xfId="0" applyFont="1" applyFill="1" applyBorder="1"/>
    <xf numFmtId="0" fontId="3" fillId="7" borderId="36" xfId="0" applyFont="1" applyFill="1" applyBorder="1"/>
    <xf numFmtId="0" fontId="3" fillId="7" borderId="36" xfId="0" applyFont="1" applyFill="1" applyBorder="1" applyAlignment="1">
      <alignment vertical="top" wrapText="1"/>
    </xf>
    <xf numFmtId="0" fontId="3" fillId="7" borderId="37" xfId="0" applyFont="1" applyFill="1" applyBorder="1"/>
    <xf numFmtId="0" fontId="3" fillId="7" borderId="40" xfId="0" applyFont="1" applyFill="1" applyBorder="1"/>
    <xf numFmtId="0" fontId="3" fillId="7" borderId="33" xfId="0" applyFont="1" applyFill="1" applyBorder="1"/>
    <xf numFmtId="0" fontId="3" fillId="7" borderId="38" xfId="0" applyFont="1" applyFill="1" applyBorder="1"/>
    <xf numFmtId="0" fontId="13" fillId="3" borderId="14" xfId="0" applyFont="1" applyFill="1" applyBorder="1" applyAlignment="1">
      <alignment horizontal="center" vertical="top" wrapText="1"/>
    </xf>
    <xf numFmtId="0" fontId="15" fillId="0" borderId="21" xfId="0" applyFont="1" applyBorder="1" applyAlignment="1">
      <alignment vertical="center" wrapText="1"/>
    </xf>
    <xf numFmtId="0" fontId="3" fillId="2" borderId="54" xfId="0" applyFont="1" applyFill="1" applyBorder="1" applyAlignment="1">
      <alignment horizontal="center"/>
    </xf>
    <xf numFmtId="0" fontId="0" fillId="0" borderId="54" xfId="0" applyBorder="1"/>
    <xf numFmtId="0" fontId="0" fillId="0" borderId="33" xfId="0" applyBorder="1"/>
    <xf numFmtId="0" fontId="11" fillId="0" borderId="59" xfId="0" applyFont="1" applyBorder="1" applyAlignment="1">
      <alignment horizontal="right"/>
    </xf>
    <xf numFmtId="0" fontId="11" fillId="0" borderId="63" xfId="0" applyFont="1" applyBorder="1" applyAlignment="1">
      <alignment horizontal="right"/>
    </xf>
    <xf numFmtId="0" fontId="11" fillId="0" borderId="61" xfId="0" applyFont="1" applyBorder="1" applyAlignment="1">
      <alignment horizontal="right"/>
    </xf>
    <xf numFmtId="0" fontId="11" fillId="0" borderId="72" xfId="0" applyFont="1" applyBorder="1" applyAlignment="1">
      <alignment horizontal="right"/>
    </xf>
    <xf numFmtId="0" fontId="11" fillId="0" borderId="74" xfId="0" applyFont="1" applyBorder="1" applyAlignment="1">
      <alignment horizontal="right"/>
    </xf>
    <xf numFmtId="0" fontId="12" fillId="0" borderId="51" xfId="0" applyFont="1" applyBorder="1" applyAlignment="1">
      <alignment vertical="center" wrapText="1"/>
    </xf>
    <xf numFmtId="0" fontId="12" fillId="0" borderId="53" xfId="0" applyFont="1" applyBorder="1" applyAlignment="1">
      <alignment vertical="center"/>
    </xf>
    <xf numFmtId="0" fontId="11" fillId="0" borderId="69" xfId="0" applyFont="1" applyBorder="1" applyAlignment="1">
      <alignment horizontal="right"/>
    </xf>
    <xf numFmtId="0" fontId="11" fillId="0" borderId="86" xfId="0" applyFont="1" applyBorder="1" applyAlignment="1">
      <alignment horizontal="right"/>
    </xf>
    <xf numFmtId="0" fontId="0" fillId="0" borderId="0" xfId="0" applyAlignment="1">
      <alignment vertical="top"/>
    </xf>
    <xf numFmtId="0" fontId="0" fillId="0" borderId="0" xfId="0" applyAlignment="1">
      <alignment horizontal="left" vertical="top"/>
    </xf>
    <xf numFmtId="0" fontId="11" fillId="0" borderId="51" xfId="0" applyFont="1" applyBorder="1" applyAlignment="1">
      <alignment horizontal="center" vertical="top"/>
    </xf>
    <xf numFmtId="0" fontId="11" fillId="0" borderId="52" xfId="0" applyFont="1" applyBorder="1" applyAlignment="1">
      <alignment horizontal="center" vertical="top"/>
    </xf>
    <xf numFmtId="0" fontId="11" fillId="0" borderId="53" xfId="0" applyFont="1" applyBorder="1" applyAlignment="1">
      <alignment horizontal="center" vertical="top"/>
    </xf>
    <xf numFmtId="0" fontId="12" fillId="0" borderId="51" xfId="0" applyFont="1" applyBorder="1" applyAlignment="1">
      <alignment horizontal="left" vertical="center" wrapText="1"/>
    </xf>
    <xf numFmtId="0" fontId="12" fillId="0" borderId="52" xfId="0" applyFont="1" applyBorder="1" applyAlignment="1">
      <alignment horizontal="left" vertical="center" wrapText="1"/>
    </xf>
    <xf numFmtId="0" fontId="12" fillId="0" borderId="53" xfId="0" applyFont="1" applyBorder="1" applyAlignment="1">
      <alignment horizontal="left" vertical="center"/>
    </xf>
    <xf numFmtId="0" fontId="12" fillId="0" borderId="26" xfId="0" applyFont="1" applyBorder="1" applyAlignment="1">
      <alignment horizontal="left" vertical="center"/>
    </xf>
    <xf numFmtId="0" fontId="10" fillId="2" borderId="29" xfId="0" applyFont="1" applyFill="1" applyBorder="1" applyAlignment="1">
      <alignment horizontal="center" vertical="center"/>
    </xf>
    <xf numFmtId="0" fontId="0" fillId="9" borderId="0" xfId="0" applyFill="1"/>
    <xf numFmtId="0" fontId="11" fillId="0" borderId="99" xfId="0" applyFont="1" applyBorder="1" applyAlignment="1">
      <alignment horizontal="center" vertical="top"/>
    </xf>
    <xf numFmtId="0" fontId="13" fillId="10" borderId="102" xfId="0" applyFont="1" applyFill="1" applyBorder="1"/>
    <xf numFmtId="0" fontId="0" fillId="0" borderId="1" xfId="0" applyBorder="1" applyAlignment="1">
      <alignment horizontal="left" vertical="top"/>
    </xf>
    <xf numFmtId="0" fontId="1" fillId="0" borderId="1" xfId="0" applyFont="1" applyBorder="1"/>
    <xf numFmtId="0" fontId="0" fillId="0" borderId="1" xfId="0" applyBorder="1" applyAlignment="1">
      <alignment horizontal="left" vertical="top" wrapText="1"/>
    </xf>
    <xf numFmtId="0" fontId="0" fillId="6" borderId="15" xfId="0" applyFill="1" applyBorder="1" applyAlignment="1">
      <alignment horizontal="left" vertical="center"/>
    </xf>
    <xf numFmtId="0" fontId="0" fillId="6" borderId="15" xfId="0" applyFill="1" applyBorder="1" applyAlignment="1">
      <alignment horizontal="left"/>
    </xf>
    <xf numFmtId="1" fontId="11" fillId="0" borderId="71" xfId="0" applyNumberFormat="1" applyFont="1" applyBorder="1" applyAlignment="1" applyProtection="1">
      <alignment horizontal="right"/>
      <protection locked="0"/>
    </xf>
    <xf numFmtId="1" fontId="11" fillId="0" borderId="73" xfId="0" applyNumberFormat="1" applyFont="1" applyBorder="1" applyAlignment="1" applyProtection="1">
      <alignment horizontal="right"/>
      <protection locked="0"/>
    </xf>
    <xf numFmtId="1" fontId="11" fillId="0" borderId="85" xfId="0" applyNumberFormat="1" applyFont="1" applyBorder="1" applyAlignment="1" applyProtection="1">
      <alignment horizontal="right"/>
      <protection locked="0"/>
    </xf>
    <xf numFmtId="0" fontId="12" fillId="8" borderId="71" xfId="0" applyFont="1" applyFill="1" applyBorder="1" applyAlignment="1" applyProtection="1">
      <alignment horizontal="center" vertical="center"/>
      <protection locked="0"/>
    </xf>
    <xf numFmtId="0" fontId="12" fillId="8" borderId="73" xfId="0" applyFont="1" applyFill="1" applyBorder="1" applyAlignment="1" applyProtection="1">
      <alignment horizontal="center" vertical="center"/>
      <protection locked="0"/>
    </xf>
    <xf numFmtId="0" fontId="12" fillId="8" borderId="75" xfId="0" applyFont="1" applyFill="1" applyBorder="1" applyAlignment="1" applyProtection="1">
      <alignment horizontal="center" vertical="center"/>
      <protection locked="0"/>
    </xf>
    <xf numFmtId="0" fontId="11" fillId="0" borderId="87" xfId="0" applyFont="1" applyBorder="1" applyAlignment="1" applyProtection="1">
      <alignment wrapText="1"/>
      <protection locked="0"/>
    </xf>
    <xf numFmtId="164" fontId="11" fillId="0" borderId="87" xfId="0" applyNumberFormat="1" applyFont="1" applyBorder="1" applyAlignment="1" applyProtection="1">
      <alignment horizontal="center" vertical="center"/>
      <protection locked="0"/>
    </xf>
    <xf numFmtId="164" fontId="11" fillId="0" borderId="90" xfId="0" applyNumberFormat="1" applyFont="1" applyBorder="1" applyAlignment="1" applyProtection="1">
      <alignment horizontal="center" vertical="center"/>
      <protection locked="0"/>
    </xf>
    <xf numFmtId="0" fontId="11" fillId="0" borderId="90" xfId="0" applyFont="1" applyBorder="1" applyAlignment="1" applyProtection="1">
      <alignment vertical="top"/>
      <protection locked="0"/>
    </xf>
    <xf numFmtId="167" fontId="11" fillId="0" borderId="87" xfId="0" applyNumberFormat="1" applyFont="1" applyBorder="1" applyAlignment="1" applyProtection="1">
      <alignment vertical="top"/>
      <protection locked="0"/>
    </xf>
    <xf numFmtId="0" fontId="11" fillId="0" borderId="88" xfId="0" applyFont="1" applyBorder="1" applyAlignment="1" applyProtection="1">
      <alignment wrapText="1"/>
      <protection locked="0"/>
    </xf>
    <xf numFmtId="164" fontId="11" fillId="0" borderId="88" xfId="0" applyNumberFormat="1" applyFont="1" applyBorder="1" applyAlignment="1" applyProtection="1">
      <alignment horizontal="center" vertical="center"/>
      <protection locked="0"/>
    </xf>
    <xf numFmtId="164" fontId="11" fillId="0" borderId="91" xfId="0" applyNumberFormat="1" applyFont="1" applyBorder="1" applyAlignment="1" applyProtection="1">
      <alignment horizontal="center" vertical="center"/>
      <protection locked="0"/>
    </xf>
    <xf numFmtId="0" fontId="11" fillId="0" borderId="91" xfId="0" applyFont="1" applyBorder="1" applyAlignment="1" applyProtection="1">
      <alignment vertical="top"/>
      <protection locked="0"/>
    </xf>
    <xf numFmtId="167" fontId="11" fillId="0" borderId="88" xfId="0" applyNumberFormat="1" applyFont="1" applyBorder="1" applyAlignment="1" applyProtection="1">
      <alignment vertical="top"/>
      <protection locked="0"/>
    </xf>
    <xf numFmtId="0" fontId="11" fillId="0" borderId="69" xfId="0" applyFont="1" applyBorder="1" applyAlignment="1" applyProtection="1">
      <alignment horizontal="left" vertical="top" wrapText="1"/>
      <protection locked="0"/>
    </xf>
    <xf numFmtId="0" fontId="11" fillId="0" borderId="105" xfId="0" applyFont="1" applyBorder="1" applyAlignment="1" applyProtection="1">
      <alignment horizontal="left" vertical="top" wrapText="1"/>
      <protection locked="0"/>
    </xf>
    <xf numFmtId="164" fontId="11" fillId="0" borderId="100" xfId="0" applyNumberFormat="1" applyFont="1" applyBorder="1" applyAlignment="1" applyProtection="1">
      <alignment horizontal="center" vertical="center"/>
      <protection locked="0"/>
    </xf>
    <xf numFmtId="164" fontId="11" fillId="0" borderId="101" xfId="0" applyNumberFormat="1" applyFont="1" applyBorder="1" applyAlignment="1" applyProtection="1">
      <alignment horizontal="center" vertical="center"/>
      <protection locked="0"/>
    </xf>
    <xf numFmtId="0" fontId="11" fillId="0" borderId="101" xfId="0" applyFont="1" applyBorder="1" applyAlignment="1" applyProtection="1">
      <alignment vertical="top"/>
      <protection locked="0"/>
    </xf>
    <xf numFmtId="167" fontId="11" fillId="0" borderId="100" xfId="0" applyNumberFormat="1" applyFont="1" applyBorder="1" applyAlignment="1" applyProtection="1">
      <alignment vertical="top"/>
      <protection locked="0"/>
    </xf>
    <xf numFmtId="0" fontId="11" fillId="0" borderId="89" xfId="0" applyFont="1" applyBorder="1" applyAlignment="1" applyProtection="1">
      <alignment wrapText="1"/>
      <protection locked="0"/>
    </xf>
    <xf numFmtId="164" fontId="11" fillId="0" borderId="89" xfId="0" applyNumberFormat="1" applyFont="1" applyBorder="1" applyAlignment="1" applyProtection="1">
      <alignment horizontal="center" vertical="center"/>
      <protection locked="0"/>
    </xf>
    <xf numFmtId="164" fontId="11" fillId="0" borderId="92" xfId="0" applyNumberFormat="1" applyFont="1" applyBorder="1" applyAlignment="1" applyProtection="1">
      <alignment horizontal="center" vertical="center"/>
      <protection locked="0"/>
    </xf>
    <xf numFmtId="0" fontId="11" fillId="0" borderId="92" xfId="0" applyFont="1" applyBorder="1" applyAlignment="1" applyProtection="1">
      <alignment vertical="top"/>
      <protection locked="0"/>
    </xf>
    <xf numFmtId="167" fontId="11" fillId="0" borderId="89" xfId="0" applyNumberFormat="1" applyFont="1" applyBorder="1" applyAlignment="1" applyProtection="1">
      <alignment vertical="top"/>
      <protection locked="0"/>
    </xf>
    <xf numFmtId="0" fontId="0" fillId="0" borderId="109" xfId="0" applyBorder="1"/>
    <xf numFmtId="0" fontId="0" fillId="0" borderId="110" xfId="0" applyBorder="1"/>
    <xf numFmtId="0" fontId="0" fillId="0" borderId="111" xfId="0" applyBorder="1" applyAlignment="1">
      <alignment horizontal="center"/>
    </xf>
    <xf numFmtId="0" fontId="0" fillId="0" borderId="113" xfId="0" applyBorder="1"/>
    <xf numFmtId="0" fontId="0" fillId="0" borderId="54" xfId="0" applyBorder="1" applyAlignment="1">
      <alignment horizontal="center"/>
    </xf>
    <xf numFmtId="0" fontId="0" fillId="0" borderId="114" xfId="0" applyBorder="1" applyAlignment="1">
      <alignment horizontal="center"/>
    </xf>
    <xf numFmtId="0" fontId="0" fillId="0" borderId="115" xfId="0" applyBorder="1"/>
    <xf numFmtId="0" fontId="0" fillId="0" borderId="115" xfId="0" applyBorder="1" applyAlignment="1">
      <alignment horizontal="center"/>
    </xf>
    <xf numFmtId="0" fontId="17" fillId="0" borderId="1" xfId="0" applyFont="1" applyBorder="1"/>
    <xf numFmtId="0" fontId="17" fillId="0" borderId="54" xfId="0" applyFont="1" applyBorder="1"/>
    <xf numFmtId="0" fontId="17" fillId="0" borderId="54" xfId="0" applyFont="1" applyBorder="1" applyAlignment="1">
      <alignment horizontal="center"/>
    </xf>
    <xf numFmtId="0" fontId="17" fillId="0" borderId="115" xfId="0" applyFont="1" applyBorder="1" applyAlignment="1">
      <alignment horizontal="center"/>
    </xf>
    <xf numFmtId="0" fontId="17" fillId="0" borderId="112" xfId="0" applyFont="1" applyBorder="1"/>
    <xf numFmtId="0" fontId="0" fillId="0" borderId="116" xfId="0" applyBorder="1"/>
    <xf numFmtId="0" fontId="0" fillId="0" borderId="116" xfId="0" applyBorder="1" applyAlignment="1">
      <alignment horizontal="left" vertical="center"/>
    </xf>
    <xf numFmtId="0" fontId="0" fillId="0" borderId="54" xfId="0" applyBorder="1" applyAlignment="1">
      <alignment horizontal="center" vertical="center"/>
    </xf>
    <xf numFmtId="0" fontId="0" fillId="0" borderId="115" xfId="0" applyBorder="1" applyAlignment="1">
      <alignment horizontal="center" vertical="center"/>
    </xf>
    <xf numFmtId="0" fontId="0" fillId="0" borderId="121" xfId="0" applyBorder="1"/>
    <xf numFmtId="0" fontId="0" fillId="0" borderId="1" xfId="0" applyBorder="1" applyAlignment="1">
      <alignment horizontal="center" vertical="center"/>
    </xf>
    <xf numFmtId="0" fontId="0" fillId="0" borderId="1" xfId="0" applyBorder="1" applyAlignment="1">
      <alignment horizontal="left" vertical="center"/>
    </xf>
    <xf numFmtId="0" fontId="17" fillId="0" borderId="116" xfId="0" applyFont="1" applyBorder="1"/>
    <xf numFmtId="0" fontId="0" fillId="0" borderId="119" xfId="0" applyBorder="1" applyAlignment="1">
      <alignment horizontal="left" vertical="center"/>
    </xf>
    <xf numFmtId="0" fontId="0" fillId="0" borderId="112" xfId="0" applyBorder="1"/>
    <xf numFmtId="0" fontId="0" fillId="0" borderId="112" xfId="0" applyBorder="1" applyAlignment="1">
      <alignment horizontal="left" vertical="center"/>
    </xf>
    <xf numFmtId="0" fontId="17" fillId="0" borderId="116" xfId="0" applyFont="1" applyBorder="1" applyAlignment="1">
      <alignment vertical="center"/>
    </xf>
    <xf numFmtId="0" fontId="17" fillId="0" borderId="1" xfId="0" applyFont="1" applyBorder="1" applyAlignment="1">
      <alignment horizontal="center"/>
    </xf>
    <xf numFmtId="0" fontId="17" fillId="0" borderId="114" xfId="0" applyFont="1" applyBorder="1" applyAlignment="1">
      <alignment horizontal="center"/>
    </xf>
    <xf numFmtId="0" fontId="0" fillId="0" borderId="114" xfId="0" applyBorder="1" applyAlignment="1">
      <alignment horizontal="center" vertical="center"/>
    </xf>
    <xf numFmtId="0" fontId="17" fillId="0" borderId="111" xfId="0" applyFont="1" applyBorder="1" applyAlignment="1">
      <alignment horizontal="center" vertical="center"/>
    </xf>
    <xf numFmtId="0" fontId="17" fillId="0" borderId="111" xfId="0" applyFont="1" applyBorder="1" applyAlignment="1">
      <alignment horizontal="center"/>
    </xf>
    <xf numFmtId="0" fontId="0" fillId="0" borderId="114" xfId="0" applyBorder="1" applyAlignment="1">
      <alignment vertical="center" wrapText="1"/>
    </xf>
    <xf numFmtId="0" fontId="0" fillId="0" borderId="114" xfId="0" applyBorder="1" applyAlignment="1">
      <alignment horizontal="left" vertical="center" wrapText="1"/>
    </xf>
    <xf numFmtId="0" fontId="0" fillId="0" borderId="114" xfId="0" applyBorder="1" applyAlignment="1">
      <alignment wrapText="1"/>
    </xf>
    <xf numFmtId="0" fontId="0" fillId="0" borderId="117" xfId="0" applyBorder="1" applyAlignment="1">
      <alignment wrapText="1"/>
    </xf>
    <xf numFmtId="0" fontId="0" fillId="0" borderId="118" xfId="0" applyBorder="1" applyAlignment="1">
      <alignment wrapText="1"/>
    </xf>
    <xf numFmtId="0" fontId="0" fillId="0" borderId="118" xfId="0" applyBorder="1" applyAlignment="1">
      <alignment vertical="center" wrapText="1"/>
    </xf>
    <xf numFmtId="0" fontId="17" fillId="0" borderId="114" xfId="0" applyFont="1" applyBorder="1" applyAlignment="1">
      <alignment wrapText="1"/>
    </xf>
    <xf numFmtId="0" fontId="17" fillId="0" borderId="114" xfId="0" applyFont="1" applyBorder="1" applyAlignment="1">
      <alignment horizontal="center" vertical="center"/>
    </xf>
    <xf numFmtId="0" fontId="17" fillId="0" borderId="127" xfId="0" applyFont="1" applyBorder="1" applyAlignment="1">
      <alignment wrapText="1"/>
    </xf>
    <xf numFmtId="0" fontId="0" fillId="0" borderId="127" xfId="0" applyBorder="1" applyAlignment="1">
      <alignment wrapText="1"/>
    </xf>
    <xf numFmtId="0" fontId="0" fillId="0" borderId="128" xfId="0" applyBorder="1" applyAlignment="1">
      <alignment wrapText="1"/>
    </xf>
    <xf numFmtId="0" fontId="0" fillId="0" borderId="129" xfId="0" applyBorder="1" applyAlignment="1">
      <alignment wrapText="1"/>
    </xf>
    <xf numFmtId="0" fontId="0" fillId="0" borderId="120" xfId="0" applyBorder="1" applyAlignment="1">
      <alignment horizontal="center"/>
    </xf>
    <xf numFmtId="0" fontId="0" fillId="0" borderId="119" xfId="0" applyBorder="1" applyAlignment="1">
      <alignment horizontal="center"/>
    </xf>
    <xf numFmtId="0" fontId="0" fillId="0" borderId="126" xfId="0" applyBorder="1" applyAlignment="1">
      <alignment horizontal="center"/>
    </xf>
    <xf numFmtId="0" fontId="0" fillId="2" borderId="111" xfId="0" applyFill="1" applyBorder="1" applyAlignment="1">
      <alignment horizontal="center"/>
    </xf>
    <xf numFmtId="0" fontId="0" fillId="2" borderId="119" xfId="0" applyFill="1" applyBorder="1" applyAlignment="1">
      <alignment horizontal="center"/>
    </xf>
    <xf numFmtId="0" fontId="0" fillId="2" borderId="126" xfId="0" applyFill="1" applyBorder="1" applyAlignment="1">
      <alignment horizontal="center"/>
    </xf>
    <xf numFmtId="0" fontId="0" fillId="2" borderId="115" xfId="0" applyFill="1" applyBorder="1" applyAlignment="1">
      <alignment horizontal="center"/>
    </xf>
    <xf numFmtId="0" fontId="0" fillId="2" borderId="1" xfId="0" applyFill="1" applyBorder="1" applyAlignment="1">
      <alignment horizontal="center"/>
    </xf>
    <xf numFmtId="0" fontId="0" fillId="2" borderId="114" xfId="0" applyFill="1" applyBorder="1" applyAlignment="1">
      <alignment horizontal="center"/>
    </xf>
    <xf numFmtId="0" fontId="0" fillId="2" borderId="116" xfId="0" applyFill="1" applyBorder="1"/>
    <xf numFmtId="0" fontId="0" fillId="2" borderId="120" xfId="0" applyFill="1" applyBorder="1" applyAlignment="1">
      <alignment horizontal="center"/>
    </xf>
    <xf numFmtId="0" fontId="0" fillId="2" borderId="54" xfId="0" applyFill="1" applyBorder="1" applyAlignment="1">
      <alignment horizontal="center"/>
    </xf>
    <xf numFmtId="0" fontId="20" fillId="0" borderId="130" xfId="0" applyFont="1" applyBorder="1"/>
    <xf numFmtId="0" fontId="20" fillId="0" borderId="131" xfId="0" applyFont="1" applyBorder="1"/>
    <xf numFmtId="0" fontId="0" fillId="0" borderId="136" xfId="0" applyBorder="1" applyAlignment="1">
      <alignment horizontal="center" wrapText="1"/>
    </xf>
    <xf numFmtId="0" fontId="0" fillId="0" borderId="137" xfId="0" applyBorder="1" applyAlignment="1">
      <alignment horizontal="center" wrapText="1"/>
    </xf>
    <xf numFmtId="0" fontId="0" fillId="0" borderId="138" xfId="0" applyBorder="1" applyAlignment="1">
      <alignment horizontal="center" wrapText="1"/>
    </xf>
    <xf numFmtId="0" fontId="0" fillId="0" borderId="139" xfId="0" applyBorder="1" applyAlignment="1">
      <alignment horizontal="center" wrapText="1"/>
    </xf>
    <xf numFmtId="0" fontId="0" fillId="0" borderId="121" xfId="0" applyBorder="1" applyAlignment="1">
      <alignment horizontal="left" vertical="center"/>
    </xf>
    <xf numFmtId="0" fontId="0" fillId="0" borderId="125" xfId="0" applyBorder="1" applyAlignment="1">
      <alignment wrapText="1"/>
    </xf>
    <xf numFmtId="0" fontId="0" fillId="0" borderId="126" xfId="0" applyBorder="1" applyAlignment="1">
      <alignment horizontal="left" vertical="center" wrapText="1"/>
    </xf>
    <xf numFmtId="0" fontId="17" fillId="0" borderId="118" xfId="0" applyFont="1" applyBorder="1" applyAlignment="1">
      <alignment wrapText="1"/>
    </xf>
    <xf numFmtId="0" fontId="0" fillId="2" borderId="127" xfId="0" applyFill="1" applyBorder="1" applyAlignment="1">
      <alignment wrapText="1"/>
    </xf>
    <xf numFmtId="0" fontId="17" fillId="0" borderId="117" xfId="0" applyFont="1" applyBorder="1" applyAlignment="1">
      <alignment wrapText="1"/>
    </xf>
    <xf numFmtId="0" fontId="0" fillId="0" borderId="127" xfId="0" applyBorder="1" applyAlignment="1">
      <alignment vertical="center" wrapText="1"/>
    </xf>
    <xf numFmtId="0" fontId="0" fillId="0" borderId="109" xfId="0" applyBorder="1" applyAlignment="1">
      <alignment horizontal="center"/>
    </xf>
    <xf numFmtId="0" fontId="17" fillId="0" borderId="120" xfId="0" applyFont="1" applyBorder="1" applyAlignment="1">
      <alignment horizontal="center"/>
    </xf>
    <xf numFmtId="0" fontId="0" fillId="0" borderId="120" xfId="0" applyBorder="1" applyAlignment="1">
      <alignment horizontal="center" vertical="center"/>
    </xf>
    <xf numFmtId="0" fontId="17" fillId="0" borderId="120" xfId="0" applyFont="1" applyBorder="1" applyAlignment="1">
      <alignment horizontal="center" vertical="center"/>
    </xf>
    <xf numFmtId="0" fontId="0" fillId="0" borderId="110" xfId="0" applyBorder="1" applyAlignment="1">
      <alignment horizontal="center"/>
    </xf>
    <xf numFmtId="0" fontId="17" fillId="0" borderId="119" xfId="0" applyFont="1" applyBorder="1" applyAlignment="1">
      <alignment horizontal="center"/>
    </xf>
    <xf numFmtId="0" fontId="0" fillId="0" borderId="119" xfId="0" applyBorder="1" applyAlignment="1">
      <alignment horizontal="center" vertical="center"/>
    </xf>
    <xf numFmtId="0" fontId="17" fillId="0" borderId="119" xfId="0" applyFont="1" applyBorder="1" applyAlignment="1">
      <alignment horizontal="center" vertical="center"/>
    </xf>
    <xf numFmtId="0" fontId="0" fillId="0" borderId="125" xfId="0" applyBorder="1" applyAlignment="1">
      <alignment horizontal="center"/>
    </xf>
    <xf numFmtId="0" fontId="17" fillId="0" borderId="126" xfId="0" applyFont="1" applyBorder="1" applyAlignment="1">
      <alignment horizontal="center"/>
    </xf>
    <xf numFmtId="0" fontId="0" fillId="0" borderId="126" xfId="0" applyBorder="1" applyAlignment="1">
      <alignment horizontal="center" vertical="center"/>
    </xf>
    <xf numFmtId="0" fontId="17" fillId="0" borderId="126" xfId="0" applyFont="1" applyBorder="1" applyAlignment="1">
      <alignment horizontal="center" vertical="center"/>
    </xf>
    <xf numFmtId="0" fontId="0" fillId="0" borderId="111" xfId="0" applyBorder="1" applyAlignment="1">
      <alignment horizontal="center" vertical="center"/>
    </xf>
    <xf numFmtId="0" fontId="0" fillId="0" borderId="130" xfId="0" applyBorder="1" applyAlignment="1">
      <alignment horizontal="center" wrapText="1"/>
    </xf>
    <xf numFmtId="0" fontId="0" fillId="0" borderId="140" xfId="0" applyBorder="1" applyAlignment="1">
      <alignment horizontal="center" vertical="center"/>
    </xf>
    <xf numFmtId="0" fontId="0" fillId="0" borderId="141" xfId="0" applyBorder="1" applyAlignment="1">
      <alignment horizontal="center" vertical="center"/>
    </xf>
    <xf numFmtId="0" fontId="0" fillId="0" borderId="142" xfId="0" applyBorder="1" applyAlignment="1">
      <alignment horizontal="center" vertical="center"/>
    </xf>
    <xf numFmtId="0" fontId="0" fillId="0" borderId="113" xfId="0" applyBorder="1" applyAlignment="1">
      <alignment horizontal="left" vertical="center"/>
    </xf>
    <xf numFmtId="0" fontId="0" fillId="0" borderId="115" xfId="0" applyBorder="1" applyAlignment="1">
      <alignment horizontal="left" vertical="center"/>
    </xf>
    <xf numFmtId="0" fontId="17" fillId="0" borderId="115" xfId="0" applyFont="1" applyBorder="1"/>
    <xf numFmtId="0" fontId="17" fillId="0" borderId="143" xfId="0" applyFont="1" applyBorder="1"/>
    <xf numFmtId="0" fontId="0" fillId="0" borderId="143" xfId="0" applyBorder="1"/>
    <xf numFmtId="0" fontId="0" fillId="0" borderId="144" xfId="0" applyBorder="1"/>
    <xf numFmtId="0" fontId="0" fillId="2" borderId="143" xfId="0" applyFill="1" applyBorder="1"/>
    <xf numFmtId="0" fontId="0" fillId="2" borderId="145" xfId="0" applyFill="1" applyBorder="1"/>
    <xf numFmtId="0" fontId="0" fillId="2" borderId="146" xfId="0" applyFill="1" applyBorder="1"/>
    <xf numFmtId="0" fontId="0" fillId="2" borderId="147" xfId="0" applyFill="1" applyBorder="1" applyAlignment="1">
      <alignment wrapText="1"/>
    </xf>
    <xf numFmtId="0" fontId="0" fillId="0" borderId="111" xfId="0" applyBorder="1" applyAlignment="1">
      <alignment horizontal="left" vertical="center"/>
    </xf>
    <xf numFmtId="0" fontId="17" fillId="0" borderId="113" xfId="0" applyFont="1" applyBorder="1"/>
    <xf numFmtId="0" fontId="0" fillId="0" borderId="143" xfId="0" applyBorder="1" applyAlignment="1">
      <alignment horizontal="left" vertical="center"/>
    </xf>
    <xf numFmtId="0" fontId="0" fillId="0" borderId="144" xfId="0" applyBorder="1" applyAlignment="1">
      <alignment horizontal="left" vertical="center"/>
    </xf>
    <xf numFmtId="0" fontId="0" fillId="0" borderId="143" xfId="0" applyBorder="1" applyAlignment="1">
      <alignment vertical="center"/>
    </xf>
    <xf numFmtId="0" fontId="0" fillId="0" borderId="129" xfId="0" applyBorder="1" applyAlignment="1">
      <alignment horizontal="left" vertical="center" wrapText="1"/>
    </xf>
    <xf numFmtId="0" fontId="0" fillId="0" borderId="127" xfId="0" applyBorder="1" applyAlignment="1">
      <alignment horizontal="left" vertical="center" wrapText="1"/>
    </xf>
    <xf numFmtId="0" fontId="0" fillId="0" borderId="124" xfId="0" applyBorder="1" applyAlignment="1">
      <alignment horizontal="center"/>
    </xf>
    <xf numFmtId="0" fontId="3" fillId="0" borderId="73" xfId="0" applyFont="1" applyBorder="1" applyAlignment="1">
      <alignment horizontal="left" vertical="center" wrapText="1"/>
    </xf>
    <xf numFmtId="0" fontId="3" fillId="0" borderId="68" xfId="0" applyFont="1" applyBorder="1" applyAlignment="1">
      <alignment horizontal="left" vertical="center" wrapText="1"/>
    </xf>
    <xf numFmtId="0" fontId="3" fillId="0" borderId="74" xfId="0" applyFont="1" applyBorder="1" applyAlignment="1">
      <alignment horizontal="left" vertical="center" wrapText="1"/>
    </xf>
    <xf numFmtId="0" fontId="7" fillId="4" borderId="30" xfId="0" applyFont="1" applyFill="1" applyBorder="1" applyAlignment="1">
      <alignment horizontal="center" vertical="center"/>
    </xf>
    <xf numFmtId="0" fontId="7" fillId="4" borderId="31" xfId="0" applyFont="1" applyFill="1" applyBorder="1" applyAlignment="1">
      <alignment horizontal="center" vertical="center"/>
    </xf>
    <xf numFmtId="0" fontId="7" fillId="4" borderId="32" xfId="0" applyFont="1" applyFill="1" applyBorder="1" applyAlignment="1">
      <alignment horizontal="center" vertical="center"/>
    </xf>
    <xf numFmtId="0" fontId="8" fillId="3" borderId="30" xfId="0" applyFont="1" applyFill="1" applyBorder="1" applyAlignment="1">
      <alignment horizontal="center" vertical="center"/>
    </xf>
    <xf numFmtId="0" fontId="8" fillId="3" borderId="31" xfId="0" applyFont="1" applyFill="1" applyBorder="1" applyAlignment="1">
      <alignment horizontal="center" vertical="center"/>
    </xf>
    <xf numFmtId="0" fontId="8" fillId="3" borderId="32" xfId="0" applyFont="1" applyFill="1" applyBorder="1" applyAlignment="1">
      <alignment horizontal="center" vertical="center"/>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12" fillId="8" borderId="71" xfId="0" applyFont="1" applyFill="1" applyBorder="1" applyAlignment="1" applyProtection="1">
      <alignment horizontal="center" vertical="center"/>
      <protection locked="0"/>
    </xf>
    <xf numFmtId="0" fontId="12" fillId="8" borderId="73" xfId="0" applyFont="1" applyFill="1" applyBorder="1" applyAlignment="1" applyProtection="1">
      <alignment horizontal="center" vertical="center"/>
      <protection locked="0"/>
    </xf>
    <xf numFmtId="0" fontId="10" fillId="2" borderId="43" xfId="0" applyFont="1" applyFill="1" applyBorder="1" applyAlignment="1">
      <alignment horizontal="center" vertical="center" textRotation="90"/>
    </xf>
    <xf numFmtId="0" fontId="10" fillId="2" borderId="44" xfId="0" applyFont="1" applyFill="1" applyBorder="1" applyAlignment="1">
      <alignment horizontal="center" vertical="center" textRotation="90"/>
    </xf>
    <xf numFmtId="0" fontId="10" fillId="2" borderId="45" xfId="0" applyFont="1" applyFill="1" applyBorder="1" applyAlignment="1">
      <alignment horizontal="center" vertical="center" textRotation="90"/>
    </xf>
    <xf numFmtId="0" fontId="3" fillId="2" borderId="2"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6" xfId="0" applyFont="1" applyFill="1" applyBorder="1" applyAlignment="1">
      <alignment horizontal="center" vertical="center"/>
    </xf>
    <xf numFmtId="0" fontId="3" fillId="2" borderId="67" xfId="0" applyFont="1" applyFill="1" applyBorder="1" applyAlignment="1">
      <alignment horizontal="center" vertical="center"/>
    </xf>
    <xf numFmtId="9" fontId="11" fillId="0" borderId="59" xfId="1" applyFont="1" applyBorder="1" applyAlignment="1" applyProtection="1">
      <alignment horizontal="center"/>
      <protection locked="0"/>
    </xf>
    <xf numFmtId="9" fontId="11" fillId="0" borderId="60" xfId="1" applyFont="1" applyBorder="1" applyAlignment="1" applyProtection="1">
      <alignment horizontal="center"/>
      <protection locked="0"/>
    </xf>
    <xf numFmtId="9" fontId="11" fillId="0" borderId="61" xfId="1" applyFont="1" applyBorder="1" applyAlignment="1" applyProtection="1">
      <alignment horizontal="center"/>
      <protection locked="0"/>
    </xf>
    <xf numFmtId="9" fontId="11" fillId="0" borderId="62" xfId="1" applyFont="1" applyBorder="1" applyAlignment="1" applyProtection="1">
      <alignment horizontal="center"/>
      <protection locked="0"/>
    </xf>
    <xf numFmtId="0" fontId="12" fillId="0" borderId="36" xfId="0" applyFont="1" applyBorder="1" applyAlignment="1">
      <alignment horizontal="left" vertical="center"/>
    </xf>
    <xf numFmtId="0" fontId="11" fillId="0" borderId="46" xfId="0" applyFont="1" applyBorder="1" applyAlignment="1">
      <alignment horizontal="left" vertical="center"/>
    </xf>
    <xf numFmtId="9" fontId="11" fillId="0" borderId="63" xfId="1" applyFont="1" applyBorder="1" applyAlignment="1" applyProtection="1">
      <alignment horizontal="center"/>
      <protection locked="0"/>
    </xf>
    <xf numFmtId="9" fontId="11" fillId="0" borderId="64" xfId="1" applyFont="1" applyBorder="1" applyAlignment="1" applyProtection="1">
      <alignment horizontal="center"/>
      <protection locked="0"/>
    </xf>
    <xf numFmtId="0" fontId="3" fillId="0" borderId="39" xfId="0" applyFont="1" applyBorder="1" applyAlignment="1" applyProtection="1">
      <alignment horizontal="center"/>
      <protection locked="0"/>
    </xf>
    <xf numFmtId="0" fontId="3" fillId="0" borderId="47" xfId="0" applyFont="1" applyBorder="1" applyAlignment="1" applyProtection="1">
      <alignment horizontal="center"/>
      <protection locked="0"/>
    </xf>
    <xf numFmtId="0" fontId="9" fillId="0" borderId="46" xfId="0" applyFont="1" applyBorder="1" applyAlignment="1" applyProtection="1">
      <alignment horizontal="left" vertical="center"/>
      <protection locked="0"/>
    </xf>
    <xf numFmtId="0" fontId="9" fillId="0" borderId="42" xfId="0" applyFont="1" applyBorder="1" applyAlignment="1" applyProtection="1">
      <alignment horizontal="left" vertical="center"/>
      <protection locked="0"/>
    </xf>
    <xf numFmtId="0" fontId="9" fillId="0" borderId="48" xfId="0" applyFont="1" applyBorder="1" applyAlignment="1" applyProtection="1">
      <alignment horizontal="left" vertical="center"/>
      <protection locked="0"/>
    </xf>
    <xf numFmtId="0" fontId="4" fillId="0" borderId="39" xfId="0" applyFont="1" applyBorder="1" applyAlignment="1" applyProtection="1">
      <alignment horizontal="left"/>
      <protection locked="0"/>
    </xf>
    <xf numFmtId="0" fontId="4" fillId="0" borderId="50" xfId="0" applyFont="1" applyBorder="1" applyAlignment="1" applyProtection="1">
      <alignment horizontal="left"/>
      <protection locked="0"/>
    </xf>
    <xf numFmtId="0" fontId="4" fillId="0" borderId="40" xfId="0" applyFont="1" applyBorder="1" applyAlignment="1" applyProtection="1">
      <alignment horizontal="left"/>
      <protection locked="0"/>
    </xf>
    <xf numFmtId="0" fontId="3" fillId="0" borderId="71" xfId="0" applyFont="1" applyBorder="1" applyAlignment="1" applyProtection="1">
      <alignment horizontal="left" vertical="center"/>
      <protection locked="0"/>
    </xf>
    <xf numFmtId="0" fontId="3" fillId="0" borderId="77" xfId="0" applyFont="1" applyBorder="1" applyAlignment="1" applyProtection="1">
      <alignment horizontal="left" vertical="center"/>
      <protection locked="0"/>
    </xf>
    <xf numFmtId="0" fontId="3" fillId="0" borderId="72" xfId="0" applyFont="1" applyBorder="1" applyAlignment="1" applyProtection="1">
      <alignment horizontal="left" vertical="center"/>
      <protection locked="0"/>
    </xf>
    <xf numFmtId="0" fontId="3" fillId="0" borderId="73" xfId="0" applyFont="1" applyBorder="1" applyAlignment="1" applyProtection="1">
      <alignment horizontal="left" vertical="center"/>
      <protection locked="0"/>
    </xf>
    <xf numFmtId="0" fontId="3" fillId="0" borderId="68" xfId="0" applyFont="1" applyBorder="1" applyAlignment="1" applyProtection="1">
      <alignment horizontal="left" vertical="center"/>
      <protection locked="0"/>
    </xf>
    <xf numFmtId="0" fontId="3" fillId="0" borderId="74" xfId="0" applyFont="1" applyBorder="1" applyAlignment="1" applyProtection="1">
      <alignment horizontal="left" vertical="center"/>
      <protection locked="0"/>
    </xf>
    <xf numFmtId="0" fontId="11" fillId="0" borderId="108" xfId="0" applyFont="1" applyBorder="1" applyAlignment="1" applyProtection="1">
      <alignment horizontal="left" vertical="top"/>
      <protection locked="0"/>
    </xf>
    <xf numFmtId="0" fontId="11" fillId="0" borderId="81" xfId="0" applyFont="1" applyBorder="1" applyAlignment="1" applyProtection="1">
      <alignment horizontal="left" vertical="top"/>
      <protection locked="0"/>
    </xf>
    <xf numFmtId="0" fontId="3" fillId="0" borderId="71" xfId="0" applyFont="1" applyBorder="1" applyAlignment="1">
      <alignment horizontal="left" vertical="center"/>
    </xf>
    <xf numFmtId="0" fontId="3" fillId="0" borderId="77" xfId="0" applyFont="1" applyBorder="1" applyAlignment="1">
      <alignment horizontal="left" vertical="center"/>
    </xf>
    <xf numFmtId="0" fontId="3" fillId="0" borderId="72" xfId="0" applyFont="1" applyBorder="1" applyAlignment="1">
      <alignment horizontal="left" vertical="center"/>
    </xf>
    <xf numFmtId="166" fontId="11" fillId="0" borderId="57" xfId="3" applyNumberFormat="1" applyFont="1" applyBorder="1" applyAlignment="1" applyProtection="1">
      <alignment horizontal="center" vertical="center"/>
      <protection locked="0"/>
    </xf>
    <xf numFmtId="166" fontId="11" fillId="0" borderId="41" xfId="3" applyNumberFormat="1" applyFont="1" applyBorder="1" applyAlignment="1" applyProtection="1">
      <alignment horizontal="center" vertical="center"/>
      <protection locked="0"/>
    </xf>
    <xf numFmtId="0" fontId="11" fillId="0" borderId="39" xfId="0" applyFont="1" applyBorder="1" applyAlignment="1">
      <alignment horizontal="left" vertical="center"/>
    </xf>
    <xf numFmtId="0" fontId="11" fillId="0" borderId="65" xfId="0" applyFont="1" applyBorder="1" applyAlignment="1">
      <alignment horizontal="left" vertical="center"/>
    </xf>
    <xf numFmtId="166" fontId="11" fillId="0" borderId="58" xfId="3" applyNumberFormat="1" applyFont="1" applyBorder="1" applyAlignment="1" applyProtection="1">
      <alignment horizontal="center" vertical="center"/>
      <protection locked="0"/>
    </xf>
    <xf numFmtId="165" fontId="11" fillId="0" borderId="71" xfId="0" applyNumberFormat="1" applyFont="1" applyBorder="1" applyAlignment="1" applyProtection="1">
      <alignment horizontal="left" vertical="center" wrapText="1"/>
      <protection locked="0"/>
    </xf>
    <xf numFmtId="165" fontId="11" fillId="0" borderId="77" xfId="0" applyNumberFormat="1" applyFont="1" applyBorder="1" applyAlignment="1" applyProtection="1">
      <alignment horizontal="left" vertical="center" wrapText="1"/>
      <protection locked="0"/>
    </xf>
    <xf numFmtId="165" fontId="11" fillId="0" borderId="72" xfId="0" applyNumberFormat="1" applyFont="1" applyBorder="1" applyAlignment="1" applyProtection="1">
      <alignment horizontal="left" vertical="center" wrapText="1"/>
      <protection locked="0"/>
    </xf>
    <xf numFmtId="0" fontId="11" fillId="0" borderId="75" xfId="0" applyFont="1" applyBorder="1" applyAlignment="1" applyProtection="1">
      <alignment horizontal="left" vertical="center"/>
      <protection locked="0"/>
    </xf>
    <xf numFmtId="0" fontId="11" fillId="0" borderId="78" xfId="0" applyFont="1" applyBorder="1" applyAlignment="1" applyProtection="1">
      <alignment horizontal="left" vertical="center"/>
      <protection locked="0"/>
    </xf>
    <xf numFmtId="0" fontId="11" fillId="0" borderId="76" xfId="0" applyFont="1" applyBorder="1" applyAlignment="1" applyProtection="1">
      <alignment horizontal="left" vertical="center"/>
      <protection locked="0"/>
    </xf>
    <xf numFmtId="9" fontId="11" fillId="0" borderId="69" xfId="1" applyFont="1" applyBorder="1" applyAlignment="1" applyProtection="1">
      <alignment horizontal="center"/>
      <protection locked="0"/>
    </xf>
    <xf numFmtId="9" fontId="11" fillId="0" borderId="70" xfId="1" applyFont="1" applyBorder="1" applyAlignment="1" applyProtection="1">
      <alignment horizontal="center"/>
      <protection locked="0"/>
    </xf>
    <xf numFmtId="0" fontId="3" fillId="2" borderId="123"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6" xfId="0" applyFont="1" applyFill="1" applyBorder="1" applyAlignment="1">
      <alignment horizontal="center" vertical="center"/>
    </xf>
    <xf numFmtId="9" fontId="11" fillId="0" borderId="68" xfId="1" applyFont="1" applyBorder="1" applyAlignment="1" applyProtection="1">
      <alignment horizontal="center" vertical="center"/>
      <protection locked="0"/>
    </xf>
    <xf numFmtId="9" fontId="11" fillId="0" borderId="74" xfId="1" applyFont="1" applyBorder="1" applyAlignment="1" applyProtection="1">
      <alignment horizontal="center" vertical="center"/>
      <protection locked="0"/>
    </xf>
    <xf numFmtId="0" fontId="11" fillId="0" borderId="78" xfId="0" applyFont="1" applyBorder="1" applyAlignment="1" applyProtection="1">
      <alignment horizontal="center" vertical="center"/>
      <protection locked="0"/>
    </xf>
    <xf numFmtId="0" fontId="11" fillId="0" borderId="76" xfId="0" applyFont="1" applyBorder="1" applyAlignment="1" applyProtection="1">
      <alignment horizontal="center" vertical="center"/>
      <protection locked="0"/>
    </xf>
    <xf numFmtId="0" fontId="8" fillId="3" borderId="5"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6" xfId="0" applyFont="1" applyFill="1" applyBorder="1" applyAlignment="1">
      <alignment horizontal="center" vertical="center"/>
    </xf>
    <xf numFmtId="0" fontId="3" fillId="2" borderId="5"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0" fillId="0" borderId="71" xfId="0" applyBorder="1" applyAlignment="1" applyProtection="1">
      <alignment horizontal="left" vertical="center"/>
      <protection locked="0"/>
    </xf>
    <xf numFmtId="0" fontId="0" fillId="0" borderId="77" xfId="0" applyBorder="1" applyAlignment="1" applyProtection="1">
      <alignment horizontal="left" vertical="center"/>
      <protection locked="0"/>
    </xf>
    <xf numFmtId="0" fontId="0" fillId="0" borderId="72" xfId="0" applyBorder="1" applyAlignment="1" applyProtection="1">
      <alignment horizontal="left" vertical="center"/>
      <protection locked="0"/>
    </xf>
    <xf numFmtId="0" fontId="0" fillId="0" borderId="73" xfId="0" applyBorder="1" applyAlignment="1" applyProtection="1">
      <alignment horizontal="left" vertical="center"/>
      <protection locked="0"/>
    </xf>
    <xf numFmtId="0" fontId="0" fillId="0" borderId="68" xfId="0" applyBorder="1" applyAlignment="1" applyProtection="1">
      <alignment horizontal="left" vertical="center"/>
      <protection locked="0"/>
    </xf>
    <xf numFmtId="0" fontId="0" fillId="0" borderId="74" xfId="0" applyBorder="1" applyAlignment="1" applyProtection="1">
      <alignment horizontal="left" vertical="center"/>
      <protection locked="0"/>
    </xf>
    <xf numFmtId="0" fontId="0" fillId="0" borderId="0" xfId="0" applyAlignment="1">
      <alignment horizontal="center"/>
    </xf>
    <xf numFmtId="0" fontId="3" fillId="2" borderId="22"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23" xfId="0" applyFont="1" applyFill="1" applyBorder="1" applyAlignment="1">
      <alignment horizontal="center" vertical="center"/>
    </xf>
    <xf numFmtId="0" fontId="3" fillId="2" borderId="26" xfId="0" applyFont="1" applyFill="1" applyBorder="1" applyAlignment="1">
      <alignment horizontal="center" vertical="center"/>
    </xf>
    <xf numFmtId="0" fontId="3" fillId="2" borderId="55" xfId="0" applyFont="1" applyFill="1" applyBorder="1" applyAlignment="1">
      <alignment horizontal="center" vertical="center"/>
    </xf>
    <xf numFmtId="0" fontId="3" fillId="2" borderId="27" xfId="0" applyFont="1" applyFill="1" applyBorder="1" applyAlignment="1">
      <alignment horizontal="center" vertical="center"/>
    </xf>
    <xf numFmtId="0" fontId="9" fillId="0" borderId="33" xfId="0" applyFont="1" applyBorder="1" applyAlignment="1" applyProtection="1">
      <alignment horizontal="left"/>
      <protection locked="0"/>
    </xf>
    <xf numFmtId="0" fontId="9" fillId="0" borderId="41" xfId="0" applyFont="1" applyBorder="1" applyAlignment="1" applyProtection="1">
      <alignment horizontal="left"/>
      <protection locked="0"/>
    </xf>
    <xf numFmtId="0" fontId="9" fillId="0" borderId="38" xfId="0" applyFont="1" applyBorder="1" applyAlignment="1" applyProtection="1">
      <alignment horizontal="left"/>
      <protection locked="0"/>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8" fillId="3" borderId="22" xfId="0" applyFont="1" applyFill="1" applyBorder="1" applyAlignment="1">
      <alignment horizontal="center" vertical="center"/>
    </xf>
    <xf numFmtId="0" fontId="8" fillId="3" borderId="34" xfId="0" applyFont="1" applyFill="1" applyBorder="1" applyAlignment="1">
      <alignment horizontal="center" vertical="center"/>
    </xf>
    <xf numFmtId="0" fontId="8" fillId="3" borderId="23" xfId="0" applyFont="1" applyFill="1" applyBorder="1" applyAlignment="1">
      <alignment horizontal="center" vertical="center"/>
    </xf>
    <xf numFmtId="166" fontId="11" fillId="0" borderId="56" xfId="3" applyNumberFormat="1" applyFont="1" applyBorder="1" applyAlignment="1" applyProtection="1">
      <alignment horizontal="center" vertical="center"/>
      <protection locked="0"/>
    </xf>
    <xf numFmtId="0" fontId="12" fillId="0" borderId="35" xfId="0" applyFont="1" applyBorder="1" applyAlignment="1">
      <alignment horizontal="left" vertical="center"/>
    </xf>
    <xf numFmtId="0" fontId="3" fillId="0" borderId="46" xfId="0" applyFont="1" applyBorder="1" applyAlignment="1" applyProtection="1">
      <alignment horizontal="center"/>
      <protection locked="0"/>
    </xf>
    <xf numFmtId="0" fontId="3" fillId="0" borderId="48" xfId="0" applyFont="1" applyBorder="1" applyAlignment="1" applyProtection="1">
      <alignment horizontal="center"/>
      <protection locked="0"/>
    </xf>
    <xf numFmtId="0" fontId="21" fillId="11" borderId="65" xfId="0" applyFont="1" applyFill="1" applyBorder="1" applyAlignment="1" applyProtection="1">
      <alignment horizontal="left" wrapText="1"/>
      <protection locked="0"/>
    </xf>
    <xf numFmtId="0" fontId="4" fillId="0" borderId="49" xfId="0" applyFont="1" applyBorder="1" applyAlignment="1" applyProtection="1">
      <alignment horizontal="left"/>
      <protection locked="0"/>
    </xf>
    <xf numFmtId="0" fontId="3" fillId="2" borderId="79" xfId="0" applyFont="1" applyFill="1" applyBorder="1" applyAlignment="1">
      <alignment horizontal="center" vertical="center"/>
    </xf>
    <xf numFmtId="0" fontId="3" fillId="2" borderId="80" xfId="0" applyFont="1" applyFill="1" applyBorder="1" applyAlignment="1">
      <alignment horizontal="center" vertical="center"/>
    </xf>
    <xf numFmtId="0" fontId="3" fillId="2" borderId="104" xfId="0" applyFont="1" applyFill="1" applyBorder="1" applyAlignment="1">
      <alignment horizontal="center" vertical="center"/>
    </xf>
    <xf numFmtId="0" fontId="0" fillId="0" borderId="98" xfId="0" applyBorder="1" applyAlignment="1">
      <alignment horizontal="center"/>
    </xf>
    <xf numFmtId="0" fontId="8" fillId="3" borderId="98" xfId="0" applyFont="1" applyFill="1" applyBorder="1" applyAlignment="1">
      <alignment horizontal="center" vertical="center"/>
    </xf>
    <xf numFmtId="0" fontId="8" fillId="3" borderId="0" xfId="0" applyFont="1" applyFill="1" applyAlignment="1">
      <alignment horizontal="center" vertical="center"/>
    </xf>
    <xf numFmtId="0" fontId="11" fillId="0" borderId="93" xfId="0" applyFont="1" applyBorder="1" applyAlignment="1" applyProtection="1">
      <alignment horizontal="center" vertical="top"/>
      <protection locked="0"/>
    </xf>
    <xf numFmtId="0" fontId="11" fillId="0" borderId="94" xfId="0" applyFont="1" applyBorder="1" applyAlignment="1" applyProtection="1">
      <alignment horizontal="center" vertical="top"/>
      <protection locked="0"/>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xf>
    <xf numFmtId="0" fontId="3" fillId="2" borderId="97" xfId="0" applyFont="1" applyFill="1" applyBorder="1" applyAlignment="1">
      <alignment horizontal="center" vertical="center" wrapText="1"/>
    </xf>
    <xf numFmtId="0" fontId="3" fillId="2" borderId="12" xfId="0" applyFont="1" applyFill="1" applyBorder="1" applyAlignment="1">
      <alignment horizontal="center" vertical="center" wrapText="1"/>
    </xf>
    <xf numFmtId="14" fontId="11" fillId="0" borderId="73" xfId="0" applyNumberFormat="1" applyFont="1" applyBorder="1" applyAlignment="1" applyProtection="1">
      <alignment horizontal="left" vertical="top"/>
      <protection locked="0"/>
    </xf>
    <xf numFmtId="14" fontId="11" fillId="0" borderId="68" xfId="0" applyNumberFormat="1" applyFont="1" applyBorder="1" applyAlignment="1" applyProtection="1">
      <alignment horizontal="left" vertical="top"/>
      <protection locked="0"/>
    </xf>
    <xf numFmtId="14" fontId="11" fillId="0" borderId="74" xfId="0" applyNumberFormat="1" applyFont="1" applyBorder="1" applyAlignment="1" applyProtection="1">
      <alignment horizontal="left" vertical="top"/>
      <protection locked="0"/>
    </xf>
    <xf numFmtId="0" fontId="11" fillId="0" borderId="42" xfId="0" applyFont="1" applyBorder="1" applyAlignment="1" applyProtection="1">
      <alignment horizontal="left" vertical="top" wrapText="1"/>
      <protection locked="0"/>
    </xf>
    <xf numFmtId="0" fontId="11" fillId="0" borderId="61" xfId="0" applyFont="1" applyBorder="1" applyAlignment="1" applyProtection="1">
      <alignment horizontal="left" vertical="top" wrapText="1"/>
      <protection locked="0"/>
    </xf>
    <xf numFmtId="0" fontId="0" fillId="0" borderId="107" xfId="0" applyBorder="1" applyAlignment="1" applyProtection="1">
      <alignment horizontal="left" vertical="center"/>
      <protection locked="0"/>
    </xf>
    <xf numFmtId="0" fontId="3" fillId="2" borderId="2" xfId="0" applyFont="1" applyFill="1" applyBorder="1" applyAlignment="1">
      <alignment horizontal="center" vertical="center"/>
    </xf>
    <xf numFmtId="0" fontId="3" fillId="2" borderId="10" xfId="0" applyFont="1" applyFill="1" applyBorder="1" applyAlignment="1">
      <alignment horizontal="center" vertical="center"/>
    </xf>
    <xf numFmtId="9" fontId="11" fillId="0" borderId="77" xfId="1" applyFont="1" applyBorder="1" applyAlignment="1" applyProtection="1">
      <alignment horizontal="center" vertical="center"/>
      <protection locked="0"/>
    </xf>
    <xf numFmtId="9" fontId="11" fillId="0" borderId="72" xfId="1" applyFont="1" applyBorder="1" applyAlignment="1" applyProtection="1">
      <alignment horizontal="center" vertical="center"/>
      <protection locked="0"/>
    </xf>
    <xf numFmtId="0" fontId="0" fillId="0" borderId="83" xfId="0" applyBorder="1" applyAlignment="1" applyProtection="1">
      <alignment horizontal="left" vertical="center"/>
      <protection locked="0"/>
    </xf>
    <xf numFmtId="0" fontId="3" fillId="0" borderId="75" xfId="0" applyFont="1" applyBorder="1" applyAlignment="1">
      <alignment horizontal="left" vertical="center"/>
    </xf>
    <xf numFmtId="0" fontId="3" fillId="0" borderId="78" xfId="0" applyFont="1" applyBorder="1" applyAlignment="1">
      <alignment horizontal="left" vertical="center"/>
    </xf>
    <xf numFmtId="0" fontId="3" fillId="0" borderId="76" xfId="0" applyFont="1" applyBorder="1" applyAlignment="1">
      <alignment horizontal="left" vertical="center"/>
    </xf>
    <xf numFmtId="0" fontId="11" fillId="0" borderId="63" xfId="0" applyFont="1" applyBorder="1" applyAlignment="1" applyProtection="1">
      <alignment horizontal="left" vertical="top" wrapText="1"/>
      <protection locked="0"/>
    </xf>
    <xf numFmtId="0" fontId="11" fillId="0" borderId="106" xfId="0" applyFont="1" applyBorder="1" applyAlignment="1" applyProtection="1">
      <alignment horizontal="left" vertical="top" wrapText="1"/>
      <protection locked="0"/>
    </xf>
    <xf numFmtId="0" fontId="11" fillId="0" borderId="84" xfId="0" applyFont="1" applyBorder="1" applyAlignment="1" applyProtection="1">
      <alignment horizontal="left" vertical="top" wrapText="1"/>
      <protection locked="0"/>
    </xf>
    <xf numFmtId="0" fontId="12" fillId="0" borderId="37" xfId="0" applyFont="1" applyBorder="1" applyAlignment="1">
      <alignment horizontal="left" vertical="center"/>
    </xf>
    <xf numFmtId="0" fontId="11" fillId="0" borderId="77" xfId="0" applyFont="1" applyBorder="1" applyAlignment="1" applyProtection="1">
      <alignment horizontal="center" vertical="center"/>
      <protection locked="0"/>
    </xf>
    <xf numFmtId="0" fontId="11" fillId="0" borderId="72" xfId="0" applyFont="1" applyBorder="1" applyAlignment="1" applyProtection="1">
      <alignment horizontal="center" vertical="center"/>
      <protection locked="0"/>
    </xf>
    <xf numFmtId="9" fontId="11" fillId="0" borderId="78" xfId="1" applyFont="1" applyBorder="1" applyAlignment="1" applyProtection="1">
      <alignment horizontal="center" vertical="center"/>
      <protection locked="0"/>
    </xf>
    <xf numFmtId="9" fontId="11" fillId="0" borderId="76" xfId="1" applyFont="1" applyBorder="1" applyAlignment="1" applyProtection="1">
      <alignment horizontal="center" vertical="center"/>
      <protection locked="0"/>
    </xf>
    <xf numFmtId="0" fontId="11" fillId="0" borderId="68" xfId="0" applyFont="1" applyBorder="1" applyAlignment="1" applyProtection="1">
      <alignment horizontal="center" vertical="center"/>
      <protection locked="0"/>
    </xf>
    <xf numFmtId="0" fontId="11" fillId="0" borderId="74" xfId="0" applyFont="1" applyBorder="1" applyAlignment="1" applyProtection="1">
      <alignment horizontal="center" vertical="center"/>
      <protection locked="0"/>
    </xf>
    <xf numFmtId="0" fontId="3" fillId="0" borderId="75" xfId="0" applyFont="1" applyBorder="1" applyAlignment="1" applyProtection="1">
      <alignment horizontal="left" vertical="center"/>
      <protection locked="0"/>
    </xf>
    <xf numFmtId="0" fontId="3" fillId="0" borderId="78" xfId="0" applyFont="1" applyBorder="1" applyAlignment="1" applyProtection="1">
      <alignment horizontal="left" vertical="center"/>
      <protection locked="0"/>
    </xf>
    <xf numFmtId="0" fontId="3" fillId="0" borderId="76" xfId="0" applyFont="1" applyBorder="1" applyAlignment="1" applyProtection="1">
      <alignment horizontal="left" vertical="center"/>
      <protection locked="0"/>
    </xf>
    <xf numFmtId="0" fontId="11" fillId="0" borderId="73" xfId="0" applyFont="1" applyBorder="1" applyAlignment="1" applyProtection="1">
      <alignment horizontal="left" vertical="center"/>
      <protection locked="0"/>
    </xf>
    <xf numFmtId="0" fontId="11" fillId="0" borderId="68" xfId="0" applyFont="1" applyBorder="1" applyAlignment="1" applyProtection="1">
      <alignment horizontal="left" vertical="center"/>
      <protection locked="0"/>
    </xf>
    <xf numFmtId="0" fontId="11" fillId="0" borderId="74" xfId="0" applyFont="1" applyBorder="1" applyAlignment="1" applyProtection="1">
      <alignment horizontal="left" vertical="center"/>
      <protection locked="0"/>
    </xf>
    <xf numFmtId="0" fontId="11" fillId="0" borderId="79" xfId="0" applyFont="1" applyBorder="1" applyAlignment="1" applyProtection="1">
      <alignment horizontal="left" vertical="center"/>
      <protection locked="0"/>
    </xf>
    <xf numFmtId="0" fontId="11" fillId="0" borderId="80" xfId="0" applyFont="1" applyBorder="1" applyAlignment="1" applyProtection="1">
      <alignment horizontal="left" vertical="center"/>
      <protection locked="0"/>
    </xf>
    <xf numFmtId="0" fontId="11" fillId="0" borderId="82" xfId="0" applyFont="1" applyBorder="1" applyAlignment="1" applyProtection="1">
      <alignment horizontal="left" vertical="center"/>
      <protection locked="0"/>
    </xf>
    <xf numFmtId="14" fontId="11" fillId="0" borderId="75" xfId="0" applyNumberFormat="1" applyFont="1" applyBorder="1" applyAlignment="1" applyProtection="1">
      <alignment horizontal="left" vertical="top"/>
      <protection locked="0"/>
    </xf>
    <xf numFmtId="14" fontId="11" fillId="0" borderId="78" xfId="0" applyNumberFormat="1" applyFont="1" applyBorder="1" applyAlignment="1" applyProtection="1">
      <alignment horizontal="left" vertical="top"/>
      <protection locked="0"/>
    </xf>
    <xf numFmtId="14" fontId="11" fillId="0" borderId="76" xfId="0" applyNumberFormat="1" applyFont="1" applyBorder="1" applyAlignment="1" applyProtection="1">
      <alignment horizontal="left" vertical="top"/>
      <protection locked="0"/>
    </xf>
    <xf numFmtId="0" fontId="3" fillId="2" borderId="9" xfId="0" applyFont="1" applyFill="1" applyBorder="1" applyAlignment="1">
      <alignment horizontal="center" vertical="center"/>
    </xf>
    <xf numFmtId="0" fontId="3" fillId="2" borderId="5" xfId="0" applyFont="1" applyFill="1" applyBorder="1" applyAlignment="1">
      <alignment horizontal="center" vertical="top"/>
    </xf>
    <xf numFmtId="0" fontId="3" fillId="2" borderId="6" xfId="0" applyFont="1" applyFill="1" applyBorder="1" applyAlignment="1">
      <alignment horizontal="center" vertical="top"/>
    </xf>
    <xf numFmtId="0" fontId="3" fillId="2" borderId="2" xfId="0" applyFont="1" applyFill="1" applyBorder="1" applyAlignment="1">
      <alignment horizontal="center"/>
    </xf>
    <xf numFmtId="0" fontId="3" fillId="2" borderId="9" xfId="0" applyFont="1" applyFill="1" applyBorder="1" applyAlignment="1">
      <alignment horizontal="center"/>
    </xf>
    <xf numFmtId="0" fontId="3" fillId="2" borderId="10" xfId="0" applyFont="1" applyFill="1" applyBorder="1" applyAlignment="1">
      <alignment horizontal="center"/>
    </xf>
    <xf numFmtId="14" fontId="22" fillId="0" borderId="71" xfId="0" applyNumberFormat="1" applyFont="1" applyBorder="1" applyAlignment="1" applyProtection="1">
      <alignment horizontal="left" vertical="top"/>
      <protection locked="0"/>
    </xf>
    <xf numFmtId="14" fontId="11" fillId="0" borderId="77" xfId="0" applyNumberFormat="1" applyFont="1" applyBorder="1" applyAlignment="1" applyProtection="1">
      <alignment horizontal="left" vertical="top"/>
      <protection locked="0"/>
    </xf>
    <xf numFmtId="14" fontId="11" fillId="0" borderId="72" xfId="0" applyNumberFormat="1" applyFont="1" applyBorder="1" applyAlignment="1" applyProtection="1">
      <alignment horizontal="left" vertical="top"/>
      <protection locked="0"/>
    </xf>
    <xf numFmtId="0" fontId="11" fillId="0" borderId="93" xfId="0" applyFont="1" applyBorder="1" applyAlignment="1" applyProtection="1">
      <alignment horizontal="left" vertical="top"/>
      <protection locked="0"/>
    </xf>
    <xf numFmtId="0" fontId="11" fillId="0" borderId="94" xfId="0" applyFont="1" applyBorder="1" applyAlignment="1" applyProtection="1">
      <alignment horizontal="left" vertical="top"/>
      <protection locked="0"/>
    </xf>
    <xf numFmtId="0" fontId="11" fillId="0" borderId="95" xfId="0" applyFont="1" applyBorder="1" applyAlignment="1" applyProtection="1">
      <alignment horizontal="left" vertical="top"/>
      <protection locked="0"/>
    </xf>
    <xf numFmtId="0" fontId="11" fillId="0" borderId="96" xfId="0" applyFont="1" applyBorder="1" applyAlignment="1" applyProtection="1">
      <alignment horizontal="left" vertical="top"/>
      <protection locked="0"/>
    </xf>
    <xf numFmtId="0" fontId="12" fillId="8" borderId="75" xfId="0" applyFont="1" applyFill="1" applyBorder="1" applyAlignment="1" applyProtection="1">
      <alignment horizontal="center" vertical="center"/>
      <protection locked="0"/>
    </xf>
    <xf numFmtId="0" fontId="11" fillId="0" borderId="107" xfId="0" applyFont="1" applyBorder="1" applyAlignment="1" applyProtection="1">
      <alignment horizontal="left" vertical="top"/>
      <protection locked="0"/>
    </xf>
    <xf numFmtId="0" fontId="11" fillId="0" borderId="83" xfId="0" applyFont="1" applyBorder="1" applyAlignment="1" applyProtection="1">
      <alignment horizontal="left" vertical="top"/>
      <protection locked="0"/>
    </xf>
    <xf numFmtId="0" fontId="0" fillId="0" borderId="108" xfId="0" applyBorder="1" applyAlignment="1" applyProtection="1">
      <alignment horizontal="left" vertical="center"/>
      <protection locked="0"/>
    </xf>
    <xf numFmtId="0" fontId="0" fillId="0" borderId="75" xfId="0" applyBorder="1" applyAlignment="1" applyProtection="1">
      <alignment horizontal="left" vertical="center"/>
      <protection locked="0"/>
    </xf>
    <xf numFmtId="0" fontId="0" fillId="0" borderId="78" xfId="0" applyBorder="1" applyAlignment="1" applyProtection="1">
      <alignment horizontal="left" vertical="center"/>
      <protection locked="0"/>
    </xf>
    <xf numFmtId="0" fontId="0" fillId="0" borderId="76" xfId="0" applyBorder="1" applyAlignment="1" applyProtection="1">
      <alignment horizontal="left" vertical="center"/>
      <protection locked="0"/>
    </xf>
    <xf numFmtId="0" fontId="0" fillId="0" borderId="122" xfId="0" applyBorder="1" applyAlignment="1" applyProtection="1">
      <alignment horizontal="left" vertical="center"/>
      <protection locked="0"/>
    </xf>
    <xf numFmtId="0" fontId="0" fillId="0" borderId="81" xfId="0" applyBorder="1" applyAlignment="1" applyProtection="1">
      <alignment horizontal="left" vertical="center"/>
      <protection locked="0"/>
    </xf>
    <xf numFmtId="0" fontId="0" fillId="0" borderId="103" xfId="0" applyBorder="1" applyAlignment="1" applyProtection="1">
      <alignment horizontal="left" vertical="center"/>
      <protection locked="0"/>
    </xf>
    <xf numFmtId="0" fontId="6" fillId="3" borderId="15" xfId="0" applyFont="1" applyFill="1" applyBorder="1" applyAlignment="1">
      <alignment horizontal="center" vertical="center"/>
    </xf>
    <xf numFmtId="0" fontId="6" fillId="3" borderId="16" xfId="0" applyFont="1" applyFill="1" applyBorder="1" applyAlignment="1">
      <alignment horizontal="center" vertical="center"/>
    </xf>
    <xf numFmtId="0" fontId="13" fillId="3" borderId="17" xfId="0" applyFont="1" applyFill="1" applyBorder="1" applyAlignment="1">
      <alignment horizontal="center" vertical="center"/>
    </xf>
    <xf numFmtId="0" fontId="13" fillId="3" borderId="18" xfId="0" applyFont="1" applyFill="1" applyBorder="1" applyAlignment="1">
      <alignment horizontal="center" vertical="center"/>
    </xf>
    <xf numFmtId="0" fontId="2" fillId="4" borderId="20" xfId="0" applyFont="1" applyFill="1" applyBorder="1" applyAlignment="1">
      <alignment horizontal="right" vertical="center"/>
    </xf>
    <xf numFmtId="0" fontId="2" fillId="4" borderId="20" xfId="0" applyFont="1" applyFill="1" applyBorder="1" applyAlignment="1">
      <alignment horizontal="left" vertical="center"/>
    </xf>
    <xf numFmtId="0" fontId="20" fillId="0" borderId="132" xfId="0" applyFont="1" applyBorder="1" applyAlignment="1">
      <alignment horizontal="center"/>
    </xf>
    <xf numFmtId="0" fontId="20" fillId="0" borderId="133" xfId="0" applyFont="1" applyBorder="1" applyAlignment="1">
      <alignment horizontal="center"/>
    </xf>
    <xf numFmtId="0" fontId="20" fillId="0" borderId="134" xfId="0" applyFont="1" applyBorder="1" applyAlignment="1">
      <alignment horizontal="center"/>
    </xf>
    <xf numFmtId="0" fontId="20" fillId="0" borderId="135" xfId="0" applyFont="1" applyBorder="1" applyAlignment="1">
      <alignment horizontal="center"/>
    </xf>
    <xf numFmtId="0" fontId="18" fillId="0" borderId="0" xfId="0" applyFont="1" applyAlignment="1">
      <alignment horizontal="center"/>
    </xf>
    <xf numFmtId="0" fontId="19" fillId="0" borderId="0" xfId="0" applyFont="1" applyAlignment="1">
      <alignment horizontal="center"/>
    </xf>
    <xf numFmtId="14" fontId="11" fillId="0" borderId="84" xfId="0" applyNumberFormat="1" applyFont="1" applyBorder="1" applyAlignment="1" applyProtection="1">
      <alignment horizontal="left" vertical="top" wrapText="1"/>
      <protection locked="0"/>
    </xf>
  </cellXfs>
  <cellStyles count="4">
    <cellStyle name="Millares" xfId="3" builtinId="3"/>
    <cellStyle name="Normal" xfId="0" builtinId="0"/>
    <cellStyle name="Normal 2" xfId="2" xr:uid="{BBCFD08A-416E-4DD4-B5A3-140D3FD82BD1}"/>
    <cellStyle name="Porcentaje" xfId="1" builtinId="5"/>
  </cellStyles>
  <dxfs count="32">
    <dxf>
      <alignment horizontal="center" vertical="bottom" textRotation="0" wrapText="0" indent="0" justifyLastLine="0" shrinkToFit="0" readingOrder="0"/>
      <border diagonalUp="0" diagonalDown="0">
        <left style="thin">
          <color indexed="64"/>
        </left>
        <right style="medium">
          <color indexed="64"/>
        </right>
        <top style="thin">
          <color indexed="64"/>
        </top>
        <bottom/>
        <vertical/>
        <horizontal/>
      </border>
    </dxf>
    <dxf>
      <alignment horizontal="center" vertical="bottom" textRotation="0" wrapText="0" indent="0" justifyLastLine="0" shrinkToFit="0" readingOrder="0"/>
      <border diagonalUp="0" diagonalDown="0">
        <left style="medium">
          <color indexed="64"/>
        </left>
        <right style="thin">
          <color indexed="64"/>
        </right>
        <top style="thin">
          <color indexed="64"/>
        </top>
        <bottom/>
        <vertical/>
        <horizontal/>
      </border>
    </dxf>
    <dxf>
      <alignment horizontal="center" vertical="bottom" textRotation="0" wrapText="0" indent="0" justifyLastLine="0" shrinkToFit="0" readingOrder="0"/>
      <border diagonalUp="0" diagonalDown="0">
        <left style="thin">
          <color indexed="64"/>
        </left>
        <right style="medium">
          <color indexed="64"/>
        </right>
        <top style="thin">
          <color indexed="64"/>
        </top>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bottom" textRotation="0" wrapText="0" indent="0" justifyLastLine="0" shrinkToFit="0" readingOrder="0"/>
      <border diagonalUp="0" diagonalDown="0">
        <left style="medium">
          <color indexed="64"/>
        </left>
        <right style="thin">
          <color indexed="64"/>
        </right>
        <top style="thin">
          <color indexed="64"/>
        </top>
        <bottom/>
        <vertical/>
        <horizontal/>
      </border>
    </dxf>
    <dxf>
      <alignment horizontal="center" vertical="bottom" textRotation="0" wrapText="0" indent="0" justifyLastLine="0" shrinkToFit="0" readingOrder="0"/>
      <border diagonalUp="0" diagonalDown="0">
        <left style="thin">
          <color indexed="64"/>
        </left>
        <right style="medium">
          <color indexed="64"/>
        </right>
        <top style="thin">
          <color indexed="64"/>
        </top>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bottom" textRotation="0" wrapText="0" indent="0" justifyLastLine="0" shrinkToFit="0" readingOrder="0"/>
      <border diagonalUp="0" diagonalDown="0">
        <left/>
        <right style="thin">
          <color indexed="64"/>
        </right>
        <top style="thin">
          <color indexed="64"/>
        </top>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medium">
          <color indexed="64"/>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vertical/>
        <horizontal style="thin">
          <color indexed="64"/>
        </horizontal>
      </border>
    </dxf>
    <dxf>
      <border>
        <bottom style="medium">
          <color indexed="64"/>
        </bottom>
      </border>
    </dxf>
    <dxf>
      <border outline="0">
        <top style="thin">
          <color indexed="64"/>
        </top>
        <bottom style="thin">
          <color rgb="FF000000"/>
        </bottom>
      </border>
    </dxf>
    <dxf>
      <alignment horizontal="center" vertical="bottom" textRotation="0" wrapText="1" indent="0" justifyLastLine="0" shrinkToFit="0" readingOrder="0"/>
    </dxf>
    <dxf>
      <font>
        <b val="0"/>
        <i val="0"/>
        <strike val="0"/>
        <condense val="0"/>
        <extend val="0"/>
        <outline val="0"/>
        <shadow val="0"/>
        <u val="none"/>
        <vertAlign val="baseline"/>
        <sz val="11"/>
        <color rgb="FF1F497D"/>
        <name val="Calibri"/>
        <family val="2"/>
        <scheme val="none"/>
      </font>
      <alignment horizontal="general" vertical="center" textRotation="0" wrapText="0" indent="0" justifyLastLine="0" shrinkToFit="0" readingOrder="0"/>
      <border diagonalUp="0" diagonalDown="0">
        <left style="medium">
          <color rgb="FFAAAAAA"/>
        </left>
        <right style="medium">
          <color rgb="FFAAAAAA"/>
        </right>
        <top/>
        <bottom style="medium">
          <color rgb="FFAAAAAA"/>
        </bottom>
        <vertical/>
        <horizontal/>
      </border>
    </dxf>
    <dxf>
      <border outline="0">
        <bottom style="medium">
          <color rgb="FFAAAAAA"/>
        </bottom>
      </border>
    </dxf>
    <dxf>
      <font>
        <b val="0"/>
        <i val="0"/>
        <strike val="0"/>
        <condense val="0"/>
        <extend val="0"/>
        <outline val="0"/>
        <shadow val="0"/>
        <u val="none"/>
        <vertAlign val="baseline"/>
        <sz val="11"/>
        <color rgb="FF1F497D"/>
        <name val="Calibri"/>
        <family val="2"/>
        <scheme val="none"/>
      </font>
      <alignment horizontal="general" vertical="center"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0" indent="0" justifyLastLine="0" shrinkToFit="0" readingOrder="0"/>
    </dxf>
    <dxf>
      <numFmt numFmtId="30" formatCode="@"/>
      <fill>
        <patternFill patternType="solid">
          <bgColor theme="4"/>
        </patternFill>
      </fill>
      <border>
        <left/>
        <right/>
        <top style="thin">
          <color theme="0"/>
        </top>
        <bottom style="thin">
          <color theme="0"/>
        </bottom>
      </border>
    </dxf>
    <dxf>
      <numFmt numFmtId="30" formatCode="@"/>
      <fill>
        <patternFill patternType="solid">
          <bgColor theme="4"/>
        </patternFill>
      </fill>
      <border>
        <left/>
        <right/>
        <top style="thin">
          <color theme="0"/>
        </top>
        <bottom style="thin">
          <color theme="0"/>
        </bottom>
      </border>
    </dxf>
    <dxf>
      <numFmt numFmtId="30" formatCode="@"/>
      <fill>
        <patternFill patternType="solid">
          <bgColor theme="4"/>
        </patternFill>
      </fill>
      <border>
        <left/>
        <right/>
        <top style="thin">
          <color theme="0"/>
        </top>
        <bottom style="thin">
          <color theme="0"/>
        </bottom>
      </border>
    </dxf>
    <dxf>
      <numFmt numFmtId="30" formatCode="@"/>
      <fill>
        <patternFill patternType="solid">
          <bgColor theme="4"/>
        </patternFill>
      </fill>
      <border>
        <left/>
        <right/>
        <top style="thin">
          <color theme="0"/>
        </top>
        <bottom style="thin">
          <color theme="0"/>
        </bottom>
      </border>
    </dxf>
    <dxf>
      <numFmt numFmtId="30" formatCode="@"/>
      <fill>
        <patternFill patternType="solid">
          <bgColor theme="4"/>
        </patternFill>
      </fill>
      <border>
        <left/>
        <right/>
        <top style="thin">
          <color theme="0"/>
        </top>
        <bottom style="thin">
          <color theme="0"/>
        </bottom>
      </border>
    </dxf>
    <dxf>
      <numFmt numFmtId="30" formatCode="@"/>
      <fill>
        <patternFill patternType="solid">
          <bgColor theme="4"/>
        </patternFill>
      </fill>
      <border>
        <left/>
        <right/>
        <top style="thin">
          <color theme="0"/>
        </top>
        <bottom style="thin">
          <color theme="0"/>
        </bottom>
      </border>
    </dxf>
  </dxfs>
  <tableStyles count="0" defaultTableStyle="TableStyleMedium2" defaultPivotStyle="PivotStyleLight16"/>
  <colors>
    <mruColors>
      <color rgb="FF6AA343"/>
      <color rgb="FF2E461E"/>
      <color rgb="FF17230F"/>
      <color rgb="FFF1F7ED"/>
      <color rgb="FF008000"/>
      <color rgb="FF8FC171"/>
      <color rgb="FF63F828"/>
      <color rgb="FF00CC66"/>
      <color rgb="FFC0C0C0"/>
      <color rgb="FF2BDD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1</xdr:row>
      <xdr:rowOff>60960</xdr:rowOff>
    </xdr:from>
    <xdr:to>
      <xdr:col>2</xdr:col>
      <xdr:colOff>336452</xdr:colOff>
      <xdr:row>1</xdr:row>
      <xdr:rowOff>518160</xdr:rowOff>
    </xdr:to>
    <xdr:pic>
      <xdr:nvPicPr>
        <xdr:cNvPr id="5" name="Picture 4" descr="A green sign with white text&#10;&#10;Description automatically generated with low confidence">
          <a:extLst>
            <a:ext uri="{FF2B5EF4-FFF2-40B4-BE49-F238E27FC236}">
              <a16:creationId xmlns:a16="http://schemas.microsoft.com/office/drawing/2014/main" id="{6F77FBFE-F6BB-B81A-76A4-6B408E740DB0}"/>
            </a:ext>
          </a:extLst>
        </xdr:cNvPr>
        <xdr:cNvPicPr>
          <a:picLocks noChangeAspect="1"/>
        </xdr:cNvPicPr>
      </xdr:nvPicPr>
      <xdr:blipFill>
        <a:blip xmlns:r="http://schemas.openxmlformats.org/officeDocument/2006/relationships" r:embed="rId1">
          <a:clrChange>
            <a:clrFrom>
              <a:srgbClr val="1A6332"/>
            </a:clrFrom>
            <a:clrTo>
              <a:srgbClr val="1A6332">
                <a:alpha val="0"/>
              </a:srgbClr>
            </a:clrTo>
          </a:clrChange>
          <a:duotone>
            <a:prstClr val="black"/>
            <a:schemeClr val="bg1">
              <a:tint val="45000"/>
              <a:satMod val="400000"/>
            </a:schemeClr>
          </a:duotone>
        </a:blip>
        <a:stretch>
          <a:fillRect/>
        </a:stretch>
      </xdr:blipFill>
      <xdr:spPr>
        <a:xfrm>
          <a:off x="982980" y="487680"/>
          <a:ext cx="1266092" cy="457200"/>
        </a:xfrm>
        <a:prstGeom prst="rect">
          <a:avLst/>
        </a:prstGeom>
      </xdr:spPr>
    </xdr:pic>
    <xdr:clientData/>
  </xdr:twoCellAnchor>
  <xdr:twoCellAnchor editAs="oneCell">
    <xdr:from>
      <xdr:col>6</xdr:col>
      <xdr:colOff>228600</xdr:colOff>
      <xdr:row>1</xdr:row>
      <xdr:rowOff>152400</xdr:rowOff>
    </xdr:from>
    <xdr:to>
      <xdr:col>7</xdr:col>
      <xdr:colOff>336054</xdr:colOff>
      <xdr:row>1</xdr:row>
      <xdr:rowOff>470970</xdr:rowOff>
    </xdr:to>
    <xdr:pic>
      <xdr:nvPicPr>
        <xdr:cNvPr id="2" name="Picture 1" descr="Logo&#10;&#10;Description automatically generated">
          <a:extLst>
            <a:ext uri="{FF2B5EF4-FFF2-40B4-BE49-F238E27FC236}">
              <a16:creationId xmlns:a16="http://schemas.microsoft.com/office/drawing/2014/main" id="{BF89E82C-DF95-4941-99C7-C48E0054590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49440" y="579120"/>
          <a:ext cx="1128534" cy="3185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1075267</xdr:colOff>
      <xdr:row>3</xdr:row>
      <xdr:rowOff>8467</xdr:rowOff>
    </xdr:from>
    <xdr:to>
      <xdr:col>13</xdr:col>
      <xdr:colOff>0</xdr:colOff>
      <xdr:row>15</xdr:row>
      <xdr:rowOff>101600</xdr:rowOff>
    </xdr:to>
    <xdr:cxnSp macro="">
      <xdr:nvCxnSpPr>
        <xdr:cNvPr id="8" name="Straight Connector 7">
          <a:extLst>
            <a:ext uri="{FF2B5EF4-FFF2-40B4-BE49-F238E27FC236}">
              <a16:creationId xmlns:a16="http://schemas.microsoft.com/office/drawing/2014/main" id="{54D1EE87-1043-414F-983A-6480B5FA89F3}"/>
            </a:ext>
          </a:extLst>
        </xdr:cNvPr>
        <xdr:cNvCxnSpPr/>
      </xdr:nvCxnSpPr>
      <xdr:spPr>
        <a:xfrm flipH="1">
          <a:off x="13004800" y="1253067"/>
          <a:ext cx="8467" cy="4402666"/>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30480</xdr:colOff>
      <xdr:row>1</xdr:row>
      <xdr:rowOff>65990</xdr:rowOff>
    </xdr:from>
    <xdr:to>
      <xdr:col>3</xdr:col>
      <xdr:colOff>1310191</xdr:colOff>
      <xdr:row>1</xdr:row>
      <xdr:rowOff>499533</xdr:rowOff>
    </xdr:to>
    <xdr:pic>
      <xdr:nvPicPr>
        <xdr:cNvPr id="2" name="Picture 1" descr="A green sign with white text&#10;&#10;Description automatically generated with low confidence">
          <a:extLst>
            <a:ext uri="{FF2B5EF4-FFF2-40B4-BE49-F238E27FC236}">
              <a16:creationId xmlns:a16="http://schemas.microsoft.com/office/drawing/2014/main" id="{7AE6183E-08D5-42CC-B50B-492B306203D7}"/>
            </a:ext>
          </a:extLst>
        </xdr:cNvPr>
        <xdr:cNvPicPr>
          <a:picLocks noChangeAspect="1"/>
        </xdr:cNvPicPr>
      </xdr:nvPicPr>
      <xdr:blipFill>
        <a:blip xmlns:r="http://schemas.openxmlformats.org/officeDocument/2006/relationships" r:embed="rId1"/>
        <a:stretch>
          <a:fillRect/>
        </a:stretch>
      </xdr:blipFill>
      <xdr:spPr>
        <a:xfrm>
          <a:off x="1859280" y="303057"/>
          <a:ext cx="1279711" cy="433543"/>
        </a:xfrm>
        <a:prstGeom prst="rect">
          <a:avLst/>
        </a:prstGeom>
      </xdr:spPr>
    </xdr:pic>
    <xdr:clientData/>
  </xdr:twoCellAnchor>
  <xdr:twoCellAnchor editAs="oneCell">
    <xdr:from>
      <xdr:col>13</xdr:col>
      <xdr:colOff>211667</xdr:colOff>
      <xdr:row>1</xdr:row>
      <xdr:rowOff>120095</xdr:rowOff>
    </xdr:from>
    <xdr:to>
      <xdr:col>13</xdr:col>
      <xdr:colOff>1303866</xdr:colOff>
      <xdr:row>1</xdr:row>
      <xdr:rowOff>444201</xdr:rowOff>
    </xdr:to>
    <xdr:pic>
      <xdr:nvPicPr>
        <xdr:cNvPr id="4" name="Picture 3" descr="Logo&#10;&#10;Description automatically generated">
          <a:extLst>
            <a:ext uri="{FF2B5EF4-FFF2-40B4-BE49-F238E27FC236}">
              <a16:creationId xmlns:a16="http://schemas.microsoft.com/office/drawing/2014/main" id="{510AA41C-FAFB-98B3-23A9-01027F0F43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51934" y="357162"/>
          <a:ext cx="1092199" cy="324106"/>
        </a:xfrm>
        <a:prstGeom prst="rect">
          <a:avLst/>
        </a:prstGeom>
      </xdr:spPr>
    </xdr:pic>
    <xdr:clientData/>
  </xdr:twoCellAnchor>
  <xdr:twoCellAnchor>
    <xdr:from>
      <xdr:col>7</xdr:col>
      <xdr:colOff>228598</xdr:colOff>
      <xdr:row>15</xdr:row>
      <xdr:rowOff>16934</xdr:rowOff>
    </xdr:from>
    <xdr:to>
      <xdr:col>8</xdr:col>
      <xdr:colOff>905932</xdr:colOff>
      <xdr:row>17</xdr:row>
      <xdr:rowOff>16934</xdr:rowOff>
    </xdr:to>
    <xdr:sp macro="" textlink="">
      <xdr:nvSpPr>
        <xdr:cNvPr id="3" name="Rectangle 2">
          <a:extLst>
            <a:ext uri="{FF2B5EF4-FFF2-40B4-BE49-F238E27FC236}">
              <a16:creationId xmlns:a16="http://schemas.microsoft.com/office/drawing/2014/main" id="{D8FD0DBD-BB80-4F37-A47B-6AFA89D3503E}"/>
            </a:ext>
          </a:extLst>
        </xdr:cNvPr>
        <xdr:cNvSpPr/>
      </xdr:nvSpPr>
      <xdr:spPr>
        <a:xfrm>
          <a:off x="6739465" y="5571067"/>
          <a:ext cx="1761067" cy="372534"/>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900" baseline="0"/>
            <a:t>Reduce Package Recycling by 60% by 2025</a:t>
          </a:r>
        </a:p>
        <a:p>
          <a:pPr algn="l"/>
          <a:endParaRPr lang="en-US" sz="800"/>
        </a:p>
      </xdr:txBody>
    </xdr:sp>
    <xdr:clientData/>
  </xdr:twoCellAnchor>
  <xdr:twoCellAnchor>
    <xdr:from>
      <xdr:col>6</xdr:col>
      <xdr:colOff>685801</xdr:colOff>
      <xdr:row>17</xdr:row>
      <xdr:rowOff>84666</xdr:rowOff>
    </xdr:from>
    <xdr:to>
      <xdr:col>9</xdr:col>
      <xdr:colOff>592666</xdr:colOff>
      <xdr:row>20</xdr:row>
      <xdr:rowOff>177800</xdr:rowOff>
    </xdr:to>
    <xdr:sp macro="" textlink="">
      <xdr:nvSpPr>
        <xdr:cNvPr id="5" name="Rectangle 4">
          <a:extLst>
            <a:ext uri="{FF2B5EF4-FFF2-40B4-BE49-F238E27FC236}">
              <a16:creationId xmlns:a16="http://schemas.microsoft.com/office/drawing/2014/main" id="{A1CE44FF-8701-457A-B93C-9BA666CD8E4E}"/>
            </a:ext>
          </a:extLst>
        </xdr:cNvPr>
        <xdr:cNvSpPr/>
      </xdr:nvSpPr>
      <xdr:spPr>
        <a:xfrm>
          <a:off x="6112934" y="6011333"/>
          <a:ext cx="3158065" cy="651934"/>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900" baseline="0"/>
            <a:t>SMEs are required to compliance with CSRD and report in 2027. Upstream supply chain (OEMs) will request the data immediately to support their reporting. </a:t>
          </a:r>
        </a:p>
        <a:p>
          <a:pPr algn="l"/>
          <a:endParaRPr lang="en-US" sz="800"/>
        </a:p>
      </xdr:txBody>
    </xdr:sp>
    <xdr:clientData/>
  </xdr:twoCellAnchor>
  <xdr:twoCellAnchor>
    <xdr:from>
      <xdr:col>12</xdr:col>
      <xdr:colOff>643467</xdr:colOff>
      <xdr:row>14</xdr:row>
      <xdr:rowOff>143934</xdr:rowOff>
    </xdr:from>
    <xdr:to>
      <xdr:col>13</xdr:col>
      <xdr:colOff>550334</xdr:colOff>
      <xdr:row>17</xdr:row>
      <xdr:rowOff>127000</xdr:rowOff>
    </xdr:to>
    <xdr:sp macro="" textlink="">
      <xdr:nvSpPr>
        <xdr:cNvPr id="6" name="Rectangle 5">
          <a:extLst>
            <a:ext uri="{FF2B5EF4-FFF2-40B4-BE49-F238E27FC236}">
              <a16:creationId xmlns:a16="http://schemas.microsoft.com/office/drawing/2014/main" id="{228B0E72-B492-43C3-8D36-E4461021E059}"/>
            </a:ext>
          </a:extLst>
        </xdr:cNvPr>
        <xdr:cNvSpPr/>
      </xdr:nvSpPr>
      <xdr:spPr>
        <a:xfrm>
          <a:off x="12573000" y="5511801"/>
          <a:ext cx="990601" cy="541866"/>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900"/>
            <a:t>Reduce</a:t>
          </a:r>
          <a:r>
            <a:rPr lang="en-US" sz="900" baseline="0"/>
            <a:t> Energy/Carbon footprint by 55% from 1990 level</a:t>
          </a:r>
        </a:p>
        <a:p>
          <a:pPr algn="l"/>
          <a:endParaRPr lang="en-US" sz="800"/>
        </a:p>
      </xdr:txBody>
    </xdr:sp>
    <xdr:clientData/>
  </xdr:twoCellAnchor>
  <xdr:twoCellAnchor>
    <xdr:from>
      <xdr:col>8</xdr:col>
      <xdr:colOff>0</xdr:colOff>
      <xdr:row>3</xdr:row>
      <xdr:rowOff>8467</xdr:rowOff>
    </xdr:from>
    <xdr:to>
      <xdr:col>8</xdr:col>
      <xdr:colOff>8467</xdr:colOff>
      <xdr:row>15</xdr:row>
      <xdr:rowOff>101600</xdr:rowOff>
    </xdr:to>
    <xdr:cxnSp macro="">
      <xdr:nvCxnSpPr>
        <xdr:cNvPr id="14" name="Straight Connector 13">
          <a:extLst>
            <a:ext uri="{FF2B5EF4-FFF2-40B4-BE49-F238E27FC236}">
              <a16:creationId xmlns:a16="http://schemas.microsoft.com/office/drawing/2014/main" id="{1920A1D2-6448-1113-967D-1CEA15714ADD}"/>
            </a:ext>
          </a:extLst>
        </xdr:cNvPr>
        <xdr:cNvCxnSpPr/>
      </xdr:nvCxnSpPr>
      <xdr:spPr>
        <a:xfrm flipH="1">
          <a:off x="7594600" y="1253067"/>
          <a:ext cx="8467" cy="4402666"/>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DC11C8-3E78-49B1-9021-87A26E8B81B1}" name="Table1" displayName="Table1" ref="E2:E16" totalsRowShown="0">
  <autoFilter ref="E2:E16" xr:uid="{B8DC11C8-3E78-49B1-9021-87A26E8B81B1}"/>
  <sortState xmlns:xlrd2="http://schemas.microsoft.com/office/spreadsheetml/2017/richdata2" ref="E3:E16">
    <sortCondition ref="E2:E16"/>
  </sortState>
  <tableColumns count="1">
    <tableColumn id="1" xr3:uid="{DCC181EE-3CB8-4CB5-8FC2-D397BAE35C47}" name="Transition Area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BB963A-44D4-4EC4-9977-19E6B02CF960}" name="Table3" displayName="Table3" ref="G2:G9" totalsRowShown="0">
  <autoFilter ref="G2:G9" xr:uid="{BCBB963A-44D4-4EC4-9977-19E6B02CF960}"/>
  <tableColumns count="1">
    <tableColumn id="1" xr3:uid="{34850278-3F37-4ABA-84FB-D51EB540DBCC}" name="5 Yea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4A7B79-7405-453A-907D-E68E67BC795D}" name="Table5" displayName="Table5" ref="J2:J6" totalsRowShown="0">
  <autoFilter ref="J2:J6" xr:uid="{074A7B79-7405-453A-907D-E68E67BC795D}"/>
  <tableColumns count="1">
    <tableColumn id="1" xr3:uid="{FA055196-F89A-4C0C-BED8-D0259AFE4157}" name="Staff Developm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B94047-CD4F-48A5-B425-B0C9C149B3F6}" name="Table6" displayName="Table6" ref="L2:L6" totalsRowShown="0">
  <autoFilter ref="L2:L6" xr:uid="{E8B94047-CD4F-48A5-B425-B0C9C149B3F6}"/>
  <tableColumns count="1">
    <tableColumn id="1" xr3:uid="{2A20C58E-780C-4330-AE3D-68D4D638218C}" name="Strateg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EEDA0C-A1AD-4F2A-BAE1-245114C818D3}" name="Table7" displayName="Table7" ref="P2:P6" totalsRowShown="0">
  <autoFilter ref="P2:P6" xr:uid="{EBEEDA0C-A1AD-4F2A-BAE1-245114C818D3}"/>
  <tableColumns count="1">
    <tableColumn id="1" xr3:uid="{24827BAC-ED9A-4C05-ABE1-2FD0EB174C66}" name="Sustainable Champ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1E4FCA-07A3-4D74-A177-8B4A3916ECC2}" name="Table8" displayName="Table8" ref="T2:T6" totalsRowShown="0">
  <autoFilter ref="T2:T6" xr:uid="{061E4FCA-07A3-4D74-A177-8B4A3916ECC2}"/>
  <tableColumns count="1">
    <tableColumn id="1" xr3:uid="{4EF8598F-ACAD-4646-8FDF-9EAA124232C7}" name="Innova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A6D22C7-3AFA-4603-9C75-15BF89C97DAA}" name="Table9" displayName="Table9" ref="V2:V6" totalsRowShown="0">
  <autoFilter ref="V2:V6" xr:uid="{EA6D22C7-3AFA-4603-9C75-15BF89C97DAA}"/>
  <tableColumns count="1">
    <tableColumn id="1" xr3:uid="{229D44BD-9BF4-47CA-9068-64BF97A985D8}" name="Communit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3CC725-DDBA-450A-ABD5-F357E54D72E2}" name="Table10" displayName="Table10" ref="X2:X6" totalsRowShown="0">
  <autoFilter ref="X2:X6" xr:uid="{763CC725-DDBA-450A-ABD5-F357E54D72E2}"/>
  <tableColumns count="1">
    <tableColumn id="1" xr3:uid="{FF6B52DD-229F-4FD1-81D3-42452ED8A7F3}" name="CSRD"/>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8D22D4A-5AAE-4838-A53E-A73BD6B4A29B}" name="Table11" displayName="Table11" ref="AB2:AB34" totalsRowShown="0" headerRowDxfId="25" dataDxfId="24">
  <autoFilter ref="AB2:AB34" xr:uid="{E8D22D4A-5AAE-4838-A53E-A73BD6B4A29B}"/>
  <sortState xmlns:xlrd2="http://schemas.microsoft.com/office/spreadsheetml/2017/richdata2" ref="AB3:AB34">
    <sortCondition ref="AB2:AB34"/>
  </sortState>
  <tableColumns count="1">
    <tableColumn id="1" xr3:uid="{FBF70CED-DEC2-4492-A783-FF894884BA83}" name="List of european countries" dataDxfId="2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F2DEF35-9FF8-4DE7-B0AF-45F9BBD9033C}" name="Table12" displayName="Table12" ref="AD2:AD40" totalsRowShown="0" headerRowDxfId="22" dataDxfId="21">
  <autoFilter ref="AD2:AD40" xr:uid="{EF2DEF35-9FF8-4DE7-B0AF-45F9BBD9033C}"/>
  <sortState xmlns:xlrd2="http://schemas.microsoft.com/office/spreadsheetml/2017/richdata2" ref="AD3:AD40">
    <sortCondition ref="AD2:AD40"/>
  </sortState>
  <tableColumns count="1">
    <tableColumn id="1" xr3:uid="{31E84FF1-820A-46F8-8A1D-B8985189A487}" name="List of industries" dataDxfId="2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DB68D1-DBDD-42DF-9643-04F86338002E}" name="Table13" displayName="Table13" ref="AG2:AG4" totalsRowShown="0">
  <autoFilter ref="AG2:AG4" xr:uid="{91DB68D1-DBDD-42DF-9643-04F86338002E}"/>
  <tableColumns count="1">
    <tableColumn id="1" xr3:uid="{2126F7CA-8AEA-4693-8687-1A1732CF20A6}" name="Sta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A74E43A-01BF-44D0-8BBF-0ABB2CC27E88}" name="Table14" displayName="Table14" ref="AI2:AI8" totalsRowShown="0">
  <autoFilter ref="AI2:AI8" xr:uid="{EA74E43A-01BF-44D0-8BBF-0ABB2CC27E88}"/>
  <sortState xmlns:xlrd2="http://schemas.microsoft.com/office/spreadsheetml/2017/richdata2" ref="AI3:AI8">
    <sortCondition ref="AI2:AI8"/>
  </sortState>
  <tableColumns count="1">
    <tableColumn id="1" xr3:uid="{5937F704-BABB-4345-BAFC-EEA1F288411B}" name="Economic Activity"/>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E1A0A0-A763-4366-A6EC-EE7B10FEB32E}" name="Table15" displayName="Table15" ref="Z2:Z5" totalsRowShown="0">
  <autoFilter ref="Z2:Z5" xr:uid="{FEE1A0A0-A763-4366-A6EC-EE7B10FEB32E}"/>
  <tableColumns count="1">
    <tableColumn id="1" xr3:uid="{8D05AF98-BCF5-49DD-8346-66C754AC696A}" name="CSRD Futur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E2C90F1-AAD4-4A8E-9BB2-FCED1DF705C1}" name="Table16" displayName="Table16" ref="R2:R5" totalsRowShown="0">
  <autoFilter ref="R2:R5" xr:uid="{BE2C90F1-AAD4-4A8E-9BB2-FCED1DF705C1}"/>
  <tableColumns count="1">
    <tableColumn id="1" xr3:uid="{12D45A21-E829-4CEA-8D33-FD3CCEB1BF40}" name="Sustainable Champion - Futu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92773C8-FA89-4025-AF57-E64D96A5757A}" name="Table17" displayName="Table17" ref="AK2:AK5" totalsRowShown="0">
  <autoFilter ref="AK2:AK5" xr:uid="{A92773C8-FA89-4025-AF57-E64D96A5757A}"/>
  <tableColumns count="1">
    <tableColumn id="1" xr3:uid="{FB097524-DCF2-4C24-B5ED-25D3C42B89CD}" name="DNSH"/>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AD8EC31-4EB1-4444-8739-8B3DB8B5CF1E}" name="Table18" displayName="Table18" ref="AM2:AM4" totalsRowShown="0">
  <autoFilter ref="AM2:AM4" xr:uid="{BAD8EC31-4EB1-4444-8739-8B3DB8B5CF1E}"/>
  <tableColumns count="1">
    <tableColumn id="1" xr3:uid="{46C1CA8F-2971-4A21-931B-8873B29B985D}" name="Minimum Safeguard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135D96E-3350-4ECC-A1B9-AAA657649D76}" name="Table19" displayName="Table19" ref="AO1:AO11" totalsRowShown="0" dataDxfId="19" tableBorderDxfId="18">
  <autoFilter ref="AO1:AO11" xr:uid="{D135D96E-3350-4ECC-A1B9-AAA657649D76}"/>
  <sortState xmlns:xlrd2="http://schemas.microsoft.com/office/spreadsheetml/2017/richdata2" ref="AO2:AO10">
    <sortCondition ref="AO1:AO10"/>
  </sortState>
  <tableColumns count="1">
    <tableColumn id="1" xr3:uid="{F1B068B4-98D0-4688-B266-EB557F51D058}" name="NACE Level 1" dataDxfId="17"/>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9C9AAE-02B3-4AFD-9F51-1FC8D82F8883}" name="Code_and_Description" displayName="Code_and_Description" ref="B6:O106" totalsRowShown="0" headerRowDxfId="16" headerRowBorderDxfId="14" tableBorderDxfId="15">
  <autoFilter ref="B6:O106" xr:uid="{3F9C9AAE-02B3-4AFD-9F51-1FC8D82F8883}"/>
  <sortState xmlns:xlrd2="http://schemas.microsoft.com/office/spreadsheetml/2017/richdata2" ref="B7:O106">
    <sortCondition ref="E6:E106"/>
  </sortState>
  <tableColumns count="14">
    <tableColumn id="14" xr3:uid="{DC00964E-12D7-40A4-882C-97959E1A74AD}" name="#" dataDxfId="13"/>
    <tableColumn id="3" xr3:uid="{2DD08EE9-619C-4D5E-916C-E8285BAA2FE4}" name="Module" dataDxfId="12"/>
    <tableColumn id="1" xr3:uid="{533A3D36-8EF1-4CD4-96E8-9612BA3D6105}" name="Code" dataDxfId="11"/>
    <tableColumn id="2" xr3:uid="{ABEF28C1-020C-448B-A8DF-34B2688491CF}" name="Description" dataDxfId="10"/>
    <tableColumn id="4" xr3:uid="{878C032C-563C-431C-9553-42ED12F97801}" name="Energy" dataDxfId="9"/>
    <tableColumn id="5" xr3:uid="{2F4833E7-FCC6-4E9F-8C57-7629D805085A}" name="Water" dataDxfId="8"/>
    <tableColumn id="6" xr3:uid="{9FDC0103-2952-4FB7-9BB6-5533374F0572}" name="Waste" dataDxfId="7"/>
    <tableColumn id="7" xr3:uid="{B4D98E1F-2D9F-41A8-8FF8-DC73A414D67B}" name="Raw material" dataDxfId="6"/>
    <tableColumn id="8" xr3:uid="{FAFB4187-3B7E-4976-B7D4-502F2585561E}" name="Carbon footprint" dataDxfId="5"/>
    <tableColumn id="9" xr3:uid="{874CF920-F159-48C9-859D-7BF71C052EF0}" name="TRL" dataDxfId="4"/>
    <tableColumn id="10" xr3:uid="{65AD0295-A1B8-4DBF-89C7-A520A8FC3226}" name="Prod. efficiency" dataDxfId="3"/>
    <tableColumn id="11" xr3:uid="{59EB94A8-A093-456E-97AF-B08B7F25BC15}" name="Methods" dataDxfId="2"/>
    <tableColumn id="12" xr3:uid="{0AD85FF2-8CDF-4799-8983-31F160B18781}" name="Cost red." dataDxfId="1"/>
    <tableColumn id="13" xr3:uid="{D34E77B4-FDD4-470C-B9CE-6BE4C457F49E}" name="Income incr."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72524-FE0F-4641-9B89-04D8EC6B681D}">
  <dimension ref="B1:W67"/>
  <sheetViews>
    <sheetView showGridLines="0" tabSelected="1" topLeftCell="A38" zoomScaleNormal="100" workbookViewId="0">
      <selection activeCell="B50" sqref="B50:C50"/>
    </sheetView>
  </sheetViews>
  <sheetFormatPr defaultRowHeight="14.45"/>
  <cols>
    <col min="1" max="1" width="5.140625" customWidth="1"/>
    <col min="2" max="2" width="14.140625" customWidth="1"/>
    <col min="3" max="3" width="33.28515625" customWidth="1"/>
    <col min="4" max="4" width="18.42578125" customWidth="1"/>
    <col min="5" max="5" width="7.7109375" customWidth="1"/>
    <col min="6" max="6" width="21.5703125" customWidth="1"/>
    <col min="7" max="7" width="14.85546875" customWidth="1"/>
    <col min="8" max="8" width="6.28515625" customWidth="1"/>
    <col min="9" max="9" width="3.28515625" customWidth="1"/>
    <col min="10" max="10" width="21.140625" customWidth="1"/>
    <col min="11" max="11" width="9.28515625" customWidth="1"/>
    <col min="12" max="12" width="12.85546875" customWidth="1"/>
    <col min="13" max="14" width="13.28515625" customWidth="1"/>
    <col min="15" max="15" width="12" customWidth="1"/>
    <col min="16" max="16" width="7.28515625" customWidth="1"/>
    <col min="17" max="19" width="7.28515625" hidden="1" customWidth="1"/>
    <col min="20" max="20" width="14.85546875" hidden="1" customWidth="1"/>
    <col min="21" max="21" width="31.85546875" hidden="1" customWidth="1"/>
    <col min="22" max="22" width="22.28515625" hidden="1" customWidth="1"/>
    <col min="23" max="23" width="23.5703125" hidden="1" customWidth="1"/>
    <col min="24" max="24" width="10.28515625" customWidth="1"/>
  </cols>
  <sheetData>
    <row r="1" spans="2:12" ht="26.45" customHeight="1" thickBot="1"/>
    <row r="2" spans="2:12" ht="48.4" customHeight="1" thickBot="1">
      <c r="B2" s="189" t="s">
        <v>0</v>
      </c>
      <c r="C2" s="190"/>
      <c r="D2" s="190"/>
      <c r="E2" s="190"/>
      <c r="F2" s="190"/>
      <c r="G2" s="190"/>
      <c r="H2" s="191"/>
    </row>
    <row r="3" spans="2:12" ht="22.15" customHeight="1" thickBot="1">
      <c r="B3" s="192" t="s">
        <v>1</v>
      </c>
      <c r="C3" s="193"/>
      <c r="D3" s="193"/>
      <c r="E3" s="193"/>
      <c r="F3" s="193"/>
      <c r="G3" s="193"/>
      <c r="H3" s="194"/>
    </row>
    <row r="4" spans="2:12">
      <c r="B4" s="18" t="s">
        <v>2</v>
      </c>
      <c r="C4" s="225" t="s">
        <v>3</v>
      </c>
      <c r="D4" s="226"/>
      <c r="E4" s="227"/>
      <c r="F4" s="22" t="s">
        <v>4</v>
      </c>
      <c r="G4" s="220" t="s">
        <v>5</v>
      </c>
      <c r="H4" s="221"/>
    </row>
    <row r="5" spans="2:12">
      <c r="B5" s="19" t="s">
        <v>6</v>
      </c>
      <c r="C5" s="278" t="s">
        <v>7</v>
      </c>
      <c r="D5" s="279"/>
      <c r="E5" s="279"/>
      <c r="F5" s="23" t="s">
        <v>8</v>
      </c>
      <c r="G5" s="288" t="s">
        <v>9</v>
      </c>
      <c r="H5" s="289"/>
    </row>
    <row r="6" spans="2:12" ht="29.65" customHeight="1">
      <c r="B6" s="20" t="s">
        <v>10</v>
      </c>
      <c r="C6" s="222" t="s">
        <v>11</v>
      </c>
      <c r="D6" s="223"/>
      <c r="E6" s="223"/>
      <c r="F6" s="223"/>
      <c r="G6" s="223"/>
      <c r="H6" s="224"/>
    </row>
    <row r="7" spans="2:12" ht="15" customHeight="1" thickBot="1"/>
    <row r="8" spans="2:12" ht="22.15" customHeight="1">
      <c r="B8" s="283" t="s">
        <v>12</v>
      </c>
      <c r="C8" s="284"/>
      <c r="D8" s="284"/>
      <c r="E8" s="284"/>
      <c r="F8" s="284"/>
      <c r="G8" s="284"/>
      <c r="H8" s="285"/>
    </row>
    <row r="9" spans="2:12" ht="15">
      <c r="B9" s="21" t="s">
        <v>13</v>
      </c>
      <c r="C9" s="280" t="s">
        <v>14</v>
      </c>
      <c r="D9" s="280"/>
      <c r="E9" s="280"/>
      <c r="F9" s="24" t="s">
        <v>15</v>
      </c>
      <c r="G9" s="290" t="s">
        <v>16</v>
      </c>
      <c r="H9" s="291"/>
    </row>
    <row r="10" spans="2:12" ht="15" customHeight="1">
      <c r="C10" s="271"/>
      <c r="D10" s="271"/>
      <c r="E10" s="271"/>
      <c r="F10" s="271"/>
      <c r="G10" s="271"/>
      <c r="H10" s="271"/>
    </row>
    <row r="11" spans="2:12" ht="22.15" customHeight="1">
      <c r="B11" s="192" t="s">
        <v>17</v>
      </c>
      <c r="C11" s="193"/>
      <c r="D11" s="193"/>
      <c r="E11" s="193"/>
      <c r="F11" s="193"/>
      <c r="G11" s="193"/>
      <c r="H11" s="194"/>
      <c r="J11" s="259" t="s">
        <v>18</v>
      </c>
      <c r="K11" s="260"/>
      <c r="L11" s="260"/>
    </row>
    <row r="12" spans="2:12" ht="12.4" customHeight="1">
      <c r="B12" s="195" t="s">
        <v>19</v>
      </c>
      <c r="C12" s="196"/>
      <c r="D12" s="195" t="s">
        <v>20</v>
      </c>
      <c r="E12" s="274"/>
      <c r="F12" s="272" t="s">
        <v>21</v>
      </c>
      <c r="G12" s="273"/>
      <c r="H12" s="274"/>
      <c r="J12" s="204" t="s">
        <v>22</v>
      </c>
      <c r="K12" s="205"/>
      <c r="L12" s="206"/>
    </row>
    <row r="13" spans="2:12" ht="15" thickBot="1">
      <c r="B13" s="197"/>
      <c r="C13" s="198"/>
      <c r="D13" s="281"/>
      <c r="E13" s="282"/>
      <c r="F13" s="275"/>
      <c r="G13" s="276"/>
      <c r="H13" s="277"/>
      <c r="J13" s="207"/>
      <c r="K13" s="208"/>
      <c r="L13" s="209"/>
    </row>
    <row r="14" spans="2:12" ht="15" thickBot="1">
      <c r="B14" s="197"/>
      <c r="C14" s="198"/>
      <c r="D14" s="275"/>
      <c r="E14" s="277"/>
      <c r="F14" s="15" t="s">
        <v>23</v>
      </c>
      <c r="G14" s="210" t="s">
        <v>24</v>
      </c>
      <c r="H14" s="211"/>
      <c r="J14" s="3" t="s">
        <v>25</v>
      </c>
      <c r="K14" s="310" t="s">
        <v>26</v>
      </c>
      <c r="L14" s="311"/>
    </row>
    <row r="15" spans="2:12" ht="14.65" customHeight="1">
      <c r="B15" s="201" t="s">
        <v>27</v>
      </c>
      <c r="C15" s="287" t="s">
        <v>28</v>
      </c>
      <c r="D15" s="286">
        <v>11785</v>
      </c>
      <c r="E15" s="241" t="s">
        <v>29</v>
      </c>
      <c r="F15" s="30" t="s">
        <v>30</v>
      </c>
      <c r="G15" s="212">
        <v>0.1</v>
      </c>
      <c r="H15" s="213"/>
      <c r="J15" s="199">
        <v>2025</v>
      </c>
      <c r="K15" s="312">
        <v>0.02</v>
      </c>
      <c r="L15" s="313"/>
    </row>
    <row r="16" spans="2:12" ht="15" thickBot="1">
      <c r="B16" s="202"/>
      <c r="C16" s="216"/>
      <c r="D16" s="240"/>
      <c r="E16" s="217"/>
      <c r="F16" s="31" t="s">
        <v>31</v>
      </c>
      <c r="G16" s="218">
        <v>0.1</v>
      </c>
      <c r="H16" s="219"/>
      <c r="J16" s="200"/>
      <c r="K16" s="255"/>
      <c r="L16" s="256"/>
    </row>
    <row r="17" spans="2:12">
      <c r="B17" s="202"/>
      <c r="C17" s="216" t="s">
        <v>32</v>
      </c>
      <c r="D17" s="239">
        <v>600</v>
      </c>
      <c r="E17" s="217" t="s">
        <v>33</v>
      </c>
      <c r="F17" s="30" t="s">
        <v>34</v>
      </c>
      <c r="G17" s="212">
        <v>0</v>
      </c>
      <c r="H17" s="213"/>
      <c r="J17" s="200">
        <v>2026</v>
      </c>
      <c r="K17" s="255">
        <v>0.05</v>
      </c>
      <c r="L17" s="256"/>
    </row>
    <row r="18" spans="2:12" ht="15" thickBot="1">
      <c r="B18" s="202"/>
      <c r="C18" s="216"/>
      <c r="D18" s="240"/>
      <c r="E18" s="217"/>
      <c r="F18" s="31" t="s">
        <v>35</v>
      </c>
      <c r="G18" s="218">
        <v>0</v>
      </c>
      <c r="H18" s="219"/>
      <c r="J18" s="200"/>
      <c r="K18" s="255"/>
      <c r="L18" s="256"/>
    </row>
    <row r="19" spans="2:12">
      <c r="B19" s="202"/>
      <c r="C19" s="216" t="s">
        <v>36</v>
      </c>
      <c r="D19" s="239">
        <v>0</v>
      </c>
      <c r="E19" s="217" t="s">
        <v>37</v>
      </c>
      <c r="F19" s="30" t="s">
        <v>34</v>
      </c>
      <c r="G19" s="212">
        <v>0</v>
      </c>
      <c r="H19" s="213"/>
      <c r="J19" s="200">
        <v>2027</v>
      </c>
      <c r="K19" s="255">
        <v>0.1</v>
      </c>
      <c r="L19" s="256"/>
    </row>
    <row r="20" spans="2:12">
      <c r="B20" s="202"/>
      <c r="C20" s="216"/>
      <c r="D20" s="243"/>
      <c r="E20" s="217"/>
      <c r="F20" s="32" t="s">
        <v>38</v>
      </c>
      <c r="G20" s="214">
        <v>0</v>
      </c>
      <c r="H20" s="215"/>
      <c r="J20" s="200"/>
      <c r="K20" s="255"/>
      <c r="L20" s="256"/>
    </row>
    <row r="21" spans="2:12" ht="15" thickBot="1">
      <c r="B21" s="202"/>
      <c r="C21" s="216"/>
      <c r="D21" s="240"/>
      <c r="E21" s="217"/>
      <c r="F21" s="31" t="s">
        <v>39</v>
      </c>
      <c r="G21" s="218">
        <v>0</v>
      </c>
      <c r="H21" s="219"/>
      <c r="J21" s="200"/>
      <c r="K21" s="255"/>
      <c r="L21" s="256"/>
    </row>
    <row r="22" spans="2:12">
      <c r="B22" s="202"/>
      <c r="C22" s="216" t="s">
        <v>40</v>
      </c>
      <c r="D22" s="239">
        <v>0</v>
      </c>
      <c r="E22" s="217" t="s">
        <v>37</v>
      </c>
      <c r="F22" s="30" t="s">
        <v>41</v>
      </c>
      <c r="G22" s="212">
        <v>0</v>
      </c>
      <c r="H22" s="213"/>
      <c r="J22" s="200">
        <v>2029</v>
      </c>
      <c r="K22" s="255">
        <v>0.15</v>
      </c>
      <c r="L22" s="256"/>
    </row>
    <row r="23" spans="2:12" ht="15" thickBot="1">
      <c r="B23" s="202"/>
      <c r="C23" s="216"/>
      <c r="D23" s="240"/>
      <c r="E23" s="217"/>
      <c r="F23" s="31" t="s">
        <v>34</v>
      </c>
      <c r="G23" s="250">
        <v>0</v>
      </c>
      <c r="H23" s="251"/>
      <c r="J23" s="200"/>
      <c r="K23" s="255"/>
      <c r="L23" s="256"/>
    </row>
    <row r="24" spans="2:12">
      <c r="B24" s="202"/>
      <c r="C24" s="216" t="s">
        <v>42</v>
      </c>
      <c r="D24" s="239">
        <v>7904</v>
      </c>
      <c r="E24" s="217" t="s">
        <v>37</v>
      </c>
      <c r="F24" s="30" t="s">
        <v>43</v>
      </c>
      <c r="G24" s="57">
        <v>100</v>
      </c>
      <c r="H24" s="33" t="s">
        <v>37</v>
      </c>
      <c r="J24" s="200">
        <v>2028</v>
      </c>
      <c r="K24" s="255">
        <v>0.2</v>
      </c>
      <c r="L24" s="256"/>
    </row>
    <row r="25" spans="2:12">
      <c r="B25" s="202"/>
      <c r="C25" s="216"/>
      <c r="D25" s="243"/>
      <c r="E25" s="217"/>
      <c r="F25" s="32" t="s">
        <v>44</v>
      </c>
      <c r="G25" s="58">
        <v>300</v>
      </c>
      <c r="H25" s="34" t="s">
        <v>37</v>
      </c>
      <c r="J25" s="200"/>
      <c r="K25" s="255"/>
      <c r="L25" s="256"/>
    </row>
    <row r="26" spans="2:12" ht="15" thickBot="1">
      <c r="B26" s="203"/>
      <c r="C26" s="321"/>
      <c r="D26" s="243"/>
      <c r="E26" s="242"/>
      <c r="F26" s="37" t="s">
        <v>45</v>
      </c>
      <c r="G26" s="59">
        <v>500</v>
      </c>
      <c r="H26" s="38" t="s">
        <v>37</v>
      </c>
      <c r="J26" s="353"/>
      <c r="K26" s="324"/>
      <c r="L26" s="325"/>
    </row>
    <row r="27" spans="2:12" ht="26.45" customHeight="1">
      <c r="B27" s="201" t="s">
        <v>46</v>
      </c>
      <c r="C27" s="35" t="s">
        <v>47</v>
      </c>
      <c r="D27" s="244" t="s">
        <v>48</v>
      </c>
      <c r="E27" s="245"/>
      <c r="F27" s="245"/>
      <c r="G27" s="245"/>
      <c r="H27" s="246"/>
      <c r="J27" s="60">
        <v>2027</v>
      </c>
      <c r="K27" s="322">
        <v>10000</v>
      </c>
      <c r="L27" s="323"/>
    </row>
    <row r="28" spans="2:12" ht="25.9" customHeight="1" thickBot="1">
      <c r="B28" s="203"/>
      <c r="C28" s="36" t="s">
        <v>49</v>
      </c>
      <c r="D28" s="247" t="s">
        <v>50</v>
      </c>
      <c r="E28" s="248"/>
      <c r="F28" s="248"/>
      <c r="G28" s="248"/>
      <c r="H28" s="249"/>
      <c r="J28" s="62">
        <v>2028</v>
      </c>
      <c r="K28" s="257">
        <v>20000</v>
      </c>
      <c r="L28" s="258"/>
    </row>
    <row r="29" spans="2:12" ht="30" customHeight="1">
      <c r="B29" s="201" t="s">
        <v>51</v>
      </c>
      <c r="C29" s="44" t="s">
        <v>52</v>
      </c>
      <c r="D29" s="244" t="s">
        <v>53</v>
      </c>
      <c r="E29" s="245"/>
      <c r="F29" s="245"/>
      <c r="G29" s="245"/>
      <c r="H29" s="246"/>
      <c r="J29" s="60">
        <v>2026</v>
      </c>
      <c r="K29" s="322">
        <v>1000000</v>
      </c>
      <c r="L29" s="323"/>
    </row>
    <row r="30" spans="2:12" ht="27" customHeight="1">
      <c r="B30" s="202"/>
      <c r="C30" s="45" t="s">
        <v>54</v>
      </c>
      <c r="D30" s="331" t="s">
        <v>55</v>
      </c>
      <c r="E30" s="332"/>
      <c r="F30" s="332"/>
      <c r="G30" s="332"/>
      <c r="H30" s="333"/>
      <c r="J30" s="61">
        <v>2027</v>
      </c>
      <c r="K30" s="326" t="s">
        <v>56</v>
      </c>
      <c r="L30" s="327"/>
    </row>
    <row r="31" spans="2:12" ht="15" thickBot="1">
      <c r="B31" s="203"/>
      <c r="C31" s="46" t="s">
        <v>57</v>
      </c>
      <c r="D31" s="247" t="s">
        <v>58</v>
      </c>
      <c r="E31" s="248"/>
      <c r="F31" s="248"/>
      <c r="G31" s="248"/>
      <c r="H31" s="249"/>
      <c r="J31" s="62">
        <v>2026</v>
      </c>
      <c r="K31" s="257" t="s">
        <v>59</v>
      </c>
      <c r="L31" s="258"/>
    </row>
    <row r="32" spans="2:12" ht="28.15" customHeight="1" thickBot="1">
      <c r="B32" s="48" t="s">
        <v>60</v>
      </c>
      <c r="C32" s="47" t="s">
        <v>61</v>
      </c>
      <c r="D32" s="334" t="s">
        <v>62</v>
      </c>
      <c r="E32" s="335"/>
      <c r="F32" s="335"/>
      <c r="G32" s="335"/>
      <c r="H32" s="336"/>
      <c r="J32" s="62">
        <v>2027</v>
      </c>
      <c r="K32" s="257" t="s">
        <v>63</v>
      </c>
      <c r="L32" s="258"/>
    </row>
    <row r="33" spans="2:23" ht="15" customHeight="1"/>
    <row r="34" spans="2:23" ht="22.15" customHeight="1" thickBot="1">
      <c r="B34" s="296" t="s">
        <v>64</v>
      </c>
      <c r="C34" s="297"/>
      <c r="D34" s="297"/>
      <c r="E34" s="297"/>
      <c r="F34" s="297"/>
      <c r="G34" s="297"/>
      <c r="H34" s="297"/>
      <c r="I34" s="297"/>
      <c r="J34" s="297"/>
      <c r="K34" s="297"/>
      <c r="L34" s="297"/>
      <c r="M34" s="297"/>
      <c r="N34" s="297"/>
      <c r="O34" s="297"/>
    </row>
    <row r="35" spans="2:23" ht="29.65" customHeight="1" thickBot="1">
      <c r="B35" s="300" t="s">
        <v>65</v>
      </c>
      <c r="C35" s="300" t="s">
        <v>66</v>
      </c>
      <c r="D35" s="310" t="s">
        <v>67</v>
      </c>
      <c r="E35" s="340"/>
      <c r="F35" s="340"/>
      <c r="G35" s="340"/>
      <c r="H35" s="340"/>
      <c r="I35" s="340"/>
      <c r="J35" s="340"/>
      <c r="K35" s="311"/>
      <c r="L35" s="262" t="s">
        <v>68</v>
      </c>
      <c r="M35" s="264"/>
      <c r="N35" s="300" t="s">
        <v>69</v>
      </c>
      <c r="O35" s="206" t="s">
        <v>70</v>
      </c>
      <c r="P35" s="295"/>
    </row>
    <row r="36" spans="2:23" ht="15" thickBot="1">
      <c r="B36" s="301"/>
      <c r="C36" s="301"/>
      <c r="D36" s="341" t="s">
        <v>71</v>
      </c>
      <c r="E36" s="342"/>
      <c r="F36" s="343" t="s">
        <v>72</v>
      </c>
      <c r="G36" s="344"/>
      <c r="H36" s="344"/>
      <c r="I36" s="345"/>
      <c r="J36" s="343" t="s">
        <v>73</v>
      </c>
      <c r="K36" s="345"/>
      <c r="L36" s="16" t="s">
        <v>74</v>
      </c>
      <c r="M36" s="17" t="s">
        <v>75</v>
      </c>
      <c r="N36" s="302"/>
      <c r="O36" s="303"/>
      <c r="P36" s="295"/>
      <c r="Q36" s="29" t="s">
        <v>76</v>
      </c>
      <c r="R36" s="27" t="s">
        <v>74</v>
      </c>
      <c r="S36" s="4" t="s">
        <v>75</v>
      </c>
      <c r="T36" s="4" t="s">
        <v>77</v>
      </c>
      <c r="U36" s="14" t="s">
        <v>78</v>
      </c>
      <c r="V36" s="4" t="s">
        <v>79</v>
      </c>
      <c r="W36" s="1" t="s">
        <v>80</v>
      </c>
    </row>
    <row r="37" spans="2:23" ht="15">
      <c r="B37" s="41">
        <v>1</v>
      </c>
      <c r="C37" s="63" t="s">
        <v>81</v>
      </c>
      <c r="D37" s="375" t="s">
        <v>82</v>
      </c>
      <c r="E37" s="320"/>
      <c r="F37" s="346" t="s">
        <v>82</v>
      </c>
      <c r="G37" s="347"/>
      <c r="H37" s="347"/>
      <c r="I37" s="348"/>
      <c r="J37" s="354" t="s">
        <v>82</v>
      </c>
      <c r="K37" s="355"/>
      <c r="L37" s="64" t="s">
        <v>82</v>
      </c>
      <c r="M37" s="65" t="s">
        <v>82</v>
      </c>
      <c r="N37" s="66" t="s">
        <v>82</v>
      </c>
      <c r="O37" s="67">
        <v>0</v>
      </c>
      <c r="Q37" s="29">
        <v>1</v>
      </c>
      <c r="R37" s="28" t="e">
        <f>YEAR(L37)</f>
        <v>#VALUE!</v>
      </c>
      <c r="S37" s="1" t="e">
        <f t="shared" ref="S37:S46" si="0">YEAR(M37)</f>
        <v>#VALUE!</v>
      </c>
      <c r="T37" s="10" t="str">
        <f t="shared" ref="T37:T46" si="1">F37</f>
        <v>-</v>
      </c>
      <c r="U37" s="1" t="str">
        <f t="shared" ref="U37:U46" si="2">C37</f>
        <v>Increase Productivity</v>
      </c>
      <c r="V37" s="2" t="e" cm="1">
        <f t="array" ref="V37:V46">VLOOKUP(U37:U46,C15:E32,2,FALSE)</f>
        <v>#N/A</v>
      </c>
      <c r="W37" s="11" t="e" cm="1">
        <f t="array" ref="W37:W46">VLOOKUP(U37:U46,C15:L32,9,FALSE)</f>
        <v>#N/A</v>
      </c>
    </row>
    <row r="38" spans="2:23" ht="15">
      <c r="B38" s="42">
        <v>2</v>
      </c>
      <c r="C38" s="68"/>
      <c r="D38" s="307"/>
      <c r="E38" s="307"/>
      <c r="F38" s="304"/>
      <c r="G38" s="305"/>
      <c r="H38" s="305"/>
      <c r="I38" s="306"/>
      <c r="J38" s="234"/>
      <c r="K38" s="235"/>
      <c r="L38" s="69"/>
      <c r="M38" s="70"/>
      <c r="N38" s="71"/>
      <c r="O38" s="72"/>
      <c r="Q38" s="29">
        <v>2</v>
      </c>
      <c r="R38" s="28">
        <f t="shared" ref="R38:R46" si="3">YEAR(L38)</f>
        <v>1900</v>
      </c>
      <c r="S38" s="1">
        <f t="shared" si="0"/>
        <v>1900</v>
      </c>
      <c r="T38" s="10">
        <f t="shared" si="1"/>
        <v>0</v>
      </c>
      <c r="U38" s="1">
        <f t="shared" si="2"/>
        <v>0</v>
      </c>
      <c r="V38" s="2" t="e">
        <v>#N/A</v>
      </c>
      <c r="W38" s="12" t="e">
        <v>#N/A</v>
      </c>
    </row>
    <row r="39" spans="2:23">
      <c r="B39" s="42">
        <v>3</v>
      </c>
      <c r="C39" s="68"/>
      <c r="D39" s="307"/>
      <c r="E39" s="307"/>
      <c r="F39" s="304"/>
      <c r="G39" s="305"/>
      <c r="H39" s="305"/>
      <c r="I39" s="306"/>
      <c r="J39" s="234"/>
      <c r="K39" s="235"/>
      <c r="L39" s="69"/>
      <c r="M39" s="70"/>
      <c r="N39" s="71"/>
      <c r="O39" s="72"/>
      <c r="Q39" s="29">
        <v>3</v>
      </c>
      <c r="R39" s="28">
        <f t="shared" si="3"/>
        <v>1900</v>
      </c>
      <c r="S39" s="1">
        <f t="shared" si="0"/>
        <v>1900</v>
      </c>
      <c r="T39" s="10">
        <f t="shared" si="1"/>
        <v>0</v>
      </c>
      <c r="U39" s="1">
        <f t="shared" si="2"/>
        <v>0</v>
      </c>
      <c r="V39" s="2" t="e">
        <v>#N/A</v>
      </c>
      <c r="W39" s="13" t="e">
        <v>#N/A</v>
      </c>
    </row>
    <row r="40" spans="2:23">
      <c r="B40" s="42">
        <v>4</v>
      </c>
      <c r="C40" s="68"/>
      <c r="D40" s="307"/>
      <c r="E40" s="307"/>
      <c r="F40" s="304"/>
      <c r="G40" s="305"/>
      <c r="H40" s="305"/>
      <c r="I40" s="306"/>
      <c r="J40" s="234"/>
      <c r="K40" s="235"/>
      <c r="L40" s="69"/>
      <c r="M40" s="70"/>
      <c r="N40" s="71"/>
      <c r="O40" s="72"/>
      <c r="Q40" s="29">
        <v>4</v>
      </c>
      <c r="R40" s="28">
        <f t="shared" si="3"/>
        <v>1900</v>
      </c>
      <c r="S40" s="1">
        <f t="shared" si="0"/>
        <v>1900</v>
      </c>
      <c r="T40" s="10">
        <f t="shared" si="1"/>
        <v>0</v>
      </c>
      <c r="U40" s="1">
        <f t="shared" si="2"/>
        <v>0</v>
      </c>
      <c r="V40" s="2" t="e">
        <v>#N/A</v>
      </c>
      <c r="W40" s="12" t="e">
        <v>#N/A</v>
      </c>
    </row>
    <row r="41" spans="2:23">
      <c r="B41" s="42">
        <v>5</v>
      </c>
      <c r="C41" s="68"/>
      <c r="D41" s="307"/>
      <c r="E41" s="307"/>
      <c r="F41" s="304"/>
      <c r="G41" s="305"/>
      <c r="H41" s="305"/>
      <c r="I41" s="306"/>
      <c r="J41" s="234"/>
      <c r="K41" s="235"/>
      <c r="L41" s="69"/>
      <c r="M41" s="70"/>
      <c r="N41" s="71"/>
      <c r="O41" s="72"/>
      <c r="Q41" s="29">
        <v>5</v>
      </c>
      <c r="R41" s="28">
        <f t="shared" si="3"/>
        <v>1900</v>
      </c>
      <c r="S41" s="1">
        <f t="shared" si="0"/>
        <v>1900</v>
      </c>
      <c r="T41" s="10">
        <f t="shared" si="1"/>
        <v>0</v>
      </c>
      <c r="U41" s="1">
        <f t="shared" si="2"/>
        <v>0</v>
      </c>
      <c r="V41" s="2" t="e">
        <v>#N/A</v>
      </c>
      <c r="W41" s="13" t="e">
        <v>#N/A</v>
      </c>
    </row>
    <row r="42" spans="2:23">
      <c r="B42" s="42">
        <v>6</v>
      </c>
      <c r="C42" s="68"/>
      <c r="D42" s="308"/>
      <c r="E42" s="307"/>
      <c r="F42" s="304"/>
      <c r="G42" s="305"/>
      <c r="H42" s="305"/>
      <c r="I42" s="306"/>
      <c r="J42" s="349"/>
      <c r="K42" s="350"/>
      <c r="L42" s="69"/>
      <c r="M42" s="70"/>
      <c r="N42" s="71"/>
      <c r="O42" s="72"/>
      <c r="Q42" s="29">
        <v>6</v>
      </c>
      <c r="R42" s="28">
        <f t="shared" si="3"/>
        <v>1900</v>
      </c>
      <c r="S42" s="1">
        <f t="shared" si="0"/>
        <v>1900</v>
      </c>
      <c r="T42" s="10">
        <f t="shared" si="1"/>
        <v>0</v>
      </c>
      <c r="U42" s="1">
        <f t="shared" si="2"/>
        <v>0</v>
      </c>
      <c r="V42" s="2" t="e">
        <v>#N/A</v>
      </c>
      <c r="W42" s="13" t="e">
        <v>#N/A</v>
      </c>
    </row>
    <row r="43" spans="2:23">
      <c r="B43" s="42">
        <v>7</v>
      </c>
      <c r="C43" s="68"/>
      <c r="D43" s="308"/>
      <c r="E43" s="307"/>
      <c r="F43" s="304"/>
      <c r="G43" s="305"/>
      <c r="H43" s="305"/>
      <c r="I43" s="306"/>
      <c r="J43" s="349"/>
      <c r="K43" s="350"/>
      <c r="L43" s="69"/>
      <c r="M43" s="70"/>
      <c r="N43" s="71"/>
      <c r="O43" s="72"/>
      <c r="Q43" s="29">
        <v>7</v>
      </c>
      <c r="R43" s="28">
        <f t="shared" si="3"/>
        <v>1900</v>
      </c>
      <c r="S43" s="1">
        <f t="shared" si="0"/>
        <v>1900</v>
      </c>
      <c r="T43" s="10">
        <f t="shared" si="1"/>
        <v>0</v>
      </c>
      <c r="U43" s="1">
        <f t="shared" si="2"/>
        <v>0</v>
      </c>
      <c r="V43" s="2" t="e">
        <v>#N/A</v>
      </c>
      <c r="W43" s="13" t="e">
        <v>#N/A</v>
      </c>
    </row>
    <row r="44" spans="2:23">
      <c r="B44" s="50">
        <v>8</v>
      </c>
      <c r="C44" s="68"/>
      <c r="D44" s="73"/>
      <c r="E44" s="74"/>
      <c r="F44" s="304"/>
      <c r="G44" s="305"/>
      <c r="H44" s="305"/>
      <c r="I44" s="306"/>
      <c r="J44" s="298"/>
      <c r="K44" s="299"/>
      <c r="L44" s="75"/>
      <c r="M44" s="76"/>
      <c r="N44" s="77"/>
      <c r="O44" s="78"/>
      <c r="Q44" s="29">
        <v>8</v>
      </c>
      <c r="R44" s="28">
        <f t="shared" si="3"/>
        <v>1900</v>
      </c>
      <c r="S44" s="1">
        <f t="shared" si="0"/>
        <v>1900</v>
      </c>
      <c r="T44" s="10">
        <f t="shared" si="1"/>
        <v>0</v>
      </c>
      <c r="U44" s="1">
        <f t="shared" si="2"/>
        <v>0</v>
      </c>
      <c r="V44" s="2" t="e">
        <v>#N/A</v>
      </c>
      <c r="W44" s="13" t="e">
        <v>#N/A</v>
      </c>
    </row>
    <row r="45" spans="2:23">
      <c r="B45" s="50">
        <v>9</v>
      </c>
      <c r="C45" s="68"/>
      <c r="D45" s="73"/>
      <c r="E45" s="74"/>
      <c r="F45" s="304"/>
      <c r="G45" s="305"/>
      <c r="H45" s="305"/>
      <c r="I45" s="306"/>
      <c r="J45" s="298"/>
      <c r="K45" s="299"/>
      <c r="L45" s="75"/>
      <c r="M45" s="76"/>
      <c r="N45" s="77"/>
      <c r="O45" s="78"/>
      <c r="Q45" s="29">
        <v>9</v>
      </c>
      <c r="R45" s="28">
        <f t="shared" si="3"/>
        <v>1900</v>
      </c>
      <c r="S45" s="1">
        <f t="shared" si="0"/>
        <v>1900</v>
      </c>
      <c r="T45" s="10">
        <f t="shared" si="1"/>
        <v>0</v>
      </c>
      <c r="U45" s="1">
        <f t="shared" si="2"/>
        <v>0</v>
      </c>
      <c r="V45" s="2" t="e">
        <v>#N/A</v>
      </c>
      <c r="W45" s="13" t="e">
        <v>#N/A</v>
      </c>
    </row>
    <row r="46" spans="2:23" ht="15" thickBot="1">
      <c r="B46" s="43">
        <v>10</v>
      </c>
      <c r="C46" s="79"/>
      <c r="D46" s="318"/>
      <c r="E46" s="319"/>
      <c r="F46" s="337"/>
      <c r="G46" s="338"/>
      <c r="H46" s="338"/>
      <c r="I46" s="339"/>
      <c r="J46" s="351"/>
      <c r="K46" s="352"/>
      <c r="L46" s="80"/>
      <c r="M46" s="81"/>
      <c r="N46" s="82"/>
      <c r="O46" s="83"/>
      <c r="Q46" s="29">
        <v>10</v>
      </c>
      <c r="R46" s="28">
        <f t="shared" si="3"/>
        <v>1900</v>
      </c>
      <c r="S46" s="1">
        <f t="shared" si="0"/>
        <v>1900</v>
      </c>
      <c r="T46" s="10">
        <f t="shared" si="1"/>
        <v>0</v>
      </c>
      <c r="U46" s="1">
        <f t="shared" si="2"/>
        <v>0</v>
      </c>
      <c r="V46" s="2" t="e">
        <v>#N/A</v>
      </c>
      <c r="W46" s="13" t="e">
        <v>#N/A</v>
      </c>
    </row>
    <row r="47" spans="2:23" ht="15" customHeight="1" thickBot="1"/>
    <row r="48" spans="2:23" ht="25.15" customHeight="1" thickBot="1">
      <c r="B48" s="259" t="s">
        <v>83</v>
      </c>
      <c r="C48" s="260"/>
      <c r="D48" s="260"/>
      <c r="E48" s="260"/>
      <c r="F48" s="260"/>
      <c r="G48" s="260"/>
      <c r="H48" s="260"/>
      <c r="I48" s="260"/>
      <c r="J48" s="260"/>
      <c r="K48" s="260"/>
      <c r="L48" s="260"/>
      <c r="M48" s="260"/>
      <c r="N48" s="260"/>
      <c r="O48" s="261"/>
    </row>
    <row r="49" spans="2:15" ht="25.9" customHeight="1" thickBot="1">
      <c r="B49" s="204" t="s">
        <v>71</v>
      </c>
      <c r="C49" s="206"/>
      <c r="D49" s="204" t="s">
        <v>84</v>
      </c>
      <c r="E49" s="205"/>
      <c r="F49" s="206"/>
      <c r="G49" s="204" t="s">
        <v>85</v>
      </c>
      <c r="H49" s="205"/>
      <c r="I49" s="205"/>
      <c r="J49" s="205"/>
      <c r="K49" s="206"/>
      <c r="L49" s="262" t="s">
        <v>86</v>
      </c>
      <c r="M49" s="263"/>
      <c r="N49" s="263"/>
      <c r="O49" s="264"/>
    </row>
    <row r="50" spans="2:15" ht="15" customHeight="1">
      <c r="B50" s="265" t="s">
        <v>82</v>
      </c>
      <c r="C50" s="267"/>
      <c r="D50" s="309" t="s">
        <v>87</v>
      </c>
      <c r="E50" s="266"/>
      <c r="F50" s="267"/>
      <c r="G50" s="309" t="s">
        <v>82</v>
      </c>
      <c r="H50" s="266"/>
      <c r="I50" s="266"/>
      <c r="J50" s="266"/>
      <c r="K50" s="314"/>
      <c r="L50" s="265" t="s">
        <v>82</v>
      </c>
      <c r="M50" s="266"/>
      <c r="N50" s="266"/>
      <c r="O50" s="267"/>
    </row>
    <row r="51" spans="2:15" ht="15" customHeight="1">
      <c r="B51" s="268"/>
      <c r="C51" s="270"/>
      <c r="D51" s="356"/>
      <c r="E51" s="269"/>
      <c r="F51" s="270"/>
      <c r="G51" s="356"/>
      <c r="H51" s="269"/>
      <c r="I51" s="269"/>
      <c r="J51" s="269"/>
      <c r="K51" s="361"/>
      <c r="L51" s="268"/>
      <c r="M51" s="269"/>
      <c r="N51" s="269"/>
      <c r="O51" s="270"/>
    </row>
    <row r="52" spans="2:15" ht="15" customHeight="1">
      <c r="B52" s="268"/>
      <c r="C52" s="270"/>
      <c r="D52" s="356"/>
      <c r="E52" s="269"/>
      <c r="F52" s="270"/>
      <c r="G52" s="356"/>
      <c r="H52" s="269"/>
      <c r="I52" s="269"/>
      <c r="J52" s="269"/>
      <c r="K52" s="361"/>
      <c r="L52" s="268"/>
      <c r="M52" s="269"/>
      <c r="N52" s="269"/>
      <c r="O52" s="270"/>
    </row>
    <row r="53" spans="2:15" ht="15" customHeight="1">
      <c r="B53" s="268"/>
      <c r="C53" s="270"/>
      <c r="D53" s="356"/>
      <c r="E53" s="269"/>
      <c r="F53" s="270"/>
      <c r="G53" s="356"/>
      <c r="H53" s="269"/>
      <c r="I53" s="269"/>
      <c r="J53" s="269"/>
      <c r="K53" s="361"/>
      <c r="L53" s="268"/>
      <c r="M53" s="269"/>
      <c r="N53" s="269"/>
      <c r="O53" s="270"/>
    </row>
    <row r="54" spans="2:15" ht="15" customHeight="1">
      <c r="B54" s="268"/>
      <c r="C54" s="270"/>
      <c r="D54" s="356"/>
      <c r="E54" s="269"/>
      <c r="F54" s="270"/>
      <c r="G54" s="356"/>
      <c r="H54" s="269"/>
      <c r="I54" s="269"/>
      <c r="J54" s="269"/>
      <c r="K54" s="361"/>
      <c r="L54" s="268"/>
      <c r="M54" s="269"/>
      <c r="N54" s="269"/>
      <c r="O54" s="270"/>
    </row>
    <row r="55" spans="2:15" ht="15" customHeight="1">
      <c r="B55" s="268"/>
      <c r="C55" s="270"/>
      <c r="D55" s="356"/>
      <c r="E55" s="269"/>
      <c r="F55" s="270"/>
      <c r="G55" s="356"/>
      <c r="H55" s="269"/>
      <c r="I55" s="269"/>
      <c r="J55" s="269"/>
      <c r="K55" s="361"/>
      <c r="L55" s="268"/>
      <c r="M55" s="269"/>
      <c r="N55" s="269"/>
      <c r="O55" s="270"/>
    </row>
    <row r="56" spans="2:15" ht="15" customHeight="1">
      <c r="B56" s="268"/>
      <c r="C56" s="270"/>
      <c r="D56" s="356"/>
      <c r="E56" s="269"/>
      <c r="F56" s="270"/>
      <c r="G56" s="356"/>
      <c r="H56" s="269"/>
      <c r="I56" s="269"/>
      <c r="J56" s="269"/>
      <c r="K56" s="361"/>
      <c r="L56" s="268"/>
      <c r="M56" s="269"/>
      <c r="N56" s="269"/>
      <c r="O56" s="270"/>
    </row>
    <row r="57" spans="2:15" ht="15" customHeight="1">
      <c r="B57" s="268"/>
      <c r="C57" s="270"/>
      <c r="D57" s="356"/>
      <c r="E57" s="269"/>
      <c r="F57" s="270"/>
      <c r="G57" s="356"/>
      <c r="H57" s="269"/>
      <c r="I57" s="269"/>
      <c r="J57" s="269"/>
      <c r="K57" s="361"/>
      <c r="L57" s="268"/>
      <c r="M57" s="269"/>
      <c r="N57" s="269"/>
      <c r="O57" s="270"/>
    </row>
    <row r="58" spans="2:15" ht="15" customHeight="1">
      <c r="B58" s="268"/>
      <c r="C58" s="270"/>
      <c r="D58" s="356"/>
      <c r="E58" s="269"/>
      <c r="F58" s="270"/>
      <c r="G58" s="356"/>
      <c r="H58" s="269"/>
      <c r="I58" s="269"/>
      <c r="J58" s="269"/>
      <c r="K58" s="361"/>
      <c r="L58" s="268"/>
      <c r="M58" s="269"/>
      <c r="N58" s="269"/>
      <c r="O58" s="270"/>
    </row>
    <row r="59" spans="2:15" ht="15" customHeight="1" thickBot="1">
      <c r="B59" s="357"/>
      <c r="C59" s="359"/>
      <c r="D59" s="360"/>
      <c r="E59" s="358"/>
      <c r="F59" s="359"/>
      <c r="G59" s="360"/>
      <c r="H59" s="358"/>
      <c r="I59" s="358"/>
      <c r="J59" s="358"/>
      <c r="K59" s="362"/>
      <c r="L59" s="357"/>
      <c r="M59" s="358"/>
      <c r="N59" s="358"/>
      <c r="O59" s="359"/>
    </row>
    <row r="60" spans="2:15" ht="15" customHeight="1" thickBot="1"/>
    <row r="61" spans="2:15" ht="22.15" customHeight="1" thickBot="1">
      <c r="B61" s="259" t="s">
        <v>88</v>
      </c>
      <c r="C61" s="260"/>
      <c r="D61" s="260"/>
      <c r="E61" s="260"/>
      <c r="F61" s="260"/>
      <c r="G61" s="260"/>
      <c r="H61" s="260"/>
      <c r="I61" s="260"/>
      <c r="J61" s="260"/>
      <c r="K61" s="261"/>
    </row>
    <row r="62" spans="2:15" ht="15" thickBot="1">
      <c r="B62" s="292" t="s">
        <v>89</v>
      </c>
      <c r="C62" s="293"/>
      <c r="D62" s="293"/>
      <c r="E62" s="294"/>
      <c r="F62" s="252" t="s">
        <v>90</v>
      </c>
      <c r="G62" s="253"/>
      <c r="H62" s="253"/>
      <c r="I62" s="253"/>
      <c r="J62" s="253"/>
      <c r="K62" s="254"/>
    </row>
    <row r="63" spans="2:15">
      <c r="B63" s="236" t="s">
        <v>91</v>
      </c>
      <c r="C63" s="237"/>
      <c r="D63" s="237"/>
      <c r="E63" s="238"/>
      <c r="F63" s="228" t="s">
        <v>92</v>
      </c>
      <c r="G63" s="229"/>
      <c r="H63" s="229"/>
      <c r="I63" s="229"/>
      <c r="J63" s="229"/>
      <c r="K63" s="230"/>
    </row>
    <row r="64" spans="2:15" ht="27.6" customHeight="1">
      <c r="B64" s="186" t="s">
        <v>93</v>
      </c>
      <c r="C64" s="187"/>
      <c r="D64" s="187"/>
      <c r="E64" s="188"/>
      <c r="F64" s="231" t="s">
        <v>94</v>
      </c>
      <c r="G64" s="232"/>
      <c r="H64" s="232"/>
      <c r="I64" s="232"/>
      <c r="J64" s="232"/>
      <c r="K64" s="233"/>
    </row>
    <row r="65" spans="2:11" ht="27.6" customHeight="1">
      <c r="B65" s="186" t="s">
        <v>95</v>
      </c>
      <c r="C65" s="187"/>
      <c r="D65" s="187"/>
      <c r="E65" s="188"/>
      <c r="F65" s="231" t="s">
        <v>96</v>
      </c>
      <c r="G65" s="232"/>
      <c r="H65" s="232"/>
      <c r="I65" s="232"/>
      <c r="J65" s="232"/>
      <c r="K65" s="233"/>
    </row>
    <row r="66" spans="2:11" ht="29.45" customHeight="1">
      <c r="B66" s="186" t="s">
        <v>97</v>
      </c>
      <c r="C66" s="187"/>
      <c r="D66" s="187"/>
      <c r="E66" s="188"/>
      <c r="F66" s="231" t="s">
        <v>98</v>
      </c>
      <c r="G66" s="232"/>
      <c r="H66" s="232"/>
      <c r="I66" s="232"/>
      <c r="J66" s="232"/>
      <c r="K66" s="233"/>
    </row>
    <row r="67" spans="2:11" ht="15" thickBot="1">
      <c r="B67" s="315" t="s">
        <v>99</v>
      </c>
      <c r="C67" s="316"/>
      <c r="D67" s="316"/>
      <c r="E67" s="317"/>
      <c r="F67" s="328" t="s">
        <v>100</v>
      </c>
      <c r="G67" s="329"/>
      <c r="H67" s="329"/>
      <c r="I67" s="329"/>
      <c r="J67" s="329"/>
      <c r="K67" s="330"/>
    </row>
  </sheetData>
  <sheetProtection algorithmName="SHA-512" hashValue="gqHYKsYNTOViRZbjwx4JBX2Z+eEO0Ulf/PXew/TKx/0EVMrpYPT+lFw3b86394rrrXpbpHhCAPZgV0Cmqjs8ig==" saltValue="AOg7Vh9zvY/eoDrjI3qLpA==" spinCount="100000" sheet="1" objects="1" scenarios="1"/>
  <mergeCells count="165">
    <mergeCell ref="L59:O59"/>
    <mergeCell ref="B59:C59"/>
    <mergeCell ref="B51:C51"/>
    <mergeCell ref="B53:C53"/>
    <mergeCell ref="B52:C52"/>
    <mergeCell ref="B54:C54"/>
    <mergeCell ref="L53:O53"/>
    <mergeCell ref="L54:O54"/>
    <mergeCell ref="L55:O55"/>
    <mergeCell ref="L56:O56"/>
    <mergeCell ref="D58:F58"/>
    <mergeCell ref="D59:F59"/>
    <mergeCell ref="D53:F53"/>
    <mergeCell ref="L57:O57"/>
    <mergeCell ref="L58:O58"/>
    <mergeCell ref="G58:K58"/>
    <mergeCell ref="G59:K59"/>
    <mergeCell ref="G51:K51"/>
    <mergeCell ref="G52:K52"/>
    <mergeCell ref="G53:K53"/>
    <mergeCell ref="G54:K54"/>
    <mergeCell ref="G55:K55"/>
    <mergeCell ref="G56:K56"/>
    <mergeCell ref="G57:K57"/>
    <mergeCell ref="B56:C56"/>
    <mergeCell ref="B57:C57"/>
    <mergeCell ref="D51:F51"/>
    <mergeCell ref="D52:F52"/>
    <mergeCell ref="B58:C58"/>
    <mergeCell ref="D54:F54"/>
    <mergeCell ref="D55:F55"/>
    <mergeCell ref="D56:F56"/>
    <mergeCell ref="D57:F57"/>
    <mergeCell ref="J11:L11"/>
    <mergeCell ref="F46:I46"/>
    <mergeCell ref="D35:K35"/>
    <mergeCell ref="D36:E36"/>
    <mergeCell ref="F36:I36"/>
    <mergeCell ref="F37:I37"/>
    <mergeCell ref="F38:I38"/>
    <mergeCell ref="F39:I39"/>
    <mergeCell ref="F40:I40"/>
    <mergeCell ref="F41:I41"/>
    <mergeCell ref="J36:K36"/>
    <mergeCell ref="J42:K42"/>
    <mergeCell ref="J46:K46"/>
    <mergeCell ref="J43:K43"/>
    <mergeCell ref="J22:J23"/>
    <mergeCell ref="J24:J26"/>
    <mergeCell ref="J37:K37"/>
    <mergeCell ref="L35:M35"/>
    <mergeCell ref="K17:L18"/>
    <mergeCell ref="K19:L21"/>
    <mergeCell ref="D50:F50"/>
    <mergeCell ref="K14:L14"/>
    <mergeCell ref="K15:L16"/>
    <mergeCell ref="G50:K50"/>
    <mergeCell ref="B67:E67"/>
    <mergeCell ref="B65:E65"/>
    <mergeCell ref="D43:E43"/>
    <mergeCell ref="D46:E46"/>
    <mergeCell ref="D37:E37"/>
    <mergeCell ref="D38:E38"/>
    <mergeCell ref="D39:E39"/>
    <mergeCell ref="C24:C26"/>
    <mergeCell ref="K28:L28"/>
    <mergeCell ref="K27:L27"/>
    <mergeCell ref="K24:L26"/>
    <mergeCell ref="K32:L32"/>
    <mergeCell ref="K29:L29"/>
    <mergeCell ref="K30:L30"/>
    <mergeCell ref="F66:K66"/>
    <mergeCell ref="F67:K67"/>
    <mergeCell ref="B64:E64"/>
    <mergeCell ref="D30:H30"/>
    <mergeCell ref="D31:H31"/>
    <mergeCell ref="D32:H32"/>
    <mergeCell ref="B62:E62"/>
    <mergeCell ref="B61:K61"/>
    <mergeCell ref="B50:C50"/>
    <mergeCell ref="B55:C55"/>
    <mergeCell ref="P35:P36"/>
    <mergeCell ref="B34:O34"/>
    <mergeCell ref="J44:K44"/>
    <mergeCell ref="J45:K45"/>
    <mergeCell ref="B35:B36"/>
    <mergeCell ref="C35:C36"/>
    <mergeCell ref="N35:N36"/>
    <mergeCell ref="O35:O36"/>
    <mergeCell ref="J38:K38"/>
    <mergeCell ref="J39:K39"/>
    <mergeCell ref="F42:I42"/>
    <mergeCell ref="F43:I43"/>
    <mergeCell ref="D40:E40"/>
    <mergeCell ref="D41:E41"/>
    <mergeCell ref="D42:E42"/>
    <mergeCell ref="F44:I44"/>
    <mergeCell ref="F45:I45"/>
    <mergeCell ref="B49:C49"/>
    <mergeCell ref="D49:F49"/>
    <mergeCell ref="G49:K49"/>
    <mergeCell ref="C10:H10"/>
    <mergeCell ref="F12:H13"/>
    <mergeCell ref="C5:E5"/>
    <mergeCell ref="C9:E9"/>
    <mergeCell ref="G21:H21"/>
    <mergeCell ref="D12:E14"/>
    <mergeCell ref="B8:H8"/>
    <mergeCell ref="D15:D16"/>
    <mergeCell ref="D17:D18"/>
    <mergeCell ref="D19:D21"/>
    <mergeCell ref="C15:C16"/>
    <mergeCell ref="G17:H17"/>
    <mergeCell ref="G18:H18"/>
    <mergeCell ref="G5:H5"/>
    <mergeCell ref="G9:H9"/>
    <mergeCell ref="G15:H15"/>
    <mergeCell ref="F63:K63"/>
    <mergeCell ref="F65:K65"/>
    <mergeCell ref="F64:K64"/>
    <mergeCell ref="J40:K40"/>
    <mergeCell ref="J41:K41"/>
    <mergeCell ref="B63:E63"/>
    <mergeCell ref="B27:B28"/>
    <mergeCell ref="D22:D23"/>
    <mergeCell ref="E15:E16"/>
    <mergeCell ref="E24:E26"/>
    <mergeCell ref="D24:D26"/>
    <mergeCell ref="D27:H27"/>
    <mergeCell ref="D28:H28"/>
    <mergeCell ref="G23:H23"/>
    <mergeCell ref="F62:K62"/>
    <mergeCell ref="B29:B31"/>
    <mergeCell ref="D29:H29"/>
    <mergeCell ref="K22:L23"/>
    <mergeCell ref="K31:L31"/>
    <mergeCell ref="B48:O48"/>
    <mergeCell ref="L49:O49"/>
    <mergeCell ref="L50:O50"/>
    <mergeCell ref="L51:O51"/>
    <mergeCell ref="L52:O52"/>
    <mergeCell ref="B66:E66"/>
    <mergeCell ref="B2:H2"/>
    <mergeCell ref="B3:H3"/>
    <mergeCell ref="B11:H11"/>
    <mergeCell ref="B12:C14"/>
    <mergeCell ref="J15:J16"/>
    <mergeCell ref="B15:B26"/>
    <mergeCell ref="J12:L13"/>
    <mergeCell ref="J17:J18"/>
    <mergeCell ref="J19:J21"/>
    <mergeCell ref="G14:H14"/>
    <mergeCell ref="G19:H19"/>
    <mergeCell ref="G20:H20"/>
    <mergeCell ref="C17:C18"/>
    <mergeCell ref="E17:E18"/>
    <mergeCell ref="C19:C21"/>
    <mergeCell ref="C22:C23"/>
    <mergeCell ref="G22:H22"/>
    <mergeCell ref="G16:H16"/>
    <mergeCell ref="G4:H4"/>
    <mergeCell ref="C6:H6"/>
    <mergeCell ref="E22:E23"/>
    <mergeCell ref="E19:E21"/>
    <mergeCell ref="C4:E4"/>
  </mergeCells>
  <phoneticPr fontId="16" type="noConversion"/>
  <dataValidations xWindow="676" yWindow="519" count="17">
    <dataValidation allowBlank="1" showInputMessage="1" showErrorMessage="1" promptTitle="About your organisation" prompt="Please provide a brief description of your organisation." sqref="C6:H6 C8:H8" xr:uid="{A953B3D4-55D8-4DEC-8327-9B556E849837}"/>
    <dataValidation allowBlank="1" showInputMessage="1" showErrorMessage="1" promptTitle="Sustainable Advisour (SA)" prompt="Please write the name of the SA if known, otherwise leave blank. Eligible SME will be assinged with a SA as soon as." sqref="C9:E9" xr:uid="{F15CDDC6-9948-4DD3-AE65-6F011C0ADD3E}"/>
    <dataValidation allowBlank="1" showInputMessage="1" showErrorMessage="1" promptTitle="Energy Target" prompt="Please enter a realistic percentage target your organisation driving to achieve within the time frame." sqref="K15:L16" xr:uid="{AC3640A7-B332-4E10-ACE2-2E040BC05A83}"/>
    <dataValidation allowBlank="1" showInputMessage="1" showErrorMessage="1" promptTitle="Water Target" prompt="Please enter a realistic percentage target your organisation driving to achieve within the time frame." sqref="K17:L18" xr:uid="{DF1BDF8F-11BF-4C3D-BE05-98D103267307}"/>
    <dataValidation allowBlank="1" showInputMessage="1" showErrorMessage="1" promptTitle="Waste Target" prompt="Please enter a realistic percentage target your organisation driving to achieve within the time frame. " sqref="K19:L21" xr:uid="{2B1FA02A-D7F0-443B-83FE-D8F664FBD6CE}"/>
    <dataValidation allowBlank="1" showInputMessage="1" showErrorMessage="1" promptTitle="Carbon Footprint Target" prompt="Please enter a realistic percentage target your organisation driving to achieve within the time frame. " sqref="K24:L26" xr:uid="{32BCDA6E-8A29-41D4-97C2-9E803F195034}"/>
    <dataValidation allowBlank="1" showInputMessage="1" showErrorMessage="1" promptTitle="Material Reduction Target" prompt="Please enter a realistic percentage target your organisation driving to achieve within the time frame." sqref="K22:L23" xr:uid="{4F3D64CC-01F7-4C6F-A59A-7B7F7D1D07FE}"/>
    <dataValidation allowBlank="1" showInputMessage="1" showErrorMessage="1" promptTitle="Investment in communities" prompt="If applicable, please enter a budget percentage target against EBITDA data that your organisation will spend on local community development activities within the time frame." sqref="K27:L27" xr:uid="{2A286DE4-8E43-4A39-9DD4-7E0D2D505AF1}"/>
    <dataValidation allowBlank="1" showInputMessage="1" showErrorMessage="1" promptTitle="Employee Development" prompt="If applicable, please enter a budget percentage target against EBITDA data that your organisation will spend on employee development within the time frame." sqref="K28:L28" xr:uid="{74FD2483-260D-4F4E-A20F-5C9329E0BB8E}"/>
    <dataValidation allowBlank="1" showInputMessage="1" showErrorMessage="1" promptTitle="Research &amp; Development" prompt="If applicable, please enter a budget percentage target against EBITDA data that your organisation will spend on Research &amp; Development within the time frame." sqref="K29:L29" xr:uid="{6BB68AEE-3EAA-47C2-BBCF-8D34BA729116}"/>
    <dataValidation allowBlank="1" showInputMessage="1" showErrorMessage="1" promptTitle="Project Benefits." prompt="Describe project benefits to your organisation." sqref="J37:J46 K37:K43 K46" xr:uid="{E91F569F-A456-4079-8B00-89F732A18177}"/>
    <dataValidation allowBlank="1" showInputMessage="1" showErrorMessage="1" promptTitle="Project Start Date" prompt="Please enter the potential project start month and year." sqref="L37:L46" xr:uid="{E26B841A-C0C6-480A-8AF2-A792C65E0177}"/>
    <dataValidation allowBlank="1" showInputMessage="1" showErrorMessage="1" promptTitle="Project End Date" prompt="Please enter the expected project end month and year." sqref="M37:M46" xr:uid="{41277A33-162A-46EF-AC31-2DC99D4D6556}"/>
    <dataValidation allowBlank="1" showInputMessage="1" showErrorMessage="1" promptTitle="Stakeholders" prompt="Please list project responsible/approval people names/teams." sqref="N37:N46" xr:uid="{2240FA3C-D62D-4EF4-8FD9-A7CE1225B963}"/>
    <dataValidation allowBlank="1" showInputMessage="1" showErrorMessage="1" promptTitle="Project Description" prompt="Please describe the project in brief. What is the project about, why your organisation needs it." sqref="F37:I46" xr:uid="{1767390F-438F-4642-A12E-8F1159E4806F}"/>
    <dataValidation allowBlank="1" showInputMessage="1" showErrorMessage="1" prompt="Please specify the benefits and add as much details as possible. Please quantify where possible." sqref="G50:K59" xr:uid="{6C98B4D8-AA60-41C4-9EF5-41668BF374AA}"/>
    <dataValidation allowBlank="1" showErrorMessage="1" sqref="C7:E7" xr:uid="{94220569-2B5F-4F5A-8690-F5DF89825685}"/>
  </dataValidations>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xWindow="676" yWindow="519" count="20">
        <x14:dataValidation type="list" allowBlank="1" showInputMessage="1" showErrorMessage="1" promptTitle="Option" prompt="Please select an option suits your organisation" xr:uid="{0804AD1C-2B36-475B-868D-2A549D66A06E}">
          <x14:formula1>
            <xm:f>Data!$J$3:$J$6</xm:f>
          </x14:formula1>
          <xm:sqref>D28</xm:sqref>
        </x14:dataValidation>
        <x14:dataValidation type="list" allowBlank="1" showInputMessage="1" showErrorMessage="1" promptTitle="Option" prompt="Pelase select an option suits your organisation" xr:uid="{09AD8E4B-E185-41F2-8499-47CFA7AEC3C3}">
          <x14:formula1>
            <xm:f>Data!$L$3:$L$6</xm:f>
          </x14:formula1>
          <xm:sqref>D30</xm:sqref>
        </x14:dataValidation>
        <x14:dataValidation type="list" allowBlank="1" showInputMessage="1" showErrorMessage="1" promptTitle="Option" prompt="Select an option suits your organisaiton" xr:uid="{BF991B7D-6EBF-4C0A-9EDF-4641523CA9F9}">
          <x14:formula1>
            <xm:f>Data!$P$3:$P$6</xm:f>
          </x14:formula1>
          <xm:sqref>D31</xm:sqref>
        </x14:dataValidation>
        <x14:dataValidation type="list" allowBlank="1" showInputMessage="1" showErrorMessage="1" promptTitle="Option" prompt="Select an option suits your organisation" xr:uid="{2530D1FF-9234-42D2-8973-A8D82EA94145}">
          <x14:formula1>
            <xm:f>Data!$T$3:$T$6</xm:f>
          </x14:formula1>
          <xm:sqref>D29</xm:sqref>
        </x14:dataValidation>
        <x14:dataValidation type="list" allowBlank="1" showInputMessage="1" showErrorMessage="1" promptTitle="Option" prompt="Slection an option suits your organisation" xr:uid="{7C11526D-027A-4AD7-A9AB-0929BC9F0710}">
          <x14:formula1>
            <xm:f>Data!$V$3:$V$6</xm:f>
          </x14:formula1>
          <xm:sqref>D27</xm:sqref>
        </x14:dataValidation>
        <x14:dataValidation type="list" allowBlank="1" showInputMessage="1" showErrorMessage="1" promptTitle="Option" prompt="Select an option suits your organisation" xr:uid="{2F387D62-4B7C-4F30-BC0E-3A2A390ECA46}">
          <x14:formula1>
            <xm:f>Data!$X$3:$X$6</xm:f>
          </x14:formula1>
          <xm:sqref>D32</xm:sqref>
        </x14:dataValidation>
        <x14:dataValidation type="list" allowBlank="1" showInputMessage="1" showErrorMessage="1" promptTitle="Select Country" prompt="Pleae select the country your organisation operate from. " xr:uid="{1B6C441B-A34D-4514-84A0-51D1C5D704C8}">
          <x14:formula1>
            <xm:f>Data!$AB$3:$AB$34</xm:f>
          </x14:formula1>
          <xm:sqref>G4:H4</xm:sqref>
        </x14:dataValidation>
        <x14:dataValidation type="list" allowBlank="1" showInputMessage="1" showErrorMessage="1" promptTitle="Industry sector" prompt="Please select the industry your organisaiton operate in" xr:uid="{4834EBD9-CBD5-49BA-89E8-3B0E586B84DC}">
          <x14:formula1>
            <xm:f>Data!$AD$3:$AD$40</xm:f>
          </x14:formula1>
          <xm:sqref>G5:H5</xm:sqref>
        </x14:dataValidation>
        <x14:dataValidation type="list" allowBlank="1" showInputMessage="1" showErrorMessage="1" promptTitle="Select next target" prompt="Select the appropriate target for your organisation within the time frame. " xr:uid="{5195956B-F199-45A2-85B7-7AE53B009517}">
          <x14:formula1>
            <xm:f>Data!$R$3:$R$5</xm:f>
          </x14:formula1>
          <xm:sqref>K31:L31</xm:sqref>
        </x14:dataValidation>
        <x14:dataValidation type="list" allowBlank="1" showInputMessage="1" showErrorMessage="1" promptTitle="Select next target" prompt="Select the appropriate target for your organisation within the time frame. " xr:uid="{070E39C4-09BF-4E8D-8110-40408298371B}">
          <x14:formula1>
            <xm:f>Data!$Z$3:$Z$5</xm:f>
          </x14:formula1>
          <xm:sqref>K32:L32</xm:sqref>
        </x14:dataValidation>
        <x14:dataValidation type="list" allowBlank="1" showInputMessage="1" showErrorMessage="1" xr:uid="{A2357D89-499F-4CB2-ADEB-B07DB57A656D}">
          <x14:formula1>
            <xm:f>Data!$AM$3:$AM$4</xm:f>
          </x14:formula1>
          <xm:sqref>F67</xm:sqref>
        </x14:dataValidation>
        <x14:dataValidation type="list" allowBlank="1" showInputMessage="1" showErrorMessage="1" xr:uid="{4535DF72-A016-46B9-9E79-69E7C4A3328C}">
          <x14:formula1>
            <xm:f>Data!$AI$3:$AI$8</xm:f>
          </x14:formula1>
          <xm:sqref>F65</xm:sqref>
        </x14:dataValidation>
        <x14:dataValidation type="list" allowBlank="1" showInputMessage="1" showErrorMessage="1" promptTitle="Transition Area" prompt="Please select the suitable transition area for the project" xr:uid="{C5B7E648-FE6B-4517-BDA3-ABAA37C8219A}">
          <x14:formula1>
            <xm:f>Data!$E$3:$E$16</xm:f>
          </x14:formula1>
          <xm:sqref>C37:C46</xm:sqref>
        </x14:dataValidation>
        <x14:dataValidation type="list" allowBlank="1" showInputMessage="1" showErrorMessage="1" promptTitle="Select next target" prompt="Select the appropriate target for your organisation within the time frame. " xr:uid="{2EAF1569-E34A-4C1D-A2F6-2F725F4953C3}">
          <x14:formula1>
            <xm:f>Data!$N$3:$N$5</xm:f>
          </x14:formula1>
          <xm:sqref>K30:L30</xm:sqref>
        </x14:dataValidation>
        <x14:dataValidation type="list" allowBlank="1" showInputMessage="1" showErrorMessage="1" xr:uid="{DC5A865D-263F-4837-8688-93EB697A5396}">
          <x14:formula1>
            <xm:f>Data!$AK$3:$AK$5</xm:f>
          </x14:formula1>
          <xm:sqref>F66</xm:sqref>
        </x14:dataValidation>
        <x14:dataValidation type="list" allowBlank="1" showInputMessage="1" showErrorMessage="1" xr:uid="{426640BF-CDC9-4EE5-B2FA-556E41914688}">
          <x14:formula1>
            <xm:f>Data!$AO$2:$AO$11</xm:f>
          </x14:formula1>
          <xm:sqref>F63</xm:sqref>
        </x14:dataValidation>
        <x14:dataValidation type="list" allowBlank="1" showInputMessage="1" showErrorMessage="1" promptTitle="Date" prompt="Select the year to achieve the target" xr:uid="{A787B9F9-BDB1-4C9F-9C21-8134CD70016B}">
          <x14:formula1>
            <xm:f>Data!$G$3:$G$9</xm:f>
          </x14:formula1>
          <xm:sqref>J15:J32</xm:sqref>
        </x14:dataValidation>
        <x14:dataValidation type="list" errorStyle="information" allowBlank="1" showInputMessage="1" showErrorMessage="1" prompt="Please select a NACE Level I Sector" xr:uid="{7FBFD280-0AFE-4706-A093-E113AC257624}">
          <x14:formula1>
            <xm:f>OFFSET(Data!$AQ$2,1,MATCH($F63,Data!$AQ$2:$AY$2,0)-1,COUNTA(OFFSET(Data!$AQ$2,1,MATCH(F63:H63,Data!$AQ$2:$AY$2,0)-1,35)),1)</xm:f>
          </x14:formula1>
          <xm:sqref>F64:K64</xm:sqref>
        </x14:dataValidation>
        <x14:dataValidation type="list" allowBlank="1" showInputMessage="1" showErrorMessage="1" prompt="Please select enabling technologies to support the project" xr:uid="{AEBEE26B-30D4-4A7E-9585-F96D0BC0C23D}">
          <x14:formula1>
            <xm:f>'Data 2'!$E$7:$E$106</xm:f>
          </x14:formula1>
          <xm:sqref>D50:F59</xm:sqref>
        </x14:dataValidation>
        <x14:dataValidation type="list" allowBlank="1" showInputMessage="1" showErrorMessage="1" prompt="Please select the identified project. If multiple technologies are used on the same project, please select the same project title as require to fill the technologies and benefits. " xr:uid="{634B951C-5FDD-4CE4-864A-11125434E7F5}">
          <x14:formula1>
            <xm:f>Data!$B$3:$B$12</xm:f>
          </x14:formula1>
          <xm:sqref>B50:C59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074AE-1408-4BC4-B50F-E1B59515D7D7}">
  <dimension ref="D1:N14"/>
  <sheetViews>
    <sheetView showGridLines="0" topLeftCell="B1" zoomScale="90" zoomScaleNormal="90" workbookViewId="0">
      <selection activeCell="D4" sqref="D4"/>
    </sheetView>
  </sheetViews>
  <sheetFormatPr defaultRowHeight="14.45"/>
  <cols>
    <col min="1" max="1" width="6" customWidth="1"/>
    <col min="2" max="2" width="7.28515625" customWidth="1"/>
    <col min="3" max="3" width="6.28515625" customWidth="1"/>
    <col min="4" max="4" width="22.7109375" customWidth="1"/>
    <col min="5" max="5" width="19.28515625" customWidth="1"/>
    <col min="6" max="13" width="15.7109375" customWidth="1"/>
    <col min="14" max="14" width="20.7109375" customWidth="1"/>
  </cols>
  <sheetData>
    <row r="1" spans="4:14" ht="18.600000000000001" customHeight="1"/>
    <row r="2" spans="4:14" ht="45" customHeight="1" thickBot="1">
      <c r="D2" s="367" t="str">
        <f>'ST Plan'!C4</f>
        <v>SPIKA TECH S.L.</v>
      </c>
      <c r="E2" s="367"/>
      <c r="F2" s="367"/>
      <c r="G2" s="367"/>
      <c r="H2" s="367"/>
      <c r="I2" s="368" t="s">
        <v>101</v>
      </c>
      <c r="J2" s="368"/>
      <c r="K2" s="368"/>
      <c r="L2" s="368"/>
      <c r="M2" s="368"/>
      <c r="N2" s="368"/>
    </row>
    <row r="3" spans="4:14" ht="34.15" customHeight="1" thickBot="1">
      <c r="D3" s="25" t="s">
        <v>102</v>
      </c>
      <c r="E3" s="25" t="s">
        <v>103</v>
      </c>
      <c r="F3" s="365" t="s">
        <v>104</v>
      </c>
      <c r="G3" s="366"/>
      <c r="H3" s="366"/>
      <c r="I3" s="366"/>
      <c r="J3" s="366"/>
      <c r="K3" s="366"/>
      <c r="L3" s="366"/>
      <c r="M3" s="366"/>
      <c r="N3" s="25" t="s">
        <v>105</v>
      </c>
    </row>
    <row r="4" spans="4:14" ht="30" customHeight="1" thickBot="1">
      <c r="D4" s="7" t="str">
        <f>'ST Plan'!C37</f>
        <v>Increase Productivity</v>
      </c>
      <c r="E4" s="55" t="e" cm="1">
        <f t="array" ref="E4:E13">VLOOKUP(D4:D13,'ST Plan'!U37:V46,2,FALSE)</f>
        <v>#N/A</v>
      </c>
      <c r="F4" s="26" t="e">
        <f>IF(F$14='ST Plan'!$R37,'ST Plan'!$D37,"")</f>
        <v>#VALUE!</v>
      </c>
      <c r="G4" s="26" t="e">
        <f>IF(G$14='ST Plan'!$R37,'ST Plan'!$D37,"")</f>
        <v>#VALUE!</v>
      </c>
      <c r="H4" s="26" t="e">
        <f>IF(H$14='ST Plan'!$R37,'ST Plan'!$D37,"")</f>
        <v>#VALUE!</v>
      </c>
      <c r="I4" s="26" t="e">
        <f>IF(I$14='ST Plan'!$R37,'ST Plan'!$D37,"")</f>
        <v>#VALUE!</v>
      </c>
      <c r="J4" s="26" t="e">
        <f>IF(J$14='ST Plan'!$R37,'ST Plan'!$D37,"")</f>
        <v>#VALUE!</v>
      </c>
      <c r="K4" s="26" t="e">
        <f>IF(K$14='ST Plan'!$R37,'ST Plan'!$D37,"")</f>
        <v>#VALUE!</v>
      </c>
      <c r="L4" s="26" t="e">
        <f>IF(L$14='ST Plan'!$R37,'ST Plan'!$D37,"")</f>
        <v>#VALUE!</v>
      </c>
      <c r="M4" s="26" t="e">
        <f>IF(M$14='ST Plan'!$R37,'ST Plan'!$D37,"")</f>
        <v>#VALUE!</v>
      </c>
      <c r="N4" s="8" t="e" cm="1">
        <f t="array" ref="N4:N13">VLOOKUP(D4:D13,'ST Plan'!U37:W46,3,FALSE)</f>
        <v>#N/A</v>
      </c>
    </row>
    <row r="5" spans="4:14" ht="30" customHeight="1" thickBot="1">
      <c r="D5" s="7">
        <f>'ST Plan'!C38</f>
        <v>0</v>
      </c>
      <c r="E5" s="55" t="e">
        <v>#N/A</v>
      </c>
      <c r="F5" s="26" t="str">
        <f>IF(F$14='ST Plan'!$R38,'ST Plan'!$D38,"")</f>
        <v/>
      </c>
      <c r="G5" s="26" t="str">
        <f>IF(G$14='ST Plan'!$R38,'ST Plan'!$D38,"")</f>
        <v/>
      </c>
      <c r="H5" s="26" t="str">
        <f>IF(H$14='ST Plan'!$R38,'ST Plan'!$D38,"")</f>
        <v/>
      </c>
      <c r="I5" s="26" t="str">
        <f>IF(I$14='ST Plan'!$R38,'ST Plan'!$D38,"")</f>
        <v/>
      </c>
      <c r="J5" s="26" t="str">
        <f>IF(J$14='ST Plan'!$R38,'ST Plan'!$D38,"")</f>
        <v/>
      </c>
      <c r="K5" s="26" t="str">
        <f>IF(K$14='ST Plan'!$R38,'ST Plan'!$D38,"")</f>
        <v/>
      </c>
      <c r="L5" s="26" t="str">
        <f>IF(L$14='ST Plan'!$R38,'ST Plan'!$D38,"")</f>
        <v/>
      </c>
      <c r="M5" s="26" t="str">
        <f>IF(M$14='ST Plan'!$R38,'ST Plan'!$D38,"")</f>
        <v/>
      </c>
      <c r="N5" s="8" t="e">
        <v>#N/A</v>
      </c>
    </row>
    <row r="6" spans="4:14" ht="30" customHeight="1" thickBot="1">
      <c r="D6" s="7">
        <f>'ST Plan'!C39</f>
        <v>0</v>
      </c>
      <c r="E6" s="55" t="e">
        <v>#N/A</v>
      </c>
      <c r="F6" s="26" t="str">
        <f>IF(F$14='ST Plan'!$R39,'ST Plan'!$D39,"")</f>
        <v/>
      </c>
      <c r="G6" s="26" t="str">
        <f>IF(G$14='ST Plan'!$R39,'ST Plan'!$D39,"")</f>
        <v/>
      </c>
      <c r="H6" s="26" t="str">
        <f>IF(H$14='ST Plan'!$R39,'ST Plan'!$D39,"")</f>
        <v/>
      </c>
      <c r="I6" s="26" t="str">
        <f>IF(I$14='ST Plan'!$R39,'ST Plan'!$D39,"")</f>
        <v/>
      </c>
      <c r="J6" s="26" t="str">
        <f>IF(J$14='ST Plan'!$R39,'ST Plan'!$D39,"")</f>
        <v/>
      </c>
      <c r="K6" s="26" t="str">
        <f>IF(K$14='ST Plan'!$R39,'ST Plan'!$D39,"")</f>
        <v/>
      </c>
      <c r="L6" s="26" t="str">
        <f>IF(L$14='ST Plan'!$R39,'ST Plan'!$D39,"")</f>
        <v/>
      </c>
      <c r="M6" s="26" t="str">
        <f>IF(M$14='ST Plan'!$R39,'ST Plan'!$D39,"")</f>
        <v/>
      </c>
      <c r="N6" s="8" t="e">
        <v>#N/A</v>
      </c>
    </row>
    <row r="7" spans="4:14" ht="30" customHeight="1" thickBot="1">
      <c r="D7" s="7">
        <f>'ST Plan'!C40</f>
        <v>0</v>
      </c>
      <c r="E7" s="55" t="e">
        <v>#N/A</v>
      </c>
      <c r="F7" s="26"/>
      <c r="G7" s="26" t="str">
        <f>IF(G$14='ST Plan'!$R40,'ST Plan'!$D40,"")</f>
        <v/>
      </c>
      <c r="H7" s="26" t="str">
        <f>IF(H$14='ST Plan'!$R40,'ST Plan'!$D40,"")</f>
        <v/>
      </c>
      <c r="I7" s="26" t="str">
        <f>IF(I$14='ST Plan'!$R40,'ST Plan'!$D40,"")</f>
        <v/>
      </c>
      <c r="J7" s="26" t="str">
        <f>IF(J$14='ST Plan'!$R40,'ST Plan'!$D40,"")</f>
        <v/>
      </c>
      <c r="K7" s="26" t="str">
        <f>IF(K$14='ST Plan'!$R40,'ST Plan'!$D40,"")</f>
        <v/>
      </c>
      <c r="L7" s="26" t="str">
        <f>IF(L$14='ST Plan'!$R40,'ST Plan'!$D40,"")</f>
        <v/>
      </c>
      <c r="M7" s="26" t="str">
        <f>IF(M$14='ST Plan'!$R40,'ST Plan'!$D40,"")</f>
        <v/>
      </c>
      <c r="N7" s="8" t="e">
        <v>#N/A</v>
      </c>
    </row>
    <row r="8" spans="4:14" ht="30" customHeight="1" thickBot="1">
      <c r="D8" s="7">
        <f>'ST Plan'!C41</f>
        <v>0</v>
      </c>
      <c r="E8" s="55" t="e">
        <v>#N/A</v>
      </c>
      <c r="F8" s="26" t="str">
        <f>IF(F$14='ST Plan'!$R41,'ST Plan'!$D41,"")</f>
        <v/>
      </c>
      <c r="G8" s="26" t="str">
        <f>IF(G$14='ST Plan'!$R41,'ST Plan'!$D41,"")</f>
        <v/>
      </c>
      <c r="H8" s="26" t="str">
        <f>IF(H$14='ST Plan'!$R41,'ST Plan'!$D41,"")</f>
        <v/>
      </c>
      <c r="I8" s="26" t="str">
        <f>IF(I$14='ST Plan'!$R41,'ST Plan'!$D41,"")</f>
        <v/>
      </c>
      <c r="J8" s="26" t="str">
        <f>IF(J$14='ST Plan'!$R41,'ST Plan'!$D41,"")</f>
        <v/>
      </c>
      <c r="K8" s="26" t="str">
        <f>IF(K$14='ST Plan'!$R41,'ST Plan'!$D41,"")</f>
        <v/>
      </c>
      <c r="L8" s="26" t="str">
        <f>IF(L$14='ST Plan'!$R41,'ST Plan'!$D41,"")</f>
        <v/>
      </c>
      <c r="M8" s="26" t="str">
        <f>IF(M$14='ST Plan'!$R41,'ST Plan'!$D41,"")</f>
        <v/>
      </c>
      <c r="N8" s="8" t="e">
        <v>#N/A</v>
      </c>
    </row>
    <row r="9" spans="4:14" ht="30" customHeight="1" thickBot="1">
      <c r="D9" s="7">
        <f>'ST Plan'!C42</f>
        <v>0</v>
      </c>
      <c r="E9" s="56" t="e">
        <v>#N/A</v>
      </c>
      <c r="F9" s="26" t="str">
        <f>IF(F$14='ST Plan'!$R42,'ST Plan'!$D42,"")</f>
        <v/>
      </c>
      <c r="G9" s="26" t="str">
        <f>IF(G$14='ST Plan'!$R42,'ST Plan'!$D42,"")</f>
        <v/>
      </c>
      <c r="H9" s="26" t="str">
        <f>IF(H$14='ST Plan'!$R42,'ST Plan'!$D42,"")</f>
        <v/>
      </c>
      <c r="I9" s="26" t="str">
        <f>IF(I$14='ST Plan'!$R42,'ST Plan'!$D42,"")</f>
        <v/>
      </c>
      <c r="J9" s="26" t="str">
        <f>IF(J$14='ST Plan'!$R42,'ST Plan'!$D42,"")</f>
        <v/>
      </c>
      <c r="K9" s="26" t="str">
        <f>IF(K$14='ST Plan'!$R42,'ST Plan'!$D42,"")</f>
        <v/>
      </c>
      <c r="L9" s="26" t="str">
        <f>IF(L$14='ST Plan'!$R42,'ST Plan'!$D42,"")</f>
        <v/>
      </c>
      <c r="M9" s="26" t="str">
        <f>IF(M$14='ST Plan'!$R42,'ST Plan'!$D42,"")</f>
        <v/>
      </c>
      <c r="N9" s="9" t="e">
        <v>#N/A</v>
      </c>
    </row>
    <row r="10" spans="4:14" ht="30" customHeight="1" thickBot="1">
      <c r="D10" s="7">
        <f>'ST Plan'!C43</f>
        <v>0</v>
      </c>
      <c r="E10" s="56" t="e">
        <v>#N/A</v>
      </c>
      <c r="F10" s="26" t="str">
        <f>IF(F$14='ST Plan'!$R43,'ST Plan'!$D43,"")</f>
        <v/>
      </c>
      <c r="G10" s="26" t="str">
        <f>IF(G$14='ST Plan'!$R43,'ST Plan'!$D43,"")</f>
        <v/>
      </c>
      <c r="H10" s="26" t="str">
        <f>IF(H$14='ST Plan'!$R43,'ST Plan'!$D43,"")</f>
        <v/>
      </c>
      <c r="I10" s="26" t="str">
        <f>IF(I$14='ST Plan'!$R43,'ST Plan'!$D43,"")</f>
        <v/>
      </c>
      <c r="J10" s="26" t="str">
        <f>IF(J$14='ST Plan'!$R43,'ST Plan'!$D43,"")</f>
        <v/>
      </c>
      <c r="K10" s="26" t="str">
        <f>IF(K$14='ST Plan'!$R43,'ST Plan'!$D43,"")</f>
        <v/>
      </c>
      <c r="L10" s="26" t="str">
        <f>IF(L$14='ST Plan'!$R43,'ST Plan'!$D43,"")</f>
        <v/>
      </c>
      <c r="M10" s="26" t="str">
        <f>IF(M$14='ST Plan'!$R43,'ST Plan'!$D43,"")</f>
        <v/>
      </c>
      <c r="N10" s="9" t="e">
        <v>#N/A</v>
      </c>
    </row>
    <row r="11" spans="4:14" ht="30" customHeight="1" thickBot="1">
      <c r="D11" s="7">
        <f>'ST Plan'!C44</f>
        <v>0</v>
      </c>
      <c r="E11" s="56" t="e">
        <v>#N/A</v>
      </c>
      <c r="F11" s="26" t="str">
        <f>IF(F$14='ST Plan'!$R44,'ST Plan'!$D44,"")</f>
        <v/>
      </c>
      <c r="G11" s="26"/>
      <c r="H11" s="26"/>
      <c r="I11" s="26"/>
      <c r="J11" s="26"/>
      <c r="K11" s="26"/>
      <c r="L11" s="26"/>
      <c r="M11" s="26"/>
      <c r="N11" s="9" t="e">
        <v>#N/A</v>
      </c>
    </row>
    <row r="12" spans="4:14" ht="30" customHeight="1" thickBot="1">
      <c r="D12" s="7">
        <f>'ST Plan'!C45</f>
        <v>0</v>
      </c>
      <c r="E12" s="56" t="e">
        <v>#N/A</v>
      </c>
      <c r="F12" s="26" t="str">
        <f>IF(F$14='ST Plan'!$R45,'ST Plan'!$D45,"")</f>
        <v/>
      </c>
      <c r="G12" s="26"/>
      <c r="H12" s="26"/>
      <c r="I12" s="26"/>
      <c r="J12" s="26"/>
      <c r="K12" s="26"/>
      <c r="L12" s="26"/>
      <c r="M12" s="26"/>
      <c r="N12" s="9" t="e">
        <v>#N/A</v>
      </c>
    </row>
    <row r="13" spans="4:14" ht="30" customHeight="1" thickBot="1">
      <c r="D13" s="7">
        <f>'ST Plan'!C46</f>
        <v>0</v>
      </c>
      <c r="E13" s="56" t="e">
        <v>#N/A</v>
      </c>
      <c r="F13" s="26"/>
      <c r="G13" s="26" t="str">
        <f>IF(G$14='ST Plan'!$R46,'ST Plan'!$D46,"")</f>
        <v/>
      </c>
      <c r="H13" s="26" t="str">
        <f>IF(H$14='ST Plan'!$R46,'ST Plan'!$D46,"")</f>
        <v/>
      </c>
      <c r="I13" s="26" t="str">
        <f>IF(I$14='ST Plan'!$R46,'ST Plan'!$D46,"")</f>
        <v/>
      </c>
      <c r="J13" s="26" t="str">
        <f>IF(J$14='ST Plan'!$R46,'ST Plan'!$D46,"")</f>
        <v/>
      </c>
      <c r="K13" s="26" t="str">
        <f>IF(K$14='ST Plan'!$R46,'ST Plan'!$D46,"")</f>
        <v/>
      </c>
      <c r="L13" s="26" t="str">
        <f>IF(L$14='ST Plan'!$R46,'ST Plan'!$D46,"")</f>
        <v/>
      </c>
      <c r="M13" s="26" t="str">
        <f>IF(M$14='ST Plan'!$R46,'ST Plan'!$D46,"")</f>
        <v/>
      </c>
      <c r="N13" s="9" t="e">
        <v>#N/A</v>
      </c>
    </row>
    <row r="14" spans="4:14" ht="25.15" customHeight="1" thickBot="1">
      <c r="D14" s="363"/>
      <c r="E14" s="364"/>
      <c r="F14" s="6">
        <v>2023</v>
      </c>
      <c r="G14" s="5">
        <v>2024</v>
      </c>
      <c r="H14" s="5">
        <v>2025</v>
      </c>
      <c r="I14" s="5">
        <v>2026</v>
      </c>
      <c r="J14" s="5">
        <v>2027</v>
      </c>
      <c r="K14" s="5">
        <v>2028</v>
      </c>
      <c r="L14" s="5">
        <v>2029</v>
      </c>
      <c r="M14" s="5">
        <v>2030</v>
      </c>
      <c r="N14" s="5">
        <v>2035</v>
      </c>
    </row>
  </sheetData>
  <sheetProtection algorithmName="SHA-512" hashValue="gf1tGlU6/k2BfNMBRebC08SOrFXYAt7B1YYNRvuccvJObCp628WoMKNkLw7vbTtLe5pViMIA2YrG9/8QcRrq0w==" saltValue="sFf0DT+JmXJ9vJOxyVpJ5g==" spinCount="100000" sheet="1" objects="1" scenarios="1"/>
  <mergeCells count="4">
    <mergeCell ref="D14:E14"/>
    <mergeCell ref="F3:M3"/>
    <mergeCell ref="D2:H2"/>
    <mergeCell ref="I2:N2"/>
  </mergeCells>
  <pageMargins left="0.7" right="0.7" top="0.75" bottom="0.75" header="0.3" footer="0.3"/>
  <pageSetup paperSize="9" orientation="portrait" horizontalDpi="4294967293" verticalDpi="0" r:id="rId1"/>
  <drawing r:id="rId2"/>
  <extLst>
    <ext xmlns:x14="http://schemas.microsoft.com/office/spreadsheetml/2009/9/main" uri="{78C0D931-6437-407d-A8EE-F0AAD7539E65}">
      <x14:conditionalFormattings>
        <x14:conditionalFormatting xmlns:xm="http://schemas.microsoft.com/office/excel/2006/main">
          <x14:cfRule type="expression" priority="16" id="{F737C158-2621-4FAD-AD15-520A71D3D30A}">
            <xm:f>AND(F$14&gt;='ST Plan'!$R37,F$14&lt;='ST Plan'!$S37)</xm:f>
            <x14:dxf>
              <numFmt numFmtId="30" formatCode="@"/>
              <fill>
                <patternFill patternType="solid">
                  <bgColor theme="4"/>
                </patternFill>
              </fill>
              <border>
                <left/>
                <right/>
                <top style="thin">
                  <color theme="0"/>
                </top>
                <bottom style="thin">
                  <color theme="0"/>
                </bottom>
              </border>
            </x14:dxf>
          </x14:cfRule>
          <xm:sqref>F4:M8 G9:M11 F9:F13 G13:M13</xm:sqref>
        </x14:conditionalFormatting>
        <x14:conditionalFormatting xmlns:xm="http://schemas.microsoft.com/office/excel/2006/main">
          <x14:cfRule type="expression" priority="13" id="{F737C158-2621-4FAD-AD15-520A71D3D30A}">
            <xm:f>AND(F$14&gt;='ST Plan'!#REF!,F$14&lt;='ST Plan'!#REF!)</xm:f>
            <x14:dxf>
              <numFmt numFmtId="30" formatCode="@"/>
              <fill>
                <patternFill patternType="solid">
                  <bgColor theme="4"/>
                </patternFill>
              </fill>
              <border>
                <left/>
                <right/>
                <top style="thin">
                  <color theme="0"/>
                </top>
                <bottom style="thin">
                  <color theme="0"/>
                </bottom>
              </border>
            </x14:dxf>
          </x14:cfRule>
          <xm:sqref>F7:M7</xm:sqref>
        </x14:conditionalFormatting>
        <x14:conditionalFormatting xmlns:xm="http://schemas.microsoft.com/office/excel/2006/main">
          <x14:cfRule type="expression" priority="38" id="{F737C158-2621-4FAD-AD15-520A71D3D30A}">
            <xm:f>AND(F$14&gt;='ST Plan'!#REF!,F$14&lt;='ST Plan'!$X62)</xm:f>
            <x14:dxf>
              <numFmt numFmtId="30" formatCode="@"/>
              <fill>
                <patternFill patternType="solid">
                  <bgColor theme="4"/>
                </patternFill>
              </fill>
              <border>
                <left/>
                <right/>
                <top style="thin">
                  <color theme="0"/>
                </top>
                <bottom style="thin">
                  <color theme="0"/>
                </bottom>
              </border>
            </x14:dxf>
          </x14:cfRule>
          <xm:sqref>F8:M8 G9:M9 F9:F13 G12:M12</xm:sqref>
        </x14:conditionalFormatting>
        <x14:conditionalFormatting xmlns:xm="http://schemas.microsoft.com/office/excel/2006/main">
          <x14:cfRule type="expression" priority="42" id="{F737C158-2621-4FAD-AD15-520A71D3D30A}">
            <xm:f>AND(G$14&gt;='ST Plan'!#REF!,G$14&lt;='ST Plan'!$X65)</xm:f>
            <x14:dxf>
              <numFmt numFmtId="30" formatCode="@"/>
              <fill>
                <patternFill patternType="solid">
                  <bgColor theme="4"/>
                </patternFill>
              </fill>
              <border>
                <left/>
                <right/>
                <top style="thin">
                  <color theme="0"/>
                </top>
                <bottom style="thin">
                  <color theme="0"/>
                </bottom>
              </border>
            </x14:dxf>
          </x14:cfRule>
          <xm:sqref>G10:M11</xm:sqref>
        </x14:conditionalFormatting>
        <x14:conditionalFormatting xmlns:xm="http://schemas.microsoft.com/office/excel/2006/main">
          <x14:cfRule type="expression" priority="18" id="{F737C158-2621-4FAD-AD15-520A71D3D30A}">
            <xm:f>AND(G$14&gt;='ST Plan'!$R44,G$14&lt;='ST Plan'!$S44)</xm:f>
            <x14:dxf>
              <numFmt numFmtId="30" formatCode="@"/>
              <fill>
                <patternFill patternType="solid">
                  <bgColor theme="4"/>
                </patternFill>
              </fill>
              <border>
                <left/>
                <right/>
                <top style="thin">
                  <color theme="0"/>
                </top>
                <bottom style="thin">
                  <color theme="0"/>
                </bottom>
              </border>
            </x14:dxf>
          </x14:cfRule>
          <xm:sqref>G12:M12</xm:sqref>
        </x14:conditionalFormatting>
        <x14:conditionalFormatting xmlns:xm="http://schemas.microsoft.com/office/excel/2006/main">
          <x14:cfRule type="expression" priority="43" id="{F737C158-2621-4FAD-AD15-520A71D3D30A}">
            <xm:f>AND(G$14&gt;='ST Plan'!#REF!,G$14&lt;='ST Plan'!$X65)</xm:f>
            <x14:dxf>
              <numFmt numFmtId="30" formatCode="@"/>
              <fill>
                <patternFill patternType="solid">
                  <bgColor theme="4"/>
                </patternFill>
              </fill>
              <border>
                <left/>
                <right/>
                <top style="thin">
                  <color theme="0"/>
                </top>
                <bottom style="thin">
                  <color theme="0"/>
                </bottom>
              </border>
            </x14:dxf>
          </x14:cfRule>
          <xm:sqref>G13:M13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B0FC0-B522-4F0A-8761-AC3418166D4B}">
  <dimension ref="B1:AY40"/>
  <sheetViews>
    <sheetView zoomScale="60" zoomScaleNormal="60" workbookViewId="0">
      <selection activeCell="C11" sqref="C11"/>
    </sheetView>
  </sheetViews>
  <sheetFormatPr defaultRowHeight="14.45"/>
  <cols>
    <col min="2" max="3" width="22.42578125" customWidth="1"/>
    <col min="4" max="4" width="14.5703125" customWidth="1"/>
    <col min="5" max="5" width="37.85546875" customWidth="1"/>
    <col min="10" max="10" width="45.140625" customWidth="1"/>
    <col min="12" max="12" width="36.140625" customWidth="1"/>
    <col min="13" max="13" width="4.42578125" customWidth="1"/>
    <col min="14" max="14" width="36.140625" customWidth="1"/>
    <col min="16" max="16" width="32.7109375" customWidth="1"/>
    <col min="17" max="17" width="6.28515625" customWidth="1"/>
    <col min="18" max="18" width="32.7109375" customWidth="1"/>
    <col min="20" max="20" width="34.140625" customWidth="1"/>
    <col min="22" max="22" width="30.28515625" customWidth="1"/>
    <col min="24" max="24" width="33.42578125" customWidth="1"/>
    <col min="25" max="25" width="6.7109375" customWidth="1"/>
    <col min="26" max="26" width="33.42578125" customWidth="1"/>
    <col min="28" max="28" width="26.28515625" customWidth="1"/>
    <col min="30" max="30" width="82.7109375" customWidth="1"/>
    <col min="35" max="35" width="51.42578125" customWidth="1"/>
    <col min="37" max="37" width="21.28515625" customWidth="1"/>
    <col min="39" max="39" width="31" customWidth="1"/>
    <col min="41" max="41" width="49.5703125" customWidth="1"/>
    <col min="43" max="43" width="73.7109375" customWidth="1"/>
    <col min="44" max="44" width="43.28515625" customWidth="1"/>
    <col min="45" max="49" width="25.7109375" customWidth="1"/>
    <col min="50" max="50" width="42.7109375" customWidth="1"/>
    <col min="51" max="51" width="57" customWidth="1"/>
    <col min="52" max="52" width="8.85546875" customWidth="1"/>
  </cols>
  <sheetData>
    <row r="1" spans="2:51">
      <c r="AO1" t="s">
        <v>106</v>
      </c>
    </row>
    <row r="2" spans="2:51">
      <c r="B2" t="s">
        <v>77</v>
      </c>
      <c r="E2" t="s">
        <v>107</v>
      </c>
      <c r="G2" t="s">
        <v>108</v>
      </c>
      <c r="J2" t="s">
        <v>109</v>
      </c>
      <c r="L2" t="s">
        <v>110</v>
      </c>
      <c r="N2" s="51" t="s">
        <v>111</v>
      </c>
      <c r="P2" t="s">
        <v>112</v>
      </c>
      <c r="R2" t="s">
        <v>113</v>
      </c>
      <c r="T2" t="s">
        <v>114</v>
      </c>
      <c r="V2" t="s">
        <v>115</v>
      </c>
      <c r="X2" t="s">
        <v>116</v>
      </c>
      <c r="Z2" t="s">
        <v>117</v>
      </c>
      <c r="AB2" s="39" t="s">
        <v>118</v>
      </c>
      <c r="AD2" s="39" t="s">
        <v>119</v>
      </c>
      <c r="AG2" t="s">
        <v>120</v>
      </c>
      <c r="AI2" t="s">
        <v>121</v>
      </c>
      <c r="AK2" t="s">
        <v>122</v>
      </c>
      <c r="AM2" t="s">
        <v>123</v>
      </c>
      <c r="AO2" t="s">
        <v>124</v>
      </c>
      <c r="AQ2" s="53" t="s">
        <v>124</v>
      </c>
      <c r="AR2" s="53" t="s">
        <v>125</v>
      </c>
      <c r="AS2" s="53" t="s">
        <v>126</v>
      </c>
      <c r="AT2" s="53" t="s">
        <v>127</v>
      </c>
      <c r="AU2" s="53" t="s">
        <v>128</v>
      </c>
      <c r="AV2" s="53" t="s">
        <v>129</v>
      </c>
      <c r="AW2" s="53" t="s">
        <v>130</v>
      </c>
      <c r="AX2" s="53" t="s">
        <v>131</v>
      </c>
      <c r="AY2" s="53" t="s">
        <v>92</v>
      </c>
    </row>
    <row r="3" spans="2:51">
      <c r="B3" t="str" cm="1">
        <f t="array" ref="B3:C3">'ST Plan'!D37:E37</f>
        <v>-</v>
      </c>
      <c r="C3">
        <v>0</v>
      </c>
      <c r="E3" s="49" t="s">
        <v>132</v>
      </c>
      <c r="G3">
        <v>2024</v>
      </c>
      <c r="J3" t="s">
        <v>133</v>
      </c>
      <c r="L3" t="s">
        <v>134</v>
      </c>
      <c r="N3" t="s">
        <v>135</v>
      </c>
      <c r="P3" t="s">
        <v>58</v>
      </c>
      <c r="R3" t="s">
        <v>136</v>
      </c>
      <c r="T3" t="s">
        <v>137</v>
      </c>
      <c r="V3" t="s">
        <v>48</v>
      </c>
      <c r="X3" t="s">
        <v>138</v>
      </c>
      <c r="Z3" t="s">
        <v>63</v>
      </c>
      <c r="AB3" s="40" t="s">
        <v>139</v>
      </c>
      <c r="AD3" s="40" t="s">
        <v>140</v>
      </c>
      <c r="AG3" t="s">
        <v>141</v>
      </c>
      <c r="AI3" t="s">
        <v>142</v>
      </c>
      <c r="AK3" t="s">
        <v>98</v>
      </c>
      <c r="AM3" t="s">
        <v>100</v>
      </c>
      <c r="AO3" t="s">
        <v>125</v>
      </c>
      <c r="AQ3" s="52" t="s">
        <v>143</v>
      </c>
      <c r="AR3" s="52" t="s">
        <v>144</v>
      </c>
      <c r="AS3" s="52" t="s">
        <v>145</v>
      </c>
      <c r="AT3" s="52" t="s">
        <v>146</v>
      </c>
      <c r="AU3" s="52" t="s">
        <v>147</v>
      </c>
      <c r="AV3" s="52" t="s">
        <v>148</v>
      </c>
      <c r="AW3" s="52" t="s">
        <v>149</v>
      </c>
      <c r="AX3" s="52" t="s">
        <v>150</v>
      </c>
      <c r="AY3" s="52" t="s">
        <v>94</v>
      </c>
    </row>
    <row r="4" spans="2:51" ht="43.15">
      <c r="B4" cm="1">
        <f t="array" ref="B4:C4">'ST Plan'!D38:E38</f>
        <v>0</v>
      </c>
      <c r="C4">
        <v>0</v>
      </c>
      <c r="E4" t="s">
        <v>49</v>
      </c>
      <c r="G4">
        <v>2025</v>
      </c>
      <c r="J4" t="s">
        <v>50</v>
      </c>
      <c r="L4" t="s">
        <v>55</v>
      </c>
      <c r="N4" t="s">
        <v>63</v>
      </c>
      <c r="P4" t="s">
        <v>151</v>
      </c>
      <c r="R4" t="s">
        <v>59</v>
      </c>
      <c r="T4" t="s">
        <v>53</v>
      </c>
      <c r="V4" t="s">
        <v>152</v>
      </c>
      <c r="X4" t="s">
        <v>62</v>
      </c>
      <c r="Z4" t="s">
        <v>153</v>
      </c>
      <c r="AB4" s="40" t="s">
        <v>154</v>
      </c>
      <c r="AD4" s="40" t="s">
        <v>155</v>
      </c>
      <c r="AG4" t="s">
        <v>156</v>
      </c>
      <c r="AI4" t="s">
        <v>157</v>
      </c>
      <c r="AK4" t="s">
        <v>158</v>
      </c>
      <c r="AM4" t="s">
        <v>159</v>
      </c>
      <c r="AO4" t="s">
        <v>126</v>
      </c>
      <c r="AQ4" s="54" t="s">
        <v>160</v>
      </c>
      <c r="AR4" s="54"/>
      <c r="AS4" s="54" t="s">
        <v>161</v>
      </c>
      <c r="AT4" s="54" t="s">
        <v>162</v>
      </c>
      <c r="AU4" s="54" t="s">
        <v>163</v>
      </c>
      <c r="AV4" s="54" t="s">
        <v>164</v>
      </c>
      <c r="AW4" s="54" t="s">
        <v>165</v>
      </c>
      <c r="AX4" s="54" t="s">
        <v>166</v>
      </c>
      <c r="AY4" s="54" t="s">
        <v>167</v>
      </c>
    </row>
    <row r="5" spans="2:51" ht="43.15">
      <c r="B5" cm="1">
        <f t="array" ref="B5:C5">'ST Plan'!D39:E39</f>
        <v>0</v>
      </c>
      <c r="C5">
        <v>0</v>
      </c>
      <c r="E5" t="s">
        <v>28</v>
      </c>
      <c r="G5">
        <v>2026</v>
      </c>
      <c r="J5" t="s">
        <v>168</v>
      </c>
      <c r="L5" t="s">
        <v>169</v>
      </c>
      <c r="N5" t="s">
        <v>56</v>
      </c>
      <c r="P5" t="s">
        <v>170</v>
      </c>
      <c r="R5" t="s">
        <v>135</v>
      </c>
      <c r="T5" t="s">
        <v>171</v>
      </c>
      <c r="V5" t="s">
        <v>172</v>
      </c>
      <c r="X5" t="s">
        <v>173</v>
      </c>
      <c r="Z5" t="s">
        <v>174</v>
      </c>
      <c r="AB5" s="40" t="s">
        <v>175</v>
      </c>
      <c r="AD5" s="40" t="s">
        <v>176</v>
      </c>
      <c r="AI5" t="s">
        <v>177</v>
      </c>
      <c r="AK5" t="s">
        <v>178</v>
      </c>
      <c r="AO5" t="s">
        <v>127</v>
      </c>
      <c r="AQ5" s="54" t="s">
        <v>179</v>
      </c>
      <c r="AR5" s="54"/>
      <c r="AS5" s="54" t="s">
        <v>180</v>
      </c>
      <c r="AT5" s="54" t="s">
        <v>181</v>
      </c>
      <c r="AU5" s="54" t="s">
        <v>182</v>
      </c>
      <c r="AV5" s="54" t="s">
        <v>183</v>
      </c>
      <c r="AW5" s="54" t="s">
        <v>184</v>
      </c>
      <c r="AX5" s="54"/>
      <c r="AY5" s="54" t="s">
        <v>185</v>
      </c>
    </row>
    <row r="6" spans="2:51" ht="72">
      <c r="B6" cm="1">
        <f t="array" ref="B6:C6">'ST Plan'!D40:E40</f>
        <v>0</v>
      </c>
      <c r="C6">
        <v>0</v>
      </c>
      <c r="E6" t="s">
        <v>47</v>
      </c>
      <c r="G6">
        <v>2027</v>
      </c>
      <c r="J6" t="s">
        <v>186</v>
      </c>
      <c r="L6" t="s">
        <v>187</v>
      </c>
      <c r="P6" t="s">
        <v>188</v>
      </c>
      <c r="T6" t="s">
        <v>189</v>
      </c>
      <c r="V6" t="s">
        <v>190</v>
      </c>
      <c r="X6" t="s">
        <v>191</v>
      </c>
      <c r="AB6" s="40" t="s">
        <v>192</v>
      </c>
      <c r="AD6" s="40" t="s">
        <v>193</v>
      </c>
      <c r="AI6" t="s">
        <v>194</v>
      </c>
      <c r="AO6" t="s">
        <v>128</v>
      </c>
      <c r="AQ6" s="54" t="s">
        <v>195</v>
      </c>
      <c r="AR6" s="54"/>
      <c r="AS6" s="54" t="s">
        <v>196</v>
      </c>
      <c r="AT6" s="54" t="s">
        <v>197</v>
      </c>
      <c r="AU6" s="54" t="s">
        <v>198</v>
      </c>
      <c r="AV6" s="54" t="s">
        <v>199</v>
      </c>
      <c r="AW6" s="54" t="s">
        <v>200</v>
      </c>
      <c r="AX6" s="54"/>
      <c r="AY6" s="54"/>
    </row>
    <row r="7" spans="2:51" ht="86.45">
      <c r="B7" cm="1">
        <f t="array" ref="B7:C7">'ST Plan'!D41:E41</f>
        <v>0</v>
      </c>
      <c r="C7">
        <v>0</v>
      </c>
      <c r="E7" t="s">
        <v>52</v>
      </c>
      <c r="G7">
        <v>2028</v>
      </c>
      <c r="AB7" s="40" t="s">
        <v>201</v>
      </c>
      <c r="AD7" s="40" t="s">
        <v>202</v>
      </c>
      <c r="AI7" t="s">
        <v>203</v>
      </c>
      <c r="AO7" t="s">
        <v>129</v>
      </c>
      <c r="AQ7" s="54"/>
      <c r="AR7" s="54"/>
      <c r="AS7" s="54" t="s">
        <v>204</v>
      </c>
      <c r="AT7" s="54" t="s">
        <v>205</v>
      </c>
      <c r="AU7" s="54" t="s">
        <v>206</v>
      </c>
      <c r="AV7" s="54" t="s">
        <v>207</v>
      </c>
      <c r="AW7" s="54" t="s">
        <v>208</v>
      </c>
      <c r="AX7" s="54"/>
      <c r="AY7" s="54"/>
    </row>
    <row r="8" spans="2:51" ht="43.15">
      <c r="B8" cm="1">
        <f t="array" ref="B8:C8">'ST Plan'!D42:E42</f>
        <v>0</v>
      </c>
      <c r="C8">
        <v>0</v>
      </c>
      <c r="E8" t="s">
        <v>209</v>
      </c>
      <c r="G8">
        <v>2029</v>
      </c>
      <c r="AB8" s="40" t="s">
        <v>210</v>
      </c>
      <c r="AD8" s="40" t="s">
        <v>211</v>
      </c>
      <c r="AI8" t="s">
        <v>96</v>
      </c>
      <c r="AO8" t="s">
        <v>130</v>
      </c>
      <c r="AQ8" s="54"/>
      <c r="AR8" s="54"/>
      <c r="AS8" s="54" t="s">
        <v>212</v>
      </c>
      <c r="AT8" s="54" t="s">
        <v>213</v>
      </c>
      <c r="AU8" s="54" t="s">
        <v>214</v>
      </c>
      <c r="AV8" s="54" t="s">
        <v>215</v>
      </c>
      <c r="AW8" s="54" t="s">
        <v>216</v>
      </c>
      <c r="AX8" s="54"/>
      <c r="AY8" s="54"/>
    </row>
    <row r="9" spans="2:51" ht="43.15">
      <c r="B9" cm="1">
        <f t="array" ref="B9:C9">'ST Plan'!D43:E43</f>
        <v>0</v>
      </c>
      <c r="C9">
        <v>0</v>
      </c>
      <c r="E9" t="s">
        <v>217</v>
      </c>
      <c r="G9">
        <v>2030</v>
      </c>
      <c r="AB9" s="40" t="s">
        <v>218</v>
      </c>
      <c r="AD9" s="40" t="s">
        <v>219</v>
      </c>
      <c r="AO9" t="s">
        <v>131</v>
      </c>
      <c r="AQ9" s="54"/>
      <c r="AR9" s="54"/>
      <c r="AS9" s="54" t="s">
        <v>220</v>
      </c>
      <c r="AT9" s="54" t="s">
        <v>221</v>
      </c>
      <c r="AU9" s="54" t="s">
        <v>222</v>
      </c>
      <c r="AV9" s="54" t="s">
        <v>223</v>
      </c>
      <c r="AW9" s="54" t="s">
        <v>224</v>
      </c>
      <c r="AX9" s="54"/>
      <c r="AY9" s="54"/>
    </row>
    <row r="10" spans="2:51" ht="28.9">
      <c r="B10" cm="1">
        <f t="array" ref="B10:C10">'ST Plan'!D44:E44</f>
        <v>0</v>
      </c>
      <c r="C10">
        <v>0</v>
      </c>
      <c r="E10" t="s">
        <v>81</v>
      </c>
      <c r="AB10" s="40" t="s">
        <v>225</v>
      </c>
      <c r="AD10" s="40" t="s">
        <v>226</v>
      </c>
      <c r="AO10" t="s">
        <v>92</v>
      </c>
      <c r="AQ10" s="54"/>
      <c r="AR10" s="54"/>
      <c r="AS10" s="54" t="s">
        <v>227</v>
      </c>
      <c r="AT10" s="54" t="s">
        <v>228</v>
      </c>
      <c r="AU10" s="54" t="s">
        <v>229</v>
      </c>
      <c r="AV10" s="54" t="s">
        <v>230</v>
      </c>
      <c r="AW10" s="54"/>
      <c r="AX10" s="54"/>
      <c r="AY10" s="54"/>
    </row>
    <row r="11" spans="2:51" ht="43.15">
      <c r="B11" cm="1">
        <f t="array" ref="B11:C11">'ST Plan'!D45:E45</f>
        <v>0</v>
      </c>
      <c r="C11">
        <v>0</v>
      </c>
      <c r="E11" t="s">
        <v>40</v>
      </c>
      <c r="AB11" s="40" t="s">
        <v>231</v>
      </c>
      <c r="AD11" s="40" t="s">
        <v>232</v>
      </c>
      <c r="AO11" t="s">
        <v>233</v>
      </c>
      <c r="AQ11" s="54"/>
      <c r="AR11" s="54"/>
      <c r="AS11" s="54" t="s">
        <v>234</v>
      </c>
      <c r="AT11" s="54" t="s">
        <v>235</v>
      </c>
      <c r="AU11" s="54" t="s">
        <v>236</v>
      </c>
      <c r="AV11" s="54" t="s">
        <v>237</v>
      </c>
      <c r="AW11" s="54"/>
      <c r="AX11" s="54"/>
      <c r="AY11" s="54"/>
    </row>
    <row r="12" spans="2:51" ht="57.6">
      <c r="B12" cm="1">
        <f t="array" ref="B12:C12">'ST Plan'!D46:E46</f>
        <v>0</v>
      </c>
      <c r="C12">
        <v>0</v>
      </c>
      <c r="E12" t="s">
        <v>57</v>
      </c>
      <c r="AB12" s="40" t="s">
        <v>238</v>
      </c>
      <c r="AD12" s="40" t="s">
        <v>239</v>
      </c>
      <c r="AQ12" s="54"/>
      <c r="AR12" s="54"/>
      <c r="AS12" s="54" t="s">
        <v>240</v>
      </c>
      <c r="AT12" s="54" t="s">
        <v>241</v>
      </c>
      <c r="AU12" s="54" t="s">
        <v>242</v>
      </c>
      <c r="AV12" s="54" t="s">
        <v>243</v>
      </c>
      <c r="AW12" s="54"/>
      <c r="AX12" s="54"/>
      <c r="AY12" s="54"/>
    </row>
    <row r="13" spans="2:51" ht="28.9">
      <c r="E13" t="s">
        <v>54</v>
      </c>
      <c r="AB13" s="40" t="s">
        <v>244</v>
      </c>
      <c r="AD13" s="40" t="s">
        <v>245</v>
      </c>
      <c r="AQ13" s="54"/>
      <c r="AR13" s="54"/>
      <c r="AS13" s="54" t="s">
        <v>246</v>
      </c>
      <c r="AT13" s="54" t="s">
        <v>247</v>
      </c>
      <c r="AU13" s="54" t="s">
        <v>248</v>
      </c>
      <c r="AV13" s="54" t="s">
        <v>249</v>
      </c>
      <c r="AW13" s="54"/>
      <c r="AX13" s="54"/>
      <c r="AY13" s="54"/>
    </row>
    <row r="14" spans="2:51" ht="43.15">
      <c r="E14" t="s">
        <v>42</v>
      </c>
      <c r="AB14" s="40" t="s">
        <v>250</v>
      </c>
      <c r="AD14" s="40" t="s">
        <v>251</v>
      </c>
      <c r="AQ14" s="54"/>
      <c r="AR14" s="54"/>
      <c r="AS14" s="54" t="s">
        <v>252</v>
      </c>
      <c r="AT14" s="54" t="s">
        <v>253</v>
      </c>
      <c r="AU14" s="54" t="s">
        <v>254</v>
      </c>
      <c r="AV14" s="54" t="s">
        <v>255</v>
      </c>
      <c r="AW14" s="54"/>
      <c r="AX14" s="54"/>
      <c r="AY14" s="54"/>
    </row>
    <row r="15" spans="2:51" ht="43.15">
      <c r="E15" t="s">
        <v>36</v>
      </c>
      <c r="AB15" s="40" t="s">
        <v>256</v>
      </c>
      <c r="AD15" s="40" t="s">
        <v>257</v>
      </c>
      <c r="AQ15" s="54"/>
      <c r="AR15" s="54"/>
      <c r="AS15" s="54" t="s">
        <v>258</v>
      </c>
      <c r="AT15" s="54" t="s">
        <v>259</v>
      </c>
      <c r="AU15" s="54"/>
      <c r="AV15" s="54" t="s">
        <v>260</v>
      </c>
      <c r="AW15" s="54"/>
      <c r="AX15" s="54"/>
      <c r="AY15" s="54"/>
    </row>
    <row r="16" spans="2:51" ht="57.6">
      <c r="E16" t="s">
        <v>261</v>
      </c>
      <c r="AB16" s="40" t="s">
        <v>262</v>
      </c>
      <c r="AD16" s="40" t="s">
        <v>263</v>
      </c>
      <c r="AQ16" s="54"/>
      <c r="AR16" s="54"/>
      <c r="AS16" s="54" t="s">
        <v>264</v>
      </c>
      <c r="AT16" s="54" t="s">
        <v>265</v>
      </c>
      <c r="AU16" s="54"/>
      <c r="AV16" s="54" t="s">
        <v>266</v>
      </c>
      <c r="AW16" s="54"/>
      <c r="AX16" s="54"/>
      <c r="AY16" s="54"/>
    </row>
    <row r="17" spans="28:51" ht="43.15">
      <c r="AB17" s="40" t="s">
        <v>267</v>
      </c>
      <c r="AD17" s="40" t="s">
        <v>268</v>
      </c>
      <c r="AQ17" s="54"/>
      <c r="AR17" s="54"/>
      <c r="AS17" s="54" t="s">
        <v>269</v>
      </c>
      <c r="AT17" s="54" t="s">
        <v>270</v>
      </c>
      <c r="AU17" s="54"/>
      <c r="AV17" s="54" t="s">
        <v>271</v>
      </c>
      <c r="AW17" s="54"/>
      <c r="AX17" s="54"/>
      <c r="AY17" s="54"/>
    </row>
    <row r="18" spans="28:51" ht="43.15">
      <c r="AB18" s="40" t="s">
        <v>272</v>
      </c>
      <c r="AD18" s="40" t="s">
        <v>273</v>
      </c>
      <c r="AQ18" s="54"/>
      <c r="AR18" s="54"/>
      <c r="AS18" s="54" t="s">
        <v>274</v>
      </c>
      <c r="AT18" s="54" t="s">
        <v>275</v>
      </c>
      <c r="AU18" s="54"/>
      <c r="AV18" s="54" t="s">
        <v>276</v>
      </c>
      <c r="AW18" s="54"/>
      <c r="AX18" s="54"/>
      <c r="AY18" s="54"/>
    </row>
    <row r="19" spans="28:51" ht="43.15">
      <c r="AB19" s="40" t="s">
        <v>277</v>
      </c>
      <c r="AD19" s="40" t="s">
        <v>278</v>
      </c>
      <c r="AQ19" s="54"/>
      <c r="AR19" s="54"/>
      <c r="AS19" s="54" t="s">
        <v>279</v>
      </c>
      <c r="AT19" s="54" t="s">
        <v>280</v>
      </c>
      <c r="AU19" s="54"/>
      <c r="AV19" s="54" t="s">
        <v>281</v>
      </c>
      <c r="AW19" s="54"/>
      <c r="AX19" s="54"/>
      <c r="AY19" s="54"/>
    </row>
    <row r="20" spans="28:51" ht="43.15">
      <c r="AB20" s="40" t="s">
        <v>282</v>
      </c>
      <c r="AD20" s="40" t="s">
        <v>283</v>
      </c>
      <c r="AQ20" s="54"/>
      <c r="AR20" s="54"/>
      <c r="AS20" s="54"/>
      <c r="AT20" s="54" t="s">
        <v>284</v>
      </c>
      <c r="AU20" s="54"/>
      <c r="AV20" s="54"/>
      <c r="AW20" s="54"/>
      <c r="AX20" s="54"/>
      <c r="AY20" s="54"/>
    </row>
    <row r="21" spans="28:51" ht="57.6">
      <c r="AB21" s="40" t="s">
        <v>285</v>
      </c>
      <c r="AD21" s="40" t="s">
        <v>286</v>
      </c>
      <c r="AQ21" s="54"/>
      <c r="AR21" s="54"/>
      <c r="AS21" s="54"/>
      <c r="AT21" s="54" t="s">
        <v>287</v>
      </c>
      <c r="AU21" s="54"/>
      <c r="AV21" s="54"/>
      <c r="AW21" s="54"/>
      <c r="AX21" s="54"/>
      <c r="AY21" s="54"/>
    </row>
    <row r="22" spans="28:51" ht="43.15">
      <c r="AB22" s="40" t="s">
        <v>288</v>
      </c>
      <c r="AD22" s="40" t="s">
        <v>289</v>
      </c>
      <c r="AQ22" s="54"/>
      <c r="AR22" s="54"/>
      <c r="AS22" s="54"/>
      <c r="AT22" s="54" t="s">
        <v>290</v>
      </c>
      <c r="AU22" s="54"/>
      <c r="AV22" s="54"/>
      <c r="AW22" s="54"/>
      <c r="AX22" s="54"/>
      <c r="AY22" s="54"/>
    </row>
    <row r="23" spans="28:51" ht="28.9">
      <c r="AB23" s="40" t="s">
        <v>291</v>
      </c>
      <c r="AD23" s="40" t="s">
        <v>292</v>
      </c>
      <c r="AQ23" s="54"/>
      <c r="AR23" s="54"/>
      <c r="AS23" s="54"/>
      <c r="AT23" s="54" t="s">
        <v>293</v>
      </c>
      <c r="AU23" s="54"/>
      <c r="AV23" s="54"/>
      <c r="AW23" s="54"/>
      <c r="AX23" s="54"/>
      <c r="AY23" s="54"/>
    </row>
    <row r="24" spans="28:51" ht="28.9">
      <c r="AB24" s="40" t="s">
        <v>294</v>
      </c>
      <c r="AD24" s="40" t="s">
        <v>295</v>
      </c>
      <c r="AQ24" s="54"/>
      <c r="AR24" s="54"/>
      <c r="AS24" s="54"/>
      <c r="AT24" s="54" t="s">
        <v>296</v>
      </c>
      <c r="AU24" s="54"/>
      <c r="AV24" s="54"/>
      <c r="AW24" s="54"/>
      <c r="AX24" s="54"/>
      <c r="AY24" s="54"/>
    </row>
    <row r="25" spans="28:51" ht="43.15">
      <c r="AB25" s="40" t="s">
        <v>297</v>
      </c>
      <c r="AD25" s="40" t="s">
        <v>298</v>
      </c>
      <c r="AQ25" s="54"/>
      <c r="AR25" s="54"/>
      <c r="AS25" s="54"/>
      <c r="AT25" s="54" t="s">
        <v>299</v>
      </c>
      <c r="AU25" s="54"/>
      <c r="AV25" s="54"/>
      <c r="AW25" s="54"/>
      <c r="AX25" s="54"/>
      <c r="AY25" s="54"/>
    </row>
    <row r="26" spans="28:51" ht="28.9">
      <c r="AB26" s="40" t="s">
        <v>300</v>
      </c>
      <c r="AD26" s="40" t="s">
        <v>301</v>
      </c>
      <c r="AQ26" s="54"/>
      <c r="AR26" s="54"/>
      <c r="AS26" s="54"/>
      <c r="AT26" s="54" t="s">
        <v>302</v>
      </c>
      <c r="AU26" s="54"/>
      <c r="AV26" s="54"/>
      <c r="AW26" s="54"/>
      <c r="AX26" s="54"/>
      <c r="AY26" s="54"/>
    </row>
    <row r="27" spans="28:51" ht="28.9">
      <c r="AB27" s="40" t="s">
        <v>5</v>
      </c>
      <c r="AD27" s="40" t="s">
        <v>303</v>
      </c>
      <c r="AQ27" s="54"/>
      <c r="AR27" s="54"/>
      <c r="AS27" s="54"/>
      <c r="AT27" s="54" t="s">
        <v>304</v>
      </c>
      <c r="AU27" s="54"/>
      <c r="AV27" s="54"/>
      <c r="AW27" s="54"/>
      <c r="AX27" s="54"/>
      <c r="AY27" s="54"/>
    </row>
    <row r="28" spans="28:51" ht="72">
      <c r="AB28" s="40" t="s">
        <v>305</v>
      </c>
      <c r="AD28" s="40" t="s">
        <v>306</v>
      </c>
      <c r="AQ28" s="54"/>
      <c r="AR28" s="54"/>
      <c r="AS28" s="54"/>
      <c r="AT28" s="54" t="s">
        <v>307</v>
      </c>
      <c r="AU28" s="54"/>
      <c r="AV28" s="54"/>
      <c r="AW28" s="54"/>
      <c r="AX28" s="54"/>
      <c r="AY28" s="54"/>
    </row>
    <row r="29" spans="28:51" ht="100.9">
      <c r="AB29" s="40" t="s">
        <v>308</v>
      </c>
      <c r="AD29" s="40" t="s">
        <v>309</v>
      </c>
      <c r="AQ29" s="54"/>
      <c r="AR29" s="54"/>
      <c r="AS29" s="54"/>
      <c r="AT29" s="54" t="s">
        <v>310</v>
      </c>
      <c r="AU29" s="54"/>
      <c r="AV29" s="54"/>
      <c r="AW29" s="54"/>
      <c r="AX29" s="54"/>
      <c r="AY29" s="54"/>
    </row>
    <row r="30" spans="28:51" ht="43.15">
      <c r="AB30" s="40" t="s">
        <v>311</v>
      </c>
      <c r="AD30" s="40" t="s">
        <v>312</v>
      </c>
      <c r="AQ30" s="54"/>
      <c r="AR30" s="54"/>
      <c r="AS30" s="54"/>
      <c r="AT30" s="54" t="s">
        <v>313</v>
      </c>
      <c r="AU30" s="54"/>
      <c r="AV30" s="54"/>
      <c r="AW30" s="54"/>
      <c r="AX30" s="54"/>
      <c r="AY30" s="54"/>
    </row>
    <row r="31" spans="28:51" ht="28.9">
      <c r="AB31" s="40" t="s">
        <v>314</v>
      </c>
      <c r="AD31" s="40" t="s">
        <v>315</v>
      </c>
      <c r="AQ31" s="54"/>
      <c r="AR31" s="54"/>
      <c r="AS31" s="54"/>
      <c r="AT31" s="54" t="s">
        <v>316</v>
      </c>
      <c r="AU31" s="54"/>
      <c r="AV31" s="54"/>
      <c r="AW31" s="54"/>
      <c r="AX31" s="54"/>
      <c r="AY31" s="54"/>
    </row>
    <row r="32" spans="28:51" ht="57.6">
      <c r="AB32" s="40" t="s">
        <v>317</v>
      </c>
      <c r="AD32" s="40" t="s">
        <v>318</v>
      </c>
      <c r="AQ32" s="54"/>
      <c r="AR32" s="54"/>
      <c r="AS32" s="54"/>
      <c r="AT32" s="54" t="s">
        <v>319</v>
      </c>
      <c r="AU32" s="54"/>
      <c r="AV32" s="54"/>
      <c r="AW32" s="54"/>
      <c r="AX32" s="54"/>
      <c r="AY32" s="54"/>
    </row>
    <row r="33" spans="28:51" ht="57.6">
      <c r="AB33" s="40" t="s">
        <v>320</v>
      </c>
      <c r="AD33" s="40" t="s">
        <v>321</v>
      </c>
      <c r="AQ33" s="54"/>
      <c r="AR33" s="54"/>
      <c r="AS33" s="54"/>
      <c r="AT33" s="54" t="s">
        <v>322</v>
      </c>
      <c r="AU33" s="54"/>
      <c r="AV33" s="54"/>
      <c r="AW33" s="54"/>
      <c r="AX33" s="54"/>
      <c r="AY33" s="54"/>
    </row>
    <row r="34" spans="28:51" ht="15.6" customHeight="1">
      <c r="AB34" s="40" t="s">
        <v>323</v>
      </c>
      <c r="AD34" s="40" t="s">
        <v>324</v>
      </c>
    </row>
    <row r="35" spans="28:51">
      <c r="AD35" s="40" t="s">
        <v>325</v>
      </c>
    </row>
    <row r="36" spans="28:51">
      <c r="AD36" s="40" t="s">
        <v>9</v>
      </c>
    </row>
    <row r="37" spans="28:51">
      <c r="AD37" s="40" t="s">
        <v>326</v>
      </c>
    </row>
    <row r="38" spans="28:51">
      <c r="AD38" s="40" t="s">
        <v>327</v>
      </c>
    </row>
    <row r="39" spans="28:51">
      <c r="AD39" s="40" t="s">
        <v>328</v>
      </c>
    </row>
    <row r="40" spans="28:51">
      <c r="AD40" s="40" t="s">
        <v>329</v>
      </c>
    </row>
  </sheetData>
  <pageMargins left="0.7" right="0.7" top="0.75" bottom="0.75"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2EFC6-DA4E-4EBB-BF24-F5695255715A}">
  <dimension ref="B2:O106"/>
  <sheetViews>
    <sheetView workbookViewId="0">
      <selection activeCell="E75" sqref="E75"/>
    </sheetView>
  </sheetViews>
  <sheetFormatPr defaultRowHeight="14.45"/>
  <cols>
    <col min="3" max="3" width="15.85546875" customWidth="1"/>
    <col min="4" max="4" width="18.140625" bestFit="1" customWidth="1"/>
    <col min="5" max="5" width="47.28515625" customWidth="1"/>
    <col min="9" max="9" width="12.5703125" bestFit="1" customWidth="1"/>
    <col min="10" max="10" width="15.85546875" bestFit="1" customWidth="1"/>
    <col min="12" max="12" width="20" bestFit="1" customWidth="1"/>
    <col min="13" max="13" width="12.7109375" customWidth="1"/>
    <col min="14" max="14" width="16.7109375" bestFit="1" customWidth="1"/>
    <col min="15" max="15" width="18" bestFit="1" customWidth="1"/>
  </cols>
  <sheetData>
    <row r="2" spans="2:15" ht="40.9">
      <c r="B2" s="373" t="s">
        <v>330</v>
      </c>
      <c r="C2" s="373"/>
      <c r="D2" s="373"/>
      <c r="E2" s="373"/>
      <c r="F2" s="373"/>
      <c r="G2" s="373"/>
      <c r="H2" s="373"/>
      <c r="I2" s="373"/>
      <c r="J2" s="373"/>
      <c r="K2" s="373"/>
      <c r="L2" s="373"/>
      <c r="M2" s="373"/>
      <c r="N2" s="373"/>
      <c r="O2" s="373"/>
    </row>
    <row r="3" spans="2:15" ht="20.45" customHeight="1">
      <c r="B3" s="374" t="s">
        <v>331</v>
      </c>
      <c r="C3" s="373"/>
      <c r="D3" s="373"/>
      <c r="E3" s="373"/>
      <c r="F3" s="373"/>
      <c r="G3" s="373"/>
      <c r="H3" s="373"/>
      <c r="I3" s="373"/>
      <c r="J3" s="373"/>
      <c r="K3" s="373"/>
      <c r="L3" s="373"/>
      <c r="M3" s="373"/>
      <c r="N3" s="373"/>
      <c r="O3" s="373"/>
    </row>
    <row r="4" spans="2:15" ht="15" thickBot="1"/>
    <row r="5" spans="2:15" ht="15" thickBot="1">
      <c r="B5" s="138"/>
      <c r="C5" s="139"/>
      <c r="D5" s="369" t="s">
        <v>332</v>
      </c>
      <c r="E5" s="370"/>
      <c r="F5" s="371" t="s">
        <v>333</v>
      </c>
      <c r="G5" s="372"/>
      <c r="H5" s="372"/>
      <c r="I5" s="372"/>
      <c r="J5" s="370"/>
      <c r="K5" s="371" t="s">
        <v>332</v>
      </c>
      <c r="L5" s="372"/>
      <c r="M5" s="370"/>
      <c r="N5" s="371" t="s">
        <v>334</v>
      </c>
      <c r="O5" s="370"/>
    </row>
    <row r="6" spans="2:15" ht="15" thickBot="1">
      <c r="B6" s="164" t="s">
        <v>335</v>
      </c>
      <c r="C6" s="141" t="s">
        <v>336</v>
      </c>
      <c r="D6" s="141" t="s">
        <v>337</v>
      </c>
      <c r="E6" s="142" t="s">
        <v>338</v>
      </c>
      <c r="F6" s="141" t="s">
        <v>339</v>
      </c>
      <c r="G6" s="141" t="s">
        <v>340</v>
      </c>
      <c r="H6" s="141" t="s">
        <v>341</v>
      </c>
      <c r="I6" s="141" t="s">
        <v>342</v>
      </c>
      <c r="J6" s="142" t="s">
        <v>343</v>
      </c>
      <c r="K6" s="140" t="s">
        <v>344</v>
      </c>
      <c r="L6" s="141" t="s">
        <v>345</v>
      </c>
      <c r="M6" s="143" t="s">
        <v>346</v>
      </c>
      <c r="N6" s="140" t="s">
        <v>347</v>
      </c>
      <c r="O6" s="142" t="s">
        <v>348</v>
      </c>
    </row>
    <row r="7" spans="2:15">
      <c r="B7" s="165">
        <v>66</v>
      </c>
      <c r="C7" s="84" t="s">
        <v>349</v>
      </c>
      <c r="D7" s="85" t="s">
        <v>350</v>
      </c>
      <c r="E7" s="145" t="s">
        <v>351</v>
      </c>
      <c r="F7" s="185"/>
      <c r="G7" s="155"/>
      <c r="H7" s="155" t="s">
        <v>352</v>
      </c>
      <c r="I7" s="155" t="s">
        <v>352</v>
      </c>
      <c r="J7" s="159"/>
      <c r="K7" s="151"/>
      <c r="L7" s="155" t="s">
        <v>352</v>
      </c>
      <c r="M7" s="159"/>
      <c r="N7" s="151"/>
      <c r="O7" s="159" t="s">
        <v>352</v>
      </c>
    </row>
    <row r="8" spans="2:15">
      <c r="B8" s="166">
        <v>72</v>
      </c>
      <c r="C8" s="87" t="s">
        <v>353</v>
      </c>
      <c r="D8" s="1" t="s">
        <v>354</v>
      </c>
      <c r="E8" s="116" t="s">
        <v>355</v>
      </c>
      <c r="F8" s="88" t="s">
        <v>352</v>
      </c>
      <c r="G8" s="2"/>
      <c r="H8" s="2"/>
      <c r="I8" s="2"/>
      <c r="J8" s="89" t="s">
        <v>352</v>
      </c>
      <c r="K8" s="91" t="s">
        <v>352</v>
      </c>
      <c r="L8" s="2" t="s">
        <v>352</v>
      </c>
      <c r="M8" s="89" t="s">
        <v>352</v>
      </c>
      <c r="N8" s="91" t="s">
        <v>352</v>
      </c>
      <c r="O8" s="89" t="s">
        <v>352</v>
      </c>
    </row>
    <row r="9" spans="2:15">
      <c r="B9" s="166">
        <v>90</v>
      </c>
      <c r="C9" s="90" t="s">
        <v>356</v>
      </c>
      <c r="D9" s="1" t="s">
        <v>357</v>
      </c>
      <c r="E9" s="116" t="s">
        <v>358</v>
      </c>
      <c r="F9" s="88" t="s">
        <v>352</v>
      </c>
      <c r="G9" s="2" t="s">
        <v>352</v>
      </c>
      <c r="H9" s="2" t="s">
        <v>352</v>
      </c>
      <c r="I9" s="2" t="s">
        <v>352</v>
      </c>
      <c r="J9" s="89" t="s">
        <v>352</v>
      </c>
      <c r="K9" s="91"/>
      <c r="L9" s="2" t="s">
        <v>352</v>
      </c>
      <c r="M9" s="89"/>
      <c r="N9" s="91" t="s">
        <v>352</v>
      </c>
      <c r="O9" s="89" t="s">
        <v>352</v>
      </c>
    </row>
    <row r="10" spans="2:15">
      <c r="B10" s="166">
        <v>22</v>
      </c>
      <c r="C10" s="170" t="s">
        <v>359</v>
      </c>
      <c r="D10" s="92" t="s">
        <v>360</v>
      </c>
      <c r="E10" s="120" t="s">
        <v>361</v>
      </c>
      <c r="F10" s="94" t="s">
        <v>352</v>
      </c>
      <c r="G10" s="109" t="s">
        <v>362</v>
      </c>
      <c r="H10" s="109" t="s">
        <v>362</v>
      </c>
      <c r="I10" s="109" t="s">
        <v>362</v>
      </c>
      <c r="J10" s="110" t="s">
        <v>362</v>
      </c>
      <c r="K10" s="95" t="s">
        <v>352</v>
      </c>
      <c r="L10" s="109" t="s">
        <v>352</v>
      </c>
      <c r="M10" s="110" t="s">
        <v>352</v>
      </c>
      <c r="N10" s="95" t="s">
        <v>352</v>
      </c>
      <c r="O10" s="110" t="s">
        <v>352</v>
      </c>
    </row>
    <row r="11" spans="2:15" ht="28.9">
      <c r="B11" s="166">
        <v>52</v>
      </c>
      <c r="C11" s="90" t="s">
        <v>363</v>
      </c>
      <c r="D11" s="1" t="s">
        <v>364</v>
      </c>
      <c r="E11" s="116" t="s">
        <v>365</v>
      </c>
      <c r="F11" s="88" t="s">
        <v>352</v>
      </c>
      <c r="G11" s="2"/>
      <c r="H11" s="2"/>
      <c r="I11" s="2"/>
      <c r="J11" s="89"/>
      <c r="K11" s="91"/>
      <c r="L11" s="2"/>
      <c r="M11" s="89" t="s">
        <v>352</v>
      </c>
      <c r="N11" s="91"/>
      <c r="O11" s="89" t="s">
        <v>352</v>
      </c>
    </row>
    <row r="12" spans="2:15">
      <c r="B12" s="166">
        <v>21</v>
      </c>
      <c r="C12" s="170" t="s">
        <v>359</v>
      </c>
      <c r="D12" s="92" t="s">
        <v>366</v>
      </c>
      <c r="E12" s="120" t="s">
        <v>367</v>
      </c>
      <c r="F12" s="94" t="s">
        <v>352</v>
      </c>
      <c r="G12" s="109" t="s">
        <v>362</v>
      </c>
      <c r="H12" s="109" t="s">
        <v>362</v>
      </c>
      <c r="I12" s="109" t="s">
        <v>362</v>
      </c>
      <c r="J12" s="110" t="s">
        <v>362</v>
      </c>
      <c r="K12" s="95" t="s">
        <v>352</v>
      </c>
      <c r="L12" s="109" t="s">
        <v>352</v>
      </c>
      <c r="M12" s="110" t="s">
        <v>352</v>
      </c>
      <c r="N12" s="95" t="s">
        <v>352</v>
      </c>
      <c r="O12" s="110" t="s">
        <v>352</v>
      </c>
    </row>
    <row r="13" spans="2:15">
      <c r="B13" s="166">
        <v>71</v>
      </c>
      <c r="C13" s="90" t="s">
        <v>353</v>
      </c>
      <c r="D13" s="1" t="s">
        <v>368</v>
      </c>
      <c r="E13" s="116" t="s">
        <v>369</v>
      </c>
      <c r="F13" s="88" t="s">
        <v>352</v>
      </c>
      <c r="G13" s="2" t="s">
        <v>352</v>
      </c>
      <c r="H13" s="2" t="s">
        <v>352</v>
      </c>
      <c r="I13" s="2" t="s">
        <v>352</v>
      </c>
      <c r="J13" s="89" t="s">
        <v>352</v>
      </c>
      <c r="K13" s="91"/>
      <c r="L13" s="2" t="s">
        <v>352</v>
      </c>
      <c r="M13" s="89" t="s">
        <v>352</v>
      </c>
      <c r="N13" s="91" t="s">
        <v>352</v>
      </c>
      <c r="O13" s="89" t="s">
        <v>352</v>
      </c>
    </row>
    <row r="14" spans="2:15">
      <c r="B14" s="166">
        <v>29</v>
      </c>
      <c r="C14" s="90" t="s">
        <v>370</v>
      </c>
      <c r="D14" s="1" t="s">
        <v>371</v>
      </c>
      <c r="E14" s="116" t="s">
        <v>372</v>
      </c>
      <c r="F14" s="88"/>
      <c r="G14" s="2"/>
      <c r="H14" s="2"/>
      <c r="I14" s="2"/>
      <c r="J14" s="89"/>
      <c r="K14" s="91"/>
      <c r="L14" s="2" t="s">
        <v>352</v>
      </c>
      <c r="M14" s="89" t="s">
        <v>352</v>
      </c>
      <c r="N14" s="91" t="s">
        <v>352</v>
      </c>
      <c r="O14" s="89" t="s">
        <v>352</v>
      </c>
    </row>
    <row r="15" spans="2:15">
      <c r="B15" s="166">
        <v>25</v>
      </c>
      <c r="C15" s="170" t="s">
        <v>373</v>
      </c>
      <c r="D15" s="93" t="s">
        <v>374</v>
      </c>
      <c r="E15" s="149" t="s">
        <v>87</v>
      </c>
      <c r="F15" s="94" t="s">
        <v>352</v>
      </c>
      <c r="G15" s="109" t="s">
        <v>362</v>
      </c>
      <c r="H15" s="109" t="s">
        <v>352</v>
      </c>
      <c r="I15" s="109" t="s">
        <v>352</v>
      </c>
      <c r="J15" s="110" t="s">
        <v>352</v>
      </c>
      <c r="K15" s="95" t="s">
        <v>362</v>
      </c>
      <c r="L15" s="109" t="s">
        <v>352</v>
      </c>
      <c r="M15" s="110" t="s">
        <v>375</v>
      </c>
      <c r="N15" s="95" t="s">
        <v>352</v>
      </c>
      <c r="O15" s="110" t="s">
        <v>352</v>
      </c>
    </row>
    <row r="16" spans="2:15">
      <c r="B16" s="166">
        <v>80</v>
      </c>
      <c r="C16" s="90" t="s">
        <v>376</v>
      </c>
      <c r="D16" s="28" t="s">
        <v>377</v>
      </c>
      <c r="E16" s="117" t="s">
        <v>378</v>
      </c>
      <c r="F16" s="88" t="s">
        <v>352</v>
      </c>
      <c r="G16" s="2" t="s">
        <v>352</v>
      </c>
      <c r="H16" s="2" t="s">
        <v>352</v>
      </c>
      <c r="I16" s="2" t="s">
        <v>352</v>
      </c>
      <c r="J16" s="89" t="s">
        <v>352</v>
      </c>
      <c r="K16" s="91"/>
      <c r="L16" s="2" t="s">
        <v>352</v>
      </c>
      <c r="M16" s="89" t="s">
        <v>352</v>
      </c>
      <c r="N16" s="91" t="s">
        <v>352</v>
      </c>
      <c r="O16" s="89" t="s">
        <v>352</v>
      </c>
    </row>
    <row r="17" spans="2:15">
      <c r="B17" s="166">
        <v>94</v>
      </c>
      <c r="C17" s="90" t="s">
        <v>379</v>
      </c>
      <c r="D17" s="1" t="s">
        <v>380</v>
      </c>
      <c r="E17" s="117" t="s">
        <v>381</v>
      </c>
      <c r="F17" s="88" t="s">
        <v>352</v>
      </c>
      <c r="G17" s="2" t="s">
        <v>352</v>
      </c>
      <c r="H17" s="2" t="s">
        <v>352</v>
      </c>
      <c r="I17" s="2" t="s">
        <v>352</v>
      </c>
      <c r="J17" s="89" t="s">
        <v>352</v>
      </c>
      <c r="K17" s="91"/>
      <c r="L17" s="2" t="s">
        <v>352</v>
      </c>
      <c r="M17" s="89"/>
      <c r="N17" s="91" t="s">
        <v>352</v>
      </c>
      <c r="O17" s="89" t="s">
        <v>352</v>
      </c>
    </row>
    <row r="18" spans="2:15">
      <c r="B18" s="166">
        <v>91</v>
      </c>
      <c r="C18" s="90" t="s">
        <v>356</v>
      </c>
      <c r="D18" s="28" t="s">
        <v>382</v>
      </c>
      <c r="E18" s="117" t="s">
        <v>383</v>
      </c>
      <c r="F18" s="88" t="s">
        <v>352</v>
      </c>
      <c r="G18" s="2" t="s">
        <v>352</v>
      </c>
      <c r="H18" s="2" t="s">
        <v>352</v>
      </c>
      <c r="I18" s="2" t="s">
        <v>352</v>
      </c>
      <c r="J18" s="89" t="s">
        <v>352</v>
      </c>
      <c r="K18" s="91"/>
      <c r="L18" s="2" t="s">
        <v>352</v>
      </c>
      <c r="M18" s="89" t="s">
        <v>352</v>
      </c>
      <c r="N18" s="91" t="s">
        <v>352</v>
      </c>
      <c r="O18" s="89" t="s">
        <v>352</v>
      </c>
    </row>
    <row r="19" spans="2:15">
      <c r="B19" s="166">
        <v>84</v>
      </c>
      <c r="C19" s="90" t="s">
        <v>356</v>
      </c>
      <c r="D19" s="28" t="s">
        <v>384</v>
      </c>
      <c r="E19" s="117" t="s">
        <v>385</v>
      </c>
      <c r="F19" s="88" t="s">
        <v>352</v>
      </c>
      <c r="G19" s="2"/>
      <c r="H19" s="2"/>
      <c r="I19" s="2"/>
      <c r="J19" s="89"/>
      <c r="K19" s="91"/>
      <c r="L19" s="2" t="s">
        <v>352</v>
      </c>
      <c r="M19" s="89"/>
      <c r="N19" s="91" t="s">
        <v>352</v>
      </c>
      <c r="O19" s="89" t="s">
        <v>352</v>
      </c>
    </row>
    <row r="20" spans="2:15">
      <c r="B20" s="166">
        <v>96</v>
      </c>
      <c r="C20" s="87" t="s">
        <v>386</v>
      </c>
      <c r="D20" s="106" t="s">
        <v>387</v>
      </c>
      <c r="E20" s="118" t="s">
        <v>388</v>
      </c>
      <c r="F20" s="88" t="s">
        <v>352</v>
      </c>
      <c r="G20" s="2"/>
      <c r="H20" s="2"/>
      <c r="I20" s="2"/>
      <c r="J20" s="89" t="s">
        <v>352</v>
      </c>
      <c r="K20" s="91" t="s">
        <v>352</v>
      </c>
      <c r="L20" s="2" t="s">
        <v>352</v>
      </c>
      <c r="M20" s="89" t="s">
        <v>352</v>
      </c>
      <c r="N20" s="91" t="s">
        <v>352</v>
      </c>
      <c r="O20" s="89" t="s">
        <v>352</v>
      </c>
    </row>
    <row r="21" spans="2:15">
      <c r="B21" s="166">
        <v>92</v>
      </c>
      <c r="C21" s="87" t="s">
        <v>356</v>
      </c>
      <c r="D21" s="106" t="s">
        <v>389</v>
      </c>
      <c r="E21" s="118" t="s">
        <v>390</v>
      </c>
      <c r="F21" s="88"/>
      <c r="G21" s="2"/>
      <c r="H21" s="2"/>
      <c r="I21" s="2"/>
      <c r="J21" s="89" t="s">
        <v>352</v>
      </c>
      <c r="K21" s="91"/>
      <c r="L21" s="2" t="s">
        <v>352</v>
      </c>
      <c r="M21" s="89" t="s">
        <v>352</v>
      </c>
      <c r="N21" s="91" t="s">
        <v>352</v>
      </c>
      <c r="O21" s="89" t="s">
        <v>352</v>
      </c>
    </row>
    <row r="22" spans="2:15">
      <c r="B22" s="166">
        <v>34</v>
      </c>
      <c r="C22" s="179" t="s">
        <v>391</v>
      </c>
      <c r="D22" s="96" t="s">
        <v>392</v>
      </c>
      <c r="E22" s="147" t="s">
        <v>393</v>
      </c>
      <c r="F22" s="94" t="s">
        <v>352</v>
      </c>
      <c r="G22" s="109" t="s">
        <v>352</v>
      </c>
      <c r="H22" s="109" t="s">
        <v>352</v>
      </c>
      <c r="I22" s="109" t="s">
        <v>352</v>
      </c>
      <c r="J22" s="110" t="s">
        <v>352</v>
      </c>
      <c r="K22" s="95">
        <v>6</v>
      </c>
      <c r="L22" s="2" t="s">
        <v>352</v>
      </c>
      <c r="M22" s="121" t="s">
        <v>394</v>
      </c>
      <c r="N22" s="91" t="s">
        <v>352</v>
      </c>
      <c r="O22" s="89" t="s">
        <v>352</v>
      </c>
    </row>
    <row r="23" spans="2:15">
      <c r="B23" s="166">
        <v>13</v>
      </c>
      <c r="C23" s="87" t="s">
        <v>395</v>
      </c>
      <c r="D23" s="106" t="s">
        <v>396</v>
      </c>
      <c r="E23" s="118" t="s">
        <v>397</v>
      </c>
      <c r="F23" s="88"/>
      <c r="G23" s="2"/>
      <c r="H23" s="2"/>
      <c r="I23" s="2"/>
      <c r="J23" s="89"/>
      <c r="K23" s="91"/>
      <c r="L23" s="2"/>
      <c r="M23" s="89"/>
      <c r="N23" s="100" t="s">
        <v>352</v>
      </c>
      <c r="O23" s="111" t="s">
        <v>352</v>
      </c>
    </row>
    <row r="24" spans="2:15">
      <c r="B24" s="166">
        <v>63</v>
      </c>
      <c r="C24" s="87" t="s">
        <v>398</v>
      </c>
      <c r="D24" s="106" t="s">
        <v>399</v>
      </c>
      <c r="E24" s="118" t="s">
        <v>400</v>
      </c>
      <c r="F24" s="88"/>
      <c r="G24" s="2"/>
      <c r="H24" s="2"/>
      <c r="I24" s="2"/>
      <c r="J24" s="89" t="s">
        <v>352</v>
      </c>
      <c r="K24" s="91"/>
      <c r="L24" s="2"/>
      <c r="M24" s="89" t="s">
        <v>352</v>
      </c>
      <c r="N24" s="91"/>
      <c r="O24" s="89"/>
    </row>
    <row r="25" spans="2:15">
      <c r="B25" s="166">
        <v>17</v>
      </c>
      <c r="C25" s="168" t="s">
        <v>401</v>
      </c>
      <c r="D25" s="107" t="s">
        <v>402</v>
      </c>
      <c r="E25" s="119" t="s">
        <v>403</v>
      </c>
      <c r="F25" s="99"/>
      <c r="G25" s="102"/>
      <c r="H25" s="102"/>
      <c r="I25" s="102"/>
      <c r="J25" s="111"/>
      <c r="K25" s="100"/>
      <c r="L25" s="102"/>
      <c r="M25" s="111"/>
      <c r="N25" s="100" t="s">
        <v>352</v>
      </c>
      <c r="O25" s="111" t="s">
        <v>352</v>
      </c>
    </row>
    <row r="26" spans="2:15">
      <c r="B26" s="166">
        <v>19</v>
      </c>
      <c r="C26" s="168" t="s">
        <v>401</v>
      </c>
      <c r="D26" s="107" t="s">
        <v>404</v>
      </c>
      <c r="E26" s="119" t="s">
        <v>405</v>
      </c>
      <c r="F26" s="99"/>
      <c r="G26" s="102"/>
      <c r="H26" s="102"/>
      <c r="I26" s="102"/>
      <c r="J26" s="111"/>
      <c r="K26" s="100"/>
      <c r="L26" s="102"/>
      <c r="M26" s="111"/>
      <c r="N26" s="100" t="s">
        <v>352</v>
      </c>
      <c r="O26" s="111" t="s">
        <v>352</v>
      </c>
    </row>
    <row r="27" spans="2:15">
      <c r="B27" s="166">
        <v>20</v>
      </c>
      <c r="C27" s="169" t="s">
        <v>401</v>
      </c>
      <c r="D27" s="103" t="s">
        <v>406</v>
      </c>
      <c r="E27" s="114" t="s">
        <v>407</v>
      </c>
      <c r="F27" s="99"/>
      <c r="G27" s="102"/>
      <c r="H27" s="102"/>
      <c r="I27" s="102"/>
      <c r="J27" s="111"/>
      <c r="K27" s="100"/>
      <c r="L27" s="102"/>
      <c r="M27" s="111"/>
      <c r="N27" s="100" t="s">
        <v>352</v>
      </c>
      <c r="O27" s="111" t="s">
        <v>352</v>
      </c>
    </row>
    <row r="28" spans="2:15">
      <c r="B28" s="166">
        <v>15</v>
      </c>
      <c r="C28" s="169" t="s">
        <v>401</v>
      </c>
      <c r="D28" s="103" t="s">
        <v>408</v>
      </c>
      <c r="E28" s="115" t="s">
        <v>409</v>
      </c>
      <c r="F28" s="99"/>
      <c r="G28" s="102"/>
      <c r="H28" s="102"/>
      <c r="I28" s="102"/>
      <c r="J28" s="111"/>
      <c r="K28" s="100"/>
      <c r="L28" s="102"/>
      <c r="M28" s="111"/>
      <c r="N28" s="100" t="s">
        <v>352</v>
      </c>
      <c r="O28" s="111" t="s">
        <v>352</v>
      </c>
    </row>
    <row r="29" spans="2:15">
      <c r="B29" s="166">
        <v>18</v>
      </c>
      <c r="C29" s="169" t="s">
        <v>401</v>
      </c>
      <c r="D29" s="103" t="s">
        <v>410</v>
      </c>
      <c r="E29" s="114" t="s">
        <v>411</v>
      </c>
      <c r="F29" s="99" t="s">
        <v>352</v>
      </c>
      <c r="G29" s="102" t="s">
        <v>352</v>
      </c>
      <c r="H29" s="102" t="s">
        <v>352</v>
      </c>
      <c r="I29" s="102" t="s">
        <v>352</v>
      </c>
      <c r="J29" s="111" t="s">
        <v>352</v>
      </c>
      <c r="K29" s="100"/>
      <c r="L29" s="102"/>
      <c r="M29" s="111"/>
      <c r="N29" s="100" t="s">
        <v>352</v>
      </c>
      <c r="O29" s="111" t="s">
        <v>352</v>
      </c>
    </row>
    <row r="30" spans="2:15">
      <c r="B30" s="166">
        <v>16</v>
      </c>
      <c r="C30" s="178" t="s">
        <v>401</v>
      </c>
      <c r="D30" s="105" t="s">
        <v>412</v>
      </c>
      <c r="E30" s="146" t="s">
        <v>413</v>
      </c>
      <c r="F30" s="99"/>
      <c r="G30" s="102"/>
      <c r="H30" s="102"/>
      <c r="I30" s="102"/>
      <c r="J30" s="111"/>
      <c r="K30" s="100"/>
      <c r="L30" s="102"/>
      <c r="M30" s="111"/>
      <c r="N30" s="100" t="s">
        <v>352</v>
      </c>
      <c r="O30" s="111" t="s">
        <v>352</v>
      </c>
    </row>
    <row r="31" spans="2:15">
      <c r="B31" s="166">
        <v>37</v>
      </c>
      <c r="C31" s="172" t="s">
        <v>414</v>
      </c>
      <c r="D31" s="97" t="s">
        <v>415</v>
      </c>
      <c r="E31" s="123" t="s">
        <v>416</v>
      </c>
      <c r="F31" s="88" t="s">
        <v>352</v>
      </c>
      <c r="G31" s="2"/>
      <c r="H31" s="2" t="s">
        <v>352</v>
      </c>
      <c r="I31" s="2"/>
      <c r="J31" s="89" t="s">
        <v>352</v>
      </c>
      <c r="K31" s="91"/>
      <c r="L31" s="2" t="s">
        <v>352</v>
      </c>
      <c r="M31" s="89"/>
      <c r="N31" s="91" t="s">
        <v>352</v>
      </c>
      <c r="O31" s="89" t="s">
        <v>352</v>
      </c>
    </row>
    <row r="32" spans="2:15" ht="28.9">
      <c r="B32" s="166">
        <v>42</v>
      </c>
      <c r="C32" s="172" t="s">
        <v>417</v>
      </c>
      <c r="D32" s="97" t="s">
        <v>418</v>
      </c>
      <c r="E32" s="123" t="s">
        <v>419</v>
      </c>
      <c r="F32" s="88" t="s">
        <v>420</v>
      </c>
      <c r="G32" s="2" t="s">
        <v>420</v>
      </c>
      <c r="H32" s="2" t="s">
        <v>420</v>
      </c>
      <c r="I32" s="2" t="s">
        <v>420</v>
      </c>
      <c r="J32" s="89" t="s">
        <v>420</v>
      </c>
      <c r="K32" s="91"/>
      <c r="L32" s="2"/>
      <c r="M32" s="89" t="s">
        <v>420</v>
      </c>
      <c r="N32" s="91" t="s">
        <v>420</v>
      </c>
      <c r="O32" s="89" t="s">
        <v>420</v>
      </c>
    </row>
    <row r="33" spans="2:15">
      <c r="B33" s="166">
        <v>89</v>
      </c>
      <c r="C33" s="172" t="s">
        <v>356</v>
      </c>
      <c r="D33" s="97" t="s">
        <v>421</v>
      </c>
      <c r="E33" s="123" t="s">
        <v>422</v>
      </c>
      <c r="F33" s="88" t="s">
        <v>352</v>
      </c>
      <c r="G33" s="2"/>
      <c r="H33" s="2" t="s">
        <v>352</v>
      </c>
      <c r="I33" s="2" t="s">
        <v>352</v>
      </c>
      <c r="J33" s="89" t="s">
        <v>352</v>
      </c>
      <c r="K33" s="91"/>
      <c r="L33" s="2" t="s">
        <v>352</v>
      </c>
      <c r="M33" s="89"/>
      <c r="N33" s="91" t="s">
        <v>352</v>
      </c>
      <c r="O33" s="89" t="s">
        <v>352</v>
      </c>
    </row>
    <row r="34" spans="2:15">
      <c r="B34" s="166">
        <v>79</v>
      </c>
      <c r="C34" s="172" t="s">
        <v>376</v>
      </c>
      <c r="D34" s="97" t="s">
        <v>423</v>
      </c>
      <c r="E34" s="123" t="s">
        <v>424</v>
      </c>
      <c r="F34" s="88" t="s">
        <v>352</v>
      </c>
      <c r="G34" s="2"/>
      <c r="H34" s="2"/>
      <c r="I34" s="2"/>
      <c r="J34" s="89"/>
      <c r="K34" s="91"/>
      <c r="L34" s="2" t="s">
        <v>352</v>
      </c>
      <c r="M34" s="89"/>
      <c r="N34" s="91"/>
      <c r="O34" s="89"/>
    </row>
    <row r="35" spans="2:15">
      <c r="B35" s="166">
        <v>7</v>
      </c>
      <c r="C35" s="172" t="s">
        <v>425</v>
      </c>
      <c r="D35" s="97" t="s">
        <v>426</v>
      </c>
      <c r="E35" s="123" t="s">
        <v>427</v>
      </c>
      <c r="F35" s="88" t="s">
        <v>352</v>
      </c>
      <c r="G35" s="2"/>
      <c r="H35" s="2" t="s">
        <v>352</v>
      </c>
      <c r="I35" s="2"/>
      <c r="J35" s="89" t="s">
        <v>352</v>
      </c>
      <c r="K35" s="91"/>
      <c r="L35" s="2" t="s">
        <v>352</v>
      </c>
      <c r="M35" s="89" t="s">
        <v>352</v>
      </c>
      <c r="N35" s="91" t="s">
        <v>352</v>
      </c>
      <c r="O35" s="89" t="s">
        <v>352</v>
      </c>
    </row>
    <row r="36" spans="2:15">
      <c r="B36" s="166">
        <v>8</v>
      </c>
      <c r="C36" s="172" t="s">
        <v>425</v>
      </c>
      <c r="D36" s="97" t="s">
        <v>428</v>
      </c>
      <c r="E36" s="123" t="s">
        <v>429</v>
      </c>
      <c r="F36" s="88" t="s">
        <v>352</v>
      </c>
      <c r="G36" s="2"/>
      <c r="H36" s="2"/>
      <c r="I36" s="2"/>
      <c r="J36" s="89"/>
      <c r="K36" s="91"/>
      <c r="L36" s="2" t="s">
        <v>352</v>
      </c>
      <c r="M36" s="89" t="s">
        <v>352</v>
      </c>
      <c r="N36" s="91" t="s">
        <v>352</v>
      </c>
      <c r="O36" s="89" t="s">
        <v>352</v>
      </c>
    </row>
    <row r="37" spans="2:15">
      <c r="B37" s="166">
        <v>55</v>
      </c>
      <c r="C37" s="172" t="s">
        <v>430</v>
      </c>
      <c r="D37" s="97" t="s">
        <v>431</v>
      </c>
      <c r="E37" s="123" t="s">
        <v>432</v>
      </c>
      <c r="F37" s="88"/>
      <c r="G37" s="2"/>
      <c r="H37" s="2"/>
      <c r="I37" s="2" t="s">
        <v>420</v>
      </c>
      <c r="J37" s="89" t="s">
        <v>420</v>
      </c>
      <c r="K37" s="91"/>
      <c r="L37" s="2" t="s">
        <v>420</v>
      </c>
      <c r="M37" s="89" t="s">
        <v>420</v>
      </c>
      <c r="N37" s="91" t="s">
        <v>420</v>
      </c>
      <c r="O37" s="89"/>
    </row>
    <row r="38" spans="2:15">
      <c r="B38" s="166">
        <v>53</v>
      </c>
      <c r="C38" s="172" t="s">
        <v>433</v>
      </c>
      <c r="D38" s="97" t="s">
        <v>434</v>
      </c>
      <c r="E38" s="123" t="s">
        <v>116</v>
      </c>
      <c r="F38" s="88"/>
      <c r="G38" s="2"/>
      <c r="H38" s="2"/>
      <c r="I38" s="2"/>
      <c r="J38" s="89"/>
      <c r="K38" s="91"/>
      <c r="L38" s="2"/>
      <c r="M38" s="89" t="s">
        <v>420</v>
      </c>
      <c r="N38" s="91"/>
      <c r="O38" s="89"/>
    </row>
    <row r="39" spans="2:15">
      <c r="B39" s="166">
        <v>88</v>
      </c>
      <c r="C39" s="172" t="s">
        <v>356</v>
      </c>
      <c r="D39" s="97" t="s">
        <v>435</v>
      </c>
      <c r="E39" s="123" t="s">
        <v>436</v>
      </c>
      <c r="F39" s="88"/>
      <c r="G39" s="2"/>
      <c r="H39" s="2"/>
      <c r="I39" s="2"/>
      <c r="J39" s="89"/>
      <c r="K39" s="91"/>
      <c r="L39" s="2" t="s">
        <v>352</v>
      </c>
      <c r="M39" s="89"/>
      <c r="N39" s="91"/>
      <c r="O39" s="89"/>
    </row>
    <row r="40" spans="2:15">
      <c r="B40" s="166">
        <v>76</v>
      </c>
      <c r="C40" s="172" t="s">
        <v>437</v>
      </c>
      <c r="D40" s="97" t="s">
        <v>438</v>
      </c>
      <c r="E40" s="123" t="s">
        <v>439</v>
      </c>
      <c r="F40" s="88" t="s">
        <v>352</v>
      </c>
      <c r="G40" s="2"/>
      <c r="H40" s="2"/>
      <c r="I40" s="2" t="s">
        <v>352</v>
      </c>
      <c r="J40" s="89" t="s">
        <v>352</v>
      </c>
      <c r="K40" s="91"/>
      <c r="L40" s="2" t="s">
        <v>352</v>
      </c>
      <c r="M40" s="89" t="s">
        <v>352</v>
      </c>
      <c r="N40" s="91" t="s">
        <v>352</v>
      </c>
      <c r="O40" s="89" t="s">
        <v>352</v>
      </c>
    </row>
    <row r="41" spans="2:15">
      <c r="B41" s="166">
        <v>51</v>
      </c>
      <c r="C41" s="172" t="s">
        <v>363</v>
      </c>
      <c r="D41" s="97" t="s">
        <v>440</v>
      </c>
      <c r="E41" s="123" t="s">
        <v>441</v>
      </c>
      <c r="F41" s="88"/>
      <c r="G41" s="2"/>
      <c r="H41" s="2"/>
      <c r="I41" s="2"/>
      <c r="J41" s="89"/>
      <c r="K41" s="91" t="s">
        <v>352</v>
      </c>
      <c r="L41" s="2"/>
      <c r="M41" s="89"/>
      <c r="N41" s="91"/>
      <c r="O41" s="89" t="s">
        <v>352</v>
      </c>
    </row>
    <row r="42" spans="2:15">
      <c r="B42" s="166">
        <v>50</v>
      </c>
      <c r="C42" s="172" t="s">
        <v>363</v>
      </c>
      <c r="D42" s="97" t="s">
        <v>442</v>
      </c>
      <c r="E42" s="123" t="s">
        <v>443</v>
      </c>
      <c r="F42" s="88" t="s">
        <v>352</v>
      </c>
      <c r="G42" s="2"/>
      <c r="H42" s="2"/>
      <c r="I42" s="2"/>
      <c r="J42" s="89"/>
      <c r="K42" s="91" t="s">
        <v>352</v>
      </c>
      <c r="L42" s="2"/>
      <c r="M42" s="89"/>
      <c r="N42" s="91" t="s">
        <v>352</v>
      </c>
      <c r="O42" s="89"/>
    </row>
    <row r="43" spans="2:15" ht="28.9">
      <c r="B43" s="166">
        <v>49</v>
      </c>
      <c r="C43" s="172" t="s">
        <v>363</v>
      </c>
      <c r="D43" s="97" t="s">
        <v>444</v>
      </c>
      <c r="E43" s="123" t="s">
        <v>445</v>
      </c>
      <c r="F43" s="88" t="s">
        <v>352</v>
      </c>
      <c r="G43" s="2"/>
      <c r="H43" s="2"/>
      <c r="I43" s="2"/>
      <c r="J43" s="89"/>
      <c r="K43" s="91" t="s">
        <v>352</v>
      </c>
      <c r="L43" s="2"/>
      <c r="M43" s="89"/>
      <c r="N43" s="91"/>
      <c r="O43" s="89" t="s">
        <v>352</v>
      </c>
    </row>
    <row r="44" spans="2:15">
      <c r="B44" s="166">
        <v>77</v>
      </c>
      <c r="C44" s="172" t="s">
        <v>376</v>
      </c>
      <c r="D44" s="97" t="s">
        <v>446</v>
      </c>
      <c r="E44" s="123" t="s">
        <v>447</v>
      </c>
      <c r="F44" s="88" t="s">
        <v>352</v>
      </c>
      <c r="G44" s="2" t="s">
        <v>352</v>
      </c>
      <c r="H44" s="2" t="s">
        <v>352</v>
      </c>
      <c r="I44" s="2" t="s">
        <v>352</v>
      </c>
      <c r="J44" s="89" t="s">
        <v>352</v>
      </c>
      <c r="K44" s="91"/>
      <c r="L44" s="2" t="s">
        <v>352</v>
      </c>
      <c r="M44" s="89"/>
      <c r="N44" s="91" t="s">
        <v>352</v>
      </c>
      <c r="O44" s="89" t="s">
        <v>352</v>
      </c>
    </row>
    <row r="45" spans="2:15">
      <c r="B45" s="166">
        <v>81</v>
      </c>
      <c r="C45" s="172" t="s">
        <v>448</v>
      </c>
      <c r="D45" s="97" t="s">
        <v>449</v>
      </c>
      <c r="E45" s="123" t="s">
        <v>447</v>
      </c>
      <c r="F45" s="88" t="s">
        <v>352</v>
      </c>
      <c r="G45" s="2" t="s">
        <v>352</v>
      </c>
      <c r="H45" s="2" t="s">
        <v>352</v>
      </c>
      <c r="I45" s="2" t="s">
        <v>352</v>
      </c>
      <c r="J45" s="89" t="s">
        <v>352</v>
      </c>
      <c r="K45" s="91"/>
      <c r="L45" s="2" t="s">
        <v>352</v>
      </c>
      <c r="M45" s="89"/>
      <c r="N45" s="91" t="s">
        <v>352</v>
      </c>
      <c r="O45" s="89" t="s">
        <v>352</v>
      </c>
    </row>
    <row r="46" spans="2:15">
      <c r="B46" s="166">
        <v>35</v>
      </c>
      <c r="C46" s="171" t="s">
        <v>391</v>
      </c>
      <c r="D46" s="104" t="s">
        <v>450</v>
      </c>
      <c r="E46" s="122" t="s">
        <v>451</v>
      </c>
      <c r="F46" s="94" t="s">
        <v>352</v>
      </c>
      <c r="G46" s="109" t="s">
        <v>352</v>
      </c>
      <c r="H46" s="109" t="s">
        <v>352</v>
      </c>
      <c r="I46" s="109" t="s">
        <v>352</v>
      </c>
      <c r="J46" s="110" t="s">
        <v>352</v>
      </c>
      <c r="K46" s="95">
        <v>6</v>
      </c>
      <c r="L46" s="2" t="s">
        <v>352</v>
      </c>
      <c r="M46" s="121" t="s">
        <v>452</v>
      </c>
      <c r="N46" s="91" t="s">
        <v>352</v>
      </c>
      <c r="O46" s="89" t="s">
        <v>352</v>
      </c>
    </row>
    <row r="47" spans="2:15">
      <c r="B47" s="166">
        <v>73</v>
      </c>
      <c r="C47" s="172" t="s">
        <v>353</v>
      </c>
      <c r="D47" s="97" t="s">
        <v>453</v>
      </c>
      <c r="E47" s="123" t="s">
        <v>454</v>
      </c>
      <c r="F47" s="88" t="s">
        <v>352</v>
      </c>
      <c r="G47" s="2"/>
      <c r="H47" s="2"/>
      <c r="I47" s="2"/>
      <c r="J47" s="89" t="s">
        <v>352</v>
      </c>
      <c r="K47" s="91"/>
      <c r="L47" s="2" t="s">
        <v>352</v>
      </c>
      <c r="M47" s="89"/>
      <c r="N47" s="91" t="s">
        <v>352</v>
      </c>
      <c r="O47" s="89" t="s">
        <v>352</v>
      </c>
    </row>
    <row r="48" spans="2:15">
      <c r="B48" s="166">
        <v>74</v>
      </c>
      <c r="C48" s="172" t="s">
        <v>437</v>
      </c>
      <c r="D48" s="97" t="s">
        <v>455</v>
      </c>
      <c r="E48" s="123" t="s">
        <v>454</v>
      </c>
      <c r="F48" s="88" t="s">
        <v>352</v>
      </c>
      <c r="G48" s="2"/>
      <c r="H48" s="2"/>
      <c r="I48" s="2"/>
      <c r="J48" s="89"/>
      <c r="K48" s="91"/>
      <c r="L48" s="2" t="s">
        <v>352</v>
      </c>
      <c r="M48" s="89" t="s">
        <v>352</v>
      </c>
      <c r="N48" s="91" t="s">
        <v>352</v>
      </c>
      <c r="O48" s="89" t="s">
        <v>352</v>
      </c>
    </row>
    <row r="49" spans="2:15">
      <c r="B49" s="166">
        <v>83</v>
      </c>
      <c r="C49" s="172" t="s">
        <v>448</v>
      </c>
      <c r="D49" s="97" t="s">
        <v>456</v>
      </c>
      <c r="E49" s="123" t="s">
        <v>454</v>
      </c>
      <c r="F49" s="88" t="s">
        <v>352</v>
      </c>
      <c r="G49" s="2"/>
      <c r="H49" s="2"/>
      <c r="I49" s="2"/>
      <c r="J49" s="89" t="s">
        <v>352</v>
      </c>
      <c r="K49" s="91"/>
      <c r="L49" s="2" t="s">
        <v>352</v>
      </c>
      <c r="M49" s="89" t="s">
        <v>352</v>
      </c>
      <c r="N49" s="91" t="s">
        <v>352</v>
      </c>
      <c r="O49" s="89" t="s">
        <v>352</v>
      </c>
    </row>
    <row r="50" spans="2:15">
      <c r="B50" s="166">
        <v>97</v>
      </c>
      <c r="C50" s="174" t="s">
        <v>386</v>
      </c>
      <c r="D50" s="135" t="s">
        <v>457</v>
      </c>
      <c r="E50" s="148" t="s">
        <v>458</v>
      </c>
      <c r="F50" s="137" t="s">
        <v>352</v>
      </c>
      <c r="G50" s="133"/>
      <c r="H50" s="133"/>
      <c r="I50" s="133"/>
      <c r="J50" s="134" t="s">
        <v>352</v>
      </c>
      <c r="K50" s="132" t="s">
        <v>352</v>
      </c>
      <c r="L50" s="133" t="s">
        <v>352</v>
      </c>
      <c r="M50" s="134" t="s">
        <v>352</v>
      </c>
      <c r="N50" s="132" t="s">
        <v>352</v>
      </c>
      <c r="O50" s="134" t="s">
        <v>352</v>
      </c>
    </row>
    <row r="51" spans="2:15" ht="28.9">
      <c r="B51" s="166">
        <v>2</v>
      </c>
      <c r="C51" s="180" t="s">
        <v>459</v>
      </c>
      <c r="D51" s="98" t="s">
        <v>460</v>
      </c>
      <c r="E51" s="150" t="s">
        <v>461</v>
      </c>
      <c r="F51" s="99" t="s">
        <v>352</v>
      </c>
      <c r="G51" s="102" t="s">
        <v>352</v>
      </c>
      <c r="H51" s="102" t="s">
        <v>352</v>
      </c>
      <c r="I51" s="102"/>
      <c r="J51" s="111" t="s">
        <v>352</v>
      </c>
      <c r="K51" s="100"/>
      <c r="L51" s="102"/>
      <c r="M51" s="111"/>
      <c r="N51" s="100" t="s">
        <v>352</v>
      </c>
      <c r="O51" s="111" t="s">
        <v>352</v>
      </c>
    </row>
    <row r="52" spans="2:15">
      <c r="B52" s="166">
        <v>65</v>
      </c>
      <c r="C52" s="172" t="s">
        <v>349</v>
      </c>
      <c r="D52" s="97" t="s">
        <v>462</v>
      </c>
      <c r="E52" s="123" t="s">
        <v>463</v>
      </c>
      <c r="F52" s="88" t="s">
        <v>352</v>
      </c>
      <c r="G52" s="2" t="s">
        <v>352</v>
      </c>
      <c r="H52" s="2"/>
      <c r="I52" s="2"/>
      <c r="J52" s="89" t="s">
        <v>352</v>
      </c>
      <c r="K52" s="91"/>
      <c r="L52" s="2" t="s">
        <v>352</v>
      </c>
      <c r="M52" s="89"/>
      <c r="N52" s="91" t="s">
        <v>352</v>
      </c>
      <c r="O52" s="89" t="s">
        <v>352</v>
      </c>
    </row>
    <row r="53" spans="2:15">
      <c r="B53" s="166">
        <v>12</v>
      </c>
      <c r="C53" s="172" t="s">
        <v>395</v>
      </c>
      <c r="D53" s="97" t="s">
        <v>464</v>
      </c>
      <c r="E53" s="123" t="s">
        <v>465</v>
      </c>
      <c r="F53" s="88"/>
      <c r="G53" s="2"/>
      <c r="H53" s="2"/>
      <c r="I53" s="2"/>
      <c r="J53" s="89"/>
      <c r="K53" s="91"/>
      <c r="L53" s="2"/>
      <c r="M53" s="89"/>
      <c r="N53" s="100" t="s">
        <v>352</v>
      </c>
      <c r="O53" s="111" t="s">
        <v>352</v>
      </c>
    </row>
    <row r="54" spans="2:15">
      <c r="B54" s="166">
        <v>70</v>
      </c>
      <c r="C54" s="172" t="s">
        <v>466</v>
      </c>
      <c r="D54" s="97" t="s">
        <v>467</v>
      </c>
      <c r="E54" s="124" t="s">
        <v>468</v>
      </c>
      <c r="F54" s="88"/>
      <c r="G54" s="2"/>
      <c r="H54" s="2"/>
      <c r="I54" s="2"/>
      <c r="J54" s="89" t="s">
        <v>352</v>
      </c>
      <c r="K54" s="91"/>
      <c r="L54" s="2" t="s">
        <v>352</v>
      </c>
      <c r="M54" s="89"/>
      <c r="N54" s="91"/>
      <c r="O54" s="89"/>
    </row>
    <row r="55" spans="2:15">
      <c r="B55" s="166">
        <v>58</v>
      </c>
      <c r="C55" s="172" t="s">
        <v>469</v>
      </c>
      <c r="D55" s="97" t="s">
        <v>470</v>
      </c>
      <c r="E55" s="123" t="s">
        <v>471</v>
      </c>
      <c r="F55" s="88" t="s">
        <v>352</v>
      </c>
      <c r="G55" s="2"/>
      <c r="H55" s="2"/>
      <c r="I55" s="2"/>
      <c r="J55" s="89" t="s">
        <v>352</v>
      </c>
      <c r="K55" s="91"/>
      <c r="L55" s="2"/>
      <c r="M55" s="89"/>
      <c r="N55" s="91" t="s">
        <v>352</v>
      </c>
      <c r="O55" s="89"/>
    </row>
    <row r="56" spans="2:15">
      <c r="B56" s="166">
        <v>86</v>
      </c>
      <c r="C56" s="172" t="s">
        <v>356</v>
      </c>
      <c r="D56" s="97" t="s">
        <v>472</v>
      </c>
      <c r="E56" s="123" t="s">
        <v>473</v>
      </c>
      <c r="F56" s="88" t="s">
        <v>352</v>
      </c>
      <c r="G56" s="2"/>
      <c r="H56" s="2"/>
      <c r="I56" s="2"/>
      <c r="J56" s="89"/>
      <c r="K56" s="91"/>
      <c r="L56" s="2" t="s">
        <v>352</v>
      </c>
      <c r="M56" s="89"/>
      <c r="N56" s="91" t="s">
        <v>352</v>
      </c>
      <c r="O56" s="89" t="s">
        <v>352</v>
      </c>
    </row>
    <row r="57" spans="2:15">
      <c r="B57" s="166">
        <v>93</v>
      </c>
      <c r="C57" s="172" t="s">
        <v>379</v>
      </c>
      <c r="D57" s="97" t="s">
        <v>474</v>
      </c>
      <c r="E57" s="123" t="s">
        <v>475</v>
      </c>
      <c r="F57" s="88"/>
      <c r="G57" s="2"/>
      <c r="H57" s="2"/>
      <c r="I57" s="2" t="s">
        <v>352</v>
      </c>
      <c r="J57" s="89"/>
      <c r="K57" s="91"/>
      <c r="L57" s="2" t="s">
        <v>352</v>
      </c>
      <c r="M57" s="89"/>
      <c r="N57" s="91" t="s">
        <v>352</v>
      </c>
      <c r="O57" s="89" t="s">
        <v>352</v>
      </c>
    </row>
    <row r="58" spans="2:15">
      <c r="B58" s="166">
        <v>26</v>
      </c>
      <c r="C58" s="173" t="s">
        <v>370</v>
      </c>
      <c r="D58" s="101" t="s">
        <v>476</v>
      </c>
      <c r="E58" s="125" t="s">
        <v>477</v>
      </c>
      <c r="F58" s="88"/>
      <c r="G58" s="2"/>
      <c r="H58" s="2"/>
      <c r="I58" s="2"/>
      <c r="J58" s="89"/>
      <c r="K58" s="91"/>
      <c r="L58" s="2" t="s">
        <v>352</v>
      </c>
      <c r="M58" s="89" t="s">
        <v>352</v>
      </c>
      <c r="N58" s="91" t="s">
        <v>352</v>
      </c>
      <c r="O58" s="89"/>
    </row>
    <row r="59" spans="2:15">
      <c r="B59" s="166">
        <v>47</v>
      </c>
      <c r="C59" s="172" t="s">
        <v>478</v>
      </c>
      <c r="D59" s="97" t="s">
        <v>479</v>
      </c>
      <c r="E59" s="123" t="s">
        <v>480</v>
      </c>
      <c r="F59" s="88" t="s">
        <v>352</v>
      </c>
      <c r="G59" s="2"/>
      <c r="H59" s="2"/>
      <c r="I59" s="2"/>
      <c r="J59" s="89" t="s">
        <v>352</v>
      </c>
      <c r="K59" s="91"/>
      <c r="L59" s="2"/>
      <c r="M59" s="89" t="s">
        <v>352</v>
      </c>
      <c r="N59" s="91"/>
      <c r="O59" s="89" t="s">
        <v>352</v>
      </c>
    </row>
    <row r="60" spans="2:15">
      <c r="B60" s="166">
        <v>6</v>
      </c>
      <c r="C60" s="181" t="s">
        <v>481</v>
      </c>
      <c r="D60" s="144" t="s">
        <v>482</v>
      </c>
      <c r="E60" s="183" t="s">
        <v>483</v>
      </c>
      <c r="F60" s="99" t="s">
        <v>352</v>
      </c>
      <c r="G60" s="102" t="s">
        <v>352</v>
      </c>
      <c r="H60" s="102" t="s">
        <v>352</v>
      </c>
      <c r="I60" s="102" t="s">
        <v>352</v>
      </c>
      <c r="J60" s="111" t="s">
        <v>352</v>
      </c>
      <c r="K60" s="100"/>
      <c r="L60" s="102" t="s">
        <v>352</v>
      </c>
      <c r="M60" s="111"/>
      <c r="N60" s="100" t="s">
        <v>352</v>
      </c>
      <c r="O60" s="111" t="s">
        <v>352</v>
      </c>
    </row>
    <row r="61" spans="2:15">
      <c r="B61" s="166">
        <v>82</v>
      </c>
      <c r="C61" s="172" t="s">
        <v>448</v>
      </c>
      <c r="D61" s="97" t="s">
        <v>484</v>
      </c>
      <c r="E61" s="123" t="s">
        <v>485</v>
      </c>
      <c r="F61" s="88" t="s">
        <v>352</v>
      </c>
      <c r="G61" s="2"/>
      <c r="H61" s="2"/>
      <c r="I61" s="2" t="s">
        <v>352</v>
      </c>
      <c r="J61" s="89" t="s">
        <v>352</v>
      </c>
      <c r="K61" s="91"/>
      <c r="L61" s="2" t="s">
        <v>352</v>
      </c>
      <c r="M61" s="89" t="s">
        <v>352</v>
      </c>
      <c r="N61" s="91" t="s">
        <v>352</v>
      </c>
      <c r="O61" s="89" t="s">
        <v>352</v>
      </c>
    </row>
    <row r="62" spans="2:15">
      <c r="B62" s="166">
        <v>14</v>
      </c>
      <c r="C62" s="172" t="s">
        <v>395</v>
      </c>
      <c r="D62" s="97" t="s">
        <v>486</v>
      </c>
      <c r="E62" s="123" t="s">
        <v>487</v>
      </c>
      <c r="F62" s="126"/>
      <c r="G62" s="127"/>
      <c r="H62" s="127"/>
      <c r="I62" s="127"/>
      <c r="J62" s="128"/>
      <c r="K62" s="86"/>
      <c r="L62" s="127"/>
      <c r="M62" s="128"/>
      <c r="N62" s="163" t="s">
        <v>352</v>
      </c>
      <c r="O62" s="161" t="s">
        <v>352</v>
      </c>
    </row>
    <row r="63" spans="2:15">
      <c r="B63" s="166">
        <v>60</v>
      </c>
      <c r="C63" s="172" t="s">
        <v>469</v>
      </c>
      <c r="D63" s="97" t="s">
        <v>488</v>
      </c>
      <c r="E63" s="123" t="s">
        <v>489</v>
      </c>
      <c r="F63" s="88" t="s">
        <v>352</v>
      </c>
      <c r="G63" s="2"/>
      <c r="H63" s="2"/>
      <c r="I63" s="2"/>
      <c r="J63" s="89" t="s">
        <v>352</v>
      </c>
      <c r="K63" s="91"/>
      <c r="L63" s="2"/>
      <c r="M63" s="89"/>
      <c r="N63" s="91" t="s">
        <v>352</v>
      </c>
      <c r="O63" s="89"/>
    </row>
    <row r="64" spans="2:15">
      <c r="B64" s="166">
        <v>11</v>
      </c>
      <c r="C64" s="172" t="s">
        <v>425</v>
      </c>
      <c r="D64" s="97" t="s">
        <v>490</v>
      </c>
      <c r="E64" s="123" t="s">
        <v>491</v>
      </c>
      <c r="F64" s="88"/>
      <c r="G64" s="2"/>
      <c r="H64" s="2"/>
      <c r="I64" s="2"/>
      <c r="J64" s="89"/>
      <c r="K64" s="91"/>
      <c r="L64" s="2"/>
      <c r="M64" s="89"/>
      <c r="N64" s="91" t="s">
        <v>352</v>
      </c>
      <c r="O64" s="89" t="s">
        <v>352</v>
      </c>
    </row>
    <row r="65" spans="2:15">
      <c r="B65" s="166">
        <v>10</v>
      </c>
      <c r="C65" s="172" t="s">
        <v>425</v>
      </c>
      <c r="D65" s="97" t="s">
        <v>492</v>
      </c>
      <c r="E65" s="123" t="s">
        <v>493</v>
      </c>
      <c r="F65" s="88"/>
      <c r="G65" s="2"/>
      <c r="H65" s="2"/>
      <c r="I65" s="2"/>
      <c r="J65" s="89"/>
      <c r="K65" s="91"/>
      <c r="L65" s="2"/>
      <c r="M65" s="89"/>
      <c r="N65" s="91"/>
      <c r="O65" s="89" t="s">
        <v>352</v>
      </c>
    </row>
    <row r="66" spans="2:15">
      <c r="B66" s="166">
        <v>30</v>
      </c>
      <c r="C66" s="171" t="s">
        <v>391</v>
      </c>
      <c r="D66" s="104" t="s">
        <v>494</v>
      </c>
      <c r="E66" s="122" t="s">
        <v>495</v>
      </c>
      <c r="F66" s="94" t="s">
        <v>352</v>
      </c>
      <c r="G66" s="109" t="s">
        <v>352</v>
      </c>
      <c r="H66" s="109" t="s">
        <v>352</v>
      </c>
      <c r="I66" s="109" t="s">
        <v>352</v>
      </c>
      <c r="J66" s="110" t="s">
        <v>352</v>
      </c>
      <c r="K66" s="95">
        <v>6</v>
      </c>
      <c r="L66" s="2" t="s">
        <v>352</v>
      </c>
      <c r="M66" s="121" t="s">
        <v>496</v>
      </c>
      <c r="N66" s="91" t="s">
        <v>352</v>
      </c>
      <c r="O66" s="89" t="s">
        <v>352</v>
      </c>
    </row>
    <row r="67" spans="2:15">
      <c r="B67" s="166">
        <v>33</v>
      </c>
      <c r="C67" s="171" t="s">
        <v>391</v>
      </c>
      <c r="D67" s="104" t="s">
        <v>497</v>
      </c>
      <c r="E67" s="122" t="s">
        <v>498</v>
      </c>
      <c r="F67" s="94" t="s">
        <v>352</v>
      </c>
      <c r="G67" s="109" t="s">
        <v>352</v>
      </c>
      <c r="H67" s="109" t="s">
        <v>352</v>
      </c>
      <c r="I67" s="109" t="s">
        <v>352</v>
      </c>
      <c r="J67" s="110" t="s">
        <v>352</v>
      </c>
      <c r="K67" s="95">
        <v>6</v>
      </c>
      <c r="L67" s="2" t="s">
        <v>352</v>
      </c>
      <c r="M67" s="121" t="s">
        <v>499</v>
      </c>
      <c r="N67" s="91" t="s">
        <v>352</v>
      </c>
      <c r="O67" s="89" t="s">
        <v>352</v>
      </c>
    </row>
    <row r="68" spans="2:15">
      <c r="B68" s="166">
        <v>68</v>
      </c>
      <c r="C68" s="172" t="s">
        <v>466</v>
      </c>
      <c r="D68" s="97" t="s">
        <v>500</v>
      </c>
      <c r="E68" s="123" t="s">
        <v>501</v>
      </c>
      <c r="F68" s="88" t="s">
        <v>352</v>
      </c>
      <c r="G68" s="2"/>
      <c r="H68" s="2"/>
      <c r="I68" s="2"/>
      <c r="J68" s="89" t="s">
        <v>352</v>
      </c>
      <c r="K68" s="91"/>
      <c r="L68" s="2" t="s">
        <v>352</v>
      </c>
      <c r="M68" s="89"/>
      <c r="N68" s="91"/>
      <c r="O68" s="89"/>
    </row>
    <row r="69" spans="2:15" ht="28.9">
      <c r="B69" s="166">
        <v>41</v>
      </c>
      <c r="C69" s="172" t="s">
        <v>414</v>
      </c>
      <c r="D69" s="97" t="s">
        <v>502</v>
      </c>
      <c r="E69" s="123" t="s">
        <v>503</v>
      </c>
      <c r="F69" s="88" t="s">
        <v>352</v>
      </c>
      <c r="G69" s="2"/>
      <c r="H69" s="2" t="s">
        <v>352</v>
      </c>
      <c r="I69" s="2" t="s">
        <v>352</v>
      </c>
      <c r="J69" s="89" t="s">
        <v>352</v>
      </c>
      <c r="K69" s="91"/>
      <c r="L69" s="2" t="s">
        <v>352</v>
      </c>
      <c r="M69" s="89"/>
      <c r="N69" s="91"/>
      <c r="O69" s="89" t="s">
        <v>352</v>
      </c>
    </row>
    <row r="70" spans="2:15">
      <c r="B70" s="166">
        <v>57</v>
      </c>
      <c r="C70" s="172" t="s">
        <v>469</v>
      </c>
      <c r="D70" s="97" t="s">
        <v>504</v>
      </c>
      <c r="E70" s="123" t="s">
        <v>505</v>
      </c>
      <c r="F70" s="126" t="s">
        <v>352</v>
      </c>
      <c r="G70" s="127"/>
      <c r="H70" s="127"/>
      <c r="I70" s="127"/>
      <c r="J70" s="128" t="s">
        <v>352</v>
      </c>
      <c r="K70" s="86"/>
      <c r="L70" s="127"/>
      <c r="M70" s="128"/>
      <c r="N70" s="86" t="s">
        <v>352</v>
      </c>
      <c r="O70" s="128"/>
    </row>
    <row r="71" spans="2:15">
      <c r="B71" s="166">
        <v>32</v>
      </c>
      <c r="C71" s="171" t="s">
        <v>391</v>
      </c>
      <c r="D71" s="104" t="s">
        <v>506</v>
      </c>
      <c r="E71" s="122" t="s">
        <v>507</v>
      </c>
      <c r="F71" s="94" t="s">
        <v>352</v>
      </c>
      <c r="G71" s="109" t="s">
        <v>352</v>
      </c>
      <c r="H71" s="109" t="s">
        <v>352</v>
      </c>
      <c r="I71" s="109" t="s">
        <v>352</v>
      </c>
      <c r="J71" s="110" t="s">
        <v>352</v>
      </c>
      <c r="K71" s="95">
        <v>8</v>
      </c>
      <c r="L71" s="2" t="s">
        <v>352</v>
      </c>
      <c r="M71" s="121" t="s">
        <v>508</v>
      </c>
      <c r="N71" s="91" t="s">
        <v>352</v>
      </c>
      <c r="O71" s="89" t="s">
        <v>352</v>
      </c>
    </row>
    <row r="72" spans="2:15" ht="28.9">
      <c r="B72" s="166">
        <v>46</v>
      </c>
      <c r="C72" s="172" t="s">
        <v>478</v>
      </c>
      <c r="D72" s="97" t="s">
        <v>509</v>
      </c>
      <c r="E72" s="123" t="s">
        <v>510</v>
      </c>
      <c r="F72" s="126" t="s">
        <v>352</v>
      </c>
      <c r="G72" s="127"/>
      <c r="H72" s="127" t="s">
        <v>352</v>
      </c>
      <c r="I72" s="127" t="s">
        <v>352</v>
      </c>
      <c r="J72" s="128" t="s">
        <v>352</v>
      </c>
      <c r="K72" s="86"/>
      <c r="L72" s="127"/>
      <c r="M72" s="128" t="s">
        <v>352</v>
      </c>
      <c r="N72" s="86" t="s">
        <v>352</v>
      </c>
      <c r="O72" s="128" t="s">
        <v>352</v>
      </c>
    </row>
    <row r="73" spans="2:15">
      <c r="B73" s="166">
        <v>44</v>
      </c>
      <c r="C73" s="172" t="s">
        <v>417</v>
      </c>
      <c r="D73" s="97" t="s">
        <v>511</v>
      </c>
      <c r="E73" s="123" t="s">
        <v>512</v>
      </c>
      <c r="F73" s="126"/>
      <c r="G73" s="127" t="s">
        <v>513</v>
      </c>
      <c r="H73" s="127" t="s">
        <v>420</v>
      </c>
      <c r="I73" s="127"/>
      <c r="J73" s="128"/>
      <c r="K73" s="86"/>
      <c r="L73" s="127"/>
      <c r="M73" s="128" t="s">
        <v>420</v>
      </c>
      <c r="N73" s="86" t="s">
        <v>420</v>
      </c>
      <c r="O73" s="128" t="s">
        <v>420</v>
      </c>
    </row>
    <row r="74" spans="2:15">
      <c r="B74" s="166">
        <v>9</v>
      </c>
      <c r="C74" s="172" t="s">
        <v>425</v>
      </c>
      <c r="D74" s="97" t="s">
        <v>514</v>
      </c>
      <c r="E74" s="123" t="s">
        <v>515</v>
      </c>
      <c r="F74" s="126" t="s">
        <v>516</v>
      </c>
      <c r="G74" s="127" t="s">
        <v>516</v>
      </c>
      <c r="H74" s="127" t="s">
        <v>516</v>
      </c>
      <c r="I74" s="127" t="s">
        <v>516</v>
      </c>
      <c r="J74" s="128" t="s">
        <v>516</v>
      </c>
      <c r="K74" s="86"/>
      <c r="L74" s="127"/>
      <c r="M74" s="128" t="s">
        <v>352</v>
      </c>
      <c r="N74" s="86" t="s">
        <v>352</v>
      </c>
      <c r="O74" s="128" t="s">
        <v>352</v>
      </c>
    </row>
    <row r="75" spans="2:15">
      <c r="B75" s="166">
        <v>56</v>
      </c>
      <c r="C75" s="172" t="s">
        <v>430</v>
      </c>
      <c r="D75" s="97" t="s">
        <v>517</v>
      </c>
      <c r="E75" s="123" t="s">
        <v>518</v>
      </c>
      <c r="F75" s="126" t="s">
        <v>420</v>
      </c>
      <c r="G75" s="127"/>
      <c r="H75" s="127" t="s">
        <v>420</v>
      </c>
      <c r="I75" s="127" t="s">
        <v>420</v>
      </c>
      <c r="J75" s="128" t="s">
        <v>420</v>
      </c>
      <c r="K75" s="86"/>
      <c r="L75" s="127" t="s">
        <v>420</v>
      </c>
      <c r="M75" s="128" t="s">
        <v>420</v>
      </c>
      <c r="N75" s="86"/>
      <c r="O75" s="128"/>
    </row>
    <row r="76" spans="2:15">
      <c r="B76" s="166">
        <v>43</v>
      </c>
      <c r="C76" s="172" t="s">
        <v>417</v>
      </c>
      <c r="D76" s="97" t="s">
        <v>519</v>
      </c>
      <c r="E76" s="123" t="s">
        <v>520</v>
      </c>
      <c r="F76" s="126" t="s">
        <v>420</v>
      </c>
      <c r="G76" s="127"/>
      <c r="H76" s="127"/>
      <c r="I76" s="127"/>
      <c r="J76" s="128" t="s">
        <v>420</v>
      </c>
      <c r="K76" s="86"/>
      <c r="L76" s="127"/>
      <c r="M76" s="128" t="s">
        <v>420</v>
      </c>
      <c r="N76" s="86"/>
      <c r="O76" s="128"/>
    </row>
    <row r="77" spans="2:15">
      <c r="B77" s="166">
        <v>1</v>
      </c>
      <c r="C77" s="180" t="s">
        <v>459</v>
      </c>
      <c r="D77" s="98" t="s">
        <v>521</v>
      </c>
      <c r="E77" s="150" t="s">
        <v>522</v>
      </c>
      <c r="F77" s="153" t="s">
        <v>352</v>
      </c>
      <c r="G77" s="157"/>
      <c r="H77" s="157"/>
      <c r="I77" s="157"/>
      <c r="J77" s="161" t="s">
        <v>352</v>
      </c>
      <c r="K77" s="163"/>
      <c r="L77" s="157"/>
      <c r="M77" s="161"/>
      <c r="N77" s="163" t="s">
        <v>352</v>
      </c>
      <c r="O77" s="161" t="s">
        <v>352</v>
      </c>
    </row>
    <row r="78" spans="2:15" ht="28.9">
      <c r="B78" s="166">
        <v>64</v>
      </c>
      <c r="C78" s="172" t="s">
        <v>349</v>
      </c>
      <c r="D78" s="97" t="s">
        <v>523</v>
      </c>
      <c r="E78" s="123" t="s">
        <v>524</v>
      </c>
      <c r="F78" s="126" t="s">
        <v>352</v>
      </c>
      <c r="G78" s="127"/>
      <c r="H78" s="127"/>
      <c r="I78" s="127"/>
      <c r="J78" s="128" t="s">
        <v>352</v>
      </c>
      <c r="K78" s="86"/>
      <c r="L78" s="127" t="s">
        <v>352</v>
      </c>
      <c r="M78" s="128"/>
      <c r="N78" s="86" t="s">
        <v>352</v>
      </c>
      <c r="O78" s="128" t="s">
        <v>352</v>
      </c>
    </row>
    <row r="79" spans="2:15">
      <c r="B79" s="166">
        <v>48</v>
      </c>
      <c r="C79" s="172" t="s">
        <v>478</v>
      </c>
      <c r="D79" s="97" t="s">
        <v>525</v>
      </c>
      <c r="E79" s="123" t="s">
        <v>526</v>
      </c>
      <c r="F79" s="126"/>
      <c r="G79" s="127"/>
      <c r="H79" s="127" t="s">
        <v>352</v>
      </c>
      <c r="I79" s="127" t="s">
        <v>352</v>
      </c>
      <c r="J79" s="128" t="s">
        <v>352</v>
      </c>
      <c r="K79" s="86"/>
      <c r="L79" s="127"/>
      <c r="M79" s="128"/>
      <c r="N79" s="86"/>
      <c r="O79" s="128"/>
    </row>
    <row r="80" spans="2:15">
      <c r="B80" s="166">
        <v>75</v>
      </c>
      <c r="C80" s="172" t="s">
        <v>437</v>
      </c>
      <c r="D80" s="97" t="s">
        <v>527</v>
      </c>
      <c r="E80" s="123" t="s">
        <v>528</v>
      </c>
      <c r="F80" s="126" t="s">
        <v>352</v>
      </c>
      <c r="G80" s="127" t="s">
        <v>352</v>
      </c>
      <c r="H80" s="127" t="s">
        <v>352</v>
      </c>
      <c r="I80" s="127" t="s">
        <v>352</v>
      </c>
      <c r="J80" s="128" t="s">
        <v>352</v>
      </c>
      <c r="K80" s="86"/>
      <c r="L80" s="127" t="s">
        <v>352</v>
      </c>
      <c r="M80" s="128"/>
      <c r="N80" s="86" t="s">
        <v>352</v>
      </c>
      <c r="O80" s="128" t="s">
        <v>352</v>
      </c>
    </row>
    <row r="81" spans="2:15">
      <c r="B81" s="166">
        <v>62</v>
      </c>
      <c r="C81" s="172" t="s">
        <v>398</v>
      </c>
      <c r="D81" s="97" t="s">
        <v>529</v>
      </c>
      <c r="E81" s="123" t="s">
        <v>530</v>
      </c>
      <c r="F81" s="126"/>
      <c r="G81" s="127"/>
      <c r="H81" s="127"/>
      <c r="I81" s="127"/>
      <c r="J81" s="128" t="s">
        <v>352</v>
      </c>
      <c r="K81" s="86"/>
      <c r="L81" s="127"/>
      <c r="M81" s="128" t="s">
        <v>352</v>
      </c>
      <c r="N81" s="86"/>
      <c r="O81" s="128"/>
    </row>
    <row r="82" spans="2:15" ht="28.9">
      <c r="B82" s="166">
        <v>45</v>
      </c>
      <c r="C82" s="172" t="s">
        <v>417</v>
      </c>
      <c r="D82" s="97" t="s">
        <v>531</v>
      </c>
      <c r="E82" s="123" t="s">
        <v>532</v>
      </c>
      <c r="F82" s="126" t="s">
        <v>420</v>
      </c>
      <c r="G82" s="127" t="s">
        <v>420</v>
      </c>
      <c r="H82" s="127" t="s">
        <v>420</v>
      </c>
      <c r="I82" s="127" t="s">
        <v>420</v>
      </c>
      <c r="J82" s="128" t="s">
        <v>420</v>
      </c>
      <c r="K82" s="86"/>
      <c r="L82" s="127"/>
      <c r="M82" s="128"/>
      <c r="N82" s="86" t="s">
        <v>420</v>
      </c>
      <c r="O82" s="128" t="s">
        <v>420</v>
      </c>
    </row>
    <row r="83" spans="2:15">
      <c r="B83" s="166">
        <v>36</v>
      </c>
      <c r="C83" s="171" t="s">
        <v>391</v>
      </c>
      <c r="D83" s="104" t="s">
        <v>533</v>
      </c>
      <c r="E83" s="122" t="s">
        <v>534</v>
      </c>
      <c r="F83" s="152" t="s">
        <v>352</v>
      </c>
      <c r="G83" s="156" t="s">
        <v>352</v>
      </c>
      <c r="H83" s="156" t="s">
        <v>352</v>
      </c>
      <c r="I83" s="156" t="s">
        <v>352</v>
      </c>
      <c r="J83" s="160" t="s">
        <v>352</v>
      </c>
      <c r="K83" s="113">
        <v>6</v>
      </c>
      <c r="L83" s="127" t="s">
        <v>352</v>
      </c>
      <c r="M83" s="162" t="s">
        <v>535</v>
      </c>
      <c r="N83" s="86" t="s">
        <v>352</v>
      </c>
      <c r="O83" s="128" t="s">
        <v>352</v>
      </c>
    </row>
    <row r="84" spans="2:15">
      <c r="B84" s="166">
        <v>78</v>
      </c>
      <c r="C84" s="172" t="s">
        <v>376</v>
      </c>
      <c r="D84" s="97" t="s">
        <v>536</v>
      </c>
      <c r="E84" s="123" t="s">
        <v>537</v>
      </c>
      <c r="F84" s="126" t="s">
        <v>352</v>
      </c>
      <c r="G84" s="127"/>
      <c r="H84" s="127"/>
      <c r="I84" s="127" t="s">
        <v>352</v>
      </c>
      <c r="J84" s="128" t="s">
        <v>352</v>
      </c>
      <c r="K84" s="86"/>
      <c r="L84" s="127" t="s">
        <v>352</v>
      </c>
      <c r="M84" s="128" t="s">
        <v>352</v>
      </c>
      <c r="N84" s="86" t="s">
        <v>352</v>
      </c>
      <c r="O84" s="128" t="s">
        <v>352</v>
      </c>
    </row>
    <row r="85" spans="2:15">
      <c r="B85" s="166">
        <v>85</v>
      </c>
      <c r="C85" s="172" t="s">
        <v>356</v>
      </c>
      <c r="D85" s="97" t="s">
        <v>538</v>
      </c>
      <c r="E85" s="123" t="s">
        <v>537</v>
      </c>
      <c r="F85" s="126" t="s">
        <v>352</v>
      </c>
      <c r="G85" s="127" t="s">
        <v>352</v>
      </c>
      <c r="H85" s="127" t="s">
        <v>352</v>
      </c>
      <c r="I85" s="127" t="s">
        <v>352</v>
      </c>
      <c r="J85" s="128" t="s">
        <v>352</v>
      </c>
      <c r="K85" s="86"/>
      <c r="L85" s="127" t="s">
        <v>352</v>
      </c>
      <c r="M85" s="128" t="s">
        <v>352</v>
      </c>
      <c r="N85" s="86" t="s">
        <v>352</v>
      </c>
      <c r="O85" s="128" t="s">
        <v>352</v>
      </c>
    </row>
    <row r="86" spans="2:15">
      <c r="B86" s="166">
        <v>95</v>
      </c>
      <c r="C86" s="172" t="s">
        <v>379</v>
      </c>
      <c r="D86" s="97" t="s">
        <v>539</v>
      </c>
      <c r="E86" s="123" t="s">
        <v>540</v>
      </c>
      <c r="F86" s="126" t="s">
        <v>352</v>
      </c>
      <c r="G86" s="127" t="s">
        <v>352</v>
      </c>
      <c r="H86" s="127" t="s">
        <v>352</v>
      </c>
      <c r="I86" s="127" t="s">
        <v>352</v>
      </c>
      <c r="J86" s="128" t="s">
        <v>352</v>
      </c>
      <c r="K86" s="86"/>
      <c r="L86" s="127" t="s">
        <v>352</v>
      </c>
      <c r="M86" s="128"/>
      <c r="N86" s="86" t="s">
        <v>352</v>
      </c>
      <c r="O86" s="128" t="s">
        <v>352</v>
      </c>
    </row>
    <row r="87" spans="2:15" ht="43.15">
      <c r="B87" s="166">
        <v>23</v>
      </c>
      <c r="C87" s="182" t="s">
        <v>541</v>
      </c>
      <c r="D87" s="108" t="s">
        <v>542</v>
      </c>
      <c r="E87" s="122" t="s">
        <v>543</v>
      </c>
      <c r="F87" s="154" t="s">
        <v>352</v>
      </c>
      <c r="G87" s="158" t="s">
        <v>362</v>
      </c>
      <c r="H87" s="158" t="s">
        <v>352</v>
      </c>
      <c r="I87" s="158" t="s">
        <v>352</v>
      </c>
      <c r="J87" s="162" t="s">
        <v>352</v>
      </c>
      <c r="K87" s="112" t="s">
        <v>362</v>
      </c>
      <c r="L87" s="158" t="s">
        <v>352</v>
      </c>
      <c r="M87" s="162" t="s">
        <v>537</v>
      </c>
      <c r="N87" s="112" t="s">
        <v>352</v>
      </c>
      <c r="O87" s="162" t="s">
        <v>352</v>
      </c>
    </row>
    <row r="88" spans="2:15">
      <c r="B88" s="166">
        <v>4</v>
      </c>
      <c r="C88" s="180" t="s">
        <v>459</v>
      </c>
      <c r="D88" s="98" t="s">
        <v>544</v>
      </c>
      <c r="E88" s="150" t="s">
        <v>545</v>
      </c>
      <c r="F88" s="153"/>
      <c r="G88" s="157"/>
      <c r="H88" s="157"/>
      <c r="I88" s="157"/>
      <c r="J88" s="161" t="s">
        <v>352</v>
      </c>
      <c r="K88" s="163"/>
      <c r="L88" s="157"/>
      <c r="M88" s="161"/>
      <c r="N88" s="163"/>
      <c r="O88" s="161" t="s">
        <v>352</v>
      </c>
    </row>
    <row r="89" spans="2:15">
      <c r="B89" s="166">
        <v>61</v>
      </c>
      <c r="C89" s="172" t="s">
        <v>398</v>
      </c>
      <c r="D89" s="97" t="s">
        <v>546</v>
      </c>
      <c r="E89" s="123" t="s">
        <v>547</v>
      </c>
      <c r="F89" s="126"/>
      <c r="G89" s="127"/>
      <c r="H89" s="127"/>
      <c r="I89" s="127"/>
      <c r="J89" s="128" t="s">
        <v>352</v>
      </c>
      <c r="K89" s="86"/>
      <c r="L89" s="127"/>
      <c r="M89" s="128" t="s">
        <v>352</v>
      </c>
      <c r="N89" s="86"/>
      <c r="O89" s="128"/>
    </row>
    <row r="90" spans="2:15">
      <c r="B90" s="166">
        <v>5</v>
      </c>
      <c r="C90" s="180" t="s">
        <v>481</v>
      </c>
      <c r="D90" s="98" t="s">
        <v>548</v>
      </c>
      <c r="E90" s="184" t="s">
        <v>549</v>
      </c>
      <c r="F90" s="153"/>
      <c r="G90" s="157"/>
      <c r="H90" s="157"/>
      <c r="I90" s="157"/>
      <c r="J90" s="161" t="s">
        <v>352</v>
      </c>
      <c r="K90" s="163"/>
      <c r="L90" s="157" t="s">
        <v>352</v>
      </c>
      <c r="M90" s="161"/>
      <c r="N90" s="163" t="s">
        <v>352</v>
      </c>
      <c r="O90" s="161" t="s">
        <v>352</v>
      </c>
    </row>
    <row r="91" spans="2:15" ht="28.9">
      <c r="B91" s="166">
        <v>39</v>
      </c>
      <c r="C91" s="172" t="s">
        <v>414</v>
      </c>
      <c r="D91" s="97" t="s">
        <v>550</v>
      </c>
      <c r="E91" s="123" t="s">
        <v>551</v>
      </c>
      <c r="F91" s="126" t="s">
        <v>352</v>
      </c>
      <c r="G91" s="127" t="s">
        <v>352</v>
      </c>
      <c r="H91" s="127" t="s">
        <v>352</v>
      </c>
      <c r="I91" s="127" t="s">
        <v>352</v>
      </c>
      <c r="J91" s="128" t="s">
        <v>352</v>
      </c>
      <c r="K91" s="86"/>
      <c r="L91" s="127" t="s">
        <v>352</v>
      </c>
      <c r="M91" s="128"/>
      <c r="N91" s="86" t="s">
        <v>352</v>
      </c>
      <c r="O91" s="128" t="s">
        <v>352</v>
      </c>
    </row>
    <row r="92" spans="2:15" ht="28.9">
      <c r="B92" s="166">
        <v>38</v>
      </c>
      <c r="C92" s="172" t="s">
        <v>414</v>
      </c>
      <c r="D92" s="97" t="s">
        <v>552</v>
      </c>
      <c r="E92" s="123" t="s">
        <v>553</v>
      </c>
      <c r="F92" s="88" t="s">
        <v>352</v>
      </c>
      <c r="G92" s="2" t="s">
        <v>352</v>
      </c>
      <c r="H92" s="2" t="s">
        <v>352</v>
      </c>
      <c r="I92" s="2" t="s">
        <v>352</v>
      </c>
      <c r="J92" s="89" t="s">
        <v>352</v>
      </c>
      <c r="K92" s="91"/>
      <c r="L92" s="2"/>
      <c r="M92" s="89"/>
      <c r="N92" s="91"/>
      <c r="O92" s="89"/>
    </row>
    <row r="93" spans="2:15" ht="43.15">
      <c r="B93" s="166">
        <v>40</v>
      </c>
      <c r="C93" s="172" t="s">
        <v>414</v>
      </c>
      <c r="D93" s="97" t="s">
        <v>554</v>
      </c>
      <c r="E93" s="123" t="s">
        <v>555</v>
      </c>
      <c r="F93" s="88" t="s">
        <v>352</v>
      </c>
      <c r="G93" s="2" t="s">
        <v>352</v>
      </c>
      <c r="H93" s="2" t="s">
        <v>352</v>
      </c>
      <c r="I93" s="2" t="s">
        <v>352</v>
      </c>
      <c r="J93" s="89" t="s">
        <v>352</v>
      </c>
      <c r="K93" s="91"/>
      <c r="L93" s="2" t="s">
        <v>352</v>
      </c>
      <c r="M93" s="89"/>
      <c r="N93" s="91" t="s">
        <v>352</v>
      </c>
      <c r="O93" s="89" t="s">
        <v>352</v>
      </c>
    </row>
    <row r="94" spans="2:15">
      <c r="B94" s="166">
        <v>54</v>
      </c>
      <c r="C94" s="172" t="s">
        <v>433</v>
      </c>
      <c r="D94" s="97" t="s">
        <v>556</v>
      </c>
      <c r="E94" s="123" t="s">
        <v>557</v>
      </c>
      <c r="F94" s="88"/>
      <c r="G94" s="2"/>
      <c r="H94" s="2"/>
      <c r="I94" s="2"/>
      <c r="J94" s="89"/>
      <c r="K94" s="91"/>
      <c r="L94" s="2"/>
      <c r="M94" s="89" t="s">
        <v>420</v>
      </c>
      <c r="N94" s="91"/>
      <c r="O94" s="89" t="s">
        <v>420</v>
      </c>
    </row>
    <row r="95" spans="2:15">
      <c r="B95" s="166">
        <v>3</v>
      </c>
      <c r="C95" s="180" t="s">
        <v>459</v>
      </c>
      <c r="D95" s="98" t="s">
        <v>558</v>
      </c>
      <c r="E95" s="150" t="s">
        <v>559</v>
      </c>
      <c r="F95" s="99" t="s">
        <v>352</v>
      </c>
      <c r="G95" s="102"/>
      <c r="H95" s="102"/>
      <c r="I95" s="102" t="s">
        <v>352</v>
      </c>
      <c r="J95" s="111" t="s">
        <v>352</v>
      </c>
      <c r="K95" s="100"/>
      <c r="L95" s="102" t="s">
        <v>352</v>
      </c>
      <c r="M95" s="111"/>
      <c r="N95" s="100" t="s">
        <v>352</v>
      </c>
      <c r="O95" s="111" t="s">
        <v>352</v>
      </c>
    </row>
    <row r="96" spans="2:15">
      <c r="B96" s="166">
        <v>27</v>
      </c>
      <c r="C96" s="172" t="s">
        <v>370</v>
      </c>
      <c r="D96" s="97" t="s">
        <v>560</v>
      </c>
      <c r="E96" s="123" t="s">
        <v>561</v>
      </c>
      <c r="F96" s="88"/>
      <c r="G96" s="2"/>
      <c r="H96" s="2"/>
      <c r="I96" s="2"/>
      <c r="J96" s="89"/>
      <c r="K96" s="91"/>
      <c r="L96" s="2"/>
      <c r="M96" s="89" t="s">
        <v>352</v>
      </c>
      <c r="N96" s="91"/>
      <c r="O96" s="89"/>
    </row>
    <row r="97" spans="2:15">
      <c r="B97" s="166">
        <v>28</v>
      </c>
      <c r="C97" s="172" t="s">
        <v>370</v>
      </c>
      <c r="D97" s="97" t="s">
        <v>562</v>
      </c>
      <c r="E97" s="123" t="s">
        <v>563</v>
      </c>
      <c r="F97" s="88" t="s">
        <v>352</v>
      </c>
      <c r="G97" s="2"/>
      <c r="H97" s="2"/>
      <c r="I97" s="2"/>
      <c r="J97" s="89"/>
      <c r="K97" s="91"/>
      <c r="L97" s="2" t="s">
        <v>352</v>
      </c>
      <c r="M97" s="89" t="s">
        <v>352</v>
      </c>
      <c r="N97" s="91" t="s">
        <v>352</v>
      </c>
      <c r="O97" s="89"/>
    </row>
    <row r="98" spans="2:15">
      <c r="B98" s="166">
        <v>87</v>
      </c>
      <c r="C98" s="172" t="s">
        <v>356</v>
      </c>
      <c r="D98" s="97" t="s">
        <v>564</v>
      </c>
      <c r="E98" s="123" t="s">
        <v>565</v>
      </c>
      <c r="F98" s="88"/>
      <c r="G98" s="2"/>
      <c r="H98" s="2"/>
      <c r="I98" s="2"/>
      <c r="J98" s="89" t="s">
        <v>352</v>
      </c>
      <c r="K98" s="91"/>
      <c r="L98" s="2" t="s">
        <v>352</v>
      </c>
      <c r="M98" s="89"/>
      <c r="N98" s="91" t="s">
        <v>352</v>
      </c>
      <c r="O98" s="89" t="s">
        <v>352</v>
      </c>
    </row>
    <row r="99" spans="2:15">
      <c r="B99" s="166">
        <v>31</v>
      </c>
      <c r="C99" s="171" t="s">
        <v>391</v>
      </c>
      <c r="D99" s="104" t="s">
        <v>566</v>
      </c>
      <c r="E99" s="122" t="s">
        <v>567</v>
      </c>
      <c r="F99" s="152" t="s">
        <v>352</v>
      </c>
      <c r="G99" s="156" t="s">
        <v>352</v>
      </c>
      <c r="H99" s="156" t="s">
        <v>352</v>
      </c>
      <c r="I99" s="156" t="s">
        <v>352</v>
      </c>
      <c r="J99" s="160" t="s">
        <v>352</v>
      </c>
      <c r="K99" s="113">
        <v>7</v>
      </c>
      <c r="L99" s="127" t="s">
        <v>352</v>
      </c>
      <c r="M99" s="162" t="s">
        <v>568</v>
      </c>
      <c r="N99" s="86" t="s">
        <v>352</v>
      </c>
      <c r="O99" s="128" t="s">
        <v>352</v>
      </c>
    </row>
    <row r="100" spans="2:15">
      <c r="B100" s="166">
        <v>67</v>
      </c>
      <c r="C100" s="172" t="s">
        <v>466</v>
      </c>
      <c r="D100" s="97" t="s">
        <v>569</v>
      </c>
      <c r="E100" s="123" t="s">
        <v>570</v>
      </c>
      <c r="F100" s="126"/>
      <c r="G100" s="127"/>
      <c r="H100" s="127" t="s">
        <v>352</v>
      </c>
      <c r="I100" s="127" t="s">
        <v>352</v>
      </c>
      <c r="J100" s="128" t="s">
        <v>352</v>
      </c>
      <c r="K100" s="86"/>
      <c r="L100" s="127" t="s">
        <v>352</v>
      </c>
      <c r="M100" s="128"/>
      <c r="N100" s="86" t="s">
        <v>352</v>
      </c>
      <c r="O100" s="128" t="s">
        <v>352</v>
      </c>
    </row>
    <row r="101" spans="2:15">
      <c r="B101" s="166">
        <v>24</v>
      </c>
      <c r="C101" s="171" t="s">
        <v>373</v>
      </c>
      <c r="D101" s="104" t="s">
        <v>571</v>
      </c>
      <c r="E101" s="122" t="s">
        <v>572</v>
      </c>
      <c r="F101" s="152" t="s">
        <v>352</v>
      </c>
      <c r="G101" s="156" t="s">
        <v>362</v>
      </c>
      <c r="H101" s="156" t="s">
        <v>352</v>
      </c>
      <c r="I101" s="156" t="s">
        <v>352</v>
      </c>
      <c r="J101" s="160" t="s">
        <v>352</v>
      </c>
      <c r="K101" s="113" t="s">
        <v>362</v>
      </c>
      <c r="L101" s="156" t="s">
        <v>352</v>
      </c>
      <c r="M101" s="160" t="s">
        <v>573</v>
      </c>
      <c r="N101" s="113" t="s">
        <v>352</v>
      </c>
      <c r="O101" s="160" t="s">
        <v>352</v>
      </c>
    </row>
    <row r="102" spans="2:15">
      <c r="B102" s="166">
        <v>59</v>
      </c>
      <c r="C102" s="172" t="s">
        <v>469</v>
      </c>
      <c r="D102" s="97" t="s">
        <v>574</v>
      </c>
      <c r="E102" s="123" t="s">
        <v>575</v>
      </c>
      <c r="F102" s="126" t="s">
        <v>352</v>
      </c>
      <c r="G102" s="127" t="s">
        <v>352</v>
      </c>
      <c r="H102" s="127"/>
      <c r="I102" s="127"/>
      <c r="J102" s="128" t="s">
        <v>352</v>
      </c>
      <c r="K102" s="86"/>
      <c r="L102" s="127"/>
      <c r="M102" s="128"/>
      <c r="N102" s="86" t="s">
        <v>352</v>
      </c>
      <c r="O102" s="128"/>
    </row>
    <row r="103" spans="2:15">
      <c r="B103" s="166">
        <v>69</v>
      </c>
      <c r="C103" s="172" t="s">
        <v>466</v>
      </c>
      <c r="D103" s="97" t="s">
        <v>576</v>
      </c>
      <c r="E103" s="123" t="s">
        <v>577</v>
      </c>
      <c r="F103" s="126" t="s">
        <v>352</v>
      </c>
      <c r="G103" s="127"/>
      <c r="H103" s="127"/>
      <c r="I103" s="127"/>
      <c r="J103" s="128"/>
      <c r="K103" s="86"/>
      <c r="L103" s="127" t="s">
        <v>352</v>
      </c>
      <c r="M103" s="128"/>
      <c r="N103" s="86" t="s">
        <v>352</v>
      </c>
      <c r="O103" s="128" t="s">
        <v>352</v>
      </c>
    </row>
    <row r="104" spans="2:15">
      <c r="B104" s="166">
        <v>992</v>
      </c>
      <c r="C104" s="174"/>
      <c r="D104" s="135" t="s">
        <v>578</v>
      </c>
      <c r="E104" s="148" t="s">
        <v>579</v>
      </c>
      <c r="F104" s="137"/>
      <c r="G104" s="133"/>
      <c r="H104" s="133"/>
      <c r="I104" s="133"/>
      <c r="J104" s="134"/>
      <c r="K104" s="132"/>
      <c r="L104" s="133"/>
      <c r="M104" s="134"/>
      <c r="N104" s="132"/>
      <c r="O104" s="134"/>
    </row>
    <row r="105" spans="2:15">
      <c r="B105" s="166">
        <v>993</v>
      </c>
      <c r="C105" s="174"/>
      <c r="D105" s="135" t="s">
        <v>580</v>
      </c>
      <c r="E105" s="148" t="s">
        <v>581</v>
      </c>
      <c r="F105" s="137"/>
      <c r="G105" s="133"/>
      <c r="H105" s="133"/>
      <c r="I105" s="133"/>
      <c r="J105" s="134"/>
      <c r="K105" s="132"/>
      <c r="L105" s="133"/>
      <c r="M105" s="134"/>
      <c r="N105" s="132"/>
      <c r="O105" s="134"/>
    </row>
    <row r="106" spans="2:15" ht="15" thickBot="1">
      <c r="B106" s="167">
        <v>991</v>
      </c>
      <c r="C106" s="175"/>
      <c r="D106" s="176" t="s">
        <v>582</v>
      </c>
      <c r="E106" s="177" t="s">
        <v>583</v>
      </c>
      <c r="F106" s="136"/>
      <c r="G106" s="130"/>
      <c r="H106" s="130"/>
      <c r="I106" s="130"/>
      <c r="J106" s="131"/>
      <c r="K106" s="129"/>
      <c r="L106" s="130"/>
      <c r="M106" s="131"/>
      <c r="N106" s="129"/>
      <c r="O106" s="131"/>
    </row>
  </sheetData>
  <mergeCells count="6">
    <mergeCell ref="D5:E5"/>
    <mergeCell ref="F5:J5"/>
    <mergeCell ref="K5:M5"/>
    <mergeCell ref="N5:O5"/>
    <mergeCell ref="B2:O2"/>
    <mergeCell ref="B3:O3"/>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CBDB3C246F8194BBDECA4154A62B9BE" ma:contentTypeVersion="10" ma:contentTypeDescription="Crear nuevo documento." ma:contentTypeScope="" ma:versionID="75a94be8049b34b5c821c80123ee6f0e">
  <xsd:schema xmlns:xsd="http://www.w3.org/2001/XMLSchema" xmlns:xs="http://www.w3.org/2001/XMLSchema" xmlns:p="http://schemas.microsoft.com/office/2006/metadata/properties" xmlns:ns2="9c84046b-1756-41ad-84ec-826e2bed40c8" xmlns:ns3="14ea127c-854f-41fb-9adb-d090df6732b5" targetNamespace="http://schemas.microsoft.com/office/2006/metadata/properties" ma:root="true" ma:fieldsID="39606edad4b46891cfe73450f172594d" ns2:_="" ns3:_="">
    <xsd:import namespace="9c84046b-1756-41ad-84ec-826e2bed40c8"/>
    <xsd:import namespace="14ea127c-854f-41fb-9adb-d090df673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84046b-1756-41ad-84ec-826e2bed40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64831f-9365-4731-affb-44e18c0c24f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ea127c-854f-41fb-9adb-d090df673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8a258-aa6e-4edc-845a-317681361ecd}" ma:internalName="TaxCatchAll" ma:showField="CatchAllData" ma:web="14ea127c-854f-41fb-9adb-d090df6732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c84046b-1756-41ad-84ec-826e2bed40c8">
      <Terms xmlns="http://schemas.microsoft.com/office/infopath/2007/PartnerControls"/>
    </lcf76f155ced4ddcb4097134ff3c332f>
    <TaxCatchAll xmlns="14ea127c-854f-41fb-9adb-d090df6732b5"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306D58-38D6-4951-96DB-2DE3ADEE3EF7}"/>
</file>

<file path=customXml/itemProps2.xml><?xml version="1.0" encoding="utf-8"?>
<ds:datastoreItem xmlns:ds="http://schemas.openxmlformats.org/officeDocument/2006/customXml" ds:itemID="{79080CDA-AB59-4D48-9C5C-975C08DAF944}"/>
</file>

<file path=customXml/itemProps3.xml><?xml version="1.0" encoding="utf-8"?>
<ds:datastoreItem xmlns:ds="http://schemas.openxmlformats.org/officeDocument/2006/customXml" ds:itemID="{F3FE94F8-B64C-4982-9FE8-130BB6A5DB83}"/>
</file>

<file path=customXml/itemProps4.xml><?xml version="1.0" encoding="utf-8"?>
<ds:datastoreItem xmlns:ds="http://schemas.openxmlformats.org/officeDocument/2006/customXml" ds:itemID="{8F7F5DC1-2F89-497F-9D0A-F17635D8A4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Ruwan Karunarathne</dc:creator>
  <cp:keywords/>
  <dc:description/>
  <cp:lastModifiedBy/>
  <cp:revision/>
  <dcterms:created xsi:type="dcterms:W3CDTF">2022-12-20T08:53:37Z</dcterms:created>
  <dcterms:modified xsi:type="dcterms:W3CDTF">2024-04-09T11:16:38Z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0x010100ECBDB3C246F8194BBDECA4154A62B9BE</vt:lpwstr>
  </property>
  <property fmtid="{D5CDD505-2E9C-101B-9397-08002B2CF9AE}" pid="3" name="MediaServiceImageTags">
    <vt:lpwstr/>
  </property>
</Properties>
</file>