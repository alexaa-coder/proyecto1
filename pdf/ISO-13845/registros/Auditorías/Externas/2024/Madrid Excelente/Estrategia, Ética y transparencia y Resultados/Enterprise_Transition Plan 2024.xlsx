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ikatech-my.sharepoint.com/personal/admin_its_spikatech_com/Documents/SPIKA TECH/I+D+I/FELLOWSHIPS/STAGE/Application/"/>
    </mc:Choice>
  </mc:AlternateContent>
  <xr:revisionPtr revIDLastSave="5604" documentId="8_{9EB9F5F7-A8FE-402A-8EFB-8EF74D8939F6}" xr6:coauthVersionLast="47" xr6:coauthVersionMax="47" xr10:uidLastSave="{11B16F29-3142-4FDF-819D-9E6A17990590}"/>
  <workbookProtection workbookAlgorithmName="SHA-512" workbookHashValue="ijk/yAfYn2Xga4zWO/IlPHCZSBDyE40ru+sFzrm+vtYtfP1Eibysb/A1npc1Bw1zmYsstuPlI27nlKhsvG9qmw==" workbookSaltValue="zSaeQBKmO1hoC3W1t7u1Dg==" workbookSpinCount="100000" lockStructure="1"/>
  <bookViews>
    <workbookView xWindow="28680" yWindow="-120" windowWidth="29040" windowHeight="15720" xr2:uid="{5E6C8923-059C-469F-9288-A90B9C2D666E}"/>
  </bookViews>
  <sheets>
    <sheet name="ST Plan" sheetId="3" r:id="rId1"/>
    <sheet name="Enterprise Plan" sheetId="7" r:id="rId2"/>
    <sheet name="Data" sheetId="8" state="hidden" r:id="rId3"/>
    <sheet name="Data 2" sheetId="9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 a="1"/>
  <c r="B3" i="8" s="1"/>
  <c r="B4" i="8" a="1"/>
  <c r="B4" i="8" s="1"/>
  <c r="B5" i="8" a="1"/>
  <c r="B5" i="8" s="1"/>
  <c r="B6" i="8" a="1"/>
  <c r="B6" i="8" s="1"/>
  <c r="B7" i="8" a="1"/>
  <c r="B7" i="8" s="1"/>
  <c r="B8" i="8" a="1"/>
  <c r="B8" i="8" s="1"/>
  <c r="B9" i="8" a="1"/>
  <c r="B9" i="8" s="1"/>
  <c r="B10" i="8" a="1"/>
  <c r="B10" i="8" s="1"/>
  <c r="B11" i="8" a="1"/>
  <c r="B11" i="8" s="1"/>
  <c r="B12" i="8" a="1"/>
  <c r="B12" i="8" s="1"/>
  <c r="U38" i="3"/>
  <c r="U39" i="3"/>
  <c r="U40" i="3"/>
  <c r="U41" i="3"/>
  <c r="U42" i="3"/>
  <c r="U43" i="3"/>
  <c r="U44" i="3"/>
  <c r="U45" i="3"/>
  <c r="U46" i="3"/>
  <c r="T38" i="3"/>
  <c r="T39" i="3"/>
  <c r="T40" i="3"/>
  <c r="T41" i="3"/>
  <c r="T42" i="3"/>
  <c r="T43" i="3"/>
  <c r="T44" i="3"/>
  <c r="T45" i="3"/>
  <c r="T46" i="3"/>
  <c r="S38" i="3"/>
  <c r="S39" i="3"/>
  <c r="S40" i="3"/>
  <c r="S41" i="3"/>
  <c r="S42" i="3"/>
  <c r="S43" i="3"/>
  <c r="S44" i="3"/>
  <c r="S45" i="3"/>
  <c r="S46" i="3"/>
  <c r="R38" i="3"/>
  <c r="R39" i="3"/>
  <c r="R40" i="3"/>
  <c r="R41" i="3"/>
  <c r="L8" i="7" s="1"/>
  <c r="R42" i="3"/>
  <c r="G9" i="7" s="1"/>
  <c r="R43" i="3"/>
  <c r="I10" i="7" s="1"/>
  <c r="R44" i="3"/>
  <c r="F11" i="7" s="1"/>
  <c r="R45" i="3"/>
  <c r="F12" i="7" s="1"/>
  <c r="R46" i="3"/>
  <c r="H13" i="7" s="1"/>
  <c r="R37" i="3"/>
  <c r="D11" i="7"/>
  <c r="D12" i="7"/>
  <c r="U37" i="3"/>
  <c r="D5" i="7"/>
  <c r="D6" i="7"/>
  <c r="D7" i="7"/>
  <c r="D8" i="7"/>
  <c r="D9" i="7"/>
  <c r="D10" i="7"/>
  <c r="D13" i="7"/>
  <c r="D4" i="7"/>
  <c r="K8" i="7" l="1"/>
  <c r="H8" i="7"/>
  <c r="G8" i="7"/>
  <c r="J8" i="7"/>
  <c r="I8" i="7"/>
  <c r="F10" i="7"/>
  <c r="F9" i="7"/>
  <c r="M9" i="7"/>
  <c r="M8" i="7"/>
  <c r="L9" i="7"/>
  <c r="K9" i="7"/>
  <c r="J9" i="7"/>
  <c r="I9" i="7"/>
  <c r="H9" i="7"/>
  <c r="K13" i="7"/>
  <c r="G13" i="7"/>
  <c r="L10" i="7"/>
  <c r="H10" i="7"/>
  <c r="J13" i="7"/>
  <c r="K10" i="7"/>
  <c r="G10" i="7"/>
  <c r="M13" i="7"/>
  <c r="I13" i="7"/>
  <c r="J10" i="7"/>
  <c r="L13" i="7"/>
  <c r="M10" i="7"/>
  <c r="V37" i="3" a="1"/>
  <c r="V37" i="3" s="1"/>
  <c r="E4" i="7" s="1" a="1"/>
  <c r="E4" i="7" s="1"/>
  <c r="D2" i="7"/>
  <c r="T37" i="3"/>
  <c r="W37" i="3" l="1" a="1"/>
  <c r="W37" i="3" l="1"/>
  <c r="N4" i="7" s="1" a="1"/>
  <c r="N4" i="7" s="1"/>
  <c r="S37" i="3"/>
  <c r="I6" i="7" l="1"/>
  <c r="M6" i="7"/>
  <c r="F6" i="7"/>
  <c r="J6" i="7"/>
  <c r="G6" i="7"/>
  <c r="K6" i="7"/>
  <c r="H6" i="7"/>
  <c r="L6" i="7"/>
  <c r="H4" i="7"/>
  <c r="L4" i="7"/>
  <c r="I4" i="7"/>
  <c r="M4" i="7"/>
  <c r="J4" i="7"/>
  <c r="G4" i="7"/>
  <c r="K4" i="7"/>
  <c r="F4" i="7"/>
  <c r="F5" i="7"/>
  <c r="J5" i="7"/>
  <c r="G5" i="7"/>
  <c r="K5" i="7"/>
  <c r="H5" i="7"/>
  <c r="L5" i="7"/>
  <c r="I5" i="7"/>
  <c r="M5" i="7"/>
  <c r="F8" i="7"/>
  <c r="H7" i="7"/>
  <c r="L7" i="7"/>
  <c r="I7" i="7"/>
  <c r="M7" i="7"/>
  <c r="J7" i="7"/>
  <c r="G7" i="7"/>
  <c r="K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<sst xmlns="http://schemas.openxmlformats.org/spreadsheetml/2006/main" count="1229" uniqueCount="593">
  <si>
    <t>Sustainable Transition Plan</t>
  </si>
  <si>
    <t>Enterprise Profile</t>
  </si>
  <si>
    <t>Name:</t>
  </si>
  <si>
    <t>Spika Tech</t>
  </si>
  <si>
    <t>Country:</t>
  </si>
  <si>
    <t xml:space="preserve"> Spain</t>
  </si>
  <si>
    <t>Email:</t>
  </si>
  <si>
    <t>fernando.pozo@spikatech.com</t>
  </si>
  <si>
    <t>Sector:</t>
  </si>
  <si>
    <t xml:space="preserve">IT and other information services </t>
  </si>
  <si>
    <t>Description of Your Enterprise:</t>
  </si>
  <si>
    <t>SPIKA TECH is a leading company in the technology sector, specializing in Deep Tech, working on the design and creation of innovative tools for the healthcare industry.</t>
  </si>
  <si>
    <t>Sustainable Advisor (SA) Details</t>
  </si>
  <si>
    <t>SA Name</t>
  </si>
  <si>
    <t>SA Email:</t>
  </si>
  <si>
    <t>Current Enterprise (Project) Performance in Year 2022 (Baseline Data)</t>
  </si>
  <si>
    <t>Enterprise Improvement Target by 2030</t>
  </si>
  <si>
    <t>Transition 
Area</t>
  </si>
  <si>
    <t>Total Amount 
(Baseline)</t>
  </si>
  <si>
    <t>Break-Down</t>
  </si>
  <si>
    <t>Enterprise Self Target Estimation</t>
  </si>
  <si>
    <t>Type</t>
  </si>
  <si>
    <t>Amount</t>
  </si>
  <si>
    <t>Year</t>
  </si>
  <si>
    <t>Total</t>
  </si>
  <si>
    <t>Environmental</t>
  </si>
  <si>
    <t>Energy Reduction</t>
  </si>
  <si>
    <t>kWh</t>
  </si>
  <si>
    <t>Renewable</t>
  </si>
  <si>
    <t>Non-Renewable</t>
  </si>
  <si>
    <t>Water Reduction</t>
  </si>
  <si>
    <t>m3</t>
  </si>
  <si>
    <t>Recycled</t>
  </si>
  <si>
    <t>non-Recycled</t>
  </si>
  <si>
    <t>Waste Reduction</t>
  </si>
  <si>
    <t>Tons</t>
  </si>
  <si>
    <t>Landfill</t>
  </si>
  <si>
    <t>Hazardous</t>
  </si>
  <si>
    <t>Reduce Raw Material</t>
  </si>
  <si>
    <t>Virgin</t>
  </si>
  <si>
    <t>Carbon Footprint Reduction</t>
  </si>
  <si>
    <t>Scope 1</t>
  </si>
  <si>
    <t>Scope 2</t>
  </si>
  <si>
    <t>Scope 3</t>
  </si>
  <si>
    <t>Social</t>
  </si>
  <si>
    <t>Increase Investment in Local Community</t>
  </si>
  <si>
    <t>Not active in local community</t>
  </si>
  <si>
    <t>Invest in Emplyee Development</t>
  </si>
  <si>
    <t>Not considered training</t>
  </si>
  <si>
    <t>Governance</t>
  </si>
  <si>
    <t>Increase Investment in Research &amp; Development</t>
  </si>
  <si>
    <t>No innovation budget</t>
  </si>
  <si>
    <t>Increase Sustainable Strategies in Your Enterprise</t>
  </si>
  <si>
    <t>Strategy is not defined yet</t>
  </si>
  <si>
    <t>In-progress</t>
  </si>
  <si>
    <t>Increase Sustainable Champions</t>
  </si>
  <si>
    <t>Not at the moment</t>
  </si>
  <si>
    <t>Develop in-house people</t>
  </si>
  <si>
    <t>Reporting</t>
  </si>
  <si>
    <t>Your Enterprise CSRD ready?</t>
  </si>
  <si>
    <t>Don't know of the Legislation</t>
  </si>
  <si>
    <t>No - haven't started</t>
  </si>
  <si>
    <t>Opportunities for Sustainable Transformation</t>
  </si>
  <si>
    <t>Activity No</t>
  </si>
  <si>
    <t>Transition Area</t>
  </si>
  <si>
    <t xml:space="preserve">Opportunities Identified </t>
  </si>
  <si>
    <t>Actionable Time Line</t>
  </si>
  <si>
    <t>Internal Stakeholders</t>
  </si>
  <si>
    <t>Estimated Cost</t>
  </si>
  <si>
    <t>Project Title</t>
  </si>
  <si>
    <t>Project Description</t>
  </si>
  <si>
    <t>Highlevel Project Benefits</t>
  </si>
  <si>
    <t>Start</t>
  </si>
  <si>
    <t>Finsh</t>
  </si>
  <si>
    <t>Action No</t>
  </si>
  <si>
    <t>Project</t>
  </si>
  <si>
    <t>Enabling Transition Area</t>
  </si>
  <si>
    <t>Baseline</t>
  </si>
  <si>
    <t>0-5 Years</t>
  </si>
  <si>
    <t>Increase Productivity</t>
  </si>
  <si>
    <t>VR-CARDIO</t>
  </si>
  <si>
    <t xml:space="preserve">VR-CARDIO is a pioneering and disruptive, cost-effective solution that integrates 3D-360º Stereoscopic and Holographic visualization with non-invasive technology to capture cardiac signals. This creates an electroanatomical map, specifically tailored for the monitoring and diagnosis of arrhythmias, thus transforming the landscape of arrhythmia care. 
</t>
  </si>
  <si>
    <t xml:space="preserve">This system reduces patient risks and significantly cuts costs in areas such as catheterization and intervention expenses. </t>
  </si>
  <si>
    <t>Fernando Pozo, Carlos Zúñiga</t>
  </si>
  <si>
    <t>Defining Technologies To Be Used In The Chosen Project And Identifying Expected Benefits</t>
  </si>
  <si>
    <t>Technology</t>
  </si>
  <si>
    <t>Expected Benefits at End of the Project</t>
  </si>
  <si>
    <t>Your Comments</t>
  </si>
  <si>
    <t>Virtual reality technology</t>
  </si>
  <si>
    <t>Provides a realistic and immersive visual experience, allowing clinicians to view cardiac structures in a fully dimensional space.</t>
  </si>
  <si>
    <t>This technology transforms traditional cardiac diagnostics by enabling a more intuitive and comprehensive understanding of complex cardiac structures. The immersive environment helps clinicians perform detailed analyses, potentially reducing diagnostic errors and enhancing patient outcomes.</t>
  </si>
  <si>
    <t>Big data and analytics</t>
  </si>
  <si>
    <t>Processes the captured signals and visual data to create a detailed map of the heart's electrical activity.</t>
  </si>
  <si>
    <t>VR-CARDIO can offer unprecedented insights into cardiac function. This capability allows for more accurate and timely diagnosis, facilitating personalized treatment plans that can be adjusted in real-time based on the patient's data.</t>
  </si>
  <si>
    <t>AI-power predictive maintenance and manufacturing</t>
  </si>
  <si>
    <t>Implements machine learning algorithms to predict and prevent equipment failures in the VR-CARDIO system, ensuring high reliability and uptime.</t>
  </si>
  <si>
    <t>The integration of AI for predictive maintenance not only extends the lifespan of the VR-CARDIO equipment but also enhances operational efficiency by minimizing downtime. This proactive approach ensures continuous availability of diagnostic services, which is crucial in emergency medical scenarios.</t>
  </si>
  <si>
    <t>Energy-efficient Technologies (Smart sensors, ...)</t>
  </si>
  <si>
    <t>Utilizes advanced sensors and algorithms to detect and record cardiac signals without the need for invasive probes.</t>
  </si>
  <si>
    <t>Energy-efficient technologies, such as smart sensors, play a crucial role in making VR-CARDIO a sustainable and cost-effective solution. These technologies reduce the overall energy consumption of the system, lower operating costs, and decrease the environmental impact, aligning with global sustainability goals.</t>
  </si>
  <si>
    <t>EU Taxonomy for Sustainable Activities</t>
  </si>
  <si>
    <t>Category</t>
  </si>
  <si>
    <t>Answers</t>
  </si>
  <si>
    <t>1. What is your enterprise (project) NACE level I sector?</t>
  </si>
  <si>
    <t>9) Professional, scientific and technical activities</t>
  </si>
  <si>
    <t>2. Please select she Taxonomy-Eligible activities best describes your enterprise (project)?</t>
  </si>
  <si>
    <t>9.1. Close to market research, development and innovation</t>
  </si>
  <si>
    <t>3. What sustainable EU objective does your enterprise contribute to?</t>
  </si>
  <si>
    <t>Transition to a circular economy</t>
  </si>
  <si>
    <t>4. Does your enterprise (project) comply with Do No Significant Harm (DNSH) from your economic activity (project)?</t>
  </si>
  <si>
    <t>DNSH - Not Assessed</t>
  </si>
  <si>
    <t xml:space="preserve">5. Does your enterprise (project) comply with minimum safeguards criteria?  </t>
  </si>
  <si>
    <t>Minimum Safeguard - Not Compliant</t>
  </si>
  <si>
    <t xml:space="preserve"> :  Transition Plan</t>
  </si>
  <si>
    <t>Transtion 
Area</t>
  </si>
  <si>
    <t>Baseline
2022</t>
  </si>
  <si>
    <t>Opportunity Timeline</t>
  </si>
  <si>
    <t>Future Improvement Target</t>
  </si>
  <si>
    <t>NACE Level 1</t>
  </si>
  <si>
    <t>Transition Areas</t>
  </si>
  <si>
    <t>5 Year</t>
  </si>
  <si>
    <t>Staff Development</t>
  </si>
  <si>
    <t>Strategy</t>
  </si>
  <si>
    <t>Strategy - Future</t>
  </si>
  <si>
    <t>Sustainable Champion</t>
  </si>
  <si>
    <t>Sustainable Champion - Future</t>
  </si>
  <si>
    <t>Innovation</t>
  </si>
  <si>
    <t>Community</t>
  </si>
  <si>
    <t>CSRD</t>
  </si>
  <si>
    <t>CSRD Future</t>
  </si>
  <si>
    <t>List of european countries</t>
  </si>
  <si>
    <t>List of industries</t>
  </si>
  <si>
    <t>States</t>
  </si>
  <si>
    <t>Economic Activity</t>
  </si>
  <si>
    <t>DNSH</t>
  </si>
  <si>
    <t>Minimum Safeguards</t>
  </si>
  <si>
    <t>1) Forestry</t>
  </si>
  <si>
    <t>2) Environmental protection and restoration activities</t>
  </si>
  <si>
    <t>3) Manufacturing</t>
  </si>
  <si>
    <t>4) Energy</t>
  </si>
  <si>
    <t>5) Water supply, sewerage, waste management and remediation</t>
  </si>
  <si>
    <t>6) Transport</t>
  </si>
  <si>
    <t>7) Construction and real estate activities</t>
  </si>
  <si>
    <t>8) Information and communication</t>
  </si>
  <si>
    <t>CSRD Compliance</t>
  </si>
  <si>
    <t>Not required</t>
  </si>
  <si>
    <t xml:space="preserve"> Czech Republic</t>
  </si>
  <si>
    <t>Accommodation and food service activities</t>
  </si>
  <si>
    <t>Yes</t>
  </si>
  <si>
    <t>Climate change adaptation</t>
  </si>
  <si>
    <t>DNSH - Compliant</t>
  </si>
  <si>
    <t>Minimum Safeguard - Compliant</t>
  </si>
  <si>
    <t>1.1. Afforestation</t>
  </si>
  <si>
    <t>2.1. Restoration of wetlands</t>
  </si>
  <si>
    <t>3.1. Manufacture of renewable energy technologies</t>
  </si>
  <si>
    <t>4.1. Electricity generation using solar photovoltaic technology</t>
  </si>
  <si>
    <t>5.1. Construction, extension and operation of water collection, treatment and supply systems</t>
  </si>
  <si>
    <t>6.1. Passenger interurban rail transport</t>
  </si>
  <si>
    <t>7.1. Construction of new buildings</t>
  </si>
  <si>
    <t>8.1. Data processing, hosting and related activities</t>
  </si>
  <si>
    <t>Identified skills gaps to provide training</t>
  </si>
  <si>
    <t>Strategy at starting phase</t>
  </si>
  <si>
    <t>Recognise the need of a Champion</t>
  </si>
  <si>
    <t>Recruit new people</t>
  </si>
  <si>
    <t>Assessed required budget</t>
  </si>
  <si>
    <t>Support some activites</t>
  </si>
  <si>
    <t>No impact to us now</t>
  </si>
  <si>
    <t xml:space="preserve"> Denmark</t>
  </si>
  <si>
    <t>Activities of extra-territorial organisations and bodies</t>
  </si>
  <si>
    <t>No</t>
  </si>
  <si>
    <t>Climate change mitigation</t>
  </si>
  <si>
    <t>DNSH - Not Compliant</t>
  </si>
  <si>
    <t>1.2. Rehabilitation and restoration of forests, including reforestation and natural forest regeneration after an extreme event</t>
  </si>
  <si>
    <t>3.2. Manufacture of equipment for the production and use of hydrogen</t>
  </si>
  <si>
    <t>4.2. Electricity generation using concentrated solar power (CSP) technology</t>
  </si>
  <si>
    <t>5.2. Renewal of water collection, treatment and supply systems</t>
  </si>
  <si>
    <t>6.2. Freight rail transport</t>
  </si>
  <si>
    <t>7.2. Renovation of existing buildings</t>
  </si>
  <si>
    <t>8.2. Data-driven solutions for GHG emissions reductions</t>
  </si>
  <si>
    <t>9.2. Research, development and innovation for direct air capture of CO2</t>
  </si>
  <si>
    <t xml:space="preserve">Provide ad hoc training </t>
  </si>
  <si>
    <t>Strategy is agreed at high level</t>
  </si>
  <si>
    <t>Implemented</t>
  </si>
  <si>
    <t>Developing the skills</t>
  </si>
  <si>
    <t>Plan to secure the budget</t>
  </si>
  <si>
    <t>Employees encouraged to support</t>
  </si>
  <si>
    <t>Large organisations request data</t>
  </si>
  <si>
    <t>Yes - Implemented</t>
  </si>
  <si>
    <t xml:space="preserve"> Estonia</t>
  </si>
  <si>
    <t>Activities of households as employers; undifferentiated goods- and services-producing activities of households for own use</t>
  </si>
  <si>
    <t>Pollution prevention and control</t>
  </si>
  <si>
    <t>1.3. Forest management</t>
  </si>
  <si>
    <t>3.3. Manufacture of low carbon technologies for transport</t>
  </si>
  <si>
    <t>4.3. Electricity generation from wind power</t>
  </si>
  <si>
    <t>5.3. Construction, extension and operation of waste water collection and treatment</t>
  </si>
  <si>
    <t>6.3. Urban and suburban transport, road passenger transport</t>
  </si>
  <si>
    <t>7.3. Installation, maintenance and repair of energy efficiency equipment</t>
  </si>
  <si>
    <t>9.3. Professional services related to energy performance of buildings</t>
  </si>
  <si>
    <t>Organisation wide structured training</t>
  </si>
  <si>
    <t>Strategy is fully defined and review regularly</t>
  </si>
  <si>
    <t>Champions are in place</t>
  </si>
  <si>
    <t>Secured the budget</t>
  </si>
  <si>
    <t>Actively engaged to make an impact</t>
  </si>
  <si>
    <t>Will be impacting in near terms</t>
  </si>
  <si>
    <t xml:space="preserve"> Finland</t>
  </si>
  <si>
    <t>Administrative and support service activities</t>
  </si>
  <si>
    <t>Protection and restoration of biodiversity and ecosystems</t>
  </si>
  <si>
    <t>1.4. Conservation forestry</t>
  </si>
  <si>
    <t>3.4. Manufacture of batteries</t>
  </si>
  <si>
    <t>4.4. Electricity generation from ocean energy technologies</t>
  </si>
  <si>
    <t>5.4. Renewal of waste water collection and treatment</t>
  </si>
  <si>
    <t>6.4. Operation of personal mobility devices, cycle logistics</t>
  </si>
  <si>
    <t>7.4. Installation, maintenance and repair of charging stations for electric vehicles in buildings (and parking spaces attached to buildings)</t>
  </si>
  <si>
    <t xml:space="preserve"> France</t>
  </si>
  <si>
    <t>Agriculture, forestry and fishing</t>
  </si>
  <si>
    <t>Sustainable use and protection of water and marine resources</t>
  </si>
  <si>
    <t>3.5. Manufacture of energy efficiency equipment for buildings</t>
  </si>
  <si>
    <t>4.5. Electricity generation from hydropower</t>
  </si>
  <si>
    <t>5.5. Collection and transport of non-hazardous waste in source segregated fractions</t>
  </si>
  <si>
    <t>6.5. Transport by motorbikes, passenger cars and light commercial vehicles</t>
  </si>
  <si>
    <t>7.5. Installation, maintenance and repair of instruments and devices for measuring, regulation and controlling energy performance of buildings</t>
  </si>
  <si>
    <t>Increase Recycling</t>
  </si>
  <si>
    <t xml:space="preserve"> Germany</t>
  </si>
  <si>
    <t>Arts, entertainment and recreation</t>
  </si>
  <si>
    <t>3.6. Manufacture of other low carbon technologies</t>
  </si>
  <si>
    <t>4.6. Electricity generation from geothermal energy</t>
  </si>
  <si>
    <t>5.6. Anaerobic digestion of sewage sludge</t>
  </si>
  <si>
    <t>6.6. Freight transport services by road</t>
  </si>
  <si>
    <t>7.6. Installation, maintenance and repair of renewable energy technologies</t>
  </si>
  <si>
    <t>Increase Process Improvements</t>
  </si>
  <si>
    <t xml:space="preserve"> Greece</t>
  </si>
  <si>
    <t xml:space="preserve">Construction </t>
  </si>
  <si>
    <t>3.7. Manufacture of cement</t>
  </si>
  <si>
    <t>4.7. Electricity generation from renewable non-fossil gaseous and liquid fuels</t>
  </si>
  <si>
    <t>5.7. Anaerobic digestion of bio-waste</t>
  </si>
  <si>
    <t>6.7. Inland passenger water transport</t>
  </si>
  <si>
    <t>7.7. Acquisition and ownership of buildings</t>
  </si>
  <si>
    <t xml:space="preserve"> Hungary</t>
  </si>
  <si>
    <t>Education</t>
  </si>
  <si>
    <t>3.8. Manufacture of aluminium</t>
  </si>
  <si>
    <t>4.8. Electricity generation from bioenergy</t>
  </si>
  <si>
    <t>5.8. Composting of bio-waste</t>
  </si>
  <si>
    <t>6.8. Inland freight water transport</t>
  </si>
  <si>
    <t xml:space="preserve"> Iceland</t>
  </si>
  <si>
    <t>Electricity, gas, steam and air-conditioning supply</t>
  </si>
  <si>
    <t>10) Other - Move to question 5</t>
  </si>
  <si>
    <t>3.9. Manufacture of iron and steel</t>
  </si>
  <si>
    <t>4.9. Transmission and distribution of electricity</t>
  </si>
  <si>
    <t>5.9. Material recovery from non-hazardous waste</t>
  </si>
  <si>
    <t>6.9. Retrofitting of inland water passenger and freight transport</t>
  </si>
  <si>
    <t xml:space="preserve"> Ireland</t>
  </si>
  <si>
    <t>Financial and insurance activities</t>
  </si>
  <si>
    <t>3.10. Manufacture of hydrogen</t>
  </si>
  <si>
    <t>4.10. Storage of electricity</t>
  </si>
  <si>
    <t>5.10. Landfill gas capture and utilisation</t>
  </si>
  <si>
    <t>6.10. Sea and coastal freight water transport, vessels for port operations and auxiliary activities</t>
  </si>
  <si>
    <t xml:space="preserve"> Italy</t>
  </si>
  <si>
    <t>Human health services</t>
  </si>
  <si>
    <t>3.11. Manufacture of carbon black</t>
  </si>
  <si>
    <t>4.11. Storage of thermal energy</t>
  </si>
  <si>
    <t>5.11. Transport of CO2</t>
  </si>
  <si>
    <t>6.11. Sea and coastal passenger water transport</t>
  </si>
  <si>
    <t xml:space="preserve"> Latvia</t>
  </si>
  <si>
    <t>3.12. Manufacture of soda ash</t>
  </si>
  <si>
    <t>4.12. Storage of hydrogen</t>
  </si>
  <si>
    <t>5.12. Underground permanent geological storage of CO2</t>
  </si>
  <si>
    <t>6.12. Retrofitting of sea and coastal freight and passenger water transport</t>
  </si>
  <si>
    <t xml:space="preserve"> Liechtenstein</t>
  </si>
  <si>
    <t>Legal, accounting, management, architecture, engineering, technical testing and analysis activities</t>
  </si>
  <si>
    <t>3.13. Manufacture of chlorine</t>
  </si>
  <si>
    <t>4.13. Manufacture of biogas and biofuels for use in transport and of bioliquids</t>
  </si>
  <si>
    <t>6.13. Infrastructure for personal mobility, cycle logistics</t>
  </si>
  <si>
    <t>Water Usage Reduction</t>
  </si>
  <si>
    <t xml:space="preserve"> Lithuania</t>
  </si>
  <si>
    <t>Manufacture of basic metals and fabricated metal products, except machinery and equipment</t>
  </si>
  <si>
    <t>3.14. Manufacture of organic basic chemicals</t>
  </si>
  <si>
    <t>4.14. Transmission and distribution networks for renewable and low-carbon gases</t>
  </si>
  <si>
    <t>6.14. Infrastructure for rail transport</t>
  </si>
  <si>
    <t xml:space="preserve"> Luxembourg</t>
  </si>
  <si>
    <t>Manufacture of chemicals and chemical products</t>
  </si>
  <si>
    <t>3.15. Manufacture of anhydrous ammonia</t>
  </si>
  <si>
    <t>4.15. District heating/cooling distribution</t>
  </si>
  <si>
    <t>6.15. Infrastructure enabling low-carbon road transport and public transport</t>
  </si>
  <si>
    <t xml:space="preserve"> Malta</t>
  </si>
  <si>
    <t>Manufacture of coke, and refined petroleum products</t>
  </si>
  <si>
    <t>3.16. Manufacture of nitric acid</t>
  </si>
  <si>
    <t>4.16. Installation and operation of electric heat pumps</t>
  </si>
  <si>
    <t>6.16. Infrastructure enabling low carbon water transport</t>
  </si>
  <si>
    <t xml:space="preserve"> Netherlands</t>
  </si>
  <si>
    <t xml:space="preserve">Manufacture of computer, electronic and optical products </t>
  </si>
  <si>
    <t>3.17. Manufacture of plastics in primary form</t>
  </si>
  <si>
    <t>4.17. Cogeneration of heat/cool and power from solar energy</t>
  </si>
  <si>
    <t>6.17. Low carbon airport infrastructure</t>
  </si>
  <si>
    <t xml:space="preserve"> Norway</t>
  </si>
  <si>
    <t xml:space="preserve">Manufacture of electrical equipment </t>
  </si>
  <si>
    <t>4.18. Cogeneration of heat/cool and power from geothermal energy</t>
  </si>
  <si>
    <t xml:space="preserve"> Poland</t>
  </si>
  <si>
    <t xml:space="preserve">Manufacture of food products, beverages and tobacco products </t>
  </si>
  <si>
    <t>4.19. Cogeneration of heat/cool and power from renewable non-fossil gaseous and liquid fuels</t>
  </si>
  <si>
    <t xml:space="preserve"> Portugal</t>
  </si>
  <si>
    <t>Manufacture of machinery and equipment n.e.c.</t>
  </si>
  <si>
    <t>4.20. Cogeneration of heat/cool and power from bioenergy</t>
  </si>
  <si>
    <t xml:space="preserve"> Republic of Cyprus</t>
  </si>
  <si>
    <t>Manufacture of pharmaceuticals, medicinal chemical and botanical products</t>
  </si>
  <si>
    <t>4.21. Production of heat/cool from solar thermal heating</t>
  </si>
  <si>
    <t xml:space="preserve"> Romania</t>
  </si>
  <si>
    <t>Manufacture of rubber and plastics products, and other non-metallic mineral products</t>
  </si>
  <si>
    <t>4.22. Production of heat/cool from geothermal energy</t>
  </si>
  <si>
    <t xml:space="preserve"> Slovakia</t>
  </si>
  <si>
    <t>Manufacture of textiles, apparel, leather and related products</t>
  </si>
  <si>
    <t>4.23. Production of heat/cool from renewable non-fossil gaseous and liquid fuels</t>
  </si>
  <si>
    <t xml:space="preserve"> Slovenia</t>
  </si>
  <si>
    <t xml:space="preserve">Manufacture of transport equipment </t>
  </si>
  <si>
    <t>4.24. Production of heat/cool from bioenergy</t>
  </si>
  <si>
    <t xml:space="preserve">Manufacture of wood and paper products, and printing </t>
  </si>
  <si>
    <t>4.25. Production of heat/cool using waste heat</t>
  </si>
  <si>
    <t xml:space="preserve"> Sweden</t>
  </si>
  <si>
    <t>Mining and quarrying</t>
  </si>
  <si>
    <t>4.26. Pre-commercial stages of advanced technologies to produce energy from nuclear processes with minimal waste from the fuel cycle</t>
  </si>
  <si>
    <t>Austria</t>
  </si>
  <si>
    <t>Other manufacturing, and repair and installation of machinery and equipment</t>
  </si>
  <si>
    <t>4.27. Construction and safe operation of new nuclear power plants, for the generation of electricity or heat, including for hydrogen production, using best-available technologies</t>
  </si>
  <si>
    <t>Belgium</t>
  </si>
  <si>
    <t>Other professional, scientific and technical activities</t>
  </si>
  <si>
    <t>4.28. Electricity generation from nuclear energy in existing installations</t>
  </si>
  <si>
    <t>Bulgaria</t>
  </si>
  <si>
    <t>Other services</t>
  </si>
  <si>
    <t>4.29. Electricity generation from fossil gaseous fuels</t>
  </si>
  <si>
    <t>Croatia</t>
  </si>
  <si>
    <t>Public administration and defence, compulsory social security</t>
  </si>
  <si>
    <t>4.30. High-efficiency co-generation of heat/cool and power from fossil gaseous fuels</t>
  </si>
  <si>
    <t>Other</t>
  </si>
  <si>
    <t>Publishing, audiovisual and broadcasting activities</t>
  </si>
  <si>
    <t>4.31. Production of heat/cool from fossil gaseous fuels in an efficient district heating and cooling system</t>
  </si>
  <si>
    <t>United Kingdom</t>
  </si>
  <si>
    <t>Real estate activities*</t>
  </si>
  <si>
    <t>Residential care and social work activities</t>
  </si>
  <si>
    <t>Scientific research and development</t>
  </si>
  <si>
    <t>Telecommunications</t>
  </si>
  <si>
    <t>Transportation and storage</t>
  </si>
  <si>
    <t xml:space="preserve">Water supply, sewerage, waste management and remediation </t>
  </si>
  <si>
    <t>Wholesale and retail trade, repair of motor vehicles and motorcycles</t>
  </si>
  <si>
    <t>SME implementation plans opportunities</t>
  </si>
  <si>
    <t>Version 2023-12-12</t>
  </si>
  <si>
    <t>Improvement</t>
  </si>
  <si>
    <t>Reduction</t>
  </si>
  <si>
    <t>Financial benefits</t>
  </si>
  <si>
    <t>#</t>
  </si>
  <si>
    <t>Module</t>
  </si>
  <si>
    <t>Code</t>
  </si>
  <si>
    <t>Description</t>
  </si>
  <si>
    <t>Energy</t>
  </si>
  <si>
    <t>Water</t>
  </si>
  <si>
    <t>Waste</t>
  </si>
  <si>
    <t>Raw material</t>
  </si>
  <si>
    <t>Carbon footprint</t>
  </si>
  <si>
    <t>TRL</t>
  </si>
  <si>
    <t>Prod. efficiency</t>
  </si>
  <si>
    <t>Methods</t>
  </si>
  <si>
    <t>Cost red.</t>
  </si>
  <si>
    <t>Income incr.</t>
  </si>
  <si>
    <t>PS1</t>
  </si>
  <si>
    <t>PS1-03</t>
  </si>
  <si>
    <t>3D printing</t>
  </si>
  <si>
    <t>X</t>
  </si>
  <si>
    <t>PA3</t>
  </si>
  <si>
    <t>PA3-02</t>
  </si>
  <si>
    <t>5G Networks</t>
  </si>
  <si>
    <t>PA4</t>
  </si>
  <si>
    <t>PA4-07</t>
  </si>
  <si>
    <t>Additive manufacturing</t>
  </si>
  <si>
    <t>PA2</t>
  </si>
  <si>
    <t>PA2-02</t>
  </si>
  <si>
    <t>Advanced Cobotics</t>
  </si>
  <si>
    <t> </t>
  </si>
  <si>
    <t>BM6</t>
  </si>
  <si>
    <t>BM6-04</t>
  </si>
  <si>
    <t>Advanced digital tools for remote team work &amp; management</t>
  </si>
  <si>
    <t>PA2-01</t>
  </si>
  <si>
    <t>Advanced Robotics</t>
  </si>
  <si>
    <t>PA3-01</t>
  </si>
  <si>
    <t>PA7</t>
  </si>
  <si>
    <t>PA7-04</t>
  </si>
  <si>
    <t>Application of artificial intelligence</t>
  </si>
  <si>
    <t>PA6</t>
  </si>
  <si>
    <t>PA6-02</t>
  </si>
  <si>
    <t>AR environment - not real production</t>
  </si>
  <si>
    <t>AR</t>
  </si>
  <si>
    <t>PS8</t>
  </si>
  <si>
    <t>PS8-04</t>
  </si>
  <si>
    <t>Artificial technologies and algorithms</t>
  </si>
  <si>
    <t>PA8</t>
  </si>
  <si>
    <t>PA8-02</t>
  </si>
  <si>
    <t>Augmented and virtual reality technologies</t>
  </si>
  <si>
    <t>PA4-08</t>
  </si>
  <si>
    <t>Augmented reality</t>
  </si>
  <si>
    <t>PA4-01</t>
  </si>
  <si>
    <t>Autonomous robots</t>
  </si>
  <si>
    <t>PE5</t>
  </si>
  <si>
    <t>PE5-01</t>
  </si>
  <si>
    <t>Bateries</t>
  </si>
  <si>
    <t>PA4-09</t>
  </si>
  <si>
    <t>PE2</t>
  </si>
  <si>
    <t>PE2-05</t>
  </si>
  <si>
    <t>Binder Jetting</t>
  </si>
  <si>
    <t>BJ, MBJ</t>
  </si>
  <si>
    <t>BM4</t>
  </si>
  <si>
    <t>BM4-02</t>
  </si>
  <si>
    <t>Capital budgeting</t>
  </si>
  <si>
    <t>PS9</t>
  </si>
  <si>
    <t>PS9-03</t>
  </si>
  <si>
    <t>Carbon footprint calculation</t>
  </si>
  <si>
    <t>BM7</t>
  </si>
  <si>
    <t>BM7-03</t>
  </si>
  <si>
    <t>Change Communication</t>
  </si>
  <si>
    <t>BM7-05</t>
  </si>
  <si>
    <t>Change Engagement and Support</t>
  </si>
  <si>
    <t>BM7-06</t>
  </si>
  <si>
    <t>Change Evaluation and Continuous Improvement</t>
  </si>
  <si>
    <t>BM7-01</t>
  </si>
  <si>
    <t>Change leadership</t>
  </si>
  <si>
    <t>BM7-04</t>
  </si>
  <si>
    <t>Change Planning and Implementation</t>
  </si>
  <si>
    <t>BM7-02</t>
  </si>
  <si>
    <t>Change Readiness Assessment​</t>
  </si>
  <si>
    <t>PE3</t>
  </si>
  <si>
    <t>PE3-01</t>
  </si>
  <si>
    <t>Circular design</t>
  </si>
  <si>
    <t>PS4</t>
  </si>
  <si>
    <t>PS4-01</t>
  </si>
  <si>
    <t>Circulate product and materials (repair, reuse, refurbish, recycle)</t>
  </si>
  <si>
    <t>x</t>
  </si>
  <si>
    <t>PA4-06</t>
  </si>
  <si>
    <t>Clou computing</t>
  </si>
  <si>
    <t>PS8-03</t>
  </si>
  <si>
    <t>Communication protocols</t>
  </si>
  <si>
    <t>BM3</t>
  </si>
  <si>
    <t>BM3-01</t>
  </si>
  <si>
    <t>Competitive advantage (technology and organization)</t>
  </si>
  <si>
    <t>BM3-02</t>
  </si>
  <si>
    <t>Cost saving (more effective technologies)</t>
  </si>
  <si>
    <t>PS2</t>
  </si>
  <si>
    <t>PS2-01</t>
  </si>
  <si>
    <t>Critical raw materials</t>
  </si>
  <si>
    <t>BM8</t>
  </si>
  <si>
    <t>BM8-01</t>
  </si>
  <si>
    <t>PA4-05</t>
  </si>
  <si>
    <t>Cybersecurity</t>
  </si>
  <si>
    <t>PE7</t>
  </si>
  <si>
    <t>PE7-03</t>
  </si>
  <si>
    <t>Data management and analytics technologies</t>
  </si>
  <si>
    <t>BM6-03</t>
  </si>
  <si>
    <t>Digital technologies - cyber-physical systems</t>
  </si>
  <si>
    <t>BM6-02</t>
  </si>
  <si>
    <t>Digital technologies - photonics</t>
  </si>
  <si>
    <t>BM6-01</t>
  </si>
  <si>
    <t>Digital technologies - semiconductor components and systems</t>
  </si>
  <si>
    <t>PS8-01</t>
  </si>
  <si>
    <t>Digital twin</t>
  </si>
  <si>
    <t>PS7</t>
  </si>
  <si>
    <t>PS7-01</t>
  </si>
  <si>
    <t>PE2-06</t>
  </si>
  <si>
    <t>Directed Energy Deposition</t>
  </si>
  <si>
    <t>LBAM,WAAM</t>
  </si>
  <si>
    <t>PA3-03</t>
  </si>
  <si>
    <t>Edge Computing</t>
  </si>
  <si>
    <t>PE7-01</t>
  </si>
  <si>
    <t>PS7-03</t>
  </si>
  <si>
    <t>PE5-02</t>
  </si>
  <si>
    <t>Electric vehicle</t>
  </si>
  <si>
    <t>BM1</t>
  </si>
  <si>
    <t>BM1-02</t>
  </si>
  <si>
    <t>Energy-efficient technologies (LED lighting with sensors, Efficient consumer electronics, ...)</t>
  </si>
  <si>
    <t>PS1-02</t>
  </si>
  <si>
    <t>BM4-01</t>
  </si>
  <si>
    <t>Financial planning</t>
  </si>
  <si>
    <t>PE6</t>
  </si>
  <si>
    <t>PE6-04</t>
  </si>
  <si>
    <t>Head-Mounted Displays (HMDs)</t>
  </si>
  <si>
    <t>PS6</t>
  </si>
  <si>
    <t>PS6-02</t>
  </si>
  <si>
    <t>Heat pumps</t>
  </si>
  <si>
    <t>PA4-03</t>
  </si>
  <si>
    <t>Horizontal and vertical system integration</t>
  </si>
  <si>
    <t>PA8-01</t>
  </si>
  <si>
    <t>Human simulation</t>
  </si>
  <si>
    <t>PA7-01</t>
  </si>
  <si>
    <t>Implementation of edge computing technology</t>
  </si>
  <si>
    <t>PS5</t>
  </si>
  <si>
    <t>PS5-02</t>
  </si>
  <si>
    <t>Improve the product and package logistic</t>
  </si>
  <si>
    <t>BM2</t>
  </si>
  <si>
    <t>BM2-02</t>
  </si>
  <si>
    <t>Integration of sustainable strategic planning</t>
  </si>
  <si>
    <t>PS7-02</t>
  </si>
  <si>
    <t>Internet of Things technologies</t>
  </si>
  <si>
    <t>BM4-03</t>
  </si>
  <si>
    <t>Investment decisions</t>
  </si>
  <si>
    <t>PS6-04</t>
  </si>
  <si>
    <t>Local energy storage</t>
  </si>
  <si>
    <t>BM3-05</t>
  </si>
  <si>
    <t>Long term viability</t>
  </si>
  <si>
    <t>BM3-04</t>
  </si>
  <si>
    <t>Market access and reputation</t>
  </si>
  <si>
    <t>PE2-01</t>
  </si>
  <si>
    <t>Material Extrusion</t>
  </si>
  <si>
    <t>FDM,FFF,CFF</t>
  </si>
  <si>
    <t>PE2-04</t>
  </si>
  <si>
    <t>Material Jetting</t>
  </si>
  <si>
    <t>PJM, DOD</t>
  </si>
  <si>
    <t>PE6-02</t>
  </si>
  <si>
    <t>Motion Tracking Sensors</t>
  </si>
  <si>
    <t>PE3-05</t>
  </si>
  <si>
    <t>Next generation materials (higher-performance materials)</t>
  </si>
  <si>
    <t>PS6-01</t>
  </si>
  <si>
    <t>Photovoltaics</t>
  </si>
  <si>
    <t>PE2-03</t>
  </si>
  <si>
    <t>Powder Bed Fusion</t>
  </si>
  <si>
    <t>SLS,SLM, EBM</t>
  </si>
  <si>
    <t>PS5-01</t>
  </si>
  <si>
    <t>Redesign the packaging strategy (size, volume, new materials, reduce material usage)</t>
  </si>
  <si>
    <t>PS4-03</t>
  </si>
  <si>
    <t>Reduce waste and pollution</t>
  </si>
  <si>
    <t xml:space="preserve"> </t>
  </si>
  <si>
    <t>BM3-03</t>
  </si>
  <si>
    <t>Regulatory compliance</t>
  </si>
  <si>
    <t>N/A</t>
  </si>
  <si>
    <t>PS2-02</t>
  </si>
  <si>
    <t>Remanufacturing</t>
  </si>
  <si>
    <t>PS4-02</t>
  </si>
  <si>
    <t>Renewable energy</t>
  </si>
  <si>
    <t>BM1-01</t>
  </si>
  <si>
    <t>Renewable energy (Wind energy, Solar energy, ...)</t>
  </si>
  <si>
    <t>PS1-01</t>
  </si>
  <si>
    <t>Renewable Energy: Implementing solar, wind, or hydropower sources</t>
  </si>
  <si>
    <t>PS5-03</t>
  </si>
  <si>
    <t xml:space="preserve">Reuse and recycle the package materials </t>
  </si>
  <si>
    <t>PE7-02</t>
  </si>
  <si>
    <t>RFID technology</t>
  </si>
  <si>
    <t>PS9-02</t>
  </si>
  <si>
    <t>Risk management</t>
  </si>
  <si>
    <t>PS4-04</t>
  </si>
  <si>
    <t xml:space="preserve">Sharing and exchange economy (change of customer behaviour) </t>
  </si>
  <si>
    <t>PE2-07</t>
  </si>
  <si>
    <t>Sheet Lamination</t>
  </si>
  <si>
    <t>LOM</t>
  </si>
  <si>
    <t>PS8-02</t>
  </si>
  <si>
    <t>Simulation</t>
  </si>
  <si>
    <t>PA4-02</t>
  </si>
  <si>
    <t>PA8-03</t>
  </si>
  <si>
    <t>Simulation and digital twins</t>
  </si>
  <si>
    <t>PA5</t>
  </si>
  <si>
    <t>PA5-01</t>
  </si>
  <si>
    <t>Simulation, explanation of Smart Logistics Technologies and software like AGV, AMR, ACR, Smart Warehouse systems, etc.</t>
  </si>
  <si>
    <t>BM1-04</t>
  </si>
  <si>
    <t>Social impact initiatives</t>
  </si>
  <si>
    <t>PS9-01</t>
  </si>
  <si>
    <t>Sustainability and strategic planning</t>
  </si>
  <si>
    <t>BM2-01</t>
  </si>
  <si>
    <t>Sustainability transition strategic planning</t>
  </si>
  <si>
    <t>PE3-03</t>
  </si>
  <si>
    <t>Sustainable manufacturing (avoiding causing harm to the local environment)</t>
  </si>
  <si>
    <t>PE3-02</t>
  </si>
  <si>
    <t>Sustainable materials (natural materials, renewable materials, non-toxic and harmless material)</t>
  </si>
  <si>
    <t>PE3-04</t>
  </si>
  <si>
    <t>Sustainable packaging and transportation​ (Biodegradable Packaging, Recyclable Packaging, Reusable Packaging, Plant-Based Packaging, ...)</t>
  </si>
  <si>
    <t>BM8-02</t>
  </si>
  <si>
    <t>Sustainable reporting to attract sustainable finance</t>
  </si>
  <si>
    <t>BM1-03</t>
  </si>
  <si>
    <t>Sustainable supply chains</t>
  </si>
  <si>
    <t>PA7-02</t>
  </si>
  <si>
    <t>Synergy with 5g networks</t>
  </si>
  <si>
    <t>PA7-03</t>
  </si>
  <si>
    <t>Synergy with cloud(s)</t>
  </si>
  <si>
    <t>PA4-04</t>
  </si>
  <si>
    <t>The industrial Internet of Things</t>
  </si>
  <si>
    <t>PE2-02</t>
  </si>
  <si>
    <t>Vat Photopolymerization</t>
  </si>
  <si>
    <t>SLA,DLP</t>
  </si>
  <si>
    <t>PE6-01</t>
  </si>
  <si>
    <t>PA6-01</t>
  </si>
  <si>
    <t>VR environment - not real production</t>
  </si>
  <si>
    <t>VR</t>
  </si>
  <si>
    <t>PS6-03</t>
  </si>
  <si>
    <t>Water recovery system</t>
  </si>
  <si>
    <t>PE6-03</t>
  </si>
  <si>
    <t>Wireless Connectivity</t>
  </si>
  <si>
    <t>OF-00</t>
  </si>
  <si>
    <t>x.Other financial method</t>
  </si>
  <si>
    <t>OM-00</t>
  </si>
  <si>
    <t>x.Other management method</t>
  </si>
  <si>
    <t>OT-00</t>
  </si>
  <si>
    <t>x.Other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</si>
</sst>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mmm\-yy;@"/>
    <numFmt numFmtId="165" formatCode="#,##0\ [$€-1]"/>
    <numFmt numFmtId="166" formatCode="_-* #,##0_-;\-* #,##0_-;_-* &quot;-&quot;??_-;_-@_-"/>
    <numFmt numFmtId="167" formatCode="_-[$€-2]\ * #,##0_-;\-[$€-2]\ * #,##0_-;_-[$€-2]\ * &quot;-&quot;??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2"/>
      <color rgb="FF2E461E"/>
      <name val="Calibri"/>
      <family val="2"/>
      <scheme val="minor"/>
    </font>
    <font>
      <sz val="11"/>
      <color rgb="FF2E461E"/>
      <name val="Calibri"/>
      <family val="2"/>
      <scheme val="minor"/>
    </font>
    <font>
      <b/>
      <sz val="11"/>
      <color rgb="FF2E461E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238"/>
    </font>
    <font>
      <b/>
      <sz val="3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AA343"/>
        <bgColor indexed="64"/>
      </patternFill>
    </fill>
    <fill>
      <patternFill patternType="solid">
        <fgColor rgb="FF8FC171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/>
      <right/>
      <top style="medium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/>
      <diagonal/>
    </border>
    <border>
      <left/>
      <right style="medium">
        <color theme="9"/>
      </right>
      <top/>
      <bottom/>
      <diagonal/>
    </border>
    <border>
      <left/>
      <right/>
      <top/>
      <bottom style="medium">
        <color theme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dashed">
        <color theme="9" tint="0.59999389629810485"/>
      </left>
      <right style="dashed">
        <color theme="9" tint="0.59999389629810485"/>
      </right>
      <top style="dashed">
        <color theme="9" tint="0.59999389629810485"/>
      </top>
      <bottom style="dashed">
        <color theme="9" tint="0.59999389629810485"/>
      </bottom>
      <diagonal/>
    </border>
    <border>
      <left style="medium">
        <color rgb="FF6AA343"/>
      </left>
      <right/>
      <top style="medium">
        <color rgb="FF6AA343"/>
      </top>
      <bottom/>
      <diagonal/>
    </border>
    <border>
      <left/>
      <right style="medium">
        <color rgb="FF6AA343"/>
      </right>
      <top style="medium">
        <color rgb="FF6AA343"/>
      </top>
      <bottom/>
      <diagonal/>
    </border>
    <border>
      <left style="medium">
        <color rgb="FF6AA343"/>
      </left>
      <right/>
      <top/>
      <bottom/>
      <diagonal/>
    </border>
    <border>
      <left/>
      <right style="medium">
        <color rgb="FF6AA343"/>
      </right>
      <top/>
      <bottom/>
      <diagonal/>
    </border>
    <border>
      <left style="medium">
        <color rgb="FF6AA343"/>
      </left>
      <right/>
      <top/>
      <bottom style="medium">
        <color rgb="FF6AA343"/>
      </bottom>
      <diagonal/>
    </border>
    <border>
      <left/>
      <right style="medium">
        <color rgb="FF6AA343"/>
      </right>
      <top/>
      <bottom style="medium">
        <color rgb="FF6AA343"/>
      </bottom>
      <diagonal/>
    </border>
    <border>
      <left style="medium">
        <color rgb="FF6AA343"/>
      </left>
      <right style="medium">
        <color rgb="FF6AA343"/>
      </right>
      <top style="medium">
        <color rgb="FF6AA343"/>
      </top>
      <bottom/>
      <diagonal/>
    </border>
    <border>
      <left style="medium">
        <color rgb="FF6AA343"/>
      </left>
      <right style="medium">
        <color rgb="FF6AA343"/>
      </right>
      <top/>
      <bottom style="medium">
        <color rgb="FF6AA343"/>
      </bottom>
      <diagonal/>
    </border>
    <border>
      <left style="medium">
        <color rgb="FF6AA343"/>
      </left>
      <right/>
      <top style="medium">
        <color rgb="FF6AA343"/>
      </top>
      <bottom style="medium">
        <color rgb="FF6AA343"/>
      </bottom>
      <diagonal/>
    </border>
    <border>
      <left/>
      <right/>
      <top style="medium">
        <color rgb="FF6AA343"/>
      </top>
      <bottom style="medium">
        <color rgb="FF6AA343"/>
      </bottom>
      <diagonal/>
    </border>
    <border>
      <left/>
      <right style="medium">
        <color rgb="FF6AA343"/>
      </right>
      <top style="medium">
        <color rgb="FF6AA343"/>
      </top>
      <bottom style="medium">
        <color rgb="FF6AA343"/>
      </bottom>
      <diagonal/>
    </border>
    <border>
      <left style="thin">
        <color rgb="FF6AA343"/>
      </left>
      <right style="thin">
        <color rgb="FF6AA343"/>
      </right>
      <top style="thin">
        <color rgb="FF6AA343"/>
      </top>
      <bottom style="thin">
        <color rgb="FF6AA343"/>
      </bottom>
      <diagonal/>
    </border>
    <border>
      <left/>
      <right/>
      <top style="medium">
        <color rgb="FF6AA343"/>
      </top>
      <bottom/>
      <diagonal/>
    </border>
    <border>
      <left style="medium">
        <color rgb="FF6AA343"/>
      </left>
      <right style="thin">
        <color rgb="FF6AA343"/>
      </right>
      <top style="medium">
        <color rgb="FF6AA343"/>
      </top>
      <bottom style="thin">
        <color rgb="FF6AA343"/>
      </bottom>
      <diagonal/>
    </border>
    <border>
      <left style="medium">
        <color rgb="FF6AA343"/>
      </left>
      <right style="thin">
        <color rgb="FF6AA343"/>
      </right>
      <top style="thin">
        <color rgb="FF6AA343"/>
      </top>
      <bottom style="thin">
        <color rgb="FF6AA343"/>
      </bottom>
      <diagonal/>
    </border>
    <border>
      <left style="medium">
        <color rgb="FF6AA343"/>
      </left>
      <right style="thin">
        <color rgb="FF6AA343"/>
      </right>
      <top style="thin">
        <color rgb="FF6AA343"/>
      </top>
      <bottom style="medium">
        <color rgb="FF6AA343"/>
      </bottom>
      <diagonal/>
    </border>
    <border>
      <left style="thin">
        <color rgb="FF6AA343"/>
      </left>
      <right style="thin">
        <color rgb="FF6AA343"/>
      </right>
      <top style="thin">
        <color rgb="FF6AA343"/>
      </top>
      <bottom style="medium">
        <color rgb="FF6AA343"/>
      </bottom>
      <diagonal/>
    </border>
    <border>
      <left style="thin">
        <color rgb="FF6AA343"/>
      </left>
      <right/>
      <top style="medium">
        <color rgb="FF6AA343"/>
      </top>
      <bottom style="thin">
        <color rgb="FF6AA343"/>
      </bottom>
      <diagonal/>
    </border>
    <border>
      <left/>
      <right style="thin">
        <color rgb="FF6AA343"/>
      </right>
      <top style="medium">
        <color rgb="FF6AA343"/>
      </top>
      <bottom style="thin">
        <color rgb="FF6AA343"/>
      </bottom>
      <diagonal/>
    </border>
    <border>
      <left style="thin">
        <color rgb="FF6AA343"/>
      </left>
      <right style="thin">
        <color rgb="FF6AA343"/>
      </right>
      <top/>
      <bottom style="thin">
        <color rgb="FF6AA343"/>
      </bottom>
      <diagonal/>
    </border>
    <border>
      <left/>
      <right/>
      <top style="thin">
        <color rgb="FF6AA343"/>
      </top>
      <bottom style="thin">
        <color rgb="FF6AA343"/>
      </bottom>
      <diagonal/>
    </border>
    <border>
      <left style="medium">
        <color rgb="FF6AA343"/>
      </left>
      <right style="medium">
        <color rgb="FF6AA343"/>
      </right>
      <top style="medium">
        <color rgb="FF6AA343"/>
      </top>
      <bottom style="thin">
        <color rgb="FF6AA343"/>
      </bottom>
      <diagonal/>
    </border>
    <border>
      <left style="medium">
        <color rgb="FF6AA343"/>
      </left>
      <right style="medium">
        <color rgb="FF6AA343"/>
      </right>
      <top style="thin">
        <color rgb="FF6AA343"/>
      </top>
      <bottom style="thin">
        <color rgb="FF6AA343"/>
      </bottom>
      <diagonal/>
    </border>
    <border>
      <left style="medium">
        <color rgb="FF6AA343"/>
      </left>
      <right style="medium">
        <color rgb="FF6AA343"/>
      </right>
      <top style="thin">
        <color rgb="FF6AA343"/>
      </top>
      <bottom style="medium">
        <color rgb="FF6AA343"/>
      </bottom>
      <diagonal/>
    </border>
    <border>
      <left style="thin">
        <color rgb="FF6AA343"/>
      </left>
      <right/>
      <top style="thin">
        <color rgb="FF6AA343"/>
      </top>
      <bottom style="thin">
        <color rgb="FF6AA343"/>
      </bottom>
      <diagonal/>
    </border>
    <border>
      <left style="thin">
        <color rgb="FF6AA343"/>
      </left>
      <right/>
      <top style="thin">
        <color rgb="FF6AA343"/>
      </top>
      <bottom style="medium">
        <color rgb="FF6AA343"/>
      </bottom>
      <diagonal/>
    </border>
    <border>
      <left/>
      <right style="medium">
        <color rgb="FF6AA343"/>
      </right>
      <top style="medium">
        <color rgb="FF6AA343"/>
      </top>
      <bottom style="thin">
        <color rgb="FF6AA343"/>
      </bottom>
      <diagonal/>
    </border>
    <border>
      <left/>
      <right style="medium">
        <color rgb="FF6AA343"/>
      </right>
      <top style="thin">
        <color rgb="FF6AA343"/>
      </top>
      <bottom style="thin">
        <color rgb="FF6AA343"/>
      </bottom>
      <diagonal/>
    </border>
    <border>
      <left/>
      <right style="medium">
        <color rgb="FF6AA343"/>
      </right>
      <top style="thin">
        <color rgb="FF6AA343"/>
      </top>
      <bottom style="medium">
        <color rgb="FF6AA343"/>
      </bottom>
      <diagonal/>
    </border>
    <border>
      <left/>
      <right/>
      <top style="medium">
        <color rgb="FF6AA343"/>
      </top>
      <bottom style="thin">
        <color rgb="FF6AA343"/>
      </bottom>
      <diagonal/>
    </border>
    <border>
      <left style="medium">
        <color rgb="FF6AA343"/>
      </left>
      <right/>
      <top style="medium">
        <color rgb="FF6AA343"/>
      </top>
      <bottom style="thin">
        <color rgb="FF6AA343"/>
      </bottom>
      <diagonal/>
    </border>
    <border>
      <left style="medium">
        <color rgb="FF6AA343"/>
      </left>
      <right/>
      <top style="thin">
        <color rgb="FF6AA343"/>
      </top>
      <bottom style="thin">
        <color rgb="FF6AA343"/>
      </bottom>
      <diagonal/>
    </border>
    <border>
      <left style="medium">
        <color rgb="FF6AA343"/>
      </left>
      <right/>
      <top style="thin">
        <color rgb="FF6AA343"/>
      </top>
      <bottom style="medium">
        <color rgb="FF6AA34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6AA343"/>
      </bottom>
      <diagonal/>
    </border>
    <border>
      <left style="thin">
        <color rgb="FF6AA343"/>
      </left>
      <right style="thin">
        <color rgb="FF6AA343"/>
      </right>
      <top style="medium">
        <color rgb="FF6AA343"/>
      </top>
      <bottom/>
      <diagonal/>
    </border>
    <border>
      <left style="thin">
        <color rgb="FF6AA343"/>
      </left>
      <right style="thin">
        <color rgb="FF6AA343"/>
      </right>
      <top style="thin">
        <color rgb="FF6AA343"/>
      </top>
      <bottom/>
      <diagonal/>
    </border>
    <border>
      <left style="thin">
        <color rgb="FF6AA343"/>
      </left>
      <right style="thin">
        <color rgb="FF6AA343"/>
      </right>
      <top/>
      <bottom/>
      <diagonal/>
    </border>
    <border>
      <left style="medium">
        <color theme="9"/>
      </left>
      <right/>
      <top style="medium">
        <color theme="9"/>
      </top>
      <bottom style="thin">
        <color rgb="FF6AA343"/>
      </bottom>
      <diagonal/>
    </border>
    <border>
      <left/>
      <right style="medium">
        <color theme="9"/>
      </right>
      <top style="medium">
        <color theme="9"/>
      </top>
      <bottom style="thin">
        <color rgb="FF6AA343"/>
      </bottom>
      <diagonal/>
    </border>
    <border>
      <left style="medium">
        <color theme="9"/>
      </left>
      <right/>
      <top style="thin">
        <color rgb="FF6AA343"/>
      </top>
      <bottom style="thin">
        <color rgb="FF6AA343"/>
      </bottom>
      <diagonal/>
    </border>
    <border>
      <left/>
      <right style="medium">
        <color theme="9"/>
      </right>
      <top style="thin">
        <color rgb="FF6AA343"/>
      </top>
      <bottom style="thin">
        <color rgb="FF6AA343"/>
      </bottom>
      <diagonal/>
    </border>
    <border>
      <left style="medium">
        <color theme="9"/>
      </left>
      <right/>
      <top style="thin">
        <color rgb="FF6AA343"/>
      </top>
      <bottom style="medium">
        <color theme="9"/>
      </bottom>
      <diagonal/>
    </border>
    <border>
      <left/>
      <right style="medium">
        <color theme="9"/>
      </right>
      <top style="thin">
        <color rgb="FF6AA343"/>
      </top>
      <bottom style="medium">
        <color theme="9"/>
      </bottom>
      <diagonal/>
    </border>
    <border>
      <left style="thin">
        <color rgb="FF6AA343"/>
      </left>
      <right/>
      <top style="thin">
        <color rgb="FF6AA343"/>
      </top>
      <bottom/>
      <diagonal/>
    </border>
    <border>
      <left style="medium">
        <color rgb="FF6AA343"/>
      </left>
      <right/>
      <top style="medium">
        <color rgb="FF6AA343"/>
      </top>
      <bottom style="medium">
        <color theme="9"/>
      </bottom>
      <diagonal/>
    </border>
    <border>
      <left/>
      <right style="medium">
        <color rgb="FF6AA343"/>
      </right>
      <top style="medium">
        <color rgb="FF6AA343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/>
      <top style="thin">
        <color rgb="FF6AA343"/>
      </top>
      <bottom/>
      <diagonal/>
    </border>
    <border>
      <left/>
      <right style="medium">
        <color theme="9"/>
      </right>
      <top style="thin">
        <color rgb="FF6AA343"/>
      </top>
      <bottom/>
      <diagonal/>
    </border>
    <border>
      <left style="medium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medium">
        <color theme="9"/>
      </right>
      <top style="medium">
        <color theme="9"/>
      </top>
      <bottom style="thin">
        <color theme="9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medium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medium">
        <color theme="9"/>
      </left>
      <right style="thin">
        <color theme="9"/>
      </right>
      <top style="medium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medium">
        <color theme="9"/>
      </top>
      <bottom style="medium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thin">
        <color theme="9"/>
      </left>
      <right/>
      <top style="medium">
        <color theme="9"/>
      </top>
      <bottom style="thin">
        <color theme="9"/>
      </bottom>
      <diagonal/>
    </border>
    <border>
      <left/>
      <right/>
      <top style="medium">
        <color theme="9"/>
      </top>
      <bottom style="thin">
        <color rgb="FF6AA343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medium">
        <color theme="9"/>
      </right>
      <top style="thin">
        <color theme="9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thin">
        <color theme="9"/>
      </bottom>
      <diagonal/>
    </border>
    <border>
      <left style="medium">
        <color theme="9"/>
      </left>
      <right style="medium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 style="medium">
        <color theme="9"/>
      </right>
      <top style="thin">
        <color theme="9"/>
      </top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 style="thin">
        <color theme="9"/>
      </bottom>
      <diagonal/>
    </border>
    <border>
      <left style="medium">
        <color theme="9"/>
      </left>
      <right/>
      <top style="thin">
        <color theme="9"/>
      </top>
      <bottom style="thin">
        <color theme="9"/>
      </bottom>
      <diagonal/>
    </border>
    <border>
      <left style="medium">
        <color theme="9"/>
      </left>
      <right/>
      <top style="thin">
        <color theme="9"/>
      </top>
      <bottom style="medium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medium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 style="medium">
        <color theme="9"/>
      </right>
      <top style="thin">
        <color theme="9"/>
      </top>
      <bottom style="medium">
        <color theme="9"/>
      </bottom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/>
      <top/>
      <bottom/>
      <diagonal/>
    </border>
    <border>
      <left style="medium">
        <color rgb="FF6AA343"/>
      </left>
      <right/>
      <top style="thin">
        <color rgb="FF6AA343"/>
      </top>
      <bottom/>
      <diagonal/>
    </border>
    <border>
      <left style="medium">
        <color theme="9"/>
      </left>
      <right style="medium">
        <color theme="9"/>
      </right>
      <top style="thin">
        <color theme="9"/>
      </top>
      <bottom/>
      <diagonal/>
    </border>
    <border>
      <left style="medium">
        <color theme="9"/>
      </left>
      <right/>
      <top style="thin">
        <color theme="9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/>
      </left>
      <right/>
      <top style="thin">
        <color theme="9"/>
      </top>
      <bottom style="medium">
        <color theme="9"/>
      </bottom>
      <diagonal/>
    </border>
    <border>
      <left style="thin">
        <color theme="9"/>
      </left>
      <right/>
      <top style="medium">
        <color theme="9"/>
      </top>
      <bottom style="medium">
        <color theme="9"/>
      </bottom>
      <diagonal/>
    </border>
    <border>
      <left/>
      <right/>
      <top style="thin">
        <color rgb="FF6AA343"/>
      </top>
      <bottom/>
      <diagonal/>
    </border>
    <border>
      <left/>
      <right/>
      <top style="thin">
        <color rgb="FF6AA343"/>
      </top>
      <bottom style="medium">
        <color theme="9"/>
      </bottom>
      <diagonal/>
    </border>
    <border>
      <left/>
      <right style="thin">
        <color theme="9"/>
      </right>
      <top style="medium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9"/>
      </right>
      <top style="thin">
        <color theme="9"/>
      </top>
      <bottom style="medium">
        <color theme="9"/>
      </bottom>
      <diagonal/>
    </border>
    <border>
      <left style="medium">
        <color rgb="FF00B050"/>
      </left>
      <right/>
      <top style="medium">
        <color theme="9"/>
      </top>
      <bottom style="medium">
        <color theme="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14" fillId="0" borderId="0"/>
    <xf numFmtId="43" fontId="5" fillId="0" borderId="0" applyFont="0" applyFill="0" applyBorder="0" applyAlignment="0" applyProtection="0"/>
  </cellStyleXfs>
  <cellXfs count="37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left" vertical="center" wrapText="1"/>
    </xf>
    <xf numFmtId="9" fontId="0" fillId="6" borderId="16" xfId="0" applyNumberForma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4" fontId="0" fillId="0" borderId="1" xfId="0" applyNumberFormat="1" applyBorder="1"/>
    <xf numFmtId="9" fontId="0" fillId="0" borderId="1" xfId="1" applyFont="1" applyBorder="1"/>
    <xf numFmtId="9" fontId="0" fillId="0" borderId="1" xfId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7" borderId="35" xfId="0" applyFont="1" applyFill="1" applyBorder="1"/>
    <xf numFmtId="0" fontId="3" fillId="7" borderId="36" xfId="0" applyFont="1" applyFill="1" applyBorder="1"/>
    <xf numFmtId="0" fontId="3" fillId="7" borderId="36" xfId="0" applyFont="1" applyFill="1" applyBorder="1" applyAlignment="1">
      <alignment vertical="top" wrapText="1"/>
    </xf>
    <xf numFmtId="0" fontId="3" fillId="7" borderId="37" xfId="0" applyFont="1" applyFill="1" applyBorder="1"/>
    <xf numFmtId="0" fontId="3" fillId="7" borderId="40" xfId="0" applyFont="1" applyFill="1" applyBorder="1"/>
    <xf numFmtId="0" fontId="3" fillId="7" borderId="33" xfId="0" applyFont="1" applyFill="1" applyBorder="1"/>
    <xf numFmtId="0" fontId="3" fillId="7" borderId="38" xfId="0" applyFont="1" applyFill="1" applyBorder="1"/>
    <xf numFmtId="0" fontId="13" fillId="3" borderId="14" xfId="0" applyFont="1" applyFill="1" applyBorder="1" applyAlignment="1">
      <alignment horizontal="center" vertical="top" wrapText="1"/>
    </xf>
    <xf numFmtId="0" fontId="15" fillId="0" borderId="21" xfId="0" applyFont="1" applyBorder="1" applyAlignment="1">
      <alignment vertical="center" wrapText="1"/>
    </xf>
    <xf numFmtId="0" fontId="3" fillId="2" borderId="55" xfId="0" applyFont="1" applyFill="1" applyBorder="1" applyAlignment="1">
      <alignment horizontal="center"/>
    </xf>
    <xf numFmtId="0" fontId="0" fillId="0" borderId="55" xfId="0" applyBorder="1"/>
    <xf numFmtId="0" fontId="0" fillId="0" borderId="33" xfId="0" applyBorder="1"/>
    <xf numFmtId="0" fontId="11" fillId="0" borderId="60" xfId="0" applyFont="1" applyBorder="1" applyAlignment="1">
      <alignment horizontal="right"/>
    </xf>
    <xf numFmtId="0" fontId="11" fillId="0" borderId="64" xfId="0" applyFont="1" applyBorder="1" applyAlignment="1">
      <alignment horizontal="right"/>
    </xf>
    <xf numFmtId="0" fontId="11" fillId="0" borderId="62" xfId="0" applyFont="1" applyBorder="1" applyAlignment="1">
      <alignment horizontal="right"/>
    </xf>
    <xf numFmtId="0" fontId="11" fillId="0" borderId="73" xfId="0" applyFont="1" applyBorder="1" applyAlignment="1">
      <alignment horizontal="right"/>
    </xf>
    <xf numFmtId="0" fontId="11" fillId="0" borderId="75" xfId="0" applyFont="1" applyBorder="1" applyAlignment="1">
      <alignment horizontal="right"/>
    </xf>
    <xf numFmtId="0" fontId="12" fillId="0" borderId="52" xfId="0" applyFont="1" applyBorder="1" applyAlignment="1">
      <alignment vertical="center" wrapText="1"/>
    </xf>
    <xf numFmtId="0" fontId="12" fillId="0" borderId="54" xfId="0" applyFont="1" applyBorder="1" applyAlignment="1">
      <alignment vertical="center"/>
    </xf>
    <xf numFmtId="0" fontId="11" fillId="0" borderId="70" xfId="0" applyFont="1" applyBorder="1" applyAlignment="1">
      <alignment horizontal="right"/>
    </xf>
    <xf numFmtId="0" fontId="11" fillId="0" borderId="87" xfId="0" applyFont="1" applyBorder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1" fillId="0" borderId="52" xfId="0" applyFont="1" applyBorder="1" applyAlignment="1">
      <alignment horizontal="center" vertical="top"/>
    </xf>
    <xf numFmtId="0" fontId="11" fillId="0" borderId="53" xfId="0" applyFont="1" applyBorder="1" applyAlignment="1">
      <alignment horizontal="center" vertical="top"/>
    </xf>
    <xf numFmtId="0" fontId="11" fillId="0" borderId="54" xfId="0" applyFont="1" applyBorder="1" applyAlignment="1">
      <alignment horizontal="center" vertical="top"/>
    </xf>
    <xf numFmtId="0" fontId="12" fillId="0" borderId="52" xfId="0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0" fontId="12" fillId="0" borderId="54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0" fillId="9" borderId="0" xfId="0" applyFill="1"/>
    <xf numFmtId="0" fontId="11" fillId="0" borderId="100" xfId="0" applyFont="1" applyBorder="1" applyAlignment="1">
      <alignment horizontal="center" vertical="top"/>
    </xf>
    <xf numFmtId="0" fontId="13" fillId="10" borderId="103" xfId="0" applyFont="1" applyFill="1" applyBorder="1"/>
    <xf numFmtId="0" fontId="0" fillId="0" borderId="1" xfId="0" applyBorder="1" applyAlignment="1">
      <alignment horizontal="left" vertical="top"/>
    </xf>
    <xf numFmtId="0" fontId="1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6" borderId="15" xfId="0" applyFill="1" applyBorder="1" applyAlignment="1">
      <alignment horizontal="left" vertical="center"/>
    </xf>
    <xf numFmtId="0" fontId="0" fillId="6" borderId="15" xfId="0" applyFill="1" applyBorder="1" applyAlignment="1">
      <alignment horizontal="left"/>
    </xf>
    <xf numFmtId="1" fontId="11" fillId="0" borderId="72" xfId="0" applyNumberFormat="1" applyFont="1" applyBorder="1" applyAlignment="1" applyProtection="1">
      <alignment horizontal="right"/>
      <protection locked="0"/>
    </xf>
    <xf numFmtId="1" fontId="11" fillId="0" borderId="74" xfId="0" applyNumberFormat="1" applyFont="1" applyBorder="1" applyAlignment="1" applyProtection="1">
      <alignment horizontal="right"/>
      <protection locked="0"/>
    </xf>
    <xf numFmtId="1" fontId="11" fillId="0" borderId="86" xfId="0" applyNumberFormat="1" applyFont="1" applyBorder="1" applyAlignment="1" applyProtection="1">
      <alignment horizontal="right"/>
      <protection locked="0"/>
    </xf>
    <xf numFmtId="0" fontId="12" fillId="8" borderId="72" xfId="0" applyFont="1" applyFill="1" applyBorder="1" applyAlignment="1" applyProtection="1">
      <alignment horizontal="center" vertical="center"/>
      <protection locked="0"/>
    </xf>
    <xf numFmtId="0" fontId="12" fillId="8" borderId="74" xfId="0" applyFont="1" applyFill="1" applyBorder="1" applyAlignment="1" applyProtection="1">
      <alignment horizontal="center" vertical="center"/>
      <protection locked="0"/>
    </xf>
    <xf numFmtId="0" fontId="12" fillId="8" borderId="76" xfId="0" applyFont="1" applyFill="1" applyBorder="1" applyAlignment="1" applyProtection="1">
      <alignment horizontal="center" vertical="center"/>
      <protection locked="0"/>
    </xf>
    <xf numFmtId="0" fontId="11" fillId="0" borderId="88" xfId="0" applyFont="1" applyBorder="1" applyAlignment="1" applyProtection="1">
      <alignment wrapText="1"/>
      <protection locked="0"/>
    </xf>
    <xf numFmtId="164" fontId="11" fillId="0" borderId="88" xfId="0" applyNumberFormat="1" applyFont="1" applyBorder="1" applyAlignment="1" applyProtection="1">
      <alignment horizontal="center" vertical="center"/>
      <protection locked="0"/>
    </xf>
    <xf numFmtId="164" fontId="11" fillId="0" borderId="91" xfId="0" applyNumberFormat="1" applyFont="1" applyBorder="1" applyAlignment="1" applyProtection="1">
      <alignment horizontal="center" vertical="center"/>
      <protection locked="0"/>
    </xf>
    <xf numFmtId="0" fontId="11" fillId="0" borderId="91" xfId="0" applyFont="1" applyBorder="1" applyAlignment="1" applyProtection="1">
      <alignment vertical="top"/>
      <protection locked="0"/>
    </xf>
    <xf numFmtId="167" fontId="11" fillId="0" borderId="88" xfId="0" applyNumberFormat="1" applyFont="1" applyBorder="1" applyAlignment="1" applyProtection="1">
      <alignment vertical="top"/>
      <protection locked="0"/>
    </xf>
    <xf numFmtId="0" fontId="11" fillId="0" borderId="89" xfId="0" applyFont="1" applyBorder="1" applyAlignment="1" applyProtection="1">
      <alignment wrapText="1"/>
      <protection locked="0"/>
    </xf>
    <xf numFmtId="164" fontId="11" fillId="0" borderId="89" xfId="0" applyNumberFormat="1" applyFont="1" applyBorder="1" applyAlignment="1" applyProtection="1">
      <alignment horizontal="center" vertical="center"/>
      <protection locked="0"/>
    </xf>
    <xf numFmtId="164" fontId="11" fillId="0" borderId="92" xfId="0" applyNumberFormat="1" applyFont="1" applyBorder="1" applyAlignment="1" applyProtection="1">
      <alignment horizontal="center" vertical="center"/>
      <protection locked="0"/>
    </xf>
    <xf numFmtId="0" fontId="11" fillId="0" borderId="92" xfId="0" applyFont="1" applyBorder="1" applyAlignment="1" applyProtection="1">
      <alignment vertical="top"/>
      <protection locked="0"/>
    </xf>
    <xf numFmtId="167" fontId="11" fillId="0" borderId="89" xfId="0" applyNumberFormat="1" applyFont="1" applyBorder="1" applyAlignment="1" applyProtection="1">
      <alignment vertical="top"/>
      <protection locked="0"/>
    </xf>
    <xf numFmtId="0" fontId="11" fillId="0" borderId="70" xfId="0" applyFont="1" applyBorder="1" applyAlignment="1" applyProtection="1">
      <alignment horizontal="left" vertical="top" wrapText="1"/>
      <protection locked="0"/>
    </xf>
    <xf numFmtId="0" fontId="11" fillId="0" borderId="106" xfId="0" applyFont="1" applyBorder="1" applyAlignment="1" applyProtection="1">
      <alignment horizontal="left" vertical="top" wrapText="1"/>
      <protection locked="0"/>
    </xf>
    <xf numFmtId="164" fontId="11" fillId="0" borderId="101" xfId="0" applyNumberFormat="1" applyFont="1" applyBorder="1" applyAlignment="1" applyProtection="1">
      <alignment horizontal="center" vertical="center"/>
      <protection locked="0"/>
    </xf>
    <xf numFmtId="164" fontId="11" fillId="0" borderId="102" xfId="0" applyNumberFormat="1" applyFont="1" applyBorder="1" applyAlignment="1" applyProtection="1">
      <alignment horizontal="center" vertical="center"/>
      <protection locked="0"/>
    </xf>
    <xf numFmtId="0" fontId="11" fillId="0" borderId="102" xfId="0" applyFont="1" applyBorder="1" applyAlignment="1" applyProtection="1">
      <alignment vertical="top"/>
      <protection locked="0"/>
    </xf>
    <xf numFmtId="167" fontId="11" fillId="0" borderId="101" xfId="0" applyNumberFormat="1" applyFont="1" applyBorder="1" applyAlignment="1" applyProtection="1">
      <alignment vertical="top"/>
      <protection locked="0"/>
    </xf>
    <xf numFmtId="0" fontId="11" fillId="0" borderId="90" xfId="0" applyFont="1" applyBorder="1" applyAlignment="1" applyProtection="1">
      <alignment wrapText="1"/>
      <protection locked="0"/>
    </xf>
    <xf numFmtId="164" fontId="11" fillId="0" borderId="90" xfId="0" applyNumberFormat="1" applyFont="1" applyBorder="1" applyAlignment="1" applyProtection="1">
      <alignment horizontal="center" vertical="center"/>
      <protection locked="0"/>
    </xf>
    <xf numFmtId="164" fontId="11" fillId="0" borderId="93" xfId="0" applyNumberFormat="1" applyFont="1" applyBorder="1" applyAlignment="1" applyProtection="1">
      <alignment horizontal="center" vertical="center"/>
      <protection locked="0"/>
    </xf>
    <xf numFmtId="0" fontId="11" fillId="0" borderId="93" xfId="0" applyFont="1" applyBorder="1" applyAlignment="1" applyProtection="1">
      <alignment vertical="top"/>
      <protection locked="0"/>
    </xf>
    <xf numFmtId="167" fontId="11" fillId="0" borderId="90" xfId="0" applyNumberFormat="1" applyFont="1" applyBorder="1" applyAlignment="1" applyProtection="1">
      <alignment vertical="top"/>
      <protection locked="0"/>
    </xf>
    <xf numFmtId="0" fontId="0" fillId="0" borderId="110" xfId="0" applyBorder="1"/>
    <xf numFmtId="0" fontId="0" fillId="0" borderId="111" xfId="0" applyBorder="1"/>
    <xf numFmtId="0" fontId="0" fillId="0" borderId="112" xfId="0" applyBorder="1" applyAlignment="1">
      <alignment horizontal="center"/>
    </xf>
    <xf numFmtId="0" fontId="0" fillId="0" borderId="114" xfId="0" applyBorder="1"/>
    <xf numFmtId="0" fontId="0" fillId="0" borderId="55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116" xfId="0" applyBorder="1"/>
    <xf numFmtId="0" fontId="0" fillId="0" borderId="116" xfId="0" applyBorder="1" applyAlignment="1">
      <alignment horizontal="center"/>
    </xf>
    <xf numFmtId="0" fontId="17" fillId="0" borderId="1" xfId="0" applyFont="1" applyBorder="1"/>
    <xf numFmtId="0" fontId="17" fillId="0" borderId="55" xfId="0" applyFont="1" applyBorder="1"/>
    <xf numFmtId="0" fontId="17" fillId="0" borderId="55" xfId="0" applyFont="1" applyBorder="1" applyAlignment="1">
      <alignment horizontal="center"/>
    </xf>
    <xf numFmtId="0" fontId="17" fillId="0" borderId="116" xfId="0" applyFont="1" applyBorder="1" applyAlignment="1">
      <alignment horizontal="center"/>
    </xf>
    <xf numFmtId="0" fontId="17" fillId="0" borderId="113" xfId="0" applyFont="1" applyBorder="1"/>
    <xf numFmtId="0" fontId="0" fillId="0" borderId="117" xfId="0" applyBorder="1"/>
    <xf numFmtId="0" fontId="0" fillId="0" borderId="117" xfId="0" applyBorder="1" applyAlignment="1">
      <alignment horizontal="left" vertical="center"/>
    </xf>
    <xf numFmtId="0" fontId="0" fillId="0" borderId="55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0" fillId="0" borderId="122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7" fillId="0" borderId="117" xfId="0" applyFont="1" applyBorder="1"/>
    <xf numFmtId="0" fontId="0" fillId="0" borderId="120" xfId="0" applyBorder="1" applyAlignment="1">
      <alignment horizontal="left" vertical="center"/>
    </xf>
    <xf numFmtId="0" fontId="0" fillId="0" borderId="113" xfId="0" applyBorder="1"/>
    <xf numFmtId="0" fontId="0" fillId="0" borderId="113" xfId="0" applyBorder="1" applyAlignment="1">
      <alignment horizontal="left" vertical="center"/>
    </xf>
    <xf numFmtId="0" fontId="17" fillId="0" borderId="117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7" fillId="0" borderId="115" xfId="0" applyFont="1" applyBorder="1" applyAlignment="1">
      <alignment horizontal="center"/>
    </xf>
    <xf numFmtId="0" fontId="0" fillId="0" borderId="115" xfId="0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/>
    </xf>
    <xf numFmtId="0" fontId="0" fillId="0" borderId="115" xfId="0" applyBorder="1" applyAlignment="1">
      <alignment vertical="center" wrapText="1"/>
    </xf>
    <xf numFmtId="0" fontId="0" fillId="0" borderId="115" xfId="0" applyBorder="1" applyAlignment="1">
      <alignment horizontal="left" vertical="center" wrapText="1"/>
    </xf>
    <xf numFmtId="0" fontId="0" fillId="0" borderId="115" xfId="0" applyBorder="1" applyAlignment="1">
      <alignment wrapText="1"/>
    </xf>
    <xf numFmtId="0" fontId="0" fillId="0" borderId="118" xfId="0" applyBorder="1" applyAlignment="1">
      <alignment wrapText="1"/>
    </xf>
    <xf numFmtId="0" fontId="0" fillId="0" borderId="119" xfId="0" applyBorder="1" applyAlignment="1">
      <alignment wrapText="1"/>
    </xf>
    <xf numFmtId="0" fontId="0" fillId="0" borderId="119" xfId="0" applyBorder="1" applyAlignment="1">
      <alignment vertical="center" wrapText="1"/>
    </xf>
    <xf numFmtId="0" fontId="17" fillId="0" borderId="115" xfId="0" applyFont="1" applyBorder="1" applyAlignment="1">
      <alignment wrapText="1"/>
    </xf>
    <xf numFmtId="0" fontId="17" fillId="0" borderId="115" xfId="0" applyFont="1" applyBorder="1" applyAlignment="1">
      <alignment horizontal="center" vertical="center"/>
    </xf>
    <xf numFmtId="0" fontId="17" fillId="0" borderId="128" xfId="0" applyFont="1" applyBorder="1" applyAlignment="1">
      <alignment wrapText="1"/>
    </xf>
    <xf numFmtId="0" fontId="0" fillId="0" borderId="128" xfId="0" applyBorder="1" applyAlignment="1">
      <alignment wrapText="1"/>
    </xf>
    <xf numFmtId="0" fontId="0" fillId="0" borderId="129" xfId="0" applyBorder="1" applyAlignment="1">
      <alignment wrapText="1"/>
    </xf>
    <xf numFmtId="0" fontId="0" fillId="0" borderId="130" xfId="0" applyBorder="1" applyAlignment="1">
      <alignment wrapText="1"/>
    </xf>
    <xf numFmtId="0" fontId="0" fillId="0" borderId="121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27" xfId="0" applyBorder="1" applyAlignment="1">
      <alignment horizontal="center"/>
    </xf>
    <xf numFmtId="0" fontId="0" fillId="2" borderId="112" xfId="0" applyFill="1" applyBorder="1" applyAlignment="1">
      <alignment horizontal="center"/>
    </xf>
    <xf numFmtId="0" fontId="0" fillId="2" borderId="120" xfId="0" applyFill="1" applyBorder="1" applyAlignment="1">
      <alignment horizontal="center"/>
    </xf>
    <xf numFmtId="0" fontId="0" fillId="2" borderId="127" xfId="0" applyFill="1" applyBorder="1" applyAlignment="1">
      <alignment horizontal="center"/>
    </xf>
    <xf numFmtId="0" fontId="0" fillId="2" borderId="11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15" xfId="0" applyFill="1" applyBorder="1" applyAlignment="1">
      <alignment horizontal="center"/>
    </xf>
    <xf numFmtId="0" fontId="0" fillId="2" borderId="117" xfId="0" applyFill="1" applyBorder="1"/>
    <xf numFmtId="0" fontId="0" fillId="2" borderId="121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20" fillId="0" borderId="131" xfId="0" applyFont="1" applyBorder="1"/>
    <xf numFmtId="0" fontId="20" fillId="0" borderId="132" xfId="0" applyFont="1" applyBorder="1"/>
    <xf numFmtId="0" fontId="0" fillId="0" borderId="137" xfId="0" applyBorder="1" applyAlignment="1">
      <alignment horizontal="center" wrapText="1"/>
    </xf>
    <xf numFmtId="0" fontId="0" fillId="0" borderId="138" xfId="0" applyBorder="1" applyAlignment="1">
      <alignment horizontal="center" wrapText="1"/>
    </xf>
    <xf numFmtId="0" fontId="0" fillId="0" borderId="139" xfId="0" applyBorder="1" applyAlignment="1">
      <alignment horizontal="center" wrapText="1"/>
    </xf>
    <xf numFmtId="0" fontId="0" fillId="0" borderId="140" xfId="0" applyBorder="1" applyAlignment="1">
      <alignment horizontal="center" wrapText="1"/>
    </xf>
    <xf numFmtId="0" fontId="0" fillId="0" borderId="122" xfId="0" applyBorder="1" applyAlignment="1">
      <alignment horizontal="left" vertical="center"/>
    </xf>
    <xf numFmtId="0" fontId="0" fillId="0" borderId="126" xfId="0" applyBorder="1" applyAlignment="1">
      <alignment wrapText="1"/>
    </xf>
    <xf numFmtId="0" fontId="0" fillId="0" borderId="127" xfId="0" applyBorder="1" applyAlignment="1">
      <alignment horizontal="left" vertical="center" wrapText="1"/>
    </xf>
    <xf numFmtId="0" fontId="17" fillId="0" borderId="119" xfId="0" applyFont="1" applyBorder="1" applyAlignment="1">
      <alignment wrapText="1"/>
    </xf>
    <xf numFmtId="0" fontId="0" fillId="2" borderId="128" xfId="0" applyFill="1" applyBorder="1" applyAlignment="1">
      <alignment wrapText="1"/>
    </xf>
    <xf numFmtId="0" fontId="17" fillId="0" borderId="118" xfId="0" applyFont="1" applyBorder="1" applyAlignment="1">
      <alignment wrapText="1"/>
    </xf>
    <xf numFmtId="0" fontId="0" fillId="0" borderId="128" xfId="0" applyBorder="1" applyAlignment="1">
      <alignment vertical="center" wrapText="1"/>
    </xf>
    <xf numFmtId="0" fontId="0" fillId="0" borderId="110" xfId="0" applyBorder="1" applyAlignment="1">
      <alignment horizontal="center"/>
    </xf>
    <xf numFmtId="0" fontId="17" fillId="0" borderId="121" xfId="0" applyFont="1" applyBorder="1" applyAlignment="1">
      <alignment horizontal="center"/>
    </xf>
    <xf numFmtId="0" fontId="0" fillId="0" borderId="121" xfId="0" applyBorder="1" applyAlignment="1">
      <alignment horizontal="center" vertical="center"/>
    </xf>
    <xf numFmtId="0" fontId="17" fillId="0" borderId="121" xfId="0" applyFont="1" applyBorder="1" applyAlignment="1">
      <alignment horizontal="center" vertical="center"/>
    </xf>
    <xf numFmtId="0" fontId="0" fillId="0" borderId="111" xfId="0" applyBorder="1" applyAlignment="1">
      <alignment horizontal="center"/>
    </xf>
    <xf numFmtId="0" fontId="17" fillId="0" borderId="120" xfId="0" applyFont="1" applyBorder="1" applyAlignment="1">
      <alignment horizontal="center"/>
    </xf>
    <xf numFmtId="0" fontId="0" fillId="0" borderId="120" xfId="0" applyBorder="1" applyAlignment="1">
      <alignment horizontal="center" vertical="center"/>
    </xf>
    <xf numFmtId="0" fontId="17" fillId="0" borderId="120" xfId="0" applyFont="1" applyBorder="1" applyAlignment="1">
      <alignment horizontal="center" vertical="center"/>
    </xf>
    <xf numFmtId="0" fontId="0" fillId="0" borderId="126" xfId="0" applyBorder="1" applyAlignment="1">
      <alignment horizontal="center"/>
    </xf>
    <xf numFmtId="0" fontId="17" fillId="0" borderId="127" xfId="0" applyFont="1" applyBorder="1" applyAlignment="1">
      <alignment horizontal="center"/>
    </xf>
    <xf numFmtId="0" fontId="0" fillId="0" borderId="127" xfId="0" applyBorder="1" applyAlignment="1">
      <alignment horizontal="center" vertical="center"/>
    </xf>
    <xf numFmtId="0" fontId="17" fillId="0" borderId="127" xfId="0" applyFont="1" applyBorder="1" applyAlignment="1">
      <alignment horizontal="center" vertical="center"/>
    </xf>
    <xf numFmtId="0" fontId="0" fillId="0" borderId="112" xfId="0" applyBorder="1" applyAlignment="1">
      <alignment horizontal="center" vertical="center"/>
    </xf>
    <xf numFmtId="0" fontId="0" fillId="0" borderId="131" xfId="0" applyBorder="1" applyAlignment="1">
      <alignment horizontal="center" wrapText="1"/>
    </xf>
    <xf numFmtId="0" fontId="0" fillId="0" borderId="141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114" xfId="0" applyBorder="1" applyAlignment="1">
      <alignment horizontal="left" vertical="center"/>
    </xf>
    <xf numFmtId="0" fontId="0" fillId="0" borderId="116" xfId="0" applyBorder="1" applyAlignment="1">
      <alignment horizontal="left" vertical="center"/>
    </xf>
    <xf numFmtId="0" fontId="17" fillId="0" borderId="116" xfId="0" applyFont="1" applyBorder="1"/>
    <xf numFmtId="0" fontId="17" fillId="0" borderId="144" xfId="0" applyFont="1" applyBorder="1"/>
    <xf numFmtId="0" fontId="0" fillId="0" borderId="144" xfId="0" applyBorder="1"/>
    <xf numFmtId="0" fontId="0" fillId="0" borderId="145" xfId="0" applyBorder="1"/>
    <xf numFmtId="0" fontId="0" fillId="2" borderId="144" xfId="0" applyFill="1" applyBorder="1"/>
    <xf numFmtId="0" fontId="0" fillId="2" borderId="146" xfId="0" applyFill="1" applyBorder="1"/>
    <xf numFmtId="0" fontId="0" fillId="2" borderId="147" xfId="0" applyFill="1" applyBorder="1"/>
    <xf numFmtId="0" fontId="0" fillId="2" borderId="148" xfId="0" applyFill="1" applyBorder="1" applyAlignment="1">
      <alignment wrapText="1"/>
    </xf>
    <xf numFmtId="0" fontId="0" fillId="0" borderId="112" xfId="0" applyBorder="1" applyAlignment="1">
      <alignment horizontal="left" vertical="center"/>
    </xf>
    <xf numFmtId="0" fontId="17" fillId="0" borderId="114" xfId="0" applyFont="1" applyBorder="1"/>
    <xf numFmtId="0" fontId="0" fillId="0" borderId="144" xfId="0" applyBorder="1" applyAlignment="1">
      <alignment horizontal="left" vertical="center"/>
    </xf>
    <xf numFmtId="0" fontId="0" fillId="0" borderId="145" xfId="0" applyBorder="1" applyAlignment="1">
      <alignment horizontal="left" vertical="center"/>
    </xf>
    <xf numFmtId="0" fontId="0" fillId="0" borderId="144" xfId="0" applyBorder="1" applyAlignment="1">
      <alignment vertical="center"/>
    </xf>
    <xf numFmtId="0" fontId="0" fillId="0" borderId="130" xfId="0" applyBorder="1" applyAlignment="1">
      <alignment horizontal="left" vertical="center" wrapText="1"/>
    </xf>
    <xf numFmtId="0" fontId="0" fillId="0" borderId="128" xfId="0" applyBorder="1" applyAlignment="1">
      <alignment horizontal="left" vertical="center" wrapText="1"/>
    </xf>
    <xf numFmtId="0" fontId="0" fillId="0" borderId="125" xfId="0" applyBorder="1" applyAlignment="1">
      <alignment horizontal="center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3" fillId="0" borderId="74" xfId="0" applyFont="1" applyBorder="1" applyAlignment="1">
      <alignment horizontal="left" vertical="center" wrapText="1"/>
    </xf>
    <xf numFmtId="0" fontId="3" fillId="0" borderId="69" xfId="0" applyFont="1" applyBorder="1" applyAlignment="1">
      <alignment horizontal="left" vertical="center" wrapText="1"/>
    </xf>
    <xf numFmtId="0" fontId="3" fillId="0" borderId="75" xfId="0" applyFont="1" applyBorder="1" applyAlignment="1">
      <alignment horizontal="left" vertical="center" wrapText="1"/>
    </xf>
    <xf numFmtId="0" fontId="7" fillId="4" borderId="30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2" fillId="8" borderId="72" xfId="0" applyFont="1" applyFill="1" applyBorder="1" applyAlignment="1" applyProtection="1">
      <alignment horizontal="center" vertical="center"/>
      <protection locked="0"/>
    </xf>
    <xf numFmtId="0" fontId="12" fillId="8" borderId="74" xfId="0" applyFont="1" applyFill="1" applyBorder="1" applyAlignment="1" applyProtection="1">
      <alignment horizontal="center" vertical="center"/>
      <protection locked="0"/>
    </xf>
    <xf numFmtId="0" fontId="10" fillId="2" borderId="43" xfId="0" applyFont="1" applyFill="1" applyBorder="1" applyAlignment="1">
      <alignment horizontal="center" vertical="center" textRotation="90"/>
    </xf>
    <xf numFmtId="0" fontId="10" fillId="2" borderId="44" xfId="0" applyFont="1" applyFill="1" applyBorder="1" applyAlignment="1">
      <alignment horizontal="center" vertical="center" textRotation="90"/>
    </xf>
    <xf numFmtId="0" fontId="10" fillId="2" borderId="45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9" fontId="11" fillId="0" borderId="60" xfId="1" applyFont="1" applyBorder="1" applyAlignment="1" applyProtection="1">
      <alignment horizontal="center"/>
      <protection locked="0"/>
    </xf>
    <xf numFmtId="9" fontId="11" fillId="0" borderId="61" xfId="1" applyFont="1" applyBorder="1" applyAlignment="1" applyProtection="1">
      <alignment horizontal="center"/>
      <protection locked="0"/>
    </xf>
    <xf numFmtId="9" fontId="11" fillId="0" borderId="62" xfId="1" applyFont="1" applyBorder="1" applyAlignment="1" applyProtection="1">
      <alignment horizontal="center"/>
      <protection locked="0"/>
    </xf>
    <xf numFmtId="9" fontId="11" fillId="0" borderId="63" xfId="1" applyFont="1" applyBorder="1" applyAlignment="1" applyProtection="1">
      <alignment horizontal="center"/>
      <protection locked="0"/>
    </xf>
    <xf numFmtId="0" fontId="12" fillId="0" borderId="36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9" fontId="11" fillId="0" borderId="64" xfId="1" applyFont="1" applyBorder="1" applyAlignment="1" applyProtection="1">
      <alignment horizontal="center"/>
      <protection locked="0"/>
    </xf>
    <xf numFmtId="9" fontId="11" fillId="0" borderId="65" xfId="1" applyFont="1" applyBorder="1" applyAlignment="1" applyProtection="1">
      <alignment horizontal="center"/>
      <protection locked="0"/>
    </xf>
    <xf numFmtId="0" fontId="3" fillId="0" borderId="39" xfId="0" applyFont="1" applyBorder="1" applyAlignment="1" applyProtection="1">
      <alignment horizontal="center"/>
      <protection locked="0"/>
    </xf>
    <xf numFmtId="0" fontId="3" fillId="0" borderId="48" xfId="0" applyFont="1" applyBorder="1" applyAlignment="1" applyProtection="1">
      <alignment horizontal="center"/>
      <protection locked="0"/>
    </xf>
    <xf numFmtId="0" fontId="9" fillId="0" borderId="46" xfId="0" applyFont="1" applyBorder="1" applyAlignment="1" applyProtection="1">
      <alignment horizontal="left" vertical="center"/>
      <protection locked="0"/>
    </xf>
    <xf numFmtId="0" fontId="9" fillId="0" borderId="42" xfId="0" applyFont="1" applyBorder="1" applyAlignment="1" applyProtection="1">
      <alignment horizontal="left" vertical="center"/>
      <protection locked="0"/>
    </xf>
    <xf numFmtId="0" fontId="9" fillId="0" borderId="49" xfId="0" applyFont="1" applyBorder="1" applyAlignment="1" applyProtection="1">
      <alignment horizontal="left" vertical="center"/>
      <protection locked="0"/>
    </xf>
    <xf numFmtId="0" fontId="4" fillId="0" borderId="39" xfId="0" applyFont="1" applyBorder="1" applyAlignment="1" applyProtection="1">
      <alignment horizontal="left"/>
      <protection locked="0"/>
    </xf>
    <xf numFmtId="0" fontId="4" fillId="0" borderId="51" xfId="0" applyFont="1" applyBorder="1" applyAlignment="1" applyProtection="1">
      <alignment horizontal="left"/>
      <protection locked="0"/>
    </xf>
    <xf numFmtId="0" fontId="4" fillId="0" borderId="40" xfId="0" applyFont="1" applyBorder="1" applyAlignment="1" applyProtection="1">
      <alignment horizontal="left"/>
      <protection locked="0"/>
    </xf>
    <xf numFmtId="0" fontId="3" fillId="0" borderId="72" xfId="0" applyFont="1" applyBorder="1" applyAlignment="1" applyProtection="1">
      <alignment horizontal="left" vertical="center"/>
      <protection locked="0"/>
    </xf>
    <xf numFmtId="0" fontId="3" fillId="0" borderId="78" xfId="0" applyFont="1" applyBorder="1" applyAlignment="1" applyProtection="1">
      <alignment horizontal="left" vertical="center"/>
      <protection locked="0"/>
    </xf>
    <xf numFmtId="0" fontId="3" fillId="0" borderId="73" xfId="0" applyFont="1" applyBorder="1" applyAlignment="1" applyProtection="1">
      <alignment horizontal="left" vertical="center"/>
      <protection locked="0"/>
    </xf>
    <xf numFmtId="0" fontId="3" fillId="0" borderId="74" xfId="0" applyFont="1" applyBorder="1" applyAlignment="1" applyProtection="1">
      <alignment horizontal="left" vertical="center"/>
      <protection locked="0"/>
    </xf>
    <xf numFmtId="0" fontId="3" fillId="0" borderId="69" xfId="0" applyFont="1" applyBorder="1" applyAlignment="1" applyProtection="1">
      <alignment horizontal="left" vertical="center"/>
      <protection locked="0"/>
    </xf>
    <xf numFmtId="0" fontId="3" fillId="0" borderId="75" xfId="0" applyFont="1" applyBorder="1" applyAlignment="1" applyProtection="1">
      <alignment horizontal="left" vertical="center"/>
      <protection locked="0"/>
    </xf>
    <xf numFmtId="0" fontId="11" fillId="0" borderId="109" xfId="0" applyFont="1" applyBorder="1" applyAlignment="1" applyProtection="1">
      <alignment horizontal="left" vertical="top"/>
      <protection locked="0"/>
    </xf>
    <xf numFmtId="0" fontId="11" fillId="0" borderId="82" xfId="0" applyFont="1" applyBorder="1" applyAlignment="1" applyProtection="1">
      <alignment horizontal="left" vertical="top"/>
      <protection locked="0"/>
    </xf>
    <xf numFmtId="0" fontId="3" fillId="0" borderId="72" xfId="0" applyFont="1" applyBorder="1" applyAlignment="1">
      <alignment horizontal="left" vertical="center"/>
    </xf>
    <xf numFmtId="0" fontId="3" fillId="0" borderId="78" xfId="0" applyFont="1" applyBorder="1" applyAlignment="1">
      <alignment horizontal="left" vertical="center"/>
    </xf>
    <xf numFmtId="0" fontId="3" fillId="0" borderId="73" xfId="0" applyFont="1" applyBorder="1" applyAlignment="1">
      <alignment horizontal="left" vertical="center"/>
    </xf>
    <xf numFmtId="166" fontId="11" fillId="0" borderId="58" xfId="3" applyNumberFormat="1" applyFont="1" applyBorder="1" applyAlignment="1" applyProtection="1">
      <alignment horizontal="center" vertical="center"/>
      <protection locked="0"/>
    </xf>
    <xf numFmtId="166" fontId="11" fillId="0" borderId="41" xfId="3" applyNumberFormat="1" applyFont="1" applyBorder="1" applyAlignment="1" applyProtection="1">
      <alignment horizontal="center" vertical="center"/>
      <protection locked="0"/>
    </xf>
    <xf numFmtId="0" fontId="11" fillId="0" borderId="39" xfId="0" applyFont="1" applyBorder="1" applyAlignment="1">
      <alignment horizontal="left" vertical="center"/>
    </xf>
    <xf numFmtId="0" fontId="11" fillId="0" borderId="66" xfId="0" applyFont="1" applyBorder="1" applyAlignment="1">
      <alignment horizontal="left" vertical="center"/>
    </xf>
    <xf numFmtId="166" fontId="11" fillId="0" borderId="59" xfId="3" applyNumberFormat="1" applyFont="1" applyBorder="1" applyAlignment="1" applyProtection="1">
      <alignment horizontal="center" vertical="center"/>
      <protection locked="0"/>
    </xf>
    <xf numFmtId="165" fontId="11" fillId="0" borderId="72" xfId="0" applyNumberFormat="1" applyFont="1" applyBorder="1" applyAlignment="1" applyProtection="1">
      <alignment horizontal="left" vertical="center" wrapText="1"/>
      <protection locked="0"/>
    </xf>
    <xf numFmtId="165" fontId="11" fillId="0" borderId="78" xfId="0" applyNumberFormat="1" applyFont="1" applyBorder="1" applyAlignment="1" applyProtection="1">
      <alignment horizontal="left" vertical="center" wrapText="1"/>
      <protection locked="0"/>
    </xf>
    <xf numFmtId="165" fontId="11" fillId="0" borderId="73" xfId="0" applyNumberFormat="1" applyFont="1" applyBorder="1" applyAlignment="1" applyProtection="1">
      <alignment horizontal="left" vertical="center" wrapText="1"/>
      <protection locked="0"/>
    </xf>
    <xf numFmtId="0" fontId="11" fillId="0" borderId="76" xfId="0" applyFont="1" applyBorder="1" applyAlignment="1" applyProtection="1">
      <alignment horizontal="left" vertical="center"/>
      <protection locked="0"/>
    </xf>
    <xf numFmtId="0" fontId="11" fillId="0" borderId="79" xfId="0" applyFont="1" applyBorder="1" applyAlignment="1" applyProtection="1">
      <alignment horizontal="left" vertical="center"/>
      <protection locked="0"/>
    </xf>
    <xf numFmtId="0" fontId="11" fillId="0" borderId="77" xfId="0" applyFont="1" applyBorder="1" applyAlignment="1" applyProtection="1">
      <alignment horizontal="left" vertical="center"/>
      <protection locked="0"/>
    </xf>
    <xf numFmtId="9" fontId="11" fillId="0" borderId="70" xfId="1" applyFont="1" applyBorder="1" applyAlignment="1" applyProtection="1">
      <alignment horizontal="center"/>
      <protection locked="0"/>
    </xf>
    <xf numFmtId="9" fontId="11" fillId="0" borderId="71" xfId="1" applyFont="1" applyBorder="1" applyAlignment="1" applyProtection="1">
      <alignment horizontal="center"/>
      <protection locked="0"/>
    </xf>
    <xf numFmtId="0" fontId="3" fillId="2" borderId="1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9" fontId="11" fillId="0" borderId="69" xfId="1" applyFont="1" applyBorder="1" applyAlignment="1" applyProtection="1">
      <alignment horizontal="center" vertical="center"/>
      <protection locked="0"/>
    </xf>
    <xf numFmtId="9" fontId="11" fillId="0" borderId="75" xfId="1" applyFont="1" applyBorder="1" applyAlignment="1" applyProtection="1">
      <alignment horizontal="center" vertical="center"/>
      <protection locked="0"/>
    </xf>
    <xf numFmtId="0" fontId="11" fillId="0" borderId="79" xfId="0" applyFont="1" applyBorder="1" applyAlignment="1" applyProtection="1">
      <alignment horizontal="center" vertical="center"/>
      <protection locked="0"/>
    </xf>
    <xf numFmtId="0" fontId="11" fillId="0" borderId="77" xfId="0" applyFont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72" xfId="0" applyBorder="1" applyAlignment="1" applyProtection="1">
      <alignment horizontal="left" vertical="center"/>
      <protection locked="0"/>
    </xf>
    <xf numFmtId="0" fontId="0" fillId="0" borderId="78" xfId="0" applyBorder="1" applyAlignment="1" applyProtection="1">
      <alignment horizontal="left" vertical="center"/>
      <protection locked="0"/>
    </xf>
    <xf numFmtId="0" fontId="0" fillId="0" borderId="73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69" xfId="0" applyBorder="1" applyAlignment="1" applyProtection="1">
      <alignment horizontal="left" vertical="center"/>
      <protection locked="0"/>
    </xf>
    <xf numFmtId="0" fontId="0" fillId="0" borderId="75" xfId="0" applyBorder="1" applyAlignment="1" applyProtection="1">
      <alignment horizontal="left" vertical="center"/>
      <protection locked="0"/>
    </xf>
    <xf numFmtId="0" fontId="0" fillId="0" borderId="74" xfId="0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9" fillId="0" borderId="33" xfId="0" applyFont="1" applyBorder="1" applyAlignment="1" applyProtection="1">
      <alignment horizontal="left"/>
      <protection locked="0"/>
    </xf>
    <xf numFmtId="0" fontId="9" fillId="0" borderId="41" xfId="0" applyFont="1" applyBorder="1" applyAlignment="1" applyProtection="1">
      <alignment horizontal="left"/>
      <protection locked="0"/>
    </xf>
    <xf numFmtId="0" fontId="9" fillId="0" borderId="38" xfId="0" applyFont="1" applyBorder="1" applyAlignment="1" applyProtection="1">
      <alignment horizontal="left"/>
      <protection locked="0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66" fontId="11" fillId="0" borderId="57" xfId="3" applyNumberFormat="1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>
      <alignment horizontal="left" vertical="center"/>
    </xf>
    <xf numFmtId="0" fontId="3" fillId="0" borderId="46" xfId="0" applyFont="1" applyBorder="1" applyAlignment="1" applyProtection="1">
      <alignment horizontal="center"/>
      <protection locked="0"/>
    </xf>
    <xf numFmtId="0" fontId="3" fillId="0" borderId="49" xfId="0" applyFont="1" applyBorder="1" applyAlignment="1" applyProtection="1">
      <alignment horizontal="center"/>
      <protection locked="0"/>
    </xf>
    <xf numFmtId="0" fontId="4" fillId="0" borderId="47" xfId="0" applyFont="1" applyBorder="1" applyAlignment="1" applyProtection="1">
      <alignment horizontal="left"/>
      <protection locked="0"/>
    </xf>
    <xf numFmtId="0" fontId="4" fillId="0" borderId="50" xfId="0" applyFont="1" applyBorder="1" applyAlignment="1" applyProtection="1">
      <alignment horizontal="left"/>
      <protection locked="0"/>
    </xf>
    <xf numFmtId="0" fontId="3" fillId="2" borderId="80" xfId="0" applyFont="1" applyFill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0" fontId="3" fillId="2" borderId="105" xfId="0" applyFont="1" applyFill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8" fillId="3" borderId="9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0" borderId="94" xfId="0" applyFont="1" applyBorder="1" applyAlignment="1" applyProtection="1">
      <alignment horizontal="center" vertical="top"/>
      <protection locked="0"/>
    </xf>
    <xf numFmtId="0" fontId="11" fillId="0" borderId="95" xfId="0" applyFont="1" applyBorder="1" applyAlignment="1" applyProtection="1">
      <alignment horizontal="center" vertical="top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9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4" fontId="11" fillId="0" borderId="74" xfId="0" applyNumberFormat="1" applyFont="1" applyBorder="1" applyAlignment="1" applyProtection="1">
      <alignment horizontal="left" vertical="top"/>
      <protection locked="0"/>
    </xf>
    <xf numFmtId="14" fontId="11" fillId="0" borderId="69" xfId="0" applyNumberFormat="1" applyFont="1" applyBorder="1" applyAlignment="1" applyProtection="1">
      <alignment horizontal="left" vertical="top"/>
      <protection locked="0"/>
    </xf>
    <xf numFmtId="14" fontId="11" fillId="0" borderId="75" xfId="0" applyNumberFormat="1" applyFont="1" applyBorder="1" applyAlignment="1" applyProtection="1">
      <alignment horizontal="left" vertical="top"/>
      <protection locked="0"/>
    </xf>
    <xf numFmtId="0" fontId="11" fillId="0" borderId="42" xfId="0" applyFont="1" applyBorder="1" applyAlignment="1" applyProtection="1">
      <alignment horizontal="left" vertical="top" wrapText="1"/>
      <protection locked="0"/>
    </xf>
    <xf numFmtId="0" fontId="11" fillId="0" borderId="62" xfId="0" applyFont="1" applyBorder="1" applyAlignment="1" applyProtection="1">
      <alignment horizontal="left" vertical="top" wrapText="1"/>
      <protection locked="0"/>
    </xf>
    <xf numFmtId="0" fontId="0" fillId="0" borderId="108" xfId="0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9" fontId="11" fillId="0" borderId="78" xfId="1" applyFont="1" applyBorder="1" applyAlignment="1" applyProtection="1">
      <alignment horizontal="center" vertical="center"/>
      <protection locked="0"/>
    </xf>
    <xf numFmtId="9" fontId="11" fillId="0" borderId="73" xfId="1" applyFont="1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left" vertical="center"/>
      <protection locked="0"/>
    </xf>
    <xf numFmtId="0" fontId="3" fillId="0" borderId="76" xfId="0" applyFont="1" applyBorder="1" applyAlignment="1">
      <alignment horizontal="left" vertical="center"/>
    </xf>
    <xf numFmtId="0" fontId="3" fillId="0" borderId="79" xfId="0" applyFont="1" applyBorder="1" applyAlignment="1">
      <alignment horizontal="left" vertical="center"/>
    </xf>
    <xf numFmtId="0" fontId="3" fillId="0" borderId="77" xfId="0" applyFont="1" applyBorder="1" applyAlignment="1">
      <alignment horizontal="left" vertical="center"/>
    </xf>
    <xf numFmtId="0" fontId="11" fillId="0" borderId="64" xfId="0" applyFont="1" applyBorder="1" applyAlignment="1" applyProtection="1">
      <alignment horizontal="left" vertical="top" wrapText="1"/>
      <protection locked="0"/>
    </xf>
    <xf numFmtId="0" fontId="11" fillId="0" borderId="107" xfId="0" applyFont="1" applyBorder="1" applyAlignment="1" applyProtection="1">
      <alignment horizontal="left" vertical="top" wrapText="1"/>
      <protection locked="0"/>
    </xf>
    <xf numFmtId="0" fontId="11" fillId="0" borderId="85" xfId="0" applyFont="1" applyBorder="1" applyAlignment="1" applyProtection="1">
      <alignment horizontal="left" vertical="top" wrapText="1"/>
      <protection locked="0"/>
    </xf>
    <xf numFmtId="0" fontId="12" fillId="0" borderId="37" xfId="0" applyFont="1" applyBorder="1" applyAlignment="1">
      <alignment horizontal="left" vertical="center"/>
    </xf>
    <xf numFmtId="10" fontId="11" fillId="0" borderId="79" xfId="0" applyNumberFormat="1" applyFont="1" applyBorder="1" applyAlignment="1" applyProtection="1">
      <alignment horizontal="center" vertical="center"/>
      <protection locked="0"/>
    </xf>
    <xf numFmtId="10" fontId="11" fillId="0" borderId="78" xfId="0" applyNumberFormat="1" applyFont="1" applyBorder="1" applyAlignment="1" applyProtection="1">
      <alignment horizontal="center" vertical="center"/>
      <protection locked="0"/>
    </xf>
    <xf numFmtId="0" fontId="11" fillId="0" borderId="73" xfId="0" applyFont="1" applyBorder="1" applyAlignment="1" applyProtection="1">
      <alignment horizontal="center" vertical="center"/>
      <protection locked="0"/>
    </xf>
    <xf numFmtId="9" fontId="11" fillId="0" borderId="79" xfId="1" applyFont="1" applyBorder="1" applyAlignment="1" applyProtection="1">
      <alignment horizontal="center" vertical="center"/>
      <protection locked="0"/>
    </xf>
    <xf numFmtId="9" fontId="11" fillId="0" borderId="77" xfId="1" applyFont="1" applyBorder="1" applyAlignment="1" applyProtection="1">
      <alignment horizontal="center" vertical="center"/>
      <protection locked="0"/>
    </xf>
    <xf numFmtId="9" fontId="11" fillId="0" borderId="78" xfId="0" applyNumberFormat="1" applyFont="1" applyBorder="1" applyAlignment="1" applyProtection="1">
      <alignment horizontal="center" vertical="center"/>
      <protection locked="0"/>
    </xf>
    <xf numFmtId="0" fontId="11" fillId="0" borderId="69" xfId="0" applyFont="1" applyBorder="1" applyAlignment="1" applyProtection="1">
      <alignment horizontal="center" vertical="center"/>
      <protection locked="0"/>
    </xf>
    <xf numFmtId="0" fontId="11" fillId="0" borderId="75" xfId="0" applyFont="1" applyBorder="1" applyAlignment="1" applyProtection="1">
      <alignment horizontal="center" vertical="center"/>
      <protection locked="0"/>
    </xf>
    <xf numFmtId="0" fontId="3" fillId="0" borderId="76" xfId="0" applyFont="1" applyBorder="1" applyAlignment="1" applyProtection="1">
      <alignment horizontal="left" vertical="center"/>
      <protection locked="0"/>
    </xf>
    <xf numFmtId="0" fontId="3" fillId="0" borderId="79" xfId="0" applyFont="1" applyBorder="1" applyAlignment="1" applyProtection="1">
      <alignment horizontal="left" vertical="center"/>
      <protection locked="0"/>
    </xf>
    <xf numFmtId="0" fontId="3" fillId="0" borderId="77" xfId="0" applyFont="1" applyBorder="1" applyAlignment="1" applyProtection="1">
      <alignment horizontal="left" vertical="center"/>
      <protection locked="0"/>
    </xf>
    <xf numFmtId="0" fontId="11" fillId="0" borderId="74" xfId="0" applyFont="1" applyBorder="1" applyAlignment="1" applyProtection="1">
      <alignment horizontal="left" vertical="center"/>
      <protection locked="0"/>
    </xf>
    <xf numFmtId="0" fontId="11" fillId="0" borderId="69" xfId="0" applyFont="1" applyBorder="1" applyAlignment="1" applyProtection="1">
      <alignment horizontal="left" vertical="center"/>
      <protection locked="0"/>
    </xf>
    <xf numFmtId="0" fontId="11" fillId="0" borderId="75" xfId="0" applyFont="1" applyBorder="1" applyAlignment="1" applyProtection="1">
      <alignment horizontal="left" vertical="center"/>
      <protection locked="0"/>
    </xf>
    <xf numFmtId="0" fontId="11" fillId="0" borderId="80" xfId="0" applyFont="1" applyBorder="1" applyAlignment="1" applyProtection="1">
      <alignment horizontal="left" vertical="center"/>
      <protection locked="0"/>
    </xf>
    <xf numFmtId="0" fontId="11" fillId="0" borderId="81" xfId="0" applyFont="1" applyBorder="1" applyAlignment="1" applyProtection="1">
      <alignment horizontal="left" vertical="center"/>
      <protection locked="0"/>
    </xf>
    <xf numFmtId="0" fontId="11" fillId="0" borderId="83" xfId="0" applyFont="1" applyBorder="1" applyAlignment="1" applyProtection="1">
      <alignment horizontal="left" vertical="center"/>
      <protection locked="0"/>
    </xf>
    <xf numFmtId="14" fontId="11" fillId="0" borderId="76" xfId="0" applyNumberFormat="1" applyFont="1" applyBorder="1" applyAlignment="1" applyProtection="1">
      <alignment horizontal="left" vertical="top"/>
      <protection locked="0"/>
    </xf>
    <xf numFmtId="14" fontId="11" fillId="0" borderId="79" xfId="0" applyNumberFormat="1" applyFont="1" applyBorder="1" applyAlignment="1" applyProtection="1">
      <alignment horizontal="left" vertical="top"/>
      <protection locked="0"/>
    </xf>
    <xf numFmtId="14" fontId="11" fillId="0" borderId="77" xfId="0" applyNumberFormat="1" applyFont="1" applyBorder="1" applyAlignment="1" applyProtection="1">
      <alignment horizontal="left" vertical="top"/>
      <protection locked="0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4" fontId="11" fillId="0" borderId="72" xfId="0" applyNumberFormat="1" applyFont="1" applyBorder="1" applyAlignment="1" applyProtection="1">
      <alignment horizontal="left" vertical="top" wrapText="1"/>
      <protection locked="0"/>
    </xf>
    <xf numFmtId="14" fontId="11" fillId="0" borderId="78" xfId="0" applyNumberFormat="1" applyFont="1" applyBorder="1" applyAlignment="1" applyProtection="1">
      <alignment horizontal="left" vertical="top"/>
      <protection locked="0"/>
    </xf>
    <xf numFmtId="14" fontId="11" fillId="0" borderId="73" xfId="0" applyNumberFormat="1" applyFont="1" applyBorder="1" applyAlignment="1" applyProtection="1">
      <alignment horizontal="left" vertical="top"/>
      <protection locked="0"/>
    </xf>
    <xf numFmtId="0" fontId="11" fillId="0" borderId="94" xfId="0" applyFont="1" applyBorder="1" applyAlignment="1" applyProtection="1">
      <alignment horizontal="left" vertical="top"/>
      <protection locked="0"/>
    </xf>
    <xf numFmtId="0" fontId="11" fillId="0" borderId="95" xfId="0" applyFont="1" applyBorder="1" applyAlignment="1" applyProtection="1">
      <alignment horizontal="left" vertical="top"/>
      <protection locked="0"/>
    </xf>
    <xf numFmtId="0" fontId="11" fillId="0" borderId="96" xfId="0" applyFont="1" applyBorder="1" applyAlignment="1" applyProtection="1">
      <alignment horizontal="left" vertical="top"/>
      <protection locked="0"/>
    </xf>
    <xf numFmtId="0" fontId="11" fillId="0" borderId="97" xfId="0" applyFont="1" applyBorder="1" applyAlignment="1" applyProtection="1">
      <alignment horizontal="left" vertical="top"/>
      <protection locked="0"/>
    </xf>
    <xf numFmtId="0" fontId="12" fillId="8" borderId="76" xfId="0" applyFont="1" applyFill="1" applyBorder="1" applyAlignment="1" applyProtection="1">
      <alignment horizontal="center" vertical="center"/>
      <protection locked="0"/>
    </xf>
    <xf numFmtId="0" fontId="0" fillId="0" borderId="109" xfId="0" applyBorder="1" applyAlignment="1" applyProtection="1">
      <alignment horizontal="left" vertical="center"/>
      <protection locked="0"/>
    </xf>
    <xf numFmtId="0" fontId="0" fillId="0" borderId="76" xfId="0" applyBorder="1" applyAlignment="1" applyProtection="1">
      <alignment horizontal="left" vertical="center"/>
      <protection locked="0"/>
    </xf>
    <xf numFmtId="0" fontId="0" fillId="0" borderId="79" xfId="0" applyBorder="1" applyAlignment="1" applyProtection="1">
      <alignment horizontal="left" vertical="center"/>
      <protection locked="0"/>
    </xf>
    <xf numFmtId="0" fontId="0" fillId="0" borderId="77" xfId="0" applyBorder="1" applyAlignment="1" applyProtection="1">
      <alignment horizontal="left" vertical="center"/>
      <protection locked="0"/>
    </xf>
    <xf numFmtId="0" fontId="0" fillId="0" borderId="123" xfId="0" applyBorder="1" applyAlignment="1" applyProtection="1">
      <alignment horizontal="left" vertical="center"/>
      <protection locked="0"/>
    </xf>
    <xf numFmtId="0" fontId="0" fillId="0" borderId="82" xfId="0" applyBorder="1" applyAlignment="1" applyProtection="1">
      <alignment horizontal="left" vertical="center"/>
      <protection locked="0"/>
    </xf>
    <xf numFmtId="0" fontId="0" fillId="0" borderId="104" xfId="0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right" vertical="center"/>
    </xf>
    <xf numFmtId="0" fontId="2" fillId="4" borderId="20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center"/>
    </xf>
    <xf numFmtId="0" fontId="20" fillId="0" borderId="134" xfId="0" applyFont="1" applyBorder="1" applyAlignment="1">
      <alignment horizontal="center"/>
    </xf>
    <xf numFmtId="0" fontId="20" fillId="0" borderId="135" xfId="0" applyFont="1" applyBorder="1" applyAlignment="1">
      <alignment horizontal="center"/>
    </xf>
    <xf numFmtId="0" fontId="20" fillId="0" borderId="13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">
    <cellStyle name="Millares" xfId="3" builtinId="3"/>
    <cellStyle name="Normal" xfId="0" builtinId="0"/>
    <cellStyle name="Normal 2" xfId="2" xr:uid="{BBCFD08A-416E-4DD4-B5A3-140D3FD82BD1}"/>
    <cellStyle name="Porcentaje" xfId="1" builtinId="5"/>
  </cellStyles>
  <dxfs count="3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medium">
          <color indexed="64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bottom style="medium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AAAAAA"/>
        </left>
        <right style="medium">
          <color rgb="FFAAAAAA"/>
        </right>
        <top/>
        <bottom style="medium">
          <color rgb="FFAAAAAA"/>
        </bottom>
        <vertical/>
        <horizontal/>
      </border>
    </dxf>
    <dxf>
      <border outline="0">
        <bottom style="medium">
          <color rgb="FFAAAAA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497D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0" formatCode="@"/>
      <fill>
        <patternFill patternType="solid">
          <bgColor theme="4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bgColor theme="4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bgColor theme="4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bgColor theme="4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bgColor theme="4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numFmt numFmtId="30" formatCode="@"/>
      <fill>
        <patternFill patternType="solid">
          <bgColor theme="4"/>
        </patternFill>
      </fill>
      <border>
        <left/>
        <right/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mruColors>
      <color rgb="FF6AA343"/>
      <color rgb="FF2E461E"/>
      <color rgb="FF17230F"/>
      <color rgb="FFF1F7ED"/>
      <color rgb="FF008000"/>
      <color rgb="FF8FC171"/>
      <color rgb="FF63F828"/>
      <color rgb="FF00CC66"/>
      <color rgb="FFC0C0C0"/>
      <color rgb="FF2BDD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60960</xdr:rowOff>
    </xdr:from>
    <xdr:to>
      <xdr:col>2</xdr:col>
      <xdr:colOff>323117</xdr:colOff>
      <xdr:row>1</xdr:row>
      <xdr:rowOff>514350</xdr:rowOff>
    </xdr:to>
    <xdr:pic>
      <xdr:nvPicPr>
        <xdr:cNvPr id="5" name="Picture 4" descr="A green sign with white text&#10;&#10;Description automatically generated with low confidence">
          <a:extLst>
            <a:ext uri="{FF2B5EF4-FFF2-40B4-BE49-F238E27FC236}">
              <a16:creationId xmlns:a16="http://schemas.microsoft.com/office/drawing/2014/main" id="{6F77FBFE-F6BB-B81A-76A4-6B408E740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1A6332"/>
            </a:clrFrom>
            <a:clrTo>
              <a:srgbClr val="1A6332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982980" y="487680"/>
          <a:ext cx="1266092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1</xdr:row>
      <xdr:rowOff>152400</xdr:rowOff>
    </xdr:from>
    <xdr:to>
      <xdr:col>7</xdr:col>
      <xdr:colOff>322719</xdr:colOff>
      <xdr:row>1</xdr:row>
      <xdr:rowOff>474780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F89E82C-DF95-4941-99C7-C48E00545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440" y="579120"/>
          <a:ext cx="1128534" cy="318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1075267</xdr:colOff>
      <xdr:row>3</xdr:row>
      <xdr:rowOff>8467</xdr:rowOff>
    </xdr:from>
    <xdr:to>
      <xdr:col>13</xdr:col>
      <xdr:colOff>0</xdr:colOff>
      <xdr:row>15</xdr:row>
      <xdr:rowOff>101600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4D1EE87-1043-414F-983A-6480B5FA89F3}"/>
            </a:ext>
          </a:extLst>
        </xdr:cNvPr>
        <xdr:cNvCxnSpPr/>
      </xdr:nvCxnSpPr>
      <xdr:spPr>
        <a:xfrm flipH="1">
          <a:off x="13004800" y="1253067"/>
          <a:ext cx="8467" cy="4402666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30480</xdr:colOff>
      <xdr:row>1</xdr:row>
      <xdr:rowOff>65990</xdr:rowOff>
    </xdr:from>
    <xdr:to>
      <xdr:col>3</xdr:col>
      <xdr:colOff>1310191</xdr:colOff>
      <xdr:row>1</xdr:row>
      <xdr:rowOff>499533</xdr:rowOff>
    </xdr:to>
    <xdr:pic>
      <xdr:nvPicPr>
        <xdr:cNvPr id="2" name="Picture 1" descr="A green sign with white text&#10;&#10;Description automatically generated with low confidence">
          <a:extLst>
            <a:ext uri="{FF2B5EF4-FFF2-40B4-BE49-F238E27FC236}">
              <a16:creationId xmlns:a16="http://schemas.microsoft.com/office/drawing/2014/main" id="{7AE6183E-08D5-42CC-B50B-492B3062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280" y="303057"/>
          <a:ext cx="1279711" cy="433543"/>
        </a:xfrm>
        <a:prstGeom prst="rect">
          <a:avLst/>
        </a:prstGeom>
      </xdr:spPr>
    </xdr:pic>
    <xdr:clientData/>
  </xdr:twoCellAnchor>
  <xdr:twoCellAnchor editAs="oneCell">
    <xdr:from>
      <xdr:col>13</xdr:col>
      <xdr:colOff>211667</xdr:colOff>
      <xdr:row>1</xdr:row>
      <xdr:rowOff>120095</xdr:rowOff>
    </xdr:from>
    <xdr:to>
      <xdr:col>13</xdr:col>
      <xdr:colOff>1303866</xdr:colOff>
      <xdr:row>1</xdr:row>
      <xdr:rowOff>444201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510AA41C-FAFB-98B3-23A9-01027F0F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1934" y="357162"/>
          <a:ext cx="1092199" cy="324106"/>
        </a:xfrm>
        <a:prstGeom prst="rect">
          <a:avLst/>
        </a:prstGeom>
      </xdr:spPr>
    </xdr:pic>
    <xdr:clientData/>
  </xdr:twoCellAnchor>
  <xdr:twoCellAnchor>
    <xdr:from>
      <xdr:col>7</xdr:col>
      <xdr:colOff>228598</xdr:colOff>
      <xdr:row>15</xdr:row>
      <xdr:rowOff>16934</xdr:rowOff>
    </xdr:from>
    <xdr:to>
      <xdr:col>8</xdr:col>
      <xdr:colOff>905932</xdr:colOff>
      <xdr:row>17</xdr:row>
      <xdr:rowOff>16934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8FD0DBD-BB80-4F37-A47B-6AFA89D3503E}"/>
            </a:ext>
          </a:extLst>
        </xdr:cNvPr>
        <xdr:cNvSpPr/>
      </xdr:nvSpPr>
      <xdr:spPr>
        <a:xfrm>
          <a:off x="6739465" y="5571067"/>
          <a:ext cx="1761067" cy="37253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aseline="0"/>
            <a:t>Reduce Package Recycling by 60% by 2025</a:t>
          </a:r>
        </a:p>
        <a:p>
          <a:pPr algn="l"/>
          <a:endParaRPr lang="en-US" sz="800"/>
        </a:p>
      </xdr:txBody>
    </xdr:sp>
    <xdr:clientData/>
  </xdr:twoCellAnchor>
  <xdr:twoCellAnchor>
    <xdr:from>
      <xdr:col>6</xdr:col>
      <xdr:colOff>685801</xdr:colOff>
      <xdr:row>17</xdr:row>
      <xdr:rowOff>84666</xdr:rowOff>
    </xdr:from>
    <xdr:to>
      <xdr:col>9</xdr:col>
      <xdr:colOff>592666</xdr:colOff>
      <xdr:row>20</xdr:row>
      <xdr:rowOff>177800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1CE44FF-8701-457A-B93C-9BA666CD8E4E}"/>
            </a:ext>
          </a:extLst>
        </xdr:cNvPr>
        <xdr:cNvSpPr/>
      </xdr:nvSpPr>
      <xdr:spPr>
        <a:xfrm>
          <a:off x="6112934" y="6011333"/>
          <a:ext cx="3158065" cy="65193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aseline="0"/>
            <a:t>SMEs are required to compliance with CSRD and report in 2027. Upstream supply chain (OEMs) will request the data immediately to support their reporting. </a:t>
          </a:r>
        </a:p>
        <a:p>
          <a:pPr algn="l"/>
          <a:endParaRPr lang="en-US" sz="800"/>
        </a:p>
      </xdr:txBody>
    </xdr:sp>
    <xdr:clientData/>
  </xdr:twoCellAnchor>
  <xdr:twoCellAnchor>
    <xdr:from>
      <xdr:col>12</xdr:col>
      <xdr:colOff>643467</xdr:colOff>
      <xdr:row>14</xdr:row>
      <xdr:rowOff>143934</xdr:rowOff>
    </xdr:from>
    <xdr:to>
      <xdr:col>13</xdr:col>
      <xdr:colOff>550334</xdr:colOff>
      <xdr:row>17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28B0E72-B492-43C3-8D36-E4461021E059}"/>
            </a:ext>
          </a:extLst>
        </xdr:cNvPr>
        <xdr:cNvSpPr/>
      </xdr:nvSpPr>
      <xdr:spPr>
        <a:xfrm>
          <a:off x="12573000" y="5511801"/>
          <a:ext cx="990601" cy="54186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Reduce</a:t>
          </a:r>
          <a:r>
            <a:rPr lang="en-US" sz="900" baseline="0"/>
            <a:t> Energy/Carbon footprint by 55% from 1990 level</a:t>
          </a:r>
        </a:p>
        <a:p>
          <a:pPr algn="l"/>
          <a:endParaRPr lang="en-US" sz="800"/>
        </a:p>
      </xdr:txBody>
    </xdr:sp>
    <xdr:clientData/>
  </xdr:twoCellAnchor>
  <xdr:twoCellAnchor>
    <xdr:from>
      <xdr:col>8</xdr:col>
      <xdr:colOff>0</xdr:colOff>
      <xdr:row>3</xdr:row>
      <xdr:rowOff>8467</xdr:rowOff>
    </xdr:from>
    <xdr:to>
      <xdr:col>8</xdr:col>
      <xdr:colOff>8467</xdr:colOff>
      <xdr:row>15</xdr:row>
      <xdr:rowOff>101600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920A1D2-6448-1113-967D-1CEA15714ADD}"/>
            </a:ext>
          </a:extLst>
        </xdr:cNvPr>
        <xdr:cNvCxnSpPr/>
      </xdr:nvCxnSpPr>
      <xdr:spPr>
        <a:xfrm flipH="1">
          <a:off x="7594600" y="1253067"/>
          <a:ext cx="8467" cy="4402666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C11C8-3E78-49B1-9021-87A26E8B81B1}" name="Table1" displayName="Table1" ref="E2:E16" totalsRowShown="0">
  <autoFilter ref="E2:E16" xr:uid="{B8DC11C8-3E78-49B1-9021-87A26E8B81B1}"/>
  <sortState xmlns:xlrd2="http://schemas.microsoft.com/office/spreadsheetml/2017/richdata2" ref="E3:E16">
    <sortCondition ref="E2:E16"/>
  </sortState>
  <tableColumns count="1">
    <tableColumn id="1" xr3:uid="{DCC181EE-3CB8-4CB5-8FC2-D397BAE35C47}" name="Transition Are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BB963A-44D4-4EC4-9977-19E6B02CF960}" name="Table3" displayName="Table3" ref="G2:G9" totalsRowShown="0">
  <autoFilter ref="G2:G9" xr:uid="{BCBB963A-44D4-4EC4-9977-19E6B02CF960}"/>
  <tableColumns count="1">
    <tableColumn id="1" xr3:uid="{34850278-3F37-4ABA-84FB-D51EB540DBCC}" name="5 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4A7B79-7405-453A-907D-E68E67BC795D}" name="Table5" displayName="Table5" ref="J2:J6" totalsRowShown="0">
  <autoFilter ref="J2:J6" xr:uid="{074A7B79-7405-453A-907D-E68E67BC795D}"/>
  <tableColumns count="1">
    <tableColumn id="1" xr3:uid="{FA055196-F89A-4C0C-BED8-D0259AFE4157}" name="Staff Develop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B94047-CD4F-48A5-B425-B0C9C149B3F6}" name="Table6" displayName="Table6" ref="L2:L6" totalsRowShown="0">
  <autoFilter ref="L2:L6" xr:uid="{E8B94047-CD4F-48A5-B425-B0C9C149B3F6}"/>
  <tableColumns count="1">
    <tableColumn id="1" xr3:uid="{2A20C58E-780C-4330-AE3D-68D4D638218C}" name="Strateg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EEDA0C-A1AD-4F2A-BAE1-245114C818D3}" name="Table7" displayName="Table7" ref="P2:P6" totalsRowShown="0">
  <autoFilter ref="P2:P6" xr:uid="{EBEEDA0C-A1AD-4F2A-BAE1-245114C818D3}"/>
  <tableColumns count="1">
    <tableColumn id="1" xr3:uid="{24827BAC-ED9A-4C05-ABE1-2FD0EB174C66}" name="Sustainable Champ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1E4FCA-07A3-4D74-A177-8B4A3916ECC2}" name="Table8" displayName="Table8" ref="T2:T6" totalsRowShown="0">
  <autoFilter ref="T2:T6" xr:uid="{061E4FCA-07A3-4D74-A177-8B4A3916ECC2}"/>
  <tableColumns count="1">
    <tableColumn id="1" xr3:uid="{4EF8598F-ACAD-4646-8FDF-9EAA124232C7}" name="Innov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6D22C7-3AFA-4603-9C75-15BF89C97DAA}" name="Table9" displayName="Table9" ref="V2:V6" totalsRowShown="0">
  <autoFilter ref="V2:V6" xr:uid="{EA6D22C7-3AFA-4603-9C75-15BF89C97DAA}"/>
  <tableColumns count="1">
    <tableColumn id="1" xr3:uid="{229D44BD-9BF4-47CA-9068-64BF97A985D8}" name="Commun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3CC725-DDBA-450A-ABD5-F357E54D72E2}" name="Table10" displayName="Table10" ref="X2:X6" totalsRowShown="0">
  <autoFilter ref="X2:X6" xr:uid="{763CC725-DDBA-450A-ABD5-F357E54D72E2}"/>
  <tableColumns count="1">
    <tableColumn id="1" xr3:uid="{FF6B52DD-229F-4FD1-81D3-42452ED8A7F3}" name="CSR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D22D4A-5AAE-4838-A53E-A73BD6B4A29B}" name="Table11" displayName="Table11" ref="AB2:AB34" totalsRowShown="0" headerRowDxfId="25" dataDxfId="24">
  <autoFilter ref="AB2:AB34" xr:uid="{E8D22D4A-5AAE-4838-A53E-A73BD6B4A29B}"/>
  <sortState xmlns:xlrd2="http://schemas.microsoft.com/office/spreadsheetml/2017/richdata2" ref="AB3:AB34">
    <sortCondition ref="AB2:AB34"/>
  </sortState>
  <tableColumns count="1">
    <tableColumn id="1" xr3:uid="{FBF70CED-DEC2-4492-A783-FF894884BA83}" name="List of european countries" dataDxfId="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2DEF35-9FF8-4DE7-B0AF-45F9BBD9033C}" name="Table12" displayName="Table12" ref="AD2:AD40" totalsRowShown="0" headerRowDxfId="22" dataDxfId="21">
  <autoFilter ref="AD2:AD40" xr:uid="{EF2DEF35-9FF8-4DE7-B0AF-45F9BBD9033C}"/>
  <sortState xmlns:xlrd2="http://schemas.microsoft.com/office/spreadsheetml/2017/richdata2" ref="AD3:AD40">
    <sortCondition ref="AD2:AD40"/>
  </sortState>
  <tableColumns count="1">
    <tableColumn id="1" xr3:uid="{31E84FF1-820A-46F8-8A1D-B8985189A487}" name="List of industries" dataDxfId="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1DB68D1-DBDD-42DF-9643-04F86338002E}" name="Table13" displayName="Table13" ref="AG2:AG4" totalsRowShown="0">
  <autoFilter ref="AG2:AG4" xr:uid="{91DB68D1-DBDD-42DF-9643-04F86338002E}"/>
  <tableColumns count="1">
    <tableColumn id="1" xr3:uid="{2126F7CA-8AEA-4693-8687-1A1732CF20A6}" name="Sta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74E43A-01BF-44D0-8BBF-0ABB2CC27E88}" name="Table14" displayName="Table14" ref="AI2:AI8" totalsRowShown="0">
  <autoFilter ref="AI2:AI8" xr:uid="{EA74E43A-01BF-44D0-8BBF-0ABB2CC27E88}"/>
  <sortState xmlns:xlrd2="http://schemas.microsoft.com/office/spreadsheetml/2017/richdata2" ref="AI3:AI8">
    <sortCondition ref="AI2:AI8"/>
  </sortState>
  <tableColumns count="1">
    <tableColumn id="1" xr3:uid="{5937F704-BABB-4345-BAFC-EEA1F288411B}" name="Economic Activit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E1A0A0-A763-4366-A6EC-EE7B10FEB32E}" name="Table15" displayName="Table15" ref="Z2:Z5" totalsRowShown="0">
  <autoFilter ref="Z2:Z5" xr:uid="{FEE1A0A0-A763-4366-A6EC-EE7B10FEB32E}"/>
  <tableColumns count="1">
    <tableColumn id="1" xr3:uid="{8D05AF98-BCF5-49DD-8346-66C754AC696A}" name="CSRD Futu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E2C90F1-AAD4-4A8E-9BB2-FCED1DF705C1}" name="Table16" displayName="Table16" ref="R2:R5" totalsRowShown="0">
  <autoFilter ref="R2:R5" xr:uid="{BE2C90F1-AAD4-4A8E-9BB2-FCED1DF705C1}"/>
  <tableColumns count="1">
    <tableColumn id="1" xr3:uid="{12D45A21-E829-4CEA-8D33-FD3CCEB1BF40}" name="Sustainable Champion - Futu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2773C8-FA89-4025-AF57-E64D96A5757A}" name="Table17" displayName="Table17" ref="AK2:AK5" totalsRowShown="0">
  <autoFilter ref="AK2:AK5" xr:uid="{A92773C8-FA89-4025-AF57-E64D96A5757A}"/>
  <tableColumns count="1">
    <tableColumn id="1" xr3:uid="{FB097524-DCF2-4C24-B5ED-25D3C42B89CD}" name="DNSH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D8EC31-4EB1-4444-8739-8B3DB8B5CF1E}" name="Table18" displayName="Table18" ref="AM2:AM4" totalsRowShown="0">
  <autoFilter ref="AM2:AM4" xr:uid="{BAD8EC31-4EB1-4444-8739-8B3DB8B5CF1E}"/>
  <tableColumns count="1">
    <tableColumn id="1" xr3:uid="{46C1CA8F-2971-4A21-931B-8873B29B985D}" name="Minimum Safeguard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135D96E-3350-4ECC-A1B9-AAA657649D76}" name="Table19" displayName="Table19" ref="AO1:AO11" totalsRowShown="0" dataDxfId="19" tableBorderDxfId="18">
  <autoFilter ref="AO1:AO11" xr:uid="{D135D96E-3350-4ECC-A1B9-AAA657649D76}"/>
  <sortState xmlns:xlrd2="http://schemas.microsoft.com/office/spreadsheetml/2017/richdata2" ref="AO2:AO10">
    <sortCondition ref="AO1:AO10"/>
  </sortState>
  <tableColumns count="1">
    <tableColumn id="1" xr3:uid="{F1B068B4-98D0-4688-B266-EB557F51D058}" name="NACE Level 1" dataDxfId="1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9C9AAE-02B3-4AFD-9F51-1FC8D82F8883}" name="Code_and_Description" displayName="Code_and_Description" ref="B6:O106" totalsRowShown="0" headerRowDxfId="16" headerRowBorderDxfId="14" tableBorderDxfId="15">
  <autoFilter ref="B6:O106" xr:uid="{3F9C9AAE-02B3-4AFD-9F51-1FC8D82F8883}"/>
  <sortState xmlns:xlrd2="http://schemas.microsoft.com/office/spreadsheetml/2017/richdata2" ref="B7:O106">
    <sortCondition ref="E6:E106"/>
  </sortState>
  <tableColumns count="14">
    <tableColumn id="14" xr3:uid="{DC00964E-12D7-40A4-882C-97959E1A74AD}" name="#" dataDxfId="13"/>
    <tableColumn id="3" xr3:uid="{2DD08EE9-619C-4D5E-916C-E8285BAA2FE4}" name="Module" dataDxfId="12"/>
    <tableColumn id="1" xr3:uid="{533A3D36-8EF1-4CD4-96E8-9612BA3D6105}" name="Code" dataDxfId="11"/>
    <tableColumn id="2" xr3:uid="{ABEF28C1-020C-448B-A8DF-34B2688491CF}" name="Description" dataDxfId="10"/>
    <tableColumn id="4" xr3:uid="{878C032C-563C-431C-9553-42ED12F97801}" name="Energy" dataDxfId="9"/>
    <tableColumn id="5" xr3:uid="{2F4833E7-FCC6-4E9F-8C57-7629D805085A}" name="Water" dataDxfId="8"/>
    <tableColumn id="6" xr3:uid="{9FDC0103-2952-4FB7-9BB6-5533374F0572}" name="Waste" dataDxfId="7"/>
    <tableColumn id="7" xr3:uid="{B4D98E1F-2D9F-41A8-8FF8-DC73A414D67B}" name="Raw material" dataDxfId="6"/>
    <tableColumn id="8" xr3:uid="{FAFB4187-3B7E-4976-B7D4-502F2585561E}" name="Carbon footprint" dataDxfId="5"/>
    <tableColumn id="9" xr3:uid="{874CF920-F159-48C9-859D-7BF71C052EF0}" name="TRL" dataDxfId="4"/>
    <tableColumn id="10" xr3:uid="{65AD0295-A1B8-4DBF-89C7-A520A8FC3226}" name="Prod. efficiency" dataDxfId="3"/>
    <tableColumn id="11" xr3:uid="{59EB94A8-A093-456E-97AF-B08B7F25BC15}" name="Methods" dataDxfId="2"/>
    <tableColumn id="12" xr3:uid="{0AD85FF2-8CDF-4799-8983-31F160B18781}" name="Cost red." dataDxfId="1"/>
    <tableColumn id="13" xr3:uid="{D34E77B4-FDD4-470C-B9CE-6BE4C457F49E}" name="Income incr.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2524-FE0F-4641-9B89-04D8EC6B681D}">
  <dimension ref="B1:W67"/>
  <sheetViews>
    <sheetView showGridLines="0" tabSelected="1" topLeftCell="A7" zoomScaleNormal="100" workbookViewId="0">
      <selection activeCell="D17" sqref="D17:D18"/>
    </sheetView>
  </sheetViews>
  <sheetFormatPr defaultColWidth="8.85546875" defaultRowHeight="14.45"/>
  <cols>
    <col min="1" max="1" width="5.140625" customWidth="1"/>
    <col min="2" max="2" width="14.140625" customWidth="1"/>
    <col min="3" max="3" width="33.28515625" customWidth="1"/>
    <col min="4" max="4" width="18.42578125" customWidth="1"/>
    <col min="5" max="5" width="7.7109375" customWidth="1"/>
    <col min="6" max="6" width="21.5703125" customWidth="1"/>
    <col min="7" max="7" width="14.85546875" customWidth="1"/>
    <col min="8" max="8" width="6.28515625" customWidth="1"/>
    <col min="9" max="9" width="3.28515625" customWidth="1"/>
    <col min="10" max="10" width="21.140625" customWidth="1"/>
    <col min="11" max="11" width="9.28515625" customWidth="1"/>
    <col min="12" max="12" width="12.85546875" customWidth="1"/>
    <col min="13" max="14" width="13.28515625" customWidth="1"/>
    <col min="15" max="15" width="12" customWidth="1"/>
    <col min="16" max="16" width="7.28515625" customWidth="1"/>
    <col min="17" max="19" width="7.28515625" hidden="1" customWidth="1"/>
    <col min="20" max="20" width="14.85546875" hidden="1" customWidth="1"/>
    <col min="21" max="21" width="31.85546875" hidden="1" customWidth="1"/>
    <col min="22" max="22" width="22.28515625" hidden="1" customWidth="1"/>
    <col min="23" max="23" width="23.5703125" hidden="1" customWidth="1"/>
    <col min="24" max="24" width="10.28515625" customWidth="1"/>
  </cols>
  <sheetData>
    <row r="1" spans="2:12" ht="26.45" customHeight="1" thickBot="1"/>
    <row r="2" spans="2:12" ht="48.4" customHeight="1" thickBot="1">
      <c r="B2" s="191" t="s">
        <v>0</v>
      </c>
      <c r="C2" s="192"/>
      <c r="D2" s="192"/>
      <c r="E2" s="192"/>
      <c r="F2" s="192"/>
      <c r="G2" s="192"/>
      <c r="H2" s="193"/>
    </row>
    <row r="3" spans="2:12" ht="22.15" customHeight="1" thickBot="1">
      <c r="B3" s="194" t="s">
        <v>1</v>
      </c>
      <c r="C3" s="195"/>
      <c r="D3" s="195"/>
      <c r="E3" s="195"/>
      <c r="F3" s="195"/>
      <c r="G3" s="195"/>
      <c r="H3" s="196"/>
    </row>
    <row r="4" spans="2:12">
      <c r="B4" s="18" t="s">
        <v>2</v>
      </c>
      <c r="C4" s="227" t="s">
        <v>3</v>
      </c>
      <c r="D4" s="228"/>
      <c r="E4" s="229"/>
      <c r="F4" s="22" t="s">
        <v>4</v>
      </c>
      <c r="G4" s="222" t="s">
        <v>5</v>
      </c>
      <c r="H4" s="223"/>
    </row>
    <row r="5" spans="2:12">
      <c r="B5" s="19" t="s">
        <v>6</v>
      </c>
      <c r="C5" s="281" t="s">
        <v>7</v>
      </c>
      <c r="D5" s="282"/>
      <c r="E5" s="282"/>
      <c r="F5" s="23" t="s">
        <v>8</v>
      </c>
      <c r="G5" s="291" t="s">
        <v>9</v>
      </c>
      <c r="H5" s="292"/>
    </row>
    <row r="6" spans="2:12" ht="29.65" customHeight="1">
      <c r="B6" s="20" t="s">
        <v>10</v>
      </c>
      <c r="C6" s="224" t="s">
        <v>11</v>
      </c>
      <c r="D6" s="225"/>
      <c r="E6" s="225"/>
      <c r="F6" s="225"/>
      <c r="G6" s="225"/>
      <c r="H6" s="226"/>
    </row>
    <row r="7" spans="2:12" ht="15" customHeight="1" thickBot="1"/>
    <row r="8" spans="2:12" ht="22.15" customHeight="1">
      <c r="B8" s="286" t="s">
        <v>12</v>
      </c>
      <c r="C8" s="287"/>
      <c r="D8" s="287"/>
      <c r="E8" s="287"/>
      <c r="F8" s="287"/>
      <c r="G8" s="287"/>
      <c r="H8" s="288"/>
    </row>
    <row r="9" spans="2:12" ht="15" thickBot="1">
      <c r="B9" s="21" t="s">
        <v>13</v>
      </c>
      <c r="C9" s="283"/>
      <c r="D9" s="283"/>
      <c r="E9" s="283"/>
      <c r="F9" s="24" t="s">
        <v>14</v>
      </c>
      <c r="G9" s="293"/>
      <c r="H9" s="294"/>
    </row>
    <row r="10" spans="2:12" ht="15" customHeight="1" thickBot="1">
      <c r="C10" s="274"/>
      <c r="D10" s="274"/>
      <c r="E10" s="274"/>
      <c r="F10" s="274"/>
      <c r="G10" s="274"/>
      <c r="H10" s="274"/>
    </row>
    <row r="11" spans="2:12" ht="22.15" customHeight="1" thickBot="1">
      <c r="B11" s="194" t="s">
        <v>15</v>
      </c>
      <c r="C11" s="195"/>
      <c r="D11" s="195"/>
      <c r="E11" s="195"/>
      <c r="F11" s="195"/>
      <c r="G11" s="195"/>
      <c r="H11" s="196"/>
      <c r="J11" s="261" t="s">
        <v>16</v>
      </c>
      <c r="K11" s="262"/>
      <c r="L11" s="262"/>
    </row>
    <row r="12" spans="2:12" ht="12.4" customHeight="1">
      <c r="B12" s="197" t="s">
        <v>17</v>
      </c>
      <c r="C12" s="198"/>
      <c r="D12" s="197" t="s">
        <v>18</v>
      </c>
      <c r="E12" s="277"/>
      <c r="F12" s="275" t="s">
        <v>19</v>
      </c>
      <c r="G12" s="276"/>
      <c r="H12" s="277"/>
      <c r="J12" s="206" t="s">
        <v>20</v>
      </c>
      <c r="K12" s="207"/>
      <c r="L12" s="208"/>
    </row>
    <row r="13" spans="2:12" ht="15" thickBot="1">
      <c r="B13" s="199"/>
      <c r="C13" s="200"/>
      <c r="D13" s="284"/>
      <c r="E13" s="285"/>
      <c r="F13" s="278"/>
      <c r="G13" s="279"/>
      <c r="H13" s="280"/>
      <c r="J13" s="209"/>
      <c r="K13" s="210"/>
      <c r="L13" s="211"/>
    </row>
    <row r="14" spans="2:12" ht="15" thickBot="1">
      <c r="B14" s="199"/>
      <c r="C14" s="200"/>
      <c r="D14" s="278"/>
      <c r="E14" s="280"/>
      <c r="F14" s="15" t="s">
        <v>21</v>
      </c>
      <c r="G14" s="212" t="s">
        <v>22</v>
      </c>
      <c r="H14" s="213"/>
      <c r="J14" s="3" t="s">
        <v>23</v>
      </c>
      <c r="K14" s="313" t="s">
        <v>24</v>
      </c>
      <c r="L14" s="314"/>
    </row>
    <row r="15" spans="2:12" ht="14.65" customHeight="1">
      <c r="B15" s="203" t="s">
        <v>25</v>
      </c>
      <c r="C15" s="290" t="s">
        <v>26</v>
      </c>
      <c r="D15" s="289">
        <v>9000</v>
      </c>
      <c r="E15" s="243" t="s">
        <v>27</v>
      </c>
      <c r="F15" s="30" t="s">
        <v>28</v>
      </c>
      <c r="G15" s="214">
        <v>0.3</v>
      </c>
      <c r="H15" s="215"/>
      <c r="J15" s="201">
        <v>2025</v>
      </c>
      <c r="K15" s="315">
        <v>0.05</v>
      </c>
      <c r="L15" s="316"/>
    </row>
    <row r="16" spans="2:12" ht="15" thickBot="1">
      <c r="B16" s="204"/>
      <c r="C16" s="218"/>
      <c r="D16" s="242"/>
      <c r="E16" s="219"/>
      <c r="F16" s="31" t="s">
        <v>29</v>
      </c>
      <c r="G16" s="220">
        <v>0.7</v>
      </c>
      <c r="H16" s="221"/>
      <c r="J16" s="202"/>
      <c r="K16" s="257"/>
      <c r="L16" s="258"/>
    </row>
    <row r="17" spans="2:12">
      <c r="B17" s="204"/>
      <c r="C17" s="218" t="s">
        <v>30</v>
      </c>
      <c r="D17" s="241">
        <v>420000</v>
      </c>
      <c r="E17" s="219" t="s">
        <v>31</v>
      </c>
      <c r="F17" s="30" t="s">
        <v>32</v>
      </c>
      <c r="G17" s="214">
        <v>0.3</v>
      </c>
      <c r="H17" s="215"/>
      <c r="J17" s="202">
        <v>2026</v>
      </c>
      <c r="K17" s="257">
        <v>0.05</v>
      </c>
      <c r="L17" s="258"/>
    </row>
    <row r="18" spans="2:12" ht="15" thickBot="1">
      <c r="B18" s="204"/>
      <c r="C18" s="218"/>
      <c r="D18" s="242"/>
      <c r="E18" s="219"/>
      <c r="F18" s="31" t="s">
        <v>33</v>
      </c>
      <c r="G18" s="220">
        <v>0.7</v>
      </c>
      <c r="H18" s="221"/>
      <c r="J18" s="202"/>
      <c r="K18" s="257"/>
      <c r="L18" s="258"/>
    </row>
    <row r="19" spans="2:12">
      <c r="B19" s="204"/>
      <c r="C19" s="218" t="s">
        <v>34</v>
      </c>
      <c r="D19" s="241">
        <v>3</v>
      </c>
      <c r="E19" s="219" t="s">
        <v>35</v>
      </c>
      <c r="F19" s="30" t="s">
        <v>32</v>
      </c>
      <c r="G19" s="214">
        <v>0.4</v>
      </c>
      <c r="H19" s="215"/>
      <c r="J19" s="202">
        <v>2027</v>
      </c>
      <c r="K19" s="257">
        <v>0.1</v>
      </c>
      <c r="L19" s="258"/>
    </row>
    <row r="20" spans="2:12">
      <c r="B20" s="204"/>
      <c r="C20" s="218"/>
      <c r="D20" s="245"/>
      <c r="E20" s="219"/>
      <c r="F20" s="32" t="s">
        <v>36</v>
      </c>
      <c r="G20" s="216">
        <v>0.5</v>
      </c>
      <c r="H20" s="217"/>
      <c r="J20" s="202"/>
      <c r="K20" s="257"/>
      <c r="L20" s="258"/>
    </row>
    <row r="21" spans="2:12" ht="15" thickBot="1">
      <c r="B21" s="204"/>
      <c r="C21" s="218"/>
      <c r="D21" s="242"/>
      <c r="E21" s="219"/>
      <c r="F21" s="31" t="s">
        <v>37</v>
      </c>
      <c r="G21" s="220">
        <v>0.1</v>
      </c>
      <c r="H21" s="221"/>
      <c r="J21" s="202"/>
      <c r="K21" s="257"/>
      <c r="L21" s="258"/>
    </row>
    <row r="22" spans="2:12">
      <c r="B22" s="204"/>
      <c r="C22" s="218" t="s">
        <v>38</v>
      </c>
      <c r="D22" s="241">
        <v>0.5</v>
      </c>
      <c r="E22" s="219" t="s">
        <v>35</v>
      </c>
      <c r="F22" s="30" t="s">
        <v>39</v>
      </c>
      <c r="G22" s="214">
        <v>0.5</v>
      </c>
      <c r="H22" s="215"/>
      <c r="J22" s="202">
        <v>2028</v>
      </c>
      <c r="K22" s="257">
        <v>0.12</v>
      </c>
      <c r="L22" s="258"/>
    </row>
    <row r="23" spans="2:12" ht="15" thickBot="1">
      <c r="B23" s="204"/>
      <c r="C23" s="218"/>
      <c r="D23" s="242"/>
      <c r="E23" s="219"/>
      <c r="F23" s="31" t="s">
        <v>32</v>
      </c>
      <c r="G23" s="252">
        <v>0.5</v>
      </c>
      <c r="H23" s="253"/>
      <c r="J23" s="202"/>
      <c r="K23" s="257"/>
      <c r="L23" s="258"/>
    </row>
    <row r="24" spans="2:12">
      <c r="B24" s="204"/>
      <c r="C24" s="218" t="s">
        <v>40</v>
      </c>
      <c r="D24" s="241">
        <v>70</v>
      </c>
      <c r="E24" s="219" t="s">
        <v>35</v>
      </c>
      <c r="F24" s="30" t="s">
        <v>41</v>
      </c>
      <c r="G24" s="57">
        <v>7</v>
      </c>
      <c r="H24" s="33" t="s">
        <v>35</v>
      </c>
      <c r="J24" s="202">
        <v>2029</v>
      </c>
      <c r="K24" s="257">
        <v>0.14000000000000001</v>
      </c>
      <c r="L24" s="258"/>
    </row>
    <row r="25" spans="2:12">
      <c r="B25" s="204"/>
      <c r="C25" s="218"/>
      <c r="D25" s="245"/>
      <c r="E25" s="219"/>
      <c r="F25" s="32" t="s">
        <v>42</v>
      </c>
      <c r="G25" s="58">
        <v>49</v>
      </c>
      <c r="H25" s="34" t="s">
        <v>35</v>
      </c>
      <c r="J25" s="202"/>
      <c r="K25" s="257"/>
      <c r="L25" s="258"/>
    </row>
    <row r="26" spans="2:12" ht="15" thickBot="1">
      <c r="B26" s="205"/>
      <c r="C26" s="324"/>
      <c r="D26" s="245"/>
      <c r="E26" s="244"/>
      <c r="F26" s="37" t="s">
        <v>43</v>
      </c>
      <c r="G26" s="59">
        <v>14</v>
      </c>
      <c r="H26" s="38" t="s">
        <v>35</v>
      </c>
      <c r="J26" s="358"/>
      <c r="K26" s="328"/>
      <c r="L26" s="329"/>
    </row>
    <row r="27" spans="2:12" ht="26.45" customHeight="1">
      <c r="B27" s="203" t="s">
        <v>44</v>
      </c>
      <c r="C27" s="35" t="s">
        <v>45</v>
      </c>
      <c r="D27" s="246" t="s">
        <v>46</v>
      </c>
      <c r="E27" s="247"/>
      <c r="F27" s="247"/>
      <c r="G27" s="247"/>
      <c r="H27" s="248"/>
      <c r="J27" s="60">
        <v>2027</v>
      </c>
      <c r="K27" s="326">
        <v>5.0000000000000001E-3</v>
      </c>
      <c r="L27" s="327"/>
    </row>
    <row r="28" spans="2:12" ht="25.9" customHeight="1" thickBot="1">
      <c r="B28" s="205"/>
      <c r="C28" s="36" t="s">
        <v>47</v>
      </c>
      <c r="D28" s="249" t="s">
        <v>48</v>
      </c>
      <c r="E28" s="250"/>
      <c r="F28" s="250"/>
      <c r="G28" s="250"/>
      <c r="H28" s="251"/>
      <c r="J28" s="62">
        <v>2028</v>
      </c>
      <c r="K28" s="325">
        <v>0.01</v>
      </c>
      <c r="L28" s="260"/>
    </row>
    <row r="29" spans="2:12" ht="30" customHeight="1">
      <c r="B29" s="203" t="s">
        <v>49</v>
      </c>
      <c r="C29" s="44" t="s">
        <v>50</v>
      </c>
      <c r="D29" s="246" t="s">
        <v>51</v>
      </c>
      <c r="E29" s="247"/>
      <c r="F29" s="247"/>
      <c r="G29" s="247"/>
      <c r="H29" s="248"/>
      <c r="J29" s="60">
        <v>2026</v>
      </c>
      <c r="K29" s="330">
        <v>0.02</v>
      </c>
      <c r="L29" s="327"/>
    </row>
    <row r="30" spans="2:12" ht="27" customHeight="1">
      <c r="B30" s="204"/>
      <c r="C30" s="45" t="s">
        <v>52</v>
      </c>
      <c r="D30" s="336" t="s">
        <v>53</v>
      </c>
      <c r="E30" s="337"/>
      <c r="F30" s="337"/>
      <c r="G30" s="337"/>
      <c r="H30" s="338"/>
      <c r="J30" s="61">
        <v>2027</v>
      </c>
      <c r="K30" s="331" t="s">
        <v>54</v>
      </c>
      <c r="L30" s="332"/>
    </row>
    <row r="31" spans="2:12" ht="15" thickBot="1">
      <c r="B31" s="205"/>
      <c r="C31" s="46" t="s">
        <v>55</v>
      </c>
      <c r="D31" s="249" t="s">
        <v>56</v>
      </c>
      <c r="E31" s="250"/>
      <c r="F31" s="250"/>
      <c r="G31" s="250"/>
      <c r="H31" s="251"/>
      <c r="J31" s="62">
        <v>2026</v>
      </c>
      <c r="K31" s="259" t="s">
        <v>57</v>
      </c>
      <c r="L31" s="260"/>
    </row>
    <row r="32" spans="2:12" ht="28.15" customHeight="1" thickBot="1">
      <c r="B32" s="48" t="s">
        <v>58</v>
      </c>
      <c r="C32" s="47" t="s">
        <v>59</v>
      </c>
      <c r="D32" s="339" t="s">
        <v>60</v>
      </c>
      <c r="E32" s="340"/>
      <c r="F32" s="340"/>
      <c r="G32" s="340"/>
      <c r="H32" s="341"/>
      <c r="J32" s="62">
        <v>2027</v>
      </c>
      <c r="K32" s="259" t="s">
        <v>61</v>
      </c>
      <c r="L32" s="260"/>
    </row>
    <row r="33" spans="2:23" ht="15" customHeight="1"/>
    <row r="34" spans="2:23" ht="22.15" customHeight="1" thickBot="1">
      <c r="B34" s="299" t="s">
        <v>62</v>
      </c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</row>
    <row r="35" spans="2:23" ht="29.65" customHeight="1" thickBot="1">
      <c r="B35" s="303" t="s">
        <v>63</v>
      </c>
      <c r="C35" s="303" t="s">
        <v>64</v>
      </c>
      <c r="D35" s="313" t="s">
        <v>65</v>
      </c>
      <c r="E35" s="345"/>
      <c r="F35" s="345"/>
      <c r="G35" s="345"/>
      <c r="H35" s="345"/>
      <c r="I35" s="345"/>
      <c r="J35" s="345"/>
      <c r="K35" s="314"/>
      <c r="L35" s="264" t="s">
        <v>66</v>
      </c>
      <c r="M35" s="266"/>
      <c r="N35" s="303" t="s">
        <v>67</v>
      </c>
      <c r="O35" s="208" t="s">
        <v>68</v>
      </c>
      <c r="P35" s="298"/>
    </row>
    <row r="36" spans="2:23" ht="15" thickBot="1">
      <c r="B36" s="304"/>
      <c r="C36" s="304"/>
      <c r="D36" s="346" t="s">
        <v>69</v>
      </c>
      <c r="E36" s="347"/>
      <c r="F36" s="348" t="s">
        <v>70</v>
      </c>
      <c r="G36" s="349"/>
      <c r="H36" s="349"/>
      <c r="I36" s="350"/>
      <c r="J36" s="348" t="s">
        <v>71</v>
      </c>
      <c r="K36" s="350"/>
      <c r="L36" s="16" t="s">
        <v>72</v>
      </c>
      <c r="M36" s="17" t="s">
        <v>73</v>
      </c>
      <c r="N36" s="305"/>
      <c r="O36" s="306"/>
      <c r="P36" s="298"/>
      <c r="Q36" s="29" t="s">
        <v>74</v>
      </c>
      <c r="R36" s="27" t="s">
        <v>72</v>
      </c>
      <c r="S36" s="4" t="s">
        <v>73</v>
      </c>
      <c r="T36" s="4" t="s">
        <v>75</v>
      </c>
      <c r="U36" s="14" t="s">
        <v>76</v>
      </c>
      <c r="V36" s="4" t="s">
        <v>77</v>
      </c>
      <c r="W36" s="1" t="s">
        <v>78</v>
      </c>
    </row>
    <row r="37" spans="2:23" ht="15" thickBot="1">
      <c r="B37" s="41">
        <v>1</v>
      </c>
      <c r="C37" s="63" t="s">
        <v>79</v>
      </c>
      <c r="D37" s="323" t="s">
        <v>80</v>
      </c>
      <c r="E37" s="323"/>
      <c r="F37" s="351" t="s">
        <v>81</v>
      </c>
      <c r="G37" s="352"/>
      <c r="H37" s="352"/>
      <c r="I37" s="353"/>
      <c r="J37" s="236" t="s">
        <v>82</v>
      </c>
      <c r="K37" s="237"/>
      <c r="L37" s="64">
        <v>46204</v>
      </c>
      <c r="M37" s="65">
        <v>47665</v>
      </c>
      <c r="N37" s="66" t="s">
        <v>83</v>
      </c>
      <c r="O37" s="187">
        <v>12000000</v>
      </c>
      <c r="Q37" s="29">
        <v>1</v>
      </c>
      <c r="R37" s="28">
        <f>YEAR(L37)</f>
        <v>2026</v>
      </c>
      <c r="S37" s="1">
        <f t="shared" ref="S37:S46" si="0">YEAR(M37)</f>
        <v>2030</v>
      </c>
      <c r="T37" s="10" t="str">
        <f t="shared" ref="T37:T46" si="1">F37</f>
        <v xml:space="preserve">VR-CARDIO is a pioneering and disruptive, cost-effective solution that integrates 3D-360º Stereoscopic and Holographic visualization with non-invasive technology to capture cardiac signals. This creates an electroanatomical map, specifically tailored for the monitoring and diagnosis of arrhythmias, thus transforming the landscape of arrhythmia care. 
</v>
      </c>
      <c r="U37" s="1" t="str">
        <f t="shared" ref="U37:U46" si="2">C37</f>
        <v>Increase Productivity</v>
      </c>
      <c r="V37" s="2" t="e" cm="1">
        <f t="array" ref="V37:V46">VLOOKUP(U37:U46,C15:E32,2,FALSE)</f>
        <v>#N/A</v>
      </c>
      <c r="W37" s="11" t="e" cm="1">
        <f t="array" ref="W37:W46">VLOOKUP(U37:U46,C15:L32,9,FALSE)</f>
        <v>#N/A</v>
      </c>
    </row>
    <row r="38" spans="2:23">
      <c r="B38" s="42">
        <v>2</v>
      </c>
      <c r="C38" s="68"/>
      <c r="D38" s="310"/>
      <c r="E38" s="310"/>
      <c r="F38" s="307"/>
      <c r="G38" s="308"/>
      <c r="H38" s="308"/>
      <c r="I38" s="309"/>
      <c r="J38" s="186"/>
      <c r="K38" s="186"/>
      <c r="L38" s="69"/>
      <c r="M38" s="70"/>
      <c r="N38" s="71"/>
      <c r="O38" s="67"/>
      <c r="Q38" s="29">
        <v>2</v>
      </c>
      <c r="R38" s="28">
        <f t="shared" ref="R38:R46" si="3">YEAR(L38)</f>
        <v>1900</v>
      </c>
      <c r="S38" s="1">
        <f t="shared" si="0"/>
        <v>1900</v>
      </c>
      <c r="T38" s="10">
        <f t="shared" si="1"/>
        <v>0</v>
      </c>
      <c r="U38" s="1">
        <f t="shared" si="2"/>
        <v>0</v>
      </c>
      <c r="V38" s="2" t="e">
        <v>#N/A</v>
      </c>
      <c r="W38" s="12" t="e">
        <v>#N/A</v>
      </c>
    </row>
    <row r="39" spans="2:23">
      <c r="B39" s="42">
        <v>3</v>
      </c>
      <c r="C39" s="68"/>
      <c r="D39" s="310"/>
      <c r="E39" s="310"/>
      <c r="F39" s="307"/>
      <c r="G39" s="308"/>
      <c r="H39" s="308"/>
      <c r="I39" s="309"/>
      <c r="J39" s="236"/>
      <c r="K39" s="237"/>
      <c r="L39" s="69"/>
      <c r="M39" s="70"/>
      <c r="N39" s="71"/>
      <c r="O39" s="72"/>
      <c r="Q39" s="29">
        <v>3</v>
      </c>
      <c r="R39" s="28">
        <f t="shared" si="3"/>
        <v>1900</v>
      </c>
      <c r="S39" s="1">
        <f t="shared" si="0"/>
        <v>1900</v>
      </c>
      <c r="T39" s="10">
        <f t="shared" si="1"/>
        <v>0</v>
      </c>
      <c r="U39" s="1">
        <f t="shared" si="2"/>
        <v>0</v>
      </c>
      <c r="V39" s="2" t="e">
        <v>#N/A</v>
      </c>
      <c r="W39" s="13" t="e">
        <v>#N/A</v>
      </c>
    </row>
    <row r="40" spans="2:23">
      <c r="B40" s="42">
        <v>4</v>
      </c>
      <c r="C40" s="68"/>
      <c r="D40" s="310"/>
      <c r="E40" s="310"/>
      <c r="F40" s="307"/>
      <c r="G40" s="308"/>
      <c r="H40" s="308"/>
      <c r="I40" s="309"/>
      <c r="J40" s="236"/>
      <c r="K40" s="237"/>
      <c r="L40" s="69"/>
      <c r="M40" s="70"/>
      <c r="N40" s="71"/>
      <c r="O40" s="72"/>
      <c r="Q40" s="29">
        <v>4</v>
      </c>
      <c r="R40" s="28">
        <f t="shared" si="3"/>
        <v>1900</v>
      </c>
      <c r="S40" s="1">
        <f t="shared" si="0"/>
        <v>1900</v>
      </c>
      <c r="T40" s="10">
        <f t="shared" si="1"/>
        <v>0</v>
      </c>
      <c r="U40" s="1">
        <f t="shared" si="2"/>
        <v>0</v>
      </c>
      <c r="V40" s="2" t="e">
        <v>#N/A</v>
      </c>
      <c r="W40" s="12" t="e">
        <v>#N/A</v>
      </c>
    </row>
    <row r="41" spans="2:23">
      <c r="B41" s="42">
        <v>5</v>
      </c>
      <c r="C41" s="68"/>
      <c r="D41" s="310"/>
      <c r="E41" s="310"/>
      <c r="F41" s="307"/>
      <c r="G41" s="308"/>
      <c r="H41" s="308"/>
      <c r="I41" s="309"/>
      <c r="J41" s="236"/>
      <c r="K41" s="237"/>
      <c r="L41" s="69"/>
      <c r="M41" s="70"/>
      <c r="N41" s="71"/>
      <c r="O41" s="72"/>
      <c r="Q41" s="29">
        <v>5</v>
      </c>
      <c r="R41" s="28">
        <f t="shared" si="3"/>
        <v>1900</v>
      </c>
      <c r="S41" s="1">
        <f t="shared" si="0"/>
        <v>1900</v>
      </c>
      <c r="T41" s="10">
        <f t="shared" si="1"/>
        <v>0</v>
      </c>
      <c r="U41" s="1">
        <f t="shared" si="2"/>
        <v>0</v>
      </c>
      <c r="V41" s="2" t="e">
        <v>#N/A</v>
      </c>
      <c r="W41" s="13" t="e">
        <v>#N/A</v>
      </c>
    </row>
    <row r="42" spans="2:23">
      <c r="B42" s="42">
        <v>6</v>
      </c>
      <c r="C42" s="68"/>
      <c r="D42" s="311"/>
      <c r="E42" s="310"/>
      <c r="F42" s="307"/>
      <c r="G42" s="308"/>
      <c r="H42" s="308"/>
      <c r="I42" s="309"/>
      <c r="J42" s="354"/>
      <c r="K42" s="355"/>
      <c r="L42" s="69"/>
      <c r="M42" s="70"/>
      <c r="N42" s="71"/>
      <c r="O42" s="72"/>
      <c r="Q42" s="29">
        <v>6</v>
      </c>
      <c r="R42" s="28">
        <f t="shared" si="3"/>
        <v>1900</v>
      </c>
      <c r="S42" s="1">
        <f t="shared" si="0"/>
        <v>1900</v>
      </c>
      <c r="T42" s="10">
        <f t="shared" si="1"/>
        <v>0</v>
      </c>
      <c r="U42" s="1">
        <f t="shared" si="2"/>
        <v>0</v>
      </c>
      <c r="V42" s="2" t="e">
        <v>#N/A</v>
      </c>
      <c r="W42" s="13" t="e">
        <v>#N/A</v>
      </c>
    </row>
    <row r="43" spans="2:23">
      <c r="B43" s="42">
        <v>7</v>
      </c>
      <c r="C43" s="68"/>
      <c r="D43" s="311"/>
      <c r="E43" s="310"/>
      <c r="F43" s="307"/>
      <c r="G43" s="308"/>
      <c r="H43" s="308"/>
      <c r="I43" s="309"/>
      <c r="J43" s="354"/>
      <c r="K43" s="355"/>
      <c r="L43" s="69"/>
      <c r="M43" s="70"/>
      <c r="N43" s="71"/>
      <c r="O43" s="72"/>
      <c r="Q43" s="29">
        <v>7</v>
      </c>
      <c r="R43" s="28">
        <f t="shared" si="3"/>
        <v>1900</v>
      </c>
      <c r="S43" s="1">
        <f t="shared" si="0"/>
        <v>1900</v>
      </c>
      <c r="T43" s="10">
        <f t="shared" si="1"/>
        <v>0</v>
      </c>
      <c r="U43" s="1">
        <f t="shared" si="2"/>
        <v>0</v>
      </c>
      <c r="V43" s="2" t="e">
        <v>#N/A</v>
      </c>
      <c r="W43" s="13" t="e">
        <v>#N/A</v>
      </c>
    </row>
    <row r="44" spans="2:23">
      <c r="B44" s="50">
        <v>8</v>
      </c>
      <c r="C44" s="68"/>
      <c r="D44" s="73"/>
      <c r="E44" s="74"/>
      <c r="F44" s="307"/>
      <c r="G44" s="308"/>
      <c r="H44" s="308"/>
      <c r="I44" s="309"/>
      <c r="J44" s="301"/>
      <c r="K44" s="302"/>
      <c r="L44" s="75"/>
      <c r="M44" s="76"/>
      <c r="N44" s="77"/>
      <c r="O44" s="78"/>
      <c r="Q44" s="29">
        <v>8</v>
      </c>
      <c r="R44" s="28">
        <f t="shared" si="3"/>
        <v>1900</v>
      </c>
      <c r="S44" s="1">
        <f t="shared" si="0"/>
        <v>1900</v>
      </c>
      <c r="T44" s="10">
        <f t="shared" si="1"/>
        <v>0</v>
      </c>
      <c r="U44" s="1">
        <f t="shared" si="2"/>
        <v>0</v>
      </c>
      <c r="V44" s="2" t="e">
        <v>#N/A</v>
      </c>
      <c r="W44" s="13" t="e">
        <v>#N/A</v>
      </c>
    </row>
    <row r="45" spans="2:23">
      <c r="B45" s="50">
        <v>9</v>
      </c>
      <c r="C45" s="68"/>
      <c r="D45" s="73"/>
      <c r="E45" s="74"/>
      <c r="F45" s="307"/>
      <c r="G45" s="308"/>
      <c r="H45" s="308"/>
      <c r="I45" s="309"/>
      <c r="J45" s="301"/>
      <c r="K45" s="302"/>
      <c r="L45" s="75"/>
      <c r="M45" s="76"/>
      <c r="N45" s="77"/>
      <c r="O45" s="78"/>
      <c r="Q45" s="29">
        <v>9</v>
      </c>
      <c r="R45" s="28">
        <f t="shared" si="3"/>
        <v>1900</v>
      </c>
      <c r="S45" s="1">
        <f t="shared" si="0"/>
        <v>1900</v>
      </c>
      <c r="T45" s="10">
        <f t="shared" si="1"/>
        <v>0</v>
      </c>
      <c r="U45" s="1">
        <f t="shared" si="2"/>
        <v>0</v>
      </c>
      <c r="V45" s="2" t="e">
        <v>#N/A</v>
      </c>
      <c r="W45" s="13" t="e">
        <v>#N/A</v>
      </c>
    </row>
    <row r="46" spans="2:23" ht="15" thickBot="1">
      <c r="B46" s="43">
        <v>10</v>
      </c>
      <c r="C46" s="79"/>
      <c r="D46" s="321"/>
      <c r="E46" s="322"/>
      <c r="F46" s="342"/>
      <c r="G46" s="343"/>
      <c r="H46" s="343"/>
      <c r="I46" s="344"/>
      <c r="J46" s="356"/>
      <c r="K46" s="357"/>
      <c r="L46" s="80"/>
      <c r="M46" s="81"/>
      <c r="N46" s="82"/>
      <c r="O46" s="83"/>
      <c r="Q46" s="29">
        <v>10</v>
      </c>
      <c r="R46" s="28">
        <f t="shared" si="3"/>
        <v>1900</v>
      </c>
      <c r="S46" s="1">
        <f t="shared" si="0"/>
        <v>1900</v>
      </c>
      <c r="T46" s="10">
        <f t="shared" si="1"/>
        <v>0</v>
      </c>
      <c r="U46" s="1">
        <f t="shared" si="2"/>
        <v>0</v>
      </c>
      <c r="V46" s="2" t="e">
        <v>#N/A</v>
      </c>
      <c r="W46" s="13" t="e">
        <v>#N/A</v>
      </c>
    </row>
    <row r="47" spans="2:23" ht="15" customHeight="1" thickBot="1"/>
    <row r="48" spans="2:23" ht="25.15" customHeight="1" thickBot="1">
      <c r="B48" s="261" t="s">
        <v>84</v>
      </c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3"/>
    </row>
    <row r="49" spans="2:15" ht="25.9" customHeight="1" thickBot="1">
      <c r="B49" s="206" t="s">
        <v>69</v>
      </c>
      <c r="C49" s="208"/>
      <c r="D49" s="206" t="s">
        <v>85</v>
      </c>
      <c r="E49" s="207"/>
      <c r="F49" s="208"/>
      <c r="G49" s="206" t="s">
        <v>86</v>
      </c>
      <c r="H49" s="207"/>
      <c r="I49" s="207"/>
      <c r="J49" s="207"/>
      <c r="K49" s="208"/>
      <c r="L49" s="264" t="s">
        <v>87</v>
      </c>
      <c r="M49" s="265"/>
      <c r="N49" s="265"/>
      <c r="O49" s="266"/>
    </row>
    <row r="50" spans="2:15" ht="15" customHeight="1">
      <c r="B50" s="267" t="s">
        <v>80</v>
      </c>
      <c r="C50" s="269"/>
      <c r="D50" s="312" t="s">
        <v>88</v>
      </c>
      <c r="E50" s="268"/>
      <c r="F50" s="269"/>
      <c r="G50" s="312" t="s">
        <v>89</v>
      </c>
      <c r="H50" s="268"/>
      <c r="I50" s="268"/>
      <c r="J50" s="268"/>
      <c r="K50" s="317"/>
      <c r="L50" s="267" t="s">
        <v>90</v>
      </c>
      <c r="M50" s="268"/>
      <c r="N50" s="268"/>
      <c r="O50" s="269"/>
    </row>
    <row r="51" spans="2:15" ht="15" customHeight="1">
      <c r="B51" s="273" t="s">
        <v>80</v>
      </c>
      <c r="C51" s="272"/>
      <c r="D51" s="359" t="s">
        <v>91</v>
      </c>
      <c r="E51" s="271"/>
      <c r="F51" s="272"/>
      <c r="G51" s="359" t="s">
        <v>92</v>
      </c>
      <c r="H51" s="271"/>
      <c r="I51" s="271"/>
      <c r="J51" s="271"/>
      <c r="K51" s="364"/>
      <c r="L51" s="270" t="s">
        <v>93</v>
      </c>
      <c r="M51" s="271"/>
      <c r="N51" s="271"/>
      <c r="O51" s="272"/>
    </row>
    <row r="52" spans="2:15" ht="15" customHeight="1">
      <c r="B52" s="273" t="s">
        <v>80</v>
      </c>
      <c r="C52" s="272"/>
      <c r="D52" s="359" t="s">
        <v>94</v>
      </c>
      <c r="E52" s="271"/>
      <c r="F52" s="272"/>
      <c r="G52" s="359" t="s">
        <v>95</v>
      </c>
      <c r="H52" s="271"/>
      <c r="I52" s="271"/>
      <c r="J52" s="271"/>
      <c r="K52" s="364"/>
      <c r="L52" s="273" t="s">
        <v>96</v>
      </c>
      <c r="M52" s="271"/>
      <c r="N52" s="271"/>
      <c r="O52" s="272"/>
    </row>
    <row r="53" spans="2:15" ht="15" customHeight="1">
      <c r="B53" s="273" t="s">
        <v>80</v>
      </c>
      <c r="C53" s="272"/>
      <c r="D53" s="359" t="s">
        <v>97</v>
      </c>
      <c r="E53" s="271"/>
      <c r="F53" s="272"/>
      <c r="G53" s="359" t="s">
        <v>98</v>
      </c>
      <c r="H53" s="271"/>
      <c r="I53" s="271"/>
      <c r="J53" s="271"/>
      <c r="K53" s="364"/>
      <c r="L53" s="273" t="s">
        <v>99</v>
      </c>
      <c r="M53" s="271"/>
      <c r="N53" s="271"/>
      <c r="O53" s="272"/>
    </row>
    <row r="54" spans="2:15" ht="15" customHeight="1">
      <c r="B54" s="273"/>
      <c r="C54" s="272"/>
      <c r="D54" s="359"/>
      <c r="E54" s="271"/>
      <c r="F54" s="272"/>
      <c r="G54" s="359"/>
      <c r="H54" s="271"/>
      <c r="I54" s="271"/>
      <c r="J54" s="271"/>
      <c r="K54" s="364"/>
      <c r="L54" s="273"/>
      <c r="M54" s="271"/>
      <c r="N54" s="271"/>
      <c r="O54" s="272"/>
    </row>
    <row r="55" spans="2:15" ht="15" customHeight="1">
      <c r="B55" s="273"/>
      <c r="C55" s="272"/>
      <c r="D55" s="359"/>
      <c r="E55" s="271"/>
      <c r="F55" s="272"/>
      <c r="G55" s="359"/>
      <c r="H55" s="271"/>
      <c r="I55" s="271"/>
      <c r="J55" s="271"/>
      <c r="K55" s="364"/>
      <c r="L55" s="273"/>
      <c r="M55" s="271"/>
      <c r="N55" s="271"/>
      <c r="O55" s="272"/>
    </row>
    <row r="56" spans="2:15" ht="15" customHeight="1">
      <c r="B56" s="273"/>
      <c r="C56" s="272"/>
      <c r="D56" s="359"/>
      <c r="E56" s="271"/>
      <c r="F56" s="272"/>
      <c r="G56" s="359"/>
      <c r="H56" s="271"/>
      <c r="I56" s="271"/>
      <c r="J56" s="271"/>
      <c r="K56" s="364"/>
      <c r="L56" s="273"/>
      <c r="M56" s="271"/>
      <c r="N56" s="271"/>
      <c r="O56" s="272"/>
    </row>
    <row r="57" spans="2:15" ht="15" customHeight="1">
      <c r="B57" s="273"/>
      <c r="C57" s="272"/>
      <c r="D57" s="359"/>
      <c r="E57" s="271"/>
      <c r="F57" s="272"/>
      <c r="G57" s="359"/>
      <c r="H57" s="271"/>
      <c r="I57" s="271"/>
      <c r="J57" s="271"/>
      <c r="K57" s="364"/>
      <c r="L57" s="273"/>
      <c r="M57" s="271"/>
      <c r="N57" s="271"/>
      <c r="O57" s="272"/>
    </row>
    <row r="58" spans="2:15" ht="15" customHeight="1">
      <c r="B58" s="273"/>
      <c r="C58" s="272"/>
      <c r="D58" s="359"/>
      <c r="E58" s="271"/>
      <c r="F58" s="272"/>
      <c r="G58" s="359"/>
      <c r="H58" s="271"/>
      <c r="I58" s="271"/>
      <c r="J58" s="271"/>
      <c r="K58" s="364"/>
      <c r="L58" s="273"/>
      <c r="M58" s="271"/>
      <c r="N58" s="271"/>
      <c r="O58" s="272"/>
    </row>
    <row r="59" spans="2:15" ht="15" customHeight="1" thickBot="1">
      <c r="B59" s="360"/>
      <c r="C59" s="362"/>
      <c r="D59" s="363"/>
      <c r="E59" s="361"/>
      <c r="F59" s="362"/>
      <c r="G59" s="363"/>
      <c r="H59" s="361"/>
      <c r="I59" s="361"/>
      <c r="J59" s="361"/>
      <c r="K59" s="365"/>
      <c r="L59" s="360"/>
      <c r="M59" s="361"/>
      <c r="N59" s="361"/>
      <c r="O59" s="362"/>
    </row>
    <row r="60" spans="2:15" ht="15" customHeight="1" thickBot="1"/>
    <row r="61" spans="2:15" ht="22.15" customHeight="1" thickBot="1">
      <c r="B61" s="261" t="s">
        <v>100</v>
      </c>
      <c r="C61" s="262"/>
      <c r="D61" s="262"/>
      <c r="E61" s="262"/>
      <c r="F61" s="262"/>
      <c r="G61" s="262"/>
      <c r="H61" s="262"/>
      <c r="I61" s="262"/>
      <c r="J61" s="262"/>
      <c r="K61" s="263"/>
    </row>
    <row r="62" spans="2:15" ht="15" thickBot="1">
      <c r="B62" s="295" t="s">
        <v>101</v>
      </c>
      <c r="C62" s="296"/>
      <c r="D62" s="296"/>
      <c r="E62" s="297"/>
      <c r="F62" s="254" t="s">
        <v>102</v>
      </c>
      <c r="G62" s="255"/>
      <c r="H62" s="255"/>
      <c r="I62" s="255"/>
      <c r="J62" s="255"/>
      <c r="K62" s="256"/>
    </row>
    <row r="63" spans="2:15">
      <c r="B63" s="238" t="s">
        <v>103</v>
      </c>
      <c r="C63" s="239"/>
      <c r="D63" s="239"/>
      <c r="E63" s="240"/>
      <c r="F63" s="230" t="s">
        <v>104</v>
      </c>
      <c r="G63" s="231"/>
      <c r="H63" s="231"/>
      <c r="I63" s="231"/>
      <c r="J63" s="231"/>
      <c r="K63" s="232"/>
    </row>
    <row r="64" spans="2:15" ht="27.6" customHeight="1">
      <c r="B64" s="188" t="s">
        <v>105</v>
      </c>
      <c r="C64" s="189"/>
      <c r="D64" s="189"/>
      <c r="E64" s="190"/>
      <c r="F64" s="233" t="s">
        <v>106</v>
      </c>
      <c r="G64" s="234"/>
      <c r="H64" s="234"/>
      <c r="I64" s="234"/>
      <c r="J64" s="234"/>
      <c r="K64" s="235"/>
    </row>
    <row r="65" spans="2:11" ht="27.6" customHeight="1">
      <c r="B65" s="188" t="s">
        <v>107</v>
      </c>
      <c r="C65" s="189"/>
      <c r="D65" s="189"/>
      <c r="E65" s="190"/>
      <c r="F65" s="233" t="s">
        <v>108</v>
      </c>
      <c r="G65" s="234"/>
      <c r="H65" s="234"/>
      <c r="I65" s="234"/>
      <c r="J65" s="234"/>
      <c r="K65" s="235"/>
    </row>
    <row r="66" spans="2:11" ht="29.45" customHeight="1">
      <c r="B66" s="188" t="s">
        <v>109</v>
      </c>
      <c r="C66" s="189"/>
      <c r="D66" s="189"/>
      <c r="E66" s="190"/>
      <c r="F66" s="233" t="s">
        <v>110</v>
      </c>
      <c r="G66" s="234"/>
      <c r="H66" s="234"/>
      <c r="I66" s="234"/>
      <c r="J66" s="234"/>
      <c r="K66" s="235"/>
    </row>
    <row r="67" spans="2:11" ht="15" thickBot="1">
      <c r="B67" s="318" t="s">
        <v>111</v>
      </c>
      <c r="C67" s="319"/>
      <c r="D67" s="319"/>
      <c r="E67" s="320"/>
      <c r="F67" s="333" t="s">
        <v>112</v>
      </c>
      <c r="G67" s="334"/>
      <c r="H67" s="334"/>
      <c r="I67" s="334"/>
      <c r="J67" s="334"/>
      <c r="K67" s="335"/>
    </row>
  </sheetData>
  <sheetProtection algorithmName="SHA-512" hashValue="gqHYKsYNTOViRZbjwx4JBX2Z+eEO0Ulf/PXew/TKx/0EVMrpYPT+lFw3b86394rrrXpbpHhCAPZgV0Cmqjs8ig==" saltValue="AOg7Vh9zvY/eoDrjI3qLpA==" spinCount="100000" sheet="1" objects="1" scenarios="1"/>
  <mergeCells count="164">
    <mergeCell ref="L59:O59"/>
    <mergeCell ref="B59:C59"/>
    <mergeCell ref="B51:C51"/>
    <mergeCell ref="B53:C53"/>
    <mergeCell ref="B52:C52"/>
    <mergeCell ref="B54:C54"/>
    <mergeCell ref="L53:O53"/>
    <mergeCell ref="L54:O54"/>
    <mergeCell ref="L55:O55"/>
    <mergeCell ref="L56:O56"/>
    <mergeCell ref="D58:F58"/>
    <mergeCell ref="D59:F59"/>
    <mergeCell ref="D53:F53"/>
    <mergeCell ref="L57:O57"/>
    <mergeCell ref="L58:O58"/>
    <mergeCell ref="G58:K58"/>
    <mergeCell ref="G59:K59"/>
    <mergeCell ref="G51:K51"/>
    <mergeCell ref="G52:K52"/>
    <mergeCell ref="G53:K53"/>
    <mergeCell ref="G54:K54"/>
    <mergeCell ref="G55:K55"/>
    <mergeCell ref="G56:K56"/>
    <mergeCell ref="G57:K57"/>
    <mergeCell ref="B56:C56"/>
    <mergeCell ref="B57:C57"/>
    <mergeCell ref="D51:F51"/>
    <mergeCell ref="D52:F52"/>
    <mergeCell ref="B58:C58"/>
    <mergeCell ref="D54:F54"/>
    <mergeCell ref="D55:F55"/>
    <mergeCell ref="D56:F56"/>
    <mergeCell ref="D57:F57"/>
    <mergeCell ref="J11:L11"/>
    <mergeCell ref="F46:I46"/>
    <mergeCell ref="D35:K35"/>
    <mergeCell ref="D36:E36"/>
    <mergeCell ref="F36:I36"/>
    <mergeCell ref="F37:I37"/>
    <mergeCell ref="F38:I38"/>
    <mergeCell ref="F39:I39"/>
    <mergeCell ref="F40:I40"/>
    <mergeCell ref="F41:I41"/>
    <mergeCell ref="J36:K36"/>
    <mergeCell ref="J42:K42"/>
    <mergeCell ref="J46:K46"/>
    <mergeCell ref="J43:K43"/>
    <mergeCell ref="J22:J23"/>
    <mergeCell ref="J24:J26"/>
    <mergeCell ref="L35:M35"/>
    <mergeCell ref="K17:L18"/>
    <mergeCell ref="K19:L21"/>
    <mergeCell ref="D50:F50"/>
    <mergeCell ref="K14:L14"/>
    <mergeCell ref="K15:L16"/>
    <mergeCell ref="G50:K50"/>
    <mergeCell ref="B67:E67"/>
    <mergeCell ref="B65:E65"/>
    <mergeCell ref="D43:E43"/>
    <mergeCell ref="D46:E46"/>
    <mergeCell ref="D37:E37"/>
    <mergeCell ref="D38:E38"/>
    <mergeCell ref="D39:E39"/>
    <mergeCell ref="C24:C26"/>
    <mergeCell ref="K28:L28"/>
    <mergeCell ref="K27:L27"/>
    <mergeCell ref="K24:L26"/>
    <mergeCell ref="K32:L32"/>
    <mergeCell ref="K29:L29"/>
    <mergeCell ref="K30:L30"/>
    <mergeCell ref="F66:K66"/>
    <mergeCell ref="F67:K67"/>
    <mergeCell ref="B64:E64"/>
    <mergeCell ref="D30:H30"/>
    <mergeCell ref="D31:H31"/>
    <mergeCell ref="D32:H32"/>
    <mergeCell ref="B62:E62"/>
    <mergeCell ref="B61:K61"/>
    <mergeCell ref="B50:C50"/>
    <mergeCell ref="B55:C55"/>
    <mergeCell ref="P35:P36"/>
    <mergeCell ref="B34:O34"/>
    <mergeCell ref="J44:K44"/>
    <mergeCell ref="J45:K45"/>
    <mergeCell ref="B35:B36"/>
    <mergeCell ref="C35:C36"/>
    <mergeCell ref="N35:N36"/>
    <mergeCell ref="O35:O36"/>
    <mergeCell ref="J37:K37"/>
    <mergeCell ref="J39:K39"/>
    <mergeCell ref="F42:I42"/>
    <mergeCell ref="F43:I43"/>
    <mergeCell ref="D40:E40"/>
    <mergeCell ref="D41:E41"/>
    <mergeCell ref="D42:E42"/>
    <mergeCell ref="F44:I44"/>
    <mergeCell ref="F45:I45"/>
    <mergeCell ref="B49:C49"/>
    <mergeCell ref="D49:F49"/>
    <mergeCell ref="G49:K49"/>
    <mergeCell ref="C10:H10"/>
    <mergeCell ref="F12:H13"/>
    <mergeCell ref="C5:E5"/>
    <mergeCell ref="C9:E9"/>
    <mergeCell ref="G21:H21"/>
    <mergeCell ref="D12:E14"/>
    <mergeCell ref="B8:H8"/>
    <mergeCell ref="D15:D16"/>
    <mergeCell ref="D17:D18"/>
    <mergeCell ref="D19:D21"/>
    <mergeCell ref="C15:C16"/>
    <mergeCell ref="G17:H17"/>
    <mergeCell ref="G18:H18"/>
    <mergeCell ref="G5:H5"/>
    <mergeCell ref="G9:H9"/>
    <mergeCell ref="G15:H15"/>
    <mergeCell ref="F63:K63"/>
    <mergeCell ref="F65:K65"/>
    <mergeCell ref="F64:K64"/>
    <mergeCell ref="J40:K40"/>
    <mergeCell ref="J41:K41"/>
    <mergeCell ref="B63:E63"/>
    <mergeCell ref="B27:B28"/>
    <mergeCell ref="D22:D23"/>
    <mergeCell ref="E15:E16"/>
    <mergeCell ref="E24:E26"/>
    <mergeCell ref="D24:D26"/>
    <mergeCell ref="D27:H27"/>
    <mergeCell ref="D28:H28"/>
    <mergeCell ref="G23:H23"/>
    <mergeCell ref="F62:K62"/>
    <mergeCell ref="B29:B31"/>
    <mergeCell ref="D29:H29"/>
    <mergeCell ref="K22:L23"/>
    <mergeCell ref="K31:L31"/>
    <mergeCell ref="B48:O48"/>
    <mergeCell ref="L49:O49"/>
    <mergeCell ref="L50:O50"/>
    <mergeCell ref="L51:O51"/>
    <mergeCell ref="L52:O52"/>
    <mergeCell ref="B66:E66"/>
    <mergeCell ref="B2:H2"/>
    <mergeCell ref="B3:H3"/>
    <mergeCell ref="B11:H11"/>
    <mergeCell ref="B12:C14"/>
    <mergeCell ref="J15:J16"/>
    <mergeCell ref="B15:B26"/>
    <mergeCell ref="J12:L13"/>
    <mergeCell ref="J17:J18"/>
    <mergeCell ref="J19:J21"/>
    <mergeCell ref="G14:H14"/>
    <mergeCell ref="G19:H19"/>
    <mergeCell ref="G20:H20"/>
    <mergeCell ref="C17:C18"/>
    <mergeCell ref="E17:E18"/>
    <mergeCell ref="C19:C21"/>
    <mergeCell ref="C22:C23"/>
    <mergeCell ref="G22:H22"/>
    <mergeCell ref="G16:H16"/>
    <mergeCell ref="G4:H4"/>
    <mergeCell ref="C6:H6"/>
    <mergeCell ref="E22:E23"/>
    <mergeCell ref="E19:E21"/>
    <mergeCell ref="C4:E4"/>
  </mergeCells>
  <phoneticPr fontId="16" type="noConversion"/>
  <dataValidations xWindow="676" yWindow="519" count="17">
    <dataValidation allowBlank="1" showInputMessage="1" showErrorMessage="1" promptTitle="About your organisation" prompt="Please provide a brief description of your organisation." sqref="C6:H6 C8:H8" xr:uid="{A953B3D4-55D8-4DEC-8327-9B556E849837}"/>
    <dataValidation allowBlank="1" showInputMessage="1" showErrorMessage="1" promptTitle="Sustainable Advisour (SA)" prompt="Please write the name of the SA if known, otherwise leave blank. Eligible SME will be assinged with a SA as soon as." sqref="C9:E9" xr:uid="{F15CDDC6-9948-4DD3-AE65-6F011C0ADD3E}"/>
    <dataValidation allowBlank="1" showInputMessage="1" showErrorMessage="1" promptTitle="Energy Target" prompt="Please enter a realistic percentage target your organisation driving to achieve within the time frame." sqref="K15:L16" xr:uid="{AC3640A7-B332-4E10-ACE2-2E040BC05A83}"/>
    <dataValidation allowBlank="1" showInputMessage="1" showErrorMessage="1" promptTitle="Water Target" prompt="Please enter a realistic percentage target your organisation driving to achieve within the time frame." sqref="K17:L18" xr:uid="{DF1BDF8F-11BF-4C3D-BE05-98D103267307}"/>
    <dataValidation allowBlank="1" showInputMessage="1" showErrorMessage="1" promptTitle="Waste Target" prompt="Please enter a realistic percentage target your organisation driving to achieve within the time frame. " sqref="K19:L21" xr:uid="{2B1FA02A-D7F0-443B-83FE-D8F664FBD6CE}"/>
    <dataValidation allowBlank="1" showInputMessage="1" showErrorMessage="1" promptTitle="Carbon Footprint Target" prompt="Please enter a realistic percentage target your organisation driving to achieve within the time frame. " sqref="K24:L26" xr:uid="{32BCDA6E-8A29-41D4-97C2-9E803F195034}"/>
    <dataValidation allowBlank="1" showInputMessage="1" showErrorMessage="1" promptTitle="Material Reduction Target" prompt="Please enter a realistic percentage target your organisation driving to achieve within the time frame." sqref="K22:L23" xr:uid="{4F3D64CC-01F7-4C6F-A59A-7B7F7D1D07FE}"/>
    <dataValidation allowBlank="1" showInputMessage="1" showErrorMessage="1" promptTitle="Investment in communities" prompt="If applicable, please enter a budget percentage target against EBITDA data that your organisation will spend on local community development activities within the time frame." sqref="K27:L27" xr:uid="{2A286DE4-8E43-4A39-9DD4-7E0D2D505AF1}"/>
    <dataValidation allowBlank="1" showInputMessage="1" showErrorMessage="1" promptTitle="Employee Development" prompt="If applicable, please enter a budget percentage target against EBITDA data that your organisation will spend on employee development within the time frame." sqref="K28:L28" xr:uid="{74FD2483-260D-4F4E-A20F-5C9329E0BB8E}"/>
    <dataValidation allowBlank="1" showInputMessage="1" showErrorMessage="1" promptTitle="Research &amp; Development" prompt="If applicable, please enter a budget percentage target against EBITDA data that your organisation will spend on Research &amp; Development within the time frame." sqref="K29:L29" xr:uid="{6BB68AEE-3EAA-47C2-BBCF-8D34BA729116}"/>
    <dataValidation allowBlank="1" showInputMessage="1" showErrorMessage="1" promptTitle="Project Benefits." prompt="Describe project benefits to your organisation." sqref="K46 K39:K43 J37:K37 J39:J46" xr:uid="{E91F569F-A456-4079-8B00-89F732A18177}"/>
    <dataValidation allowBlank="1" showInputMessage="1" showErrorMessage="1" promptTitle="Project Start Date" prompt="Please enter the potential project start month and year." sqref="L37:L46" xr:uid="{E26B841A-C0C6-480A-8AF2-A792C65E0177}"/>
    <dataValidation allowBlank="1" showInputMessage="1" showErrorMessage="1" promptTitle="Project End Date" prompt="Please enter the expected project end month and year." sqref="M37:M46" xr:uid="{41277A33-162A-46EF-AC31-2DC99D4D6556}"/>
    <dataValidation allowBlank="1" showInputMessage="1" showErrorMessage="1" promptTitle="Stakeholders" prompt="Please list project responsible/approval people names/teams." sqref="N37:N46" xr:uid="{2240FA3C-D62D-4EF4-8FD9-A7CE1225B963}"/>
    <dataValidation allowBlank="1" showInputMessage="1" showErrorMessage="1" promptTitle="Project Description" prompt="Please describe the project in brief. What is the project about, why your organisation needs it." sqref="F37:I46" xr:uid="{1767390F-438F-4642-A12E-8F1159E4806F}"/>
    <dataValidation allowBlank="1" showInputMessage="1" showErrorMessage="1" prompt="Please specify the benefits and add as much details as possible. Please quantify where possible." sqref="G50:K59" xr:uid="{6C98B4D8-AA60-41C4-9EF5-41668BF374AA}"/>
    <dataValidation allowBlank="1" showErrorMessage="1" sqref="C7:E7" xr:uid="{94220569-2B5F-4F5A-8690-F5DF89825685}"/>
  </dataValidations>
  <pageMargins left="0.7" right="0.7" top="0.75" bottom="0.75" header="0.3" footer="0.3"/>
  <pageSetup paperSize="9" orientation="portrait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676" yWindow="519" count="20">
        <x14:dataValidation type="list" allowBlank="1" showInputMessage="1" showErrorMessage="1" promptTitle="Option" prompt="Please select an option suits your organisation" xr:uid="{0804AD1C-2B36-475B-868D-2A549D66A06E}">
          <x14:formula1>
            <xm:f>Data!$J$3:$J$6</xm:f>
          </x14:formula1>
          <xm:sqref>D28</xm:sqref>
        </x14:dataValidation>
        <x14:dataValidation type="list" allowBlank="1" showInputMessage="1" showErrorMessage="1" promptTitle="Option" prompt="Pelase select an option suits your organisation" xr:uid="{09AD8E4B-E185-41F2-8499-47CFA7AEC3C3}">
          <x14:formula1>
            <xm:f>Data!$L$3:$L$6</xm:f>
          </x14:formula1>
          <xm:sqref>D30</xm:sqref>
        </x14:dataValidation>
        <x14:dataValidation type="list" allowBlank="1" showInputMessage="1" showErrorMessage="1" promptTitle="Option" prompt="Select an option suits your organisaiton" xr:uid="{BF991B7D-6EBF-4C0A-9EDF-4641523CA9F9}">
          <x14:formula1>
            <xm:f>Data!$P$3:$P$6</xm:f>
          </x14:formula1>
          <xm:sqref>D31</xm:sqref>
        </x14:dataValidation>
        <x14:dataValidation type="list" allowBlank="1" showInputMessage="1" showErrorMessage="1" promptTitle="Option" prompt="Select an option suits your organisation" xr:uid="{2530D1FF-9234-42D2-8973-A8D82EA94145}">
          <x14:formula1>
            <xm:f>Data!$T$3:$T$6</xm:f>
          </x14:formula1>
          <xm:sqref>D29</xm:sqref>
        </x14:dataValidation>
        <x14:dataValidation type="list" allowBlank="1" showInputMessage="1" showErrorMessage="1" promptTitle="Option" prompt="Slection an option suits your organisation" xr:uid="{7C11526D-027A-4AD7-A9AB-0929BC9F0710}">
          <x14:formula1>
            <xm:f>Data!$V$3:$V$6</xm:f>
          </x14:formula1>
          <xm:sqref>D27</xm:sqref>
        </x14:dataValidation>
        <x14:dataValidation type="list" allowBlank="1" showInputMessage="1" showErrorMessage="1" promptTitle="Option" prompt="Select an option suits your organisation" xr:uid="{2F387D62-4B7C-4F30-BC0E-3A2A390ECA46}">
          <x14:formula1>
            <xm:f>Data!$X$3:$X$6</xm:f>
          </x14:formula1>
          <xm:sqref>D32</xm:sqref>
        </x14:dataValidation>
        <x14:dataValidation type="list" allowBlank="1" showInputMessage="1" showErrorMessage="1" promptTitle="Select Country" prompt="Pleae select the country your organisation operate from. " xr:uid="{1B6C441B-A34D-4514-84A0-51D1C5D704C8}">
          <x14:formula1>
            <xm:f>Data!$AB$3:$AB$34</xm:f>
          </x14:formula1>
          <xm:sqref>G4:H4</xm:sqref>
        </x14:dataValidation>
        <x14:dataValidation type="list" allowBlank="1" showInputMessage="1" showErrorMessage="1" promptTitle="Industry sector" prompt="Please select the industry your organisaiton operate in" xr:uid="{4834EBD9-CBD5-49BA-89E8-3B0E586B84DC}">
          <x14:formula1>
            <xm:f>Data!$AD$3:$AD$40</xm:f>
          </x14:formula1>
          <xm:sqref>G5:H5</xm:sqref>
        </x14:dataValidation>
        <x14:dataValidation type="list" allowBlank="1" showInputMessage="1" showErrorMessage="1" promptTitle="Select next target" prompt="Select the appropriate target for your organisation within the time frame. " xr:uid="{5195956B-F199-45A2-85B7-7AE53B009517}">
          <x14:formula1>
            <xm:f>Data!$R$3:$R$5</xm:f>
          </x14:formula1>
          <xm:sqref>K31:L31</xm:sqref>
        </x14:dataValidation>
        <x14:dataValidation type="list" allowBlank="1" showInputMessage="1" showErrorMessage="1" promptTitle="Select next target" prompt="Select the appropriate target for your organisation within the time frame. " xr:uid="{070E39C4-09BF-4E8D-8110-40408298371B}">
          <x14:formula1>
            <xm:f>Data!$Z$3:$Z$5</xm:f>
          </x14:formula1>
          <xm:sqref>K32:L32</xm:sqref>
        </x14:dataValidation>
        <x14:dataValidation type="list" allowBlank="1" showInputMessage="1" showErrorMessage="1" xr:uid="{A2357D89-499F-4CB2-ADEB-B07DB57A656D}">
          <x14:formula1>
            <xm:f>Data!$AM$3:$AM$4</xm:f>
          </x14:formula1>
          <xm:sqref>F67</xm:sqref>
        </x14:dataValidation>
        <x14:dataValidation type="list" allowBlank="1" showInputMessage="1" showErrorMessage="1" xr:uid="{4535DF72-A016-46B9-9E79-69E7C4A3328C}">
          <x14:formula1>
            <xm:f>Data!$AI$3:$AI$8</xm:f>
          </x14:formula1>
          <xm:sqref>F65</xm:sqref>
        </x14:dataValidation>
        <x14:dataValidation type="list" allowBlank="1" showInputMessage="1" showErrorMessage="1" promptTitle="Transition Area" prompt="Please select the suitable transition area for the project" xr:uid="{C5B7E648-FE6B-4517-BDA3-ABAA37C8219A}">
          <x14:formula1>
            <xm:f>Data!$E$3:$E$16</xm:f>
          </x14:formula1>
          <xm:sqref>C37:C46</xm:sqref>
        </x14:dataValidation>
        <x14:dataValidation type="list" allowBlank="1" showInputMessage="1" showErrorMessage="1" promptTitle="Select next target" prompt="Select the appropriate target for your organisation within the time frame. " xr:uid="{2EAF1569-E34A-4C1D-A2F6-2F725F4953C3}">
          <x14:formula1>
            <xm:f>Data!$N$3:$N$5</xm:f>
          </x14:formula1>
          <xm:sqref>K30:L30</xm:sqref>
        </x14:dataValidation>
        <x14:dataValidation type="list" allowBlank="1" showInputMessage="1" showErrorMessage="1" xr:uid="{DC5A865D-263F-4837-8688-93EB697A5396}">
          <x14:formula1>
            <xm:f>Data!$AK$3:$AK$5</xm:f>
          </x14:formula1>
          <xm:sqref>F66</xm:sqref>
        </x14:dataValidation>
        <x14:dataValidation type="list" allowBlank="1" showInputMessage="1" showErrorMessage="1" xr:uid="{426640BF-CDC9-4EE5-B2FA-556E41914688}">
          <x14:formula1>
            <xm:f>Data!$AO$2:$AO$11</xm:f>
          </x14:formula1>
          <xm:sqref>F63</xm:sqref>
        </x14:dataValidation>
        <x14:dataValidation type="list" allowBlank="1" showInputMessage="1" showErrorMessage="1" promptTitle="Date" prompt="Select the year to achieve the target" xr:uid="{A787B9F9-BDB1-4C9F-9C21-8134CD70016B}">
          <x14:formula1>
            <xm:f>Data!$G$3:$G$9</xm:f>
          </x14:formula1>
          <xm:sqref>J15:J32</xm:sqref>
        </x14:dataValidation>
        <x14:dataValidation type="list" errorStyle="information" allowBlank="1" showInputMessage="1" showErrorMessage="1" prompt="Please select a NACE Level I Sector" xr:uid="{7FBFD280-0AFE-4706-A093-E113AC257624}">
          <x14:formula1>
            <xm:f>OFFSET(Data!$AQ$2,1,MATCH($F63,Data!$AQ$2:$AY$2,0)-1,COUNTA(OFFSET(Data!$AQ$2,1,MATCH(F63:H63,Data!$AQ$2:$AY$2,0)-1,35)),1)</xm:f>
          </x14:formula1>
          <xm:sqref>F64:K64</xm:sqref>
        </x14:dataValidation>
        <x14:dataValidation type="list" allowBlank="1" showInputMessage="1" showErrorMessage="1" prompt="Please select enabling technologies to support the project" xr:uid="{AEBEE26B-30D4-4A7E-9585-F96D0BC0C23D}">
          <x14:formula1>
            <xm:f>'Data 2'!$E$7:$E$106</xm:f>
          </x14:formula1>
          <xm:sqref>D50:F59</xm:sqref>
        </x14:dataValidation>
        <x14:dataValidation type="list" allowBlank="1" showInputMessage="1" showErrorMessage="1" prompt="Please select the identified project. If multiple technologies are used on the same project, please select the same project title as require to fill the technologies and benefits. " xr:uid="{634B951C-5FDD-4CE4-864A-11125434E7F5}">
          <x14:formula1>
            <xm:f>Data!$B$3:$B$12</xm:f>
          </x14:formula1>
          <xm:sqref>B50:C59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74AE-1408-4BC4-B50F-E1B59515D7D7}">
  <dimension ref="D1:N14"/>
  <sheetViews>
    <sheetView showGridLines="0" zoomScale="90" zoomScaleNormal="90" workbookViewId="0">
      <selection activeCell="I2" sqref="I2:N2"/>
    </sheetView>
  </sheetViews>
  <sheetFormatPr defaultColWidth="8.85546875" defaultRowHeight="14.45"/>
  <cols>
    <col min="1" max="1" width="6" customWidth="1"/>
    <col min="2" max="2" width="7.28515625" customWidth="1"/>
    <col min="3" max="3" width="6.28515625" customWidth="1"/>
    <col min="4" max="4" width="22.7109375" customWidth="1"/>
    <col min="5" max="5" width="19.28515625" customWidth="1"/>
    <col min="6" max="13" width="15.7109375" customWidth="1"/>
    <col min="14" max="14" width="20.7109375" customWidth="1"/>
  </cols>
  <sheetData>
    <row r="1" spans="4:14" ht="18.600000000000001" customHeight="1"/>
    <row r="2" spans="4:14" ht="45" customHeight="1" thickBot="1">
      <c r="D2" s="370" t="str">
        <f>'ST Plan'!C4</f>
        <v>Spika Tech</v>
      </c>
      <c r="E2" s="370"/>
      <c r="F2" s="370"/>
      <c r="G2" s="370"/>
      <c r="H2" s="370"/>
      <c r="I2" s="371" t="s">
        <v>113</v>
      </c>
      <c r="J2" s="371"/>
      <c r="K2" s="371"/>
      <c r="L2" s="371"/>
      <c r="M2" s="371"/>
      <c r="N2" s="371"/>
    </row>
    <row r="3" spans="4:14" ht="34.15" customHeight="1" thickBot="1">
      <c r="D3" s="25" t="s">
        <v>114</v>
      </c>
      <c r="E3" s="25" t="s">
        <v>115</v>
      </c>
      <c r="F3" s="368" t="s">
        <v>116</v>
      </c>
      <c r="G3" s="369"/>
      <c r="H3" s="369"/>
      <c r="I3" s="369"/>
      <c r="J3" s="369"/>
      <c r="K3" s="369"/>
      <c r="L3" s="369"/>
      <c r="M3" s="369"/>
      <c r="N3" s="25" t="s">
        <v>117</v>
      </c>
    </row>
    <row r="4" spans="4:14" ht="30" customHeight="1" thickBot="1">
      <c r="D4" s="7" t="str">
        <f>'ST Plan'!C37</f>
        <v>Increase Productivity</v>
      </c>
      <c r="E4" s="55" t="e" cm="1">
        <f t="array" ref="E4:E13">VLOOKUP(D4:D13,'ST Plan'!U37:V46,2,FALSE)</f>
        <v>#N/A</v>
      </c>
      <c r="F4" s="26" t="str">
        <f>IF(F$14='ST Plan'!$R37,'ST Plan'!$D37,"")</f>
        <v/>
      </c>
      <c r="G4" s="26" t="str">
        <f>IF(G$14='ST Plan'!$R37,'ST Plan'!$D37,"")</f>
        <v/>
      </c>
      <c r="H4" s="26" t="str">
        <f>IF(H$14='ST Plan'!$R37,'ST Plan'!$D37,"")</f>
        <v/>
      </c>
      <c r="I4" s="26" t="str">
        <f>IF(I$14='ST Plan'!$R37,'ST Plan'!$D37,"")</f>
        <v>VR-CARDIO</v>
      </c>
      <c r="J4" s="26" t="str">
        <f>IF(J$14='ST Plan'!$R37,'ST Plan'!$D37,"")</f>
        <v/>
      </c>
      <c r="K4" s="26" t="str">
        <f>IF(K$14='ST Plan'!$R37,'ST Plan'!$D37,"")</f>
        <v/>
      </c>
      <c r="L4" s="26" t="str">
        <f>IF(L$14='ST Plan'!$R37,'ST Plan'!$D37,"")</f>
        <v/>
      </c>
      <c r="M4" s="26" t="str">
        <f>IF(M$14='ST Plan'!$R37,'ST Plan'!$D37,"")</f>
        <v/>
      </c>
      <c r="N4" s="8" t="e" cm="1">
        <f t="array" ref="N4:N13">VLOOKUP(D4:D13,'ST Plan'!U37:W46,3,FALSE)</f>
        <v>#N/A</v>
      </c>
    </row>
    <row r="5" spans="4:14" ht="30" customHeight="1" thickBot="1">
      <c r="D5" s="7">
        <f>'ST Plan'!C38</f>
        <v>0</v>
      </c>
      <c r="E5" s="55" t="e">
        <v>#N/A</v>
      </c>
      <c r="F5" s="26" t="str">
        <f>IF(F$14='ST Plan'!$R38,'ST Plan'!$D38,"")</f>
        <v/>
      </c>
      <c r="G5" s="26" t="str">
        <f>IF(G$14='ST Plan'!$R38,'ST Plan'!$D38,"")</f>
        <v/>
      </c>
      <c r="H5" s="26" t="str">
        <f>IF(H$14='ST Plan'!$R38,'ST Plan'!$D38,"")</f>
        <v/>
      </c>
      <c r="I5" s="26" t="str">
        <f>IF(I$14='ST Plan'!$R38,'ST Plan'!$D38,"")</f>
        <v/>
      </c>
      <c r="J5" s="26" t="str">
        <f>IF(J$14='ST Plan'!$R38,'ST Plan'!$D38,"")</f>
        <v/>
      </c>
      <c r="K5" s="26" t="str">
        <f>IF(K$14='ST Plan'!$R38,'ST Plan'!$D38,"")</f>
        <v/>
      </c>
      <c r="L5" s="26" t="str">
        <f>IF(L$14='ST Plan'!$R38,'ST Plan'!$D38,"")</f>
        <v/>
      </c>
      <c r="M5" s="26" t="str">
        <f>IF(M$14='ST Plan'!$R38,'ST Plan'!$D38,"")</f>
        <v/>
      </c>
      <c r="N5" s="8" t="e">
        <v>#N/A</v>
      </c>
    </row>
    <row r="6" spans="4:14" ht="30" customHeight="1" thickBot="1">
      <c r="D6" s="7">
        <f>'ST Plan'!C39</f>
        <v>0</v>
      </c>
      <c r="E6" s="55" t="e">
        <v>#N/A</v>
      </c>
      <c r="F6" s="26" t="str">
        <f>IF(F$14='ST Plan'!$R39,'ST Plan'!$D39,"")</f>
        <v/>
      </c>
      <c r="G6" s="26" t="str">
        <f>IF(G$14='ST Plan'!$R39,'ST Plan'!$D39,"")</f>
        <v/>
      </c>
      <c r="H6" s="26" t="str">
        <f>IF(H$14='ST Plan'!$R39,'ST Plan'!$D39,"")</f>
        <v/>
      </c>
      <c r="I6" s="26" t="str">
        <f>IF(I$14='ST Plan'!$R39,'ST Plan'!$D39,"")</f>
        <v/>
      </c>
      <c r="J6" s="26" t="str">
        <f>IF(J$14='ST Plan'!$R39,'ST Plan'!$D39,"")</f>
        <v/>
      </c>
      <c r="K6" s="26" t="str">
        <f>IF(K$14='ST Plan'!$R39,'ST Plan'!$D39,"")</f>
        <v/>
      </c>
      <c r="L6" s="26" t="str">
        <f>IF(L$14='ST Plan'!$R39,'ST Plan'!$D39,"")</f>
        <v/>
      </c>
      <c r="M6" s="26" t="str">
        <f>IF(M$14='ST Plan'!$R39,'ST Plan'!$D39,"")</f>
        <v/>
      </c>
      <c r="N6" s="8" t="e">
        <v>#N/A</v>
      </c>
    </row>
    <row r="7" spans="4:14" ht="30" customHeight="1" thickBot="1">
      <c r="D7" s="7">
        <f>'ST Plan'!C40</f>
        <v>0</v>
      </c>
      <c r="E7" s="55" t="e">
        <v>#N/A</v>
      </c>
      <c r="F7" s="26"/>
      <c r="G7" s="26" t="str">
        <f>IF(G$14='ST Plan'!$R40,'ST Plan'!$D40,"")</f>
        <v/>
      </c>
      <c r="H7" s="26" t="str">
        <f>IF(H$14='ST Plan'!$R40,'ST Plan'!$D40,"")</f>
        <v/>
      </c>
      <c r="I7" s="26" t="str">
        <f>IF(I$14='ST Plan'!$R40,'ST Plan'!$D40,"")</f>
        <v/>
      </c>
      <c r="J7" s="26" t="str">
        <f>IF(J$14='ST Plan'!$R40,'ST Plan'!$D40,"")</f>
        <v/>
      </c>
      <c r="K7" s="26" t="str">
        <f>IF(K$14='ST Plan'!$R40,'ST Plan'!$D40,"")</f>
        <v/>
      </c>
      <c r="L7" s="26" t="str">
        <f>IF(L$14='ST Plan'!$R40,'ST Plan'!$D40,"")</f>
        <v/>
      </c>
      <c r="M7" s="26" t="str">
        <f>IF(M$14='ST Plan'!$R40,'ST Plan'!$D40,"")</f>
        <v/>
      </c>
      <c r="N7" s="8" t="e">
        <v>#N/A</v>
      </c>
    </row>
    <row r="8" spans="4:14" ht="30" customHeight="1" thickBot="1">
      <c r="D8" s="7">
        <f>'ST Plan'!C41</f>
        <v>0</v>
      </c>
      <c r="E8" s="55" t="e">
        <v>#N/A</v>
      </c>
      <c r="F8" s="26" t="str">
        <f>IF(F$14='ST Plan'!$R41,'ST Plan'!$D41,"")</f>
        <v/>
      </c>
      <c r="G8" s="26" t="str">
        <f>IF(G$14='ST Plan'!$R41,'ST Plan'!$D41,"")</f>
        <v/>
      </c>
      <c r="H8" s="26" t="str">
        <f>IF(H$14='ST Plan'!$R41,'ST Plan'!$D41,"")</f>
        <v/>
      </c>
      <c r="I8" s="26" t="str">
        <f>IF(I$14='ST Plan'!$R41,'ST Plan'!$D41,"")</f>
        <v/>
      </c>
      <c r="J8" s="26" t="str">
        <f>IF(J$14='ST Plan'!$R41,'ST Plan'!$D41,"")</f>
        <v/>
      </c>
      <c r="K8" s="26" t="str">
        <f>IF(K$14='ST Plan'!$R41,'ST Plan'!$D41,"")</f>
        <v/>
      </c>
      <c r="L8" s="26" t="str">
        <f>IF(L$14='ST Plan'!$R41,'ST Plan'!$D41,"")</f>
        <v/>
      </c>
      <c r="M8" s="26" t="str">
        <f>IF(M$14='ST Plan'!$R41,'ST Plan'!$D41,"")</f>
        <v/>
      </c>
      <c r="N8" s="8" t="e">
        <v>#N/A</v>
      </c>
    </row>
    <row r="9" spans="4:14" ht="30" customHeight="1" thickBot="1">
      <c r="D9" s="7">
        <f>'ST Plan'!C42</f>
        <v>0</v>
      </c>
      <c r="E9" s="56" t="e">
        <v>#N/A</v>
      </c>
      <c r="F9" s="26" t="str">
        <f>IF(F$14='ST Plan'!$R42,'ST Plan'!$D42,"")</f>
        <v/>
      </c>
      <c r="G9" s="26" t="str">
        <f>IF(G$14='ST Plan'!$R42,'ST Plan'!$D42,"")</f>
        <v/>
      </c>
      <c r="H9" s="26" t="str">
        <f>IF(H$14='ST Plan'!$R42,'ST Plan'!$D42,"")</f>
        <v/>
      </c>
      <c r="I9" s="26" t="str">
        <f>IF(I$14='ST Plan'!$R42,'ST Plan'!$D42,"")</f>
        <v/>
      </c>
      <c r="J9" s="26" t="str">
        <f>IF(J$14='ST Plan'!$R42,'ST Plan'!$D42,"")</f>
        <v/>
      </c>
      <c r="K9" s="26" t="str">
        <f>IF(K$14='ST Plan'!$R42,'ST Plan'!$D42,"")</f>
        <v/>
      </c>
      <c r="L9" s="26" t="str">
        <f>IF(L$14='ST Plan'!$R42,'ST Plan'!$D42,"")</f>
        <v/>
      </c>
      <c r="M9" s="26" t="str">
        <f>IF(M$14='ST Plan'!$R42,'ST Plan'!$D42,"")</f>
        <v/>
      </c>
      <c r="N9" s="9" t="e">
        <v>#N/A</v>
      </c>
    </row>
    <row r="10" spans="4:14" ht="30" customHeight="1" thickBot="1">
      <c r="D10" s="7">
        <f>'ST Plan'!C43</f>
        <v>0</v>
      </c>
      <c r="E10" s="56" t="e">
        <v>#N/A</v>
      </c>
      <c r="F10" s="26" t="str">
        <f>IF(F$14='ST Plan'!$R43,'ST Plan'!$D43,"")</f>
        <v/>
      </c>
      <c r="G10" s="26" t="str">
        <f>IF(G$14='ST Plan'!$R43,'ST Plan'!$D43,"")</f>
        <v/>
      </c>
      <c r="H10" s="26" t="str">
        <f>IF(H$14='ST Plan'!$R43,'ST Plan'!$D43,"")</f>
        <v/>
      </c>
      <c r="I10" s="26" t="str">
        <f>IF(I$14='ST Plan'!$R43,'ST Plan'!$D43,"")</f>
        <v/>
      </c>
      <c r="J10" s="26" t="str">
        <f>IF(J$14='ST Plan'!$R43,'ST Plan'!$D43,"")</f>
        <v/>
      </c>
      <c r="K10" s="26" t="str">
        <f>IF(K$14='ST Plan'!$R43,'ST Plan'!$D43,"")</f>
        <v/>
      </c>
      <c r="L10" s="26" t="str">
        <f>IF(L$14='ST Plan'!$R43,'ST Plan'!$D43,"")</f>
        <v/>
      </c>
      <c r="M10" s="26" t="str">
        <f>IF(M$14='ST Plan'!$R43,'ST Plan'!$D43,"")</f>
        <v/>
      </c>
      <c r="N10" s="9" t="e">
        <v>#N/A</v>
      </c>
    </row>
    <row r="11" spans="4:14" ht="30" customHeight="1" thickBot="1">
      <c r="D11" s="7">
        <f>'ST Plan'!C44</f>
        <v>0</v>
      </c>
      <c r="E11" s="56" t="e">
        <v>#N/A</v>
      </c>
      <c r="F11" s="26" t="str">
        <f>IF(F$14='ST Plan'!$R44,'ST Plan'!$D44,"")</f>
        <v/>
      </c>
      <c r="G11" s="26"/>
      <c r="H11" s="26"/>
      <c r="I11" s="26"/>
      <c r="J11" s="26"/>
      <c r="K11" s="26"/>
      <c r="L11" s="26"/>
      <c r="M11" s="26"/>
      <c r="N11" s="9" t="e">
        <v>#N/A</v>
      </c>
    </row>
    <row r="12" spans="4:14" ht="30" customHeight="1" thickBot="1">
      <c r="D12" s="7">
        <f>'ST Plan'!C45</f>
        <v>0</v>
      </c>
      <c r="E12" s="56" t="e">
        <v>#N/A</v>
      </c>
      <c r="F12" s="26" t="str">
        <f>IF(F$14='ST Plan'!$R45,'ST Plan'!$D45,"")</f>
        <v/>
      </c>
      <c r="G12" s="26"/>
      <c r="H12" s="26"/>
      <c r="I12" s="26"/>
      <c r="J12" s="26"/>
      <c r="K12" s="26"/>
      <c r="L12" s="26"/>
      <c r="M12" s="26"/>
      <c r="N12" s="9" t="e">
        <v>#N/A</v>
      </c>
    </row>
    <row r="13" spans="4:14" ht="30" customHeight="1" thickBot="1">
      <c r="D13" s="7">
        <f>'ST Plan'!C46</f>
        <v>0</v>
      </c>
      <c r="E13" s="56" t="e">
        <v>#N/A</v>
      </c>
      <c r="F13" s="26"/>
      <c r="G13" s="26" t="str">
        <f>IF(G$14='ST Plan'!$R46,'ST Plan'!$D46,"")</f>
        <v/>
      </c>
      <c r="H13" s="26" t="str">
        <f>IF(H$14='ST Plan'!$R46,'ST Plan'!$D46,"")</f>
        <v/>
      </c>
      <c r="I13" s="26" t="str">
        <f>IF(I$14='ST Plan'!$R46,'ST Plan'!$D46,"")</f>
        <v/>
      </c>
      <c r="J13" s="26" t="str">
        <f>IF(J$14='ST Plan'!$R46,'ST Plan'!$D46,"")</f>
        <v/>
      </c>
      <c r="K13" s="26" t="str">
        <f>IF(K$14='ST Plan'!$R46,'ST Plan'!$D46,"")</f>
        <v/>
      </c>
      <c r="L13" s="26" t="str">
        <f>IF(L$14='ST Plan'!$R46,'ST Plan'!$D46,"")</f>
        <v/>
      </c>
      <c r="M13" s="26" t="str">
        <f>IF(M$14='ST Plan'!$R46,'ST Plan'!$D46,"")</f>
        <v/>
      </c>
      <c r="N13" s="9" t="e">
        <v>#N/A</v>
      </c>
    </row>
    <row r="14" spans="4:14" ht="25.15" customHeight="1" thickBot="1">
      <c r="D14" s="366"/>
      <c r="E14" s="367"/>
      <c r="F14" s="6">
        <v>2023</v>
      </c>
      <c r="G14" s="5">
        <v>2024</v>
      </c>
      <c r="H14" s="5">
        <v>2025</v>
      </c>
      <c r="I14" s="5">
        <v>2026</v>
      </c>
      <c r="J14" s="5">
        <v>2027</v>
      </c>
      <c r="K14" s="5">
        <v>2028</v>
      </c>
      <c r="L14" s="5">
        <v>2029</v>
      </c>
      <c r="M14" s="5">
        <v>2030</v>
      </c>
      <c r="N14" s="5">
        <v>2035</v>
      </c>
    </row>
  </sheetData>
  <sheetProtection algorithmName="SHA-512" hashValue="gf1tGlU6/k2BfNMBRebC08SOrFXYAt7B1YYNRvuccvJObCp628WoMKNkLw7vbTtLe5pViMIA2YrG9/8QcRrq0w==" saltValue="sFf0DT+JmXJ9vJOxyVpJ5g==" spinCount="100000" sheet="1" objects="1" scenarios="1"/>
  <mergeCells count="4">
    <mergeCell ref="D14:E14"/>
    <mergeCell ref="F3:M3"/>
    <mergeCell ref="D2:H2"/>
    <mergeCell ref="I2:N2"/>
  </mergeCells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" id="{F737C158-2621-4FAD-AD15-520A71D3D30A}">
            <xm:f>AND(F$14&gt;='ST Plan'!$R37,F$14&lt;='ST Plan'!$S37)</xm:f>
            <x14:dxf>
              <numFmt numFmtId="30" formatCode="@"/>
              <fill>
                <patternFill patternType="solid">
                  <bgColor theme="4"/>
                </patternFill>
              </fill>
              <border>
                <left/>
                <right/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F4:M8 G9:M11 F9:F13 G13:M13</xm:sqref>
        </x14:conditionalFormatting>
        <x14:conditionalFormatting xmlns:xm="http://schemas.microsoft.com/office/excel/2006/main">
          <x14:cfRule type="expression" priority="13" id="{F737C158-2621-4FAD-AD15-520A71D3D30A}">
            <xm:f>AND(F$14&gt;='ST Plan'!#REF!,F$14&lt;='ST Plan'!#REF!)</xm:f>
            <x14:dxf>
              <numFmt numFmtId="30" formatCode="@"/>
              <fill>
                <patternFill patternType="solid">
                  <bgColor theme="4"/>
                </patternFill>
              </fill>
              <border>
                <left/>
                <right/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F7:M7</xm:sqref>
        </x14:conditionalFormatting>
        <x14:conditionalFormatting xmlns:xm="http://schemas.microsoft.com/office/excel/2006/main">
          <x14:cfRule type="expression" priority="38" id="{F737C158-2621-4FAD-AD15-520A71D3D30A}">
            <xm:f>AND(F$14&gt;='ST Plan'!#REF!,F$14&lt;='ST Plan'!$X62)</xm:f>
            <x14:dxf>
              <numFmt numFmtId="30" formatCode="@"/>
              <fill>
                <patternFill patternType="solid">
                  <bgColor theme="4"/>
                </patternFill>
              </fill>
              <border>
                <left/>
                <right/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F8:M8 G9:M9 F9:F13 G12:M12</xm:sqref>
        </x14:conditionalFormatting>
        <x14:conditionalFormatting xmlns:xm="http://schemas.microsoft.com/office/excel/2006/main">
          <x14:cfRule type="expression" priority="42" id="{F737C158-2621-4FAD-AD15-520A71D3D30A}">
            <xm:f>AND(G$14&gt;='ST Plan'!#REF!,G$14&lt;='ST Plan'!$X65)</xm:f>
            <x14:dxf>
              <numFmt numFmtId="30" formatCode="@"/>
              <fill>
                <patternFill patternType="solid">
                  <bgColor theme="4"/>
                </patternFill>
              </fill>
              <border>
                <left/>
                <right/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G10:M11</xm:sqref>
        </x14:conditionalFormatting>
        <x14:conditionalFormatting xmlns:xm="http://schemas.microsoft.com/office/excel/2006/main">
          <x14:cfRule type="expression" priority="18" id="{F737C158-2621-4FAD-AD15-520A71D3D30A}">
            <xm:f>AND(G$14&gt;='ST Plan'!$R44,G$14&lt;='ST Plan'!$S44)</xm:f>
            <x14:dxf>
              <numFmt numFmtId="30" formatCode="@"/>
              <fill>
                <patternFill patternType="solid">
                  <bgColor theme="4"/>
                </patternFill>
              </fill>
              <border>
                <left/>
                <right/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G12:M12</xm:sqref>
        </x14:conditionalFormatting>
        <x14:conditionalFormatting xmlns:xm="http://schemas.microsoft.com/office/excel/2006/main">
          <x14:cfRule type="expression" priority="43" id="{F737C158-2621-4FAD-AD15-520A71D3D30A}">
            <xm:f>AND(G$14&gt;='ST Plan'!#REF!,G$14&lt;='ST Plan'!$X65)</xm:f>
            <x14:dxf>
              <numFmt numFmtId="30" formatCode="@"/>
              <fill>
                <patternFill patternType="solid">
                  <bgColor theme="4"/>
                </patternFill>
              </fill>
              <border>
                <left/>
                <right/>
                <top style="thin">
                  <color theme="0"/>
                </top>
                <bottom style="thin">
                  <color theme="0"/>
                </bottom>
              </border>
            </x14:dxf>
          </x14:cfRule>
          <xm:sqref>G13:M13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0FC0-B522-4F0A-8761-AC3418166D4B}">
  <dimension ref="B1:AY40"/>
  <sheetViews>
    <sheetView zoomScale="60" zoomScaleNormal="60" workbookViewId="0">
      <selection activeCell="C11" sqref="C11"/>
    </sheetView>
  </sheetViews>
  <sheetFormatPr defaultColWidth="8.85546875" defaultRowHeight="14.45"/>
  <cols>
    <col min="2" max="3" width="22.42578125" customWidth="1"/>
    <col min="4" max="4" width="14.5703125" customWidth="1"/>
    <col min="5" max="5" width="37.85546875" customWidth="1"/>
    <col min="10" max="10" width="45.140625" customWidth="1"/>
    <col min="12" max="12" width="36.140625" customWidth="1"/>
    <col min="13" max="13" width="4.42578125" customWidth="1"/>
    <col min="14" max="14" width="36.140625" customWidth="1"/>
    <col min="16" max="16" width="32.7109375" customWidth="1"/>
    <col min="17" max="17" width="6.28515625" customWidth="1"/>
    <col min="18" max="18" width="32.7109375" customWidth="1"/>
    <col min="20" max="20" width="34.140625" customWidth="1"/>
    <col min="22" max="22" width="30.28515625" customWidth="1"/>
    <col min="24" max="24" width="33.42578125" customWidth="1"/>
    <col min="25" max="25" width="6.7109375" customWidth="1"/>
    <col min="26" max="26" width="33.42578125" customWidth="1"/>
    <col min="28" max="28" width="26.28515625" customWidth="1"/>
    <col min="30" max="30" width="82.7109375" customWidth="1"/>
    <col min="35" max="35" width="51.42578125" customWidth="1"/>
    <col min="37" max="37" width="21.28515625" customWidth="1"/>
    <col min="39" max="39" width="31" customWidth="1"/>
    <col min="41" max="41" width="49.5703125" customWidth="1"/>
    <col min="43" max="43" width="73.7109375" customWidth="1"/>
    <col min="44" max="44" width="43.28515625" customWidth="1"/>
    <col min="45" max="49" width="25.7109375" customWidth="1"/>
    <col min="50" max="50" width="42.7109375" customWidth="1"/>
    <col min="51" max="51" width="57" customWidth="1"/>
    <col min="52" max="52" width="8.85546875" customWidth="1"/>
  </cols>
  <sheetData>
    <row r="1" spans="2:51">
      <c r="AO1" t="s">
        <v>118</v>
      </c>
    </row>
    <row r="2" spans="2:51">
      <c r="B2" t="s">
        <v>75</v>
      </c>
      <c r="E2" t="s">
        <v>119</v>
      </c>
      <c r="G2" t="s">
        <v>120</v>
      </c>
      <c r="J2" t="s">
        <v>121</v>
      </c>
      <c r="L2" t="s">
        <v>122</v>
      </c>
      <c r="N2" s="51" t="s">
        <v>123</v>
      </c>
      <c r="P2" t="s">
        <v>124</v>
      </c>
      <c r="R2" t="s">
        <v>125</v>
      </c>
      <c r="T2" t="s">
        <v>126</v>
      </c>
      <c r="V2" t="s">
        <v>127</v>
      </c>
      <c r="X2" t="s">
        <v>128</v>
      </c>
      <c r="Z2" t="s">
        <v>129</v>
      </c>
      <c r="AB2" s="39" t="s">
        <v>130</v>
      </c>
      <c r="AD2" s="39" t="s">
        <v>131</v>
      </c>
      <c r="AG2" t="s">
        <v>132</v>
      </c>
      <c r="AI2" t="s">
        <v>133</v>
      </c>
      <c r="AK2" t="s">
        <v>134</v>
      </c>
      <c r="AM2" t="s">
        <v>135</v>
      </c>
      <c r="AO2" t="s">
        <v>136</v>
      </c>
      <c r="AQ2" s="53" t="s">
        <v>136</v>
      </c>
      <c r="AR2" s="53" t="s">
        <v>137</v>
      </c>
      <c r="AS2" s="53" t="s">
        <v>138</v>
      </c>
      <c r="AT2" s="53" t="s">
        <v>139</v>
      </c>
      <c r="AU2" s="53" t="s">
        <v>140</v>
      </c>
      <c r="AV2" s="53" t="s">
        <v>141</v>
      </c>
      <c r="AW2" s="53" t="s">
        <v>142</v>
      </c>
      <c r="AX2" s="53" t="s">
        <v>143</v>
      </c>
      <c r="AY2" s="53" t="s">
        <v>104</v>
      </c>
    </row>
    <row r="3" spans="2:51">
      <c r="B3" t="str" cm="1">
        <f t="array" ref="B3:C3">'ST Plan'!D37:E37</f>
        <v>VR-CARDIO</v>
      </c>
      <c r="C3">
        <v>0</v>
      </c>
      <c r="E3" s="49" t="s">
        <v>144</v>
      </c>
      <c r="G3">
        <v>2024</v>
      </c>
      <c r="J3" t="s">
        <v>48</v>
      </c>
      <c r="L3" t="s">
        <v>53</v>
      </c>
      <c r="N3" t="s">
        <v>145</v>
      </c>
      <c r="P3" t="s">
        <v>56</v>
      </c>
      <c r="R3" t="s">
        <v>57</v>
      </c>
      <c r="T3" t="s">
        <v>51</v>
      </c>
      <c r="V3" t="s">
        <v>46</v>
      </c>
      <c r="X3" t="s">
        <v>60</v>
      </c>
      <c r="Z3" t="s">
        <v>54</v>
      </c>
      <c r="AB3" s="40" t="s">
        <v>146</v>
      </c>
      <c r="AD3" s="40" t="s">
        <v>147</v>
      </c>
      <c r="AG3" t="s">
        <v>148</v>
      </c>
      <c r="AI3" t="s">
        <v>149</v>
      </c>
      <c r="AK3" t="s">
        <v>150</v>
      </c>
      <c r="AM3" t="s">
        <v>151</v>
      </c>
      <c r="AO3" t="s">
        <v>137</v>
      </c>
      <c r="AQ3" s="52" t="s">
        <v>152</v>
      </c>
      <c r="AR3" s="52" t="s">
        <v>153</v>
      </c>
      <c r="AS3" s="52" t="s">
        <v>154</v>
      </c>
      <c r="AT3" s="52" t="s">
        <v>155</v>
      </c>
      <c r="AU3" s="52" t="s">
        <v>156</v>
      </c>
      <c r="AV3" s="52" t="s">
        <v>157</v>
      </c>
      <c r="AW3" s="52" t="s">
        <v>158</v>
      </c>
      <c r="AX3" s="52" t="s">
        <v>159</v>
      </c>
      <c r="AY3" s="52" t="s">
        <v>106</v>
      </c>
    </row>
    <row r="4" spans="2:51" ht="43.15">
      <c r="B4" cm="1">
        <f t="array" ref="B4:C4">'ST Plan'!D38:E38</f>
        <v>0</v>
      </c>
      <c r="C4">
        <v>0</v>
      </c>
      <c r="E4" t="s">
        <v>47</v>
      </c>
      <c r="G4">
        <v>2025</v>
      </c>
      <c r="J4" t="s">
        <v>160</v>
      </c>
      <c r="L4" t="s">
        <v>161</v>
      </c>
      <c r="N4" t="s">
        <v>54</v>
      </c>
      <c r="P4" t="s">
        <v>162</v>
      </c>
      <c r="R4" t="s">
        <v>163</v>
      </c>
      <c r="T4" t="s">
        <v>164</v>
      </c>
      <c r="V4" t="s">
        <v>165</v>
      </c>
      <c r="X4" t="s">
        <v>166</v>
      </c>
      <c r="Z4" t="s">
        <v>61</v>
      </c>
      <c r="AB4" s="40" t="s">
        <v>167</v>
      </c>
      <c r="AD4" s="40" t="s">
        <v>168</v>
      </c>
      <c r="AG4" t="s">
        <v>169</v>
      </c>
      <c r="AI4" t="s">
        <v>170</v>
      </c>
      <c r="AK4" t="s">
        <v>171</v>
      </c>
      <c r="AM4" t="s">
        <v>112</v>
      </c>
      <c r="AO4" t="s">
        <v>138</v>
      </c>
      <c r="AQ4" s="54" t="s">
        <v>172</v>
      </c>
      <c r="AR4" s="54"/>
      <c r="AS4" s="54" t="s">
        <v>173</v>
      </c>
      <c r="AT4" s="54" t="s">
        <v>174</v>
      </c>
      <c r="AU4" s="54" t="s">
        <v>175</v>
      </c>
      <c r="AV4" s="54" t="s">
        <v>176</v>
      </c>
      <c r="AW4" s="54" t="s">
        <v>177</v>
      </c>
      <c r="AX4" s="54" t="s">
        <v>178</v>
      </c>
      <c r="AY4" s="54" t="s">
        <v>179</v>
      </c>
    </row>
    <row r="5" spans="2:51" ht="43.15">
      <c r="B5" cm="1">
        <f t="array" ref="B5:C5">'ST Plan'!D39:E39</f>
        <v>0</v>
      </c>
      <c r="C5">
        <v>0</v>
      </c>
      <c r="E5" t="s">
        <v>26</v>
      </c>
      <c r="G5">
        <v>2026</v>
      </c>
      <c r="J5" t="s">
        <v>180</v>
      </c>
      <c r="L5" t="s">
        <v>181</v>
      </c>
      <c r="N5" t="s">
        <v>182</v>
      </c>
      <c r="P5" t="s">
        <v>183</v>
      </c>
      <c r="R5" t="s">
        <v>145</v>
      </c>
      <c r="T5" t="s">
        <v>184</v>
      </c>
      <c r="V5" t="s">
        <v>185</v>
      </c>
      <c r="X5" t="s">
        <v>186</v>
      </c>
      <c r="Z5" t="s">
        <v>187</v>
      </c>
      <c r="AB5" s="40" t="s">
        <v>188</v>
      </c>
      <c r="AD5" s="40" t="s">
        <v>189</v>
      </c>
      <c r="AI5" t="s">
        <v>190</v>
      </c>
      <c r="AK5" t="s">
        <v>110</v>
      </c>
      <c r="AO5" t="s">
        <v>139</v>
      </c>
      <c r="AQ5" s="54" t="s">
        <v>191</v>
      </c>
      <c r="AR5" s="54"/>
      <c r="AS5" s="54" t="s">
        <v>192</v>
      </c>
      <c r="AT5" s="54" t="s">
        <v>193</v>
      </c>
      <c r="AU5" s="54" t="s">
        <v>194</v>
      </c>
      <c r="AV5" s="54" t="s">
        <v>195</v>
      </c>
      <c r="AW5" s="54" t="s">
        <v>196</v>
      </c>
      <c r="AX5" s="54"/>
      <c r="AY5" s="54" t="s">
        <v>197</v>
      </c>
    </row>
    <row r="6" spans="2:51" ht="72">
      <c r="B6" cm="1">
        <f t="array" ref="B6:C6">'ST Plan'!D40:E40</f>
        <v>0</v>
      </c>
      <c r="C6">
        <v>0</v>
      </c>
      <c r="E6" t="s">
        <v>45</v>
      </c>
      <c r="G6">
        <v>2027</v>
      </c>
      <c r="J6" t="s">
        <v>198</v>
      </c>
      <c r="L6" t="s">
        <v>199</v>
      </c>
      <c r="P6" t="s">
        <v>200</v>
      </c>
      <c r="T6" t="s">
        <v>201</v>
      </c>
      <c r="V6" t="s">
        <v>202</v>
      </c>
      <c r="X6" t="s">
        <v>203</v>
      </c>
      <c r="AB6" s="40" t="s">
        <v>204</v>
      </c>
      <c r="AD6" s="40" t="s">
        <v>205</v>
      </c>
      <c r="AI6" t="s">
        <v>206</v>
      </c>
      <c r="AO6" t="s">
        <v>140</v>
      </c>
      <c r="AQ6" s="54" t="s">
        <v>207</v>
      </c>
      <c r="AR6" s="54"/>
      <c r="AS6" s="54" t="s">
        <v>208</v>
      </c>
      <c r="AT6" s="54" t="s">
        <v>209</v>
      </c>
      <c r="AU6" s="54" t="s">
        <v>210</v>
      </c>
      <c r="AV6" s="54" t="s">
        <v>211</v>
      </c>
      <c r="AW6" s="54" t="s">
        <v>212</v>
      </c>
      <c r="AX6" s="54"/>
      <c r="AY6" s="54"/>
    </row>
    <row r="7" spans="2:51" ht="86.45">
      <c r="B7" cm="1">
        <f t="array" ref="B7:C7">'ST Plan'!D41:E41</f>
        <v>0</v>
      </c>
      <c r="C7">
        <v>0</v>
      </c>
      <c r="E7" t="s">
        <v>50</v>
      </c>
      <c r="G7">
        <v>2028</v>
      </c>
      <c r="AB7" s="40" t="s">
        <v>213</v>
      </c>
      <c r="AD7" s="40" t="s">
        <v>214</v>
      </c>
      <c r="AI7" t="s">
        <v>215</v>
      </c>
      <c r="AO7" t="s">
        <v>141</v>
      </c>
      <c r="AQ7" s="54"/>
      <c r="AR7" s="54"/>
      <c r="AS7" s="54" t="s">
        <v>216</v>
      </c>
      <c r="AT7" s="54" t="s">
        <v>217</v>
      </c>
      <c r="AU7" s="54" t="s">
        <v>218</v>
      </c>
      <c r="AV7" s="54" t="s">
        <v>219</v>
      </c>
      <c r="AW7" s="54" t="s">
        <v>220</v>
      </c>
      <c r="AX7" s="54"/>
      <c r="AY7" s="54"/>
    </row>
    <row r="8" spans="2:51" ht="43.15">
      <c r="B8" cm="1">
        <f t="array" ref="B8:C8">'ST Plan'!D42:E42</f>
        <v>0</v>
      </c>
      <c r="C8">
        <v>0</v>
      </c>
      <c r="E8" t="s">
        <v>221</v>
      </c>
      <c r="G8">
        <v>2029</v>
      </c>
      <c r="AB8" s="40" t="s">
        <v>222</v>
      </c>
      <c r="AD8" s="40" t="s">
        <v>223</v>
      </c>
      <c r="AI8" t="s">
        <v>108</v>
      </c>
      <c r="AO8" t="s">
        <v>142</v>
      </c>
      <c r="AQ8" s="54"/>
      <c r="AR8" s="54"/>
      <c r="AS8" s="54" t="s">
        <v>224</v>
      </c>
      <c r="AT8" s="54" t="s">
        <v>225</v>
      </c>
      <c r="AU8" s="54" t="s">
        <v>226</v>
      </c>
      <c r="AV8" s="54" t="s">
        <v>227</v>
      </c>
      <c r="AW8" s="54" t="s">
        <v>228</v>
      </c>
      <c r="AX8" s="54"/>
      <c r="AY8" s="54"/>
    </row>
    <row r="9" spans="2:51" ht="43.15">
      <c r="B9" cm="1">
        <f t="array" ref="B9:C9">'ST Plan'!D43:E43</f>
        <v>0</v>
      </c>
      <c r="C9">
        <v>0</v>
      </c>
      <c r="E9" t="s">
        <v>229</v>
      </c>
      <c r="G9">
        <v>2030</v>
      </c>
      <c r="AB9" s="40" t="s">
        <v>230</v>
      </c>
      <c r="AD9" s="40" t="s">
        <v>231</v>
      </c>
      <c r="AO9" t="s">
        <v>143</v>
      </c>
      <c r="AQ9" s="54"/>
      <c r="AR9" s="54"/>
      <c r="AS9" s="54" t="s">
        <v>232</v>
      </c>
      <c r="AT9" s="54" t="s">
        <v>233</v>
      </c>
      <c r="AU9" s="54" t="s">
        <v>234</v>
      </c>
      <c r="AV9" s="54" t="s">
        <v>235</v>
      </c>
      <c r="AW9" s="54" t="s">
        <v>236</v>
      </c>
      <c r="AX9" s="54"/>
      <c r="AY9" s="54"/>
    </row>
    <row r="10" spans="2:51" ht="28.9">
      <c r="B10" cm="1">
        <f t="array" ref="B10:C10">'ST Plan'!D44:E44</f>
        <v>0</v>
      </c>
      <c r="C10">
        <v>0</v>
      </c>
      <c r="E10" t="s">
        <v>79</v>
      </c>
      <c r="AB10" s="40" t="s">
        <v>237</v>
      </c>
      <c r="AD10" s="40" t="s">
        <v>238</v>
      </c>
      <c r="AO10" t="s">
        <v>104</v>
      </c>
      <c r="AQ10" s="54"/>
      <c r="AR10" s="54"/>
      <c r="AS10" s="54" t="s">
        <v>239</v>
      </c>
      <c r="AT10" s="54" t="s">
        <v>240</v>
      </c>
      <c r="AU10" s="54" t="s">
        <v>241</v>
      </c>
      <c r="AV10" s="54" t="s">
        <v>242</v>
      </c>
      <c r="AW10" s="54"/>
      <c r="AX10" s="54"/>
      <c r="AY10" s="54"/>
    </row>
    <row r="11" spans="2:51" ht="43.15">
      <c r="B11" cm="1">
        <f t="array" ref="B11:C11">'ST Plan'!D45:E45</f>
        <v>0</v>
      </c>
      <c r="C11">
        <v>0</v>
      </c>
      <c r="E11" t="s">
        <v>38</v>
      </c>
      <c r="AB11" s="40" t="s">
        <v>243</v>
      </c>
      <c r="AD11" s="40" t="s">
        <v>244</v>
      </c>
      <c r="AO11" t="s">
        <v>245</v>
      </c>
      <c r="AQ11" s="54"/>
      <c r="AR11" s="54"/>
      <c r="AS11" s="54" t="s">
        <v>246</v>
      </c>
      <c r="AT11" s="54" t="s">
        <v>247</v>
      </c>
      <c r="AU11" s="54" t="s">
        <v>248</v>
      </c>
      <c r="AV11" s="54" t="s">
        <v>249</v>
      </c>
      <c r="AW11" s="54"/>
      <c r="AX11" s="54"/>
      <c r="AY11" s="54"/>
    </row>
    <row r="12" spans="2:51" ht="57.6">
      <c r="B12" cm="1">
        <f t="array" ref="B12:C12">'ST Plan'!D46:E46</f>
        <v>0</v>
      </c>
      <c r="C12">
        <v>0</v>
      </c>
      <c r="E12" t="s">
        <v>55</v>
      </c>
      <c r="AB12" s="40" t="s">
        <v>250</v>
      </c>
      <c r="AD12" s="40" t="s">
        <v>251</v>
      </c>
      <c r="AQ12" s="54"/>
      <c r="AR12" s="54"/>
      <c r="AS12" s="54" t="s">
        <v>252</v>
      </c>
      <c r="AT12" s="54" t="s">
        <v>253</v>
      </c>
      <c r="AU12" s="54" t="s">
        <v>254</v>
      </c>
      <c r="AV12" s="54" t="s">
        <v>255</v>
      </c>
      <c r="AW12" s="54"/>
      <c r="AX12" s="54"/>
      <c r="AY12" s="54"/>
    </row>
    <row r="13" spans="2:51" ht="28.9">
      <c r="E13" t="s">
        <v>52</v>
      </c>
      <c r="AB13" s="40" t="s">
        <v>256</v>
      </c>
      <c r="AD13" s="40" t="s">
        <v>257</v>
      </c>
      <c r="AQ13" s="54"/>
      <c r="AR13" s="54"/>
      <c r="AS13" s="54" t="s">
        <v>258</v>
      </c>
      <c r="AT13" s="54" t="s">
        <v>259</v>
      </c>
      <c r="AU13" s="54" t="s">
        <v>260</v>
      </c>
      <c r="AV13" s="54" t="s">
        <v>261</v>
      </c>
      <c r="AW13" s="54"/>
      <c r="AX13" s="54"/>
      <c r="AY13" s="54"/>
    </row>
    <row r="14" spans="2:51" ht="43.15">
      <c r="E14" t="s">
        <v>40</v>
      </c>
      <c r="AB14" s="40" t="s">
        <v>262</v>
      </c>
      <c r="AD14" s="40" t="s">
        <v>9</v>
      </c>
      <c r="AQ14" s="54"/>
      <c r="AR14" s="54"/>
      <c r="AS14" s="54" t="s">
        <v>263</v>
      </c>
      <c r="AT14" s="54" t="s">
        <v>264</v>
      </c>
      <c r="AU14" s="54" t="s">
        <v>265</v>
      </c>
      <c r="AV14" s="54" t="s">
        <v>266</v>
      </c>
      <c r="AW14" s="54"/>
      <c r="AX14" s="54"/>
      <c r="AY14" s="54"/>
    </row>
    <row r="15" spans="2:51" ht="43.15">
      <c r="E15" t="s">
        <v>34</v>
      </c>
      <c r="AB15" s="40" t="s">
        <v>267</v>
      </c>
      <c r="AD15" s="40" t="s">
        <v>268</v>
      </c>
      <c r="AQ15" s="54"/>
      <c r="AR15" s="54"/>
      <c r="AS15" s="54" t="s">
        <v>269</v>
      </c>
      <c r="AT15" s="54" t="s">
        <v>270</v>
      </c>
      <c r="AU15" s="54"/>
      <c r="AV15" s="54" t="s">
        <v>271</v>
      </c>
      <c r="AW15" s="54"/>
      <c r="AX15" s="54"/>
      <c r="AY15" s="54"/>
    </row>
    <row r="16" spans="2:51" ht="57.6">
      <c r="E16" t="s">
        <v>272</v>
      </c>
      <c r="AB16" s="40" t="s">
        <v>273</v>
      </c>
      <c r="AD16" s="40" t="s">
        <v>274</v>
      </c>
      <c r="AQ16" s="54"/>
      <c r="AR16" s="54"/>
      <c r="AS16" s="54" t="s">
        <v>275</v>
      </c>
      <c r="AT16" s="54" t="s">
        <v>276</v>
      </c>
      <c r="AU16" s="54"/>
      <c r="AV16" s="54" t="s">
        <v>277</v>
      </c>
      <c r="AW16" s="54"/>
      <c r="AX16" s="54"/>
      <c r="AY16" s="54"/>
    </row>
    <row r="17" spans="28:51" ht="43.15">
      <c r="AB17" s="40" t="s">
        <v>278</v>
      </c>
      <c r="AD17" s="40" t="s">
        <v>279</v>
      </c>
      <c r="AQ17" s="54"/>
      <c r="AR17" s="54"/>
      <c r="AS17" s="54" t="s">
        <v>280</v>
      </c>
      <c r="AT17" s="54" t="s">
        <v>281</v>
      </c>
      <c r="AU17" s="54"/>
      <c r="AV17" s="54" t="s">
        <v>282</v>
      </c>
      <c r="AW17" s="54"/>
      <c r="AX17" s="54"/>
      <c r="AY17" s="54"/>
    </row>
    <row r="18" spans="28:51" ht="43.15">
      <c r="AB18" s="40" t="s">
        <v>283</v>
      </c>
      <c r="AD18" s="40" t="s">
        <v>284</v>
      </c>
      <c r="AQ18" s="54"/>
      <c r="AR18" s="54"/>
      <c r="AS18" s="54" t="s">
        <v>285</v>
      </c>
      <c r="AT18" s="54" t="s">
        <v>286</v>
      </c>
      <c r="AU18" s="54"/>
      <c r="AV18" s="54" t="s">
        <v>287</v>
      </c>
      <c r="AW18" s="54"/>
      <c r="AX18" s="54"/>
      <c r="AY18" s="54"/>
    </row>
    <row r="19" spans="28:51" ht="43.15">
      <c r="AB19" s="40" t="s">
        <v>288</v>
      </c>
      <c r="AD19" s="40" t="s">
        <v>289</v>
      </c>
      <c r="AQ19" s="54"/>
      <c r="AR19" s="54"/>
      <c r="AS19" s="54" t="s">
        <v>290</v>
      </c>
      <c r="AT19" s="54" t="s">
        <v>291</v>
      </c>
      <c r="AU19" s="54"/>
      <c r="AV19" s="54" t="s">
        <v>292</v>
      </c>
      <c r="AW19" s="54"/>
      <c r="AX19" s="54"/>
      <c r="AY19" s="54"/>
    </row>
    <row r="20" spans="28:51" ht="43.15">
      <c r="AB20" s="40" t="s">
        <v>293</v>
      </c>
      <c r="AD20" s="40" t="s">
        <v>294</v>
      </c>
      <c r="AQ20" s="54"/>
      <c r="AR20" s="54"/>
      <c r="AS20" s="54"/>
      <c r="AT20" s="54" t="s">
        <v>295</v>
      </c>
      <c r="AU20" s="54"/>
      <c r="AV20" s="54"/>
      <c r="AW20" s="54"/>
      <c r="AX20" s="54"/>
      <c r="AY20" s="54"/>
    </row>
    <row r="21" spans="28:51" ht="57.6">
      <c r="AB21" s="40" t="s">
        <v>296</v>
      </c>
      <c r="AD21" s="40" t="s">
        <v>297</v>
      </c>
      <c r="AQ21" s="54"/>
      <c r="AR21" s="54"/>
      <c r="AS21" s="54"/>
      <c r="AT21" s="54" t="s">
        <v>298</v>
      </c>
      <c r="AU21" s="54"/>
      <c r="AV21" s="54"/>
      <c r="AW21" s="54"/>
      <c r="AX21" s="54"/>
      <c r="AY21" s="54"/>
    </row>
    <row r="22" spans="28:51" ht="43.15">
      <c r="AB22" s="40" t="s">
        <v>299</v>
      </c>
      <c r="AD22" s="40" t="s">
        <v>300</v>
      </c>
      <c r="AQ22" s="54"/>
      <c r="AR22" s="54"/>
      <c r="AS22" s="54"/>
      <c r="AT22" s="54" t="s">
        <v>301</v>
      </c>
      <c r="AU22" s="54"/>
      <c r="AV22" s="54"/>
      <c r="AW22" s="54"/>
      <c r="AX22" s="54"/>
      <c r="AY22" s="54"/>
    </row>
    <row r="23" spans="28:51" ht="28.9">
      <c r="AB23" s="40" t="s">
        <v>302</v>
      </c>
      <c r="AD23" s="40" t="s">
        <v>303</v>
      </c>
      <c r="AQ23" s="54"/>
      <c r="AR23" s="54"/>
      <c r="AS23" s="54"/>
      <c r="AT23" s="54" t="s">
        <v>304</v>
      </c>
      <c r="AU23" s="54"/>
      <c r="AV23" s="54"/>
      <c r="AW23" s="54"/>
      <c r="AX23" s="54"/>
      <c r="AY23" s="54"/>
    </row>
    <row r="24" spans="28:51" ht="28.9">
      <c r="AB24" s="40" t="s">
        <v>305</v>
      </c>
      <c r="AD24" s="40" t="s">
        <v>306</v>
      </c>
      <c r="AQ24" s="54"/>
      <c r="AR24" s="54"/>
      <c r="AS24" s="54"/>
      <c r="AT24" s="54" t="s">
        <v>307</v>
      </c>
      <c r="AU24" s="54"/>
      <c r="AV24" s="54"/>
      <c r="AW24" s="54"/>
      <c r="AX24" s="54"/>
      <c r="AY24" s="54"/>
    </row>
    <row r="25" spans="28:51" ht="43.15">
      <c r="AB25" s="40" t="s">
        <v>308</v>
      </c>
      <c r="AD25" s="40" t="s">
        <v>309</v>
      </c>
      <c r="AQ25" s="54"/>
      <c r="AR25" s="54"/>
      <c r="AS25" s="54"/>
      <c r="AT25" s="54" t="s">
        <v>310</v>
      </c>
      <c r="AU25" s="54"/>
      <c r="AV25" s="54"/>
      <c r="AW25" s="54"/>
      <c r="AX25" s="54"/>
      <c r="AY25" s="54"/>
    </row>
    <row r="26" spans="28:51" ht="28.9">
      <c r="AB26" s="40" t="s">
        <v>311</v>
      </c>
      <c r="AD26" s="40" t="s">
        <v>312</v>
      </c>
      <c r="AQ26" s="54"/>
      <c r="AR26" s="54"/>
      <c r="AS26" s="54"/>
      <c r="AT26" s="54" t="s">
        <v>313</v>
      </c>
      <c r="AU26" s="54"/>
      <c r="AV26" s="54"/>
      <c r="AW26" s="54"/>
      <c r="AX26" s="54"/>
      <c r="AY26" s="54"/>
    </row>
    <row r="27" spans="28:51" ht="28.9">
      <c r="AB27" s="40" t="s">
        <v>5</v>
      </c>
      <c r="AD27" s="40" t="s">
        <v>314</v>
      </c>
      <c r="AQ27" s="54"/>
      <c r="AR27" s="54"/>
      <c r="AS27" s="54"/>
      <c r="AT27" s="54" t="s">
        <v>315</v>
      </c>
      <c r="AU27" s="54"/>
      <c r="AV27" s="54"/>
      <c r="AW27" s="54"/>
      <c r="AX27" s="54"/>
      <c r="AY27" s="54"/>
    </row>
    <row r="28" spans="28:51" ht="72">
      <c r="AB28" s="40" t="s">
        <v>316</v>
      </c>
      <c r="AD28" s="40" t="s">
        <v>317</v>
      </c>
      <c r="AQ28" s="54"/>
      <c r="AR28" s="54"/>
      <c r="AS28" s="54"/>
      <c r="AT28" s="54" t="s">
        <v>318</v>
      </c>
      <c r="AU28" s="54"/>
      <c r="AV28" s="54"/>
      <c r="AW28" s="54"/>
      <c r="AX28" s="54"/>
      <c r="AY28" s="54"/>
    </row>
    <row r="29" spans="28:51" ht="100.9">
      <c r="AB29" s="40" t="s">
        <v>319</v>
      </c>
      <c r="AD29" s="40" t="s">
        <v>320</v>
      </c>
      <c r="AQ29" s="54"/>
      <c r="AR29" s="54"/>
      <c r="AS29" s="54"/>
      <c r="AT29" s="54" t="s">
        <v>321</v>
      </c>
      <c r="AU29" s="54"/>
      <c r="AV29" s="54"/>
      <c r="AW29" s="54"/>
      <c r="AX29" s="54"/>
      <c r="AY29" s="54"/>
    </row>
    <row r="30" spans="28:51" ht="43.15">
      <c r="AB30" s="40" t="s">
        <v>322</v>
      </c>
      <c r="AD30" s="40" t="s">
        <v>323</v>
      </c>
      <c r="AQ30" s="54"/>
      <c r="AR30" s="54"/>
      <c r="AS30" s="54"/>
      <c r="AT30" s="54" t="s">
        <v>324</v>
      </c>
      <c r="AU30" s="54"/>
      <c r="AV30" s="54"/>
      <c r="AW30" s="54"/>
      <c r="AX30" s="54"/>
      <c r="AY30" s="54"/>
    </row>
    <row r="31" spans="28:51" ht="28.9">
      <c r="AB31" s="40" t="s">
        <v>325</v>
      </c>
      <c r="AD31" s="40" t="s">
        <v>326</v>
      </c>
      <c r="AQ31" s="54"/>
      <c r="AR31" s="54"/>
      <c r="AS31" s="54"/>
      <c r="AT31" s="54" t="s">
        <v>327</v>
      </c>
      <c r="AU31" s="54"/>
      <c r="AV31" s="54"/>
      <c r="AW31" s="54"/>
      <c r="AX31" s="54"/>
      <c r="AY31" s="54"/>
    </row>
    <row r="32" spans="28:51" ht="57.6">
      <c r="AB32" s="40" t="s">
        <v>328</v>
      </c>
      <c r="AD32" s="40" t="s">
        <v>329</v>
      </c>
      <c r="AQ32" s="54"/>
      <c r="AR32" s="54"/>
      <c r="AS32" s="54"/>
      <c r="AT32" s="54" t="s">
        <v>330</v>
      </c>
      <c r="AU32" s="54"/>
      <c r="AV32" s="54"/>
      <c r="AW32" s="54"/>
      <c r="AX32" s="54"/>
      <c r="AY32" s="54"/>
    </row>
    <row r="33" spans="28:51" ht="57.6">
      <c r="AB33" s="40" t="s">
        <v>331</v>
      </c>
      <c r="AD33" s="40" t="s">
        <v>332</v>
      </c>
      <c r="AQ33" s="54"/>
      <c r="AR33" s="54"/>
      <c r="AS33" s="54"/>
      <c r="AT33" s="54" t="s">
        <v>333</v>
      </c>
      <c r="AU33" s="54"/>
      <c r="AV33" s="54"/>
      <c r="AW33" s="54"/>
      <c r="AX33" s="54"/>
      <c r="AY33" s="54"/>
    </row>
    <row r="34" spans="28:51" ht="15.6" customHeight="1">
      <c r="AB34" s="40" t="s">
        <v>334</v>
      </c>
      <c r="AD34" s="40" t="s">
        <v>335</v>
      </c>
    </row>
    <row r="35" spans="28:51">
      <c r="AD35" s="40" t="s">
        <v>336</v>
      </c>
    </row>
    <row r="36" spans="28:51">
      <c r="AD36" s="40" t="s">
        <v>337</v>
      </c>
    </row>
    <row r="37" spans="28:51">
      <c r="AD37" s="40" t="s">
        <v>338</v>
      </c>
    </row>
    <row r="38" spans="28:51">
      <c r="AD38" s="40" t="s">
        <v>339</v>
      </c>
    </row>
    <row r="39" spans="28:51">
      <c r="AD39" s="40" t="s">
        <v>340</v>
      </c>
    </row>
    <row r="40" spans="28:51">
      <c r="AD40" s="40" t="s">
        <v>341</v>
      </c>
    </row>
  </sheetData>
  <pageMargins left="0.7" right="0.7" top="0.75" bottom="0.75" header="0.3" footer="0.3"/>
  <pageSetup orientation="portrait" r:id="rId1"/>
  <tableParts count="17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EFC6-DA4E-4EBB-BF24-F5695255715A}">
  <dimension ref="B2:O106"/>
  <sheetViews>
    <sheetView workbookViewId="0">
      <selection activeCell="E75" sqref="E75"/>
    </sheetView>
  </sheetViews>
  <sheetFormatPr defaultColWidth="8.85546875" defaultRowHeight="14.45"/>
  <cols>
    <col min="3" max="3" width="15.85546875" customWidth="1"/>
    <col min="4" max="4" width="18.140625" bestFit="1" customWidth="1"/>
    <col min="5" max="5" width="47.28515625" customWidth="1"/>
    <col min="9" max="9" width="12.5703125" bestFit="1" customWidth="1"/>
    <col min="10" max="10" width="15.85546875" bestFit="1" customWidth="1"/>
    <col min="12" max="12" width="20" bestFit="1" customWidth="1"/>
    <col min="13" max="13" width="12.7109375" customWidth="1"/>
    <col min="14" max="14" width="16.7109375" bestFit="1" customWidth="1"/>
    <col min="15" max="15" width="18" bestFit="1" customWidth="1"/>
  </cols>
  <sheetData>
    <row r="2" spans="2:15" ht="40.9">
      <c r="B2" s="376" t="s">
        <v>342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</row>
    <row r="3" spans="2:15" ht="20.45" customHeight="1">
      <c r="B3" s="377" t="s">
        <v>343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</row>
    <row r="4" spans="2:15" ht="15" thickBot="1"/>
    <row r="5" spans="2:15" ht="15" thickBot="1">
      <c r="B5" s="138"/>
      <c r="C5" s="139"/>
      <c r="D5" s="372" t="s">
        <v>344</v>
      </c>
      <c r="E5" s="373"/>
      <c r="F5" s="374" t="s">
        <v>345</v>
      </c>
      <c r="G5" s="375"/>
      <c r="H5" s="375"/>
      <c r="I5" s="375"/>
      <c r="J5" s="373"/>
      <c r="K5" s="374" t="s">
        <v>344</v>
      </c>
      <c r="L5" s="375"/>
      <c r="M5" s="373"/>
      <c r="N5" s="374" t="s">
        <v>346</v>
      </c>
      <c r="O5" s="373"/>
    </row>
    <row r="6" spans="2:15" ht="15" thickBot="1">
      <c r="B6" s="164" t="s">
        <v>347</v>
      </c>
      <c r="C6" s="141" t="s">
        <v>348</v>
      </c>
      <c r="D6" s="141" t="s">
        <v>349</v>
      </c>
      <c r="E6" s="142" t="s">
        <v>350</v>
      </c>
      <c r="F6" s="141" t="s">
        <v>351</v>
      </c>
      <c r="G6" s="141" t="s">
        <v>352</v>
      </c>
      <c r="H6" s="141" t="s">
        <v>353</v>
      </c>
      <c r="I6" s="141" t="s">
        <v>354</v>
      </c>
      <c r="J6" s="142" t="s">
        <v>355</v>
      </c>
      <c r="K6" s="140" t="s">
        <v>356</v>
      </c>
      <c r="L6" s="141" t="s">
        <v>357</v>
      </c>
      <c r="M6" s="143" t="s">
        <v>358</v>
      </c>
      <c r="N6" s="140" t="s">
        <v>359</v>
      </c>
      <c r="O6" s="142" t="s">
        <v>360</v>
      </c>
    </row>
    <row r="7" spans="2:15">
      <c r="B7" s="165">
        <v>66</v>
      </c>
      <c r="C7" s="84" t="s">
        <v>361</v>
      </c>
      <c r="D7" s="85" t="s">
        <v>362</v>
      </c>
      <c r="E7" s="145" t="s">
        <v>363</v>
      </c>
      <c r="F7" s="185"/>
      <c r="G7" s="155"/>
      <c r="H7" s="155" t="s">
        <v>364</v>
      </c>
      <c r="I7" s="155" t="s">
        <v>364</v>
      </c>
      <c r="J7" s="159"/>
      <c r="K7" s="151"/>
      <c r="L7" s="155" t="s">
        <v>364</v>
      </c>
      <c r="M7" s="159"/>
      <c r="N7" s="151"/>
      <c r="O7" s="159" t="s">
        <v>364</v>
      </c>
    </row>
    <row r="8" spans="2:15">
      <c r="B8" s="166">
        <v>72</v>
      </c>
      <c r="C8" s="87" t="s">
        <v>365</v>
      </c>
      <c r="D8" s="1" t="s">
        <v>366</v>
      </c>
      <c r="E8" s="116" t="s">
        <v>367</v>
      </c>
      <c r="F8" s="88" t="s">
        <v>364</v>
      </c>
      <c r="G8" s="2"/>
      <c r="H8" s="2"/>
      <c r="I8" s="2"/>
      <c r="J8" s="89" t="s">
        <v>364</v>
      </c>
      <c r="K8" s="91" t="s">
        <v>364</v>
      </c>
      <c r="L8" s="2" t="s">
        <v>364</v>
      </c>
      <c r="M8" s="89" t="s">
        <v>364</v>
      </c>
      <c r="N8" s="91" t="s">
        <v>364</v>
      </c>
      <c r="O8" s="89" t="s">
        <v>364</v>
      </c>
    </row>
    <row r="9" spans="2:15">
      <c r="B9" s="166">
        <v>90</v>
      </c>
      <c r="C9" s="90" t="s">
        <v>368</v>
      </c>
      <c r="D9" s="1" t="s">
        <v>369</v>
      </c>
      <c r="E9" s="116" t="s">
        <v>370</v>
      </c>
      <c r="F9" s="88" t="s">
        <v>364</v>
      </c>
      <c r="G9" s="2" t="s">
        <v>364</v>
      </c>
      <c r="H9" s="2" t="s">
        <v>364</v>
      </c>
      <c r="I9" s="2" t="s">
        <v>364</v>
      </c>
      <c r="J9" s="89" t="s">
        <v>364</v>
      </c>
      <c r="K9" s="91"/>
      <c r="L9" s="2" t="s">
        <v>364</v>
      </c>
      <c r="M9" s="89"/>
      <c r="N9" s="91" t="s">
        <v>364</v>
      </c>
      <c r="O9" s="89" t="s">
        <v>364</v>
      </c>
    </row>
    <row r="10" spans="2:15">
      <c r="B10" s="166">
        <v>22</v>
      </c>
      <c r="C10" s="170" t="s">
        <v>371</v>
      </c>
      <c r="D10" s="92" t="s">
        <v>372</v>
      </c>
      <c r="E10" s="120" t="s">
        <v>373</v>
      </c>
      <c r="F10" s="94" t="s">
        <v>364</v>
      </c>
      <c r="G10" s="109" t="s">
        <v>374</v>
      </c>
      <c r="H10" s="109" t="s">
        <v>374</v>
      </c>
      <c r="I10" s="109" t="s">
        <v>374</v>
      </c>
      <c r="J10" s="110" t="s">
        <v>374</v>
      </c>
      <c r="K10" s="95" t="s">
        <v>364</v>
      </c>
      <c r="L10" s="109" t="s">
        <v>364</v>
      </c>
      <c r="M10" s="110" t="s">
        <v>364</v>
      </c>
      <c r="N10" s="95" t="s">
        <v>364</v>
      </c>
      <c r="O10" s="110" t="s">
        <v>364</v>
      </c>
    </row>
    <row r="11" spans="2:15" ht="28.9">
      <c r="B11" s="166">
        <v>52</v>
      </c>
      <c r="C11" s="90" t="s">
        <v>375</v>
      </c>
      <c r="D11" s="1" t="s">
        <v>376</v>
      </c>
      <c r="E11" s="116" t="s">
        <v>377</v>
      </c>
      <c r="F11" s="88" t="s">
        <v>364</v>
      </c>
      <c r="G11" s="2"/>
      <c r="H11" s="2"/>
      <c r="I11" s="2"/>
      <c r="J11" s="89"/>
      <c r="K11" s="91"/>
      <c r="L11" s="2"/>
      <c r="M11" s="89" t="s">
        <v>364</v>
      </c>
      <c r="N11" s="91"/>
      <c r="O11" s="89" t="s">
        <v>364</v>
      </c>
    </row>
    <row r="12" spans="2:15">
      <c r="B12" s="166">
        <v>21</v>
      </c>
      <c r="C12" s="170" t="s">
        <v>371</v>
      </c>
      <c r="D12" s="92" t="s">
        <v>378</v>
      </c>
      <c r="E12" s="120" t="s">
        <v>379</v>
      </c>
      <c r="F12" s="94" t="s">
        <v>364</v>
      </c>
      <c r="G12" s="109" t="s">
        <v>374</v>
      </c>
      <c r="H12" s="109" t="s">
        <v>374</v>
      </c>
      <c r="I12" s="109" t="s">
        <v>374</v>
      </c>
      <c r="J12" s="110" t="s">
        <v>374</v>
      </c>
      <c r="K12" s="95" t="s">
        <v>364</v>
      </c>
      <c r="L12" s="109" t="s">
        <v>364</v>
      </c>
      <c r="M12" s="110" t="s">
        <v>364</v>
      </c>
      <c r="N12" s="95" t="s">
        <v>364</v>
      </c>
      <c r="O12" s="110" t="s">
        <v>364</v>
      </c>
    </row>
    <row r="13" spans="2:15">
      <c r="B13" s="166">
        <v>71</v>
      </c>
      <c r="C13" s="90" t="s">
        <v>365</v>
      </c>
      <c r="D13" s="1" t="s">
        <v>380</v>
      </c>
      <c r="E13" s="116" t="s">
        <v>94</v>
      </c>
      <c r="F13" s="88" t="s">
        <v>364</v>
      </c>
      <c r="G13" s="2" t="s">
        <v>364</v>
      </c>
      <c r="H13" s="2" t="s">
        <v>364</v>
      </c>
      <c r="I13" s="2" t="s">
        <v>364</v>
      </c>
      <c r="J13" s="89" t="s">
        <v>364</v>
      </c>
      <c r="K13" s="91"/>
      <c r="L13" s="2" t="s">
        <v>364</v>
      </c>
      <c r="M13" s="89" t="s">
        <v>364</v>
      </c>
      <c r="N13" s="91" t="s">
        <v>364</v>
      </c>
      <c r="O13" s="89" t="s">
        <v>364</v>
      </c>
    </row>
    <row r="14" spans="2:15">
      <c r="B14" s="166">
        <v>29</v>
      </c>
      <c r="C14" s="90" t="s">
        <v>381</v>
      </c>
      <c r="D14" s="1" t="s">
        <v>382</v>
      </c>
      <c r="E14" s="116" t="s">
        <v>383</v>
      </c>
      <c r="F14" s="88"/>
      <c r="G14" s="2"/>
      <c r="H14" s="2"/>
      <c r="I14" s="2"/>
      <c r="J14" s="89"/>
      <c r="K14" s="91"/>
      <c r="L14" s="2" t="s">
        <v>364</v>
      </c>
      <c r="M14" s="89" t="s">
        <v>364</v>
      </c>
      <c r="N14" s="91" t="s">
        <v>364</v>
      </c>
      <c r="O14" s="89" t="s">
        <v>364</v>
      </c>
    </row>
    <row r="15" spans="2:15">
      <c r="B15" s="166">
        <v>25</v>
      </c>
      <c r="C15" s="170" t="s">
        <v>384</v>
      </c>
      <c r="D15" s="93" t="s">
        <v>385</v>
      </c>
      <c r="E15" s="149" t="s">
        <v>386</v>
      </c>
      <c r="F15" s="94" t="s">
        <v>364</v>
      </c>
      <c r="G15" s="109" t="s">
        <v>374</v>
      </c>
      <c r="H15" s="109" t="s">
        <v>364</v>
      </c>
      <c r="I15" s="109" t="s">
        <v>364</v>
      </c>
      <c r="J15" s="110" t="s">
        <v>364</v>
      </c>
      <c r="K15" s="95" t="s">
        <v>374</v>
      </c>
      <c r="L15" s="109" t="s">
        <v>364</v>
      </c>
      <c r="M15" s="110" t="s">
        <v>387</v>
      </c>
      <c r="N15" s="95" t="s">
        <v>364</v>
      </c>
      <c r="O15" s="110" t="s">
        <v>364</v>
      </c>
    </row>
    <row r="16" spans="2:15">
      <c r="B16" s="166">
        <v>80</v>
      </c>
      <c r="C16" s="90" t="s">
        <v>388</v>
      </c>
      <c r="D16" s="28" t="s">
        <v>389</v>
      </c>
      <c r="E16" s="117" t="s">
        <v>390</v>
      </c>
      <c r="F16" s="88" t="s">
        <v>364</v>
      </c>
      <c r="G16" s="2" t="s">
        <v>364</v>
      </c>
      <c r="H16" s="2" t="s">
        <v>364</v>
      </c>
      <c r="I16" s="2" t="s">
        <v>364</v>
      </c>
      <c r="J16" s="89" t="s">
        <v>364</v>
      </c>
      <c r="K16" s="91"/>
      <c r="L16" s="2" t="s">
        <v>364</v>
      </c>
      <c r="M16" s="89" t="s">
        <v>364</v>
      </c>
      <c r="N16" s="91" t="s">
        <v>364</v>
      </c>
      <c r="O16" s="89" t="s">
        <v>364</v>
      </c>
    </row>
    <row r="17" spans="2:15">
      <c r="B17" s="166">
        <v>94</v>
      </c>
      <c r="C17" s="90" t="s">
        <v>391</v>
      </c>
      <c r="D17" s="1" t="s">
        <v>392</v>
      </c>
      <c r="E17" s="117" t="s">
        <v>393</v>
      </c>
      <c r="F17" s="88" t="s">
        <v>364</v>
      </c>
      <c r="G17" s="2" t="s">
        <v>364</v>
      </c>
      <c r="H17" s="2" t="s">
        <v>364</v>
      </c>
      <c r="I17" s="2" t="s">
        <v>364</v>
      </c>
      <c r="J17" s="89" t="s">
        <v>364</v>
      </c>
      <c r="K17" s="91"/>
      <c r="L17" s="2" t="s">
        <v>364</v>
      </c>
      <c r="M17" s="89"/>
      <c r="N17" s="91" t="s">
        <v>364</v>
      </c>
      <c r="O17" s="89" t="s">
        <v>364</v>
      </c>
    </row>
    <row r="18" spans="2:15">
      <c r="B18" s="166">
        <v>91</v>
      </c>
      <c r="C18" s="90" t="s">
        <v>368</v>
      </c>
      <c r="D18" s="28" t="s">
        <v>394</v>
      </c>
      <c r="E18" s="117" t="s">
        <v>395</v>
      </c>
      <c r="F18" s="88" t="s">
        <v>364</v>
      </c>
      <c r="G18" s="2" t="s">
        <v>364</v>
      </c>
      <c r="H18" s="2" t="s">
        <v>364</v>
      </c>
      <c r="I18" s="2" t="s">
        <v>364</v>
      </c>
      <c r="J18" s="89" t="s">
        <v>364</v>
      </c>
      <c r="K18" s="91"/>
      <c r="L18" s="2" t="s">
        <v>364</v>
      </c>
      <c r="M18" s="89" t="s">
        <v>364</v>
      </c>
      <c r="N18" s="91" t="s">
        <v>364</v>
      </c>
      <c r="O18" s="89" t="s">
        <v>364</v>
      </c>
    </row>
    <row r="19" spans="2:15">
      <c r="B19" s="166">
        <v>84</v>
      </c>
      <c r="C19" s="90" t="s">
        <v>368</v>
      </c>
      <c r="D19" s="28" t="s">
        <v>396</v>
      </c>
      <c r="E19" s="117" t="s">
        <v>397</v>
      </c>
      <c r="F19" s="88" t="s">
        <v>364</v>
      </c>
      <c r="G19" s="2"/>
      <c r="H19" s="2"/>
      <c r="I19" s="2"/>
      <c r="J19" s="89"/>
      <c r="K19" s="91"/>
      <c r="L19" s="2" t="s">
        <v>364</v>
      </c>
      <c r="M19" s="89"/>
      <c r="N19" s="91" t="s">
        <v>364</v>
      </c>
      <c r="O19" s="89" t="s">
        <v>364</v>
      </c>
    </row>
    <row r="20" spans="2:15">
      <c r="B20" s="166">
        <v>96</v>
      </c>
      <c r="C20" s="87" t="s">
        <v>398</v>
      </c>
      <c r="D20" s="106" t="s">
        <v>399</v>
      </c>
      <c r="E20" s="118" t="s">
        <v>400</v>
      </c>
      <c r="F20" s="88" t="s">
        <v>364</v>
      </c>
      <c r="G20" s="2"/>
      <c r="H20" s="2"/>
      <c r="I20" s="2"/>
      <c r="J20" s="89" t="s">
        <v>364</v>
      </c>
      <c r="K20" s="91" t="s">
        <v>364</v>
      </c>
      <c r="L20" s="2" t="s">
        <v>364</v>
      </c>
      <c r="M20" s="89" t="s">
        <v>364</v>
      </c>
      <c r="N20" s="91" t="s">
        <v>364</v>
      </c>
      <c r="O20" s="89" t="s">
        <v>364</v>
      </c>
    </row>
    <row r="21" spans="2:15">
      <c r="B21" s="166">
        <v>92</v>
      </c>
      <c r="C21" s="87" t="s">
        <v>368</v>
      </c>
      <c r="D21" s="106" t="s">
        <v>401</v>
      </c>
      <c r="E21" s="118" t="s">
        <v>91</v>
      </c>
      <c r="F21" s="88"/>
      <c r="G21" s="2"/>
      <c r="H21" s="2"/>
      <c r="I21" s="2"/>
      <c r="J21" s="89" t="s">
        <v>364</v>
      </c>
      <c r="K21" s="91"/>
      <c r="L21" s="2" t="s">
        <v>364</v>
      </c>
      <c r="M21" s="89" t="s">
        <v>364</v>
      </c>
      <c r="N21" s="91" t="s">
        <v>364</v>
      </c>
      <c r="O21" s="89" t="s">
        <v>364</v>
      </c>
    </row>
    <row r="22" spans="2:15">
      <c r="B22" s="166">
        <v>34</v>
      </c>
      <c r="C22" s="179" t="s">
        <v>402</v>
      </c>
      <c r="D22" s="96" t="s">
        <v>403</v>
      </c>
      <c r="E22" s="147" t="s">
        <v>404</v>
      </c>
      <c r="F22" s="94" t="s">
        <v>364</v>
      </c>
      <c r="G22" s="109" t="s">
        <v>364</v>
      </c>
      <c r="H22" s="109" t="s">
        <v>364</v>
      </c>
      <c r="I22" s="109" t="s">
        <v>364</v>
      </c>
      <c r="J22" s="110" t="s">
        <v>364</v>
      </c>
      <c r="K22" s="95">
        <v>6</v>
      </c>
      <c r="L22" s="2" t="s">
        <v>364</v>
      </c>
      <c r="M22" s="121" t="s">
        <v>405</v>
      </c>
      <c r="N22" s="91" t="s">
        <v>364</v>
      </c>
      <c r="O22" s="89" t="s">
        <v>364</v>
      </c>
    </row>
    <row r="23" spans="2:15">
      <c r="B23" s="166">
        <v>13</v>
      </c>
      <c r="C23" s="87" t="s">
        <v>406</v>
      </c>
      <c r="D23" s="106" t="s">
        <v>407</v>
      </c>
      <c r="E23" s="118" t="s">
        <v>408</v>
      </c>
      <c r="F23" s="88"/>
      <c r="G23" s="2"/>
      <c r="H23" s="2"/>
      <c r="I23" s="2"/>
      <c r="J23" s="89"/>
      <c r="K23" s="91"/>
      <c r="L23" s="2"/>
      <c r="M23" s="89"/>
      <c r="N23" s="100" t="s">
        <v>364</v>
      </c>
      <c r="O23" s="111" t="s">
        <v>364</v>
      </c>
    </row>
    <row r="24" spans="2:15">
      <c r="B24" s="166">
        <v>63</v>
      </c>
      <c r="C24" s="87" t="s">
        <v>409</v>
      </c>
      <c r="D24" s="106" t="s">
        <v>410</v>
      </c>
      <c r="E24" s="118" t="s">
        <v>411</v>
      </c>
      <c r="F24" s="88"/>
      <c r="G24" s="2"/>
      <c r="H24" s="2"/>
      <c r="I24" s="2"/>
      <c r="J24" s="89" t="s">
        <v>364</v>
      </c>
      <c r="K24" s="91"/>
      <c r="L24" s="2"/>
      <c r="M24" s="89" t="s">
        <v>364</v>
      </c>
      <c r="N24" s="91"/>
      <c r="O24" s="89"/>
    </row>
    <row r="25" spans="2:15">
      <c r="B25" s="166">
        <v>17</v>
      </c>
      <c r="C25" s="168" t="s">
        <v>412</v>
      </c>
      <c r="D25" s="107" t="s">
        <v>413</v>
      </c>
      <c r="E25" s="119" t="s">
        <v>414</v>
      </c>
      <c r="F25" s="99"/>
      <c r="G25" s="102"/>
      <c r="H25" s="102"/>
      <c r="I25" s="102"/>
      <c r="J25" s="111"/>
      <c r="K25" s="100"/>
      <c r="L25" s="102"/>
      <c r="M25" s="111"/>
      <c r="N25" s="100" t="s">
        <v>364</v>
      </c>
      <c r="O25" s="111" t="s">
        <v>364</v>
      </c>
    </row>
    <row r="26" spans="2:15">
      <c r="B26" s="166">
        <v>19</v>
      </c>
      <c r="C26" s="168" t="s">
        <v>412</v>
      </c>
      <c r="D26" s="107" t="s">
        <v>415</v>
      </c>
      <c r="E26" s="119" t="s">
        <v>416</v>
      </c>
      <c r="F26" s="99"/>
      <c r="G26" s="102"/>
      <c r="H26" s="102"/>
      <c r="I26" s="102"/>
      <c r="J26" s="111"/>
      <c r="K26" s="100"/>
      <c r="L26" s="102"/>
      <c r="M26" s="111"/>
      <c r="N26" s="100" t="s">
        <v>364</v>
      </c>
      <c r="O26" s="111" t="s">
        <v>364</v>
      </c>
    </row>
    <row r="27" spans="2:15">
      <c r="B27" s="166">
        <v>20</v>
      </c>
      <c r="C27" s="169" t="s">
        <v>412</v>
      </c>
      <c r="D27" s="103" t="s">
        <v>417</v>
      </c>
      <c r="E27" s="114" t="s">
        <v>418</v>
      </c>
      <c r="F27" s="99"/>
      <c r="G27" s="102"/>
      <c r="H27" s="102"/>
      <c r="I27" s="102"/>
      <c r="J27" s="111"/>
      <c r="K27" s="100"/>
      <c r="L27" s="102"/>
      <c r="M27" s="111"/>
      <c r="N27" s="100" t="s">
        <v>364</v>
      </c>
      <c r="O27" s="111" t="s">
        <v>364</v>
      </c>
    </row>
    <row r="28" spans="2:15">
      <c r="B28" s="166">
        <v>15</v>
      </c>
      <c r="C28" s="169" t="s">
        <v>412</v>
      </c>
      <c r="D28" s="103" t="s">
        <v>419</v>
      </c>
      <c r="E28" s="115" t="s">
        <v>420</v>
      </c>
      <c r="F28" s="99"/>
      <c r="G28" s="102"/>
      <c r="H28" s="102"/>
      <c r="I28" s="102"/>
      <c r="J28" s="111"/>
      <c r="K28" s="100"/>
      <c r="L28" s="102"/>
      <c r="M28" s="111"/>
      <c r="N28" s="100" t="s">
        <v>364</v>
      </c>
      <c r="O28" s="111" t="s">
        <v>364</v>
      </c>
    </row>
    <row r="29" spans="2:15">
      <c r="B29" s="166">
        <v>18</v>
      </c>
      <c r="C29" s="169" t="s">
        <v>412</v>
      </c>
      <c r="D29" s="103" t="s">
        <v>421</v>
      </c>
      <c r="E29" s="114" t="s">
        <v>422</v>
      </c>
      <c r="F29" s="99" t="s">
        <v>364</v>
      </c>
      <c r="G29" s="102" t="s">
        <v>364</v>
      </c>
      <c r="H29" s="102" t="s">
        <v>364</v>
      </c>
      <c r="I29" s="102" t="s">
        <v>364</v>
      </c>
      <c r="J29" s="111" t="s">
        <v>364</v>
      </c>
      <c r="K29" s="100"/>
      <c r="L29" s="102"/>
      <c r="M29" s="111"/>
      <c r="N29" s="100" t="s">
        <v>364</v>
      </c>
      <c r="O29" s="111" t="s">
        <v>364</v>
      </c>
    </row>
    <row r="30" spans="2:15">
      <c r="B30" s="166">
        <v>16</v>
      </c>
      <c r="C30" s="178" t="s">
        <v>412</v>
      </c>
      <c r="D30" s="105" t="s">
        <v>423</v>
      </c>
      <c r="E30" s="146" t="s">
        <v>424</v>
      </c>
      <c r="F30" s="99"/>
      <c r="G30" s="102"/>
      <c r="H30" s="102"/>
      <c r="I30" s="102"/>
      <c r="J30" s="111"/>
      <c r="K30" s="100"/>
      <c r="L30" s="102"/>
      <c r="M30" s="111"/>
      <c r="N30" s="100" t="s">
        <v>364</v>
      </c>
      <c r="O30" s="111" t="s">
        <v>364</v>
      </c>
    </row>
    <row r="31" spans="2:15">
      <c r="B31" s="166">
        <v>37</v>
      </c>
      <c r="C31" s="172" t="s">
        <v>425</v>
      </c>
      <c r="D31" s="97" t="s">
        <v>426</v>
      </c>
      <c r="E31" s="123" t="s">
        <v>427</v>
      </c>
      <c r="F31" s="88" t="s">
        <v>364</v>
      </c>
      <c r="G31" s="2"/>
      <c r="H31" s="2" t="s">
        <v>364</v>
      </c>
      <c r="I31" s="2"/>
      <c r="J31" s="89" t="s">
        <v>364</v>
      </c>
      <c r="K31" s="91"/>
      <c r="L31" s="2" t="s">
        <v>364</v>
      </c>
      <c r="M31" s="89"/>
      <c r="N31" s="91" t="s">
        <v>364</v>
      </c>
      <c r="O31" s="89" t="s">
        <v>364</v>
      </c>
    </row>
    <row r="32" spans="2:15" ht="28.9">
      <c r="B32" s="166">
        <v>42</v>
      </c>
      <c r="C32" s="172" t="s">
        <v>428</v>
      </c>
      <c r="D32" s="97" t="s">
        <v>429</v>
      </c>
      <c r="E32" s="123" t="s">
        <v>430</v>
      </c>
      <c r="F32" s="88" t="s">
        <v>431</v>
      </c>
      <c r="G32" s="2" t="s">
        <v>431</v>
      </c>
      <c r="H32" s="2" t="s">
        <v>431</v>
      </c>
      <c r="I32" s="2" t="s">
        <v>431</v>
      </c>
      <c r="J32" s="89" t="s">
        <v>431</v>
      </c>
      <c r="K32" s="91"/>
      <c r="L32" s="2"/>
      <c r="M32" s="89" t="s">
        <v>431</v>
      </c>
      <c r="N32" s="91" t="s">
        <v>431</v>
      </c>
      <c r="O32" s="89" t="s">
        <v>431</v>
      </c>
    </row>
    <row r="33" spans="2:15">
      <c r="B33" s="166">
        <v>89</v>
      </c>
      <c r="C33" s="172" t="s">
        <v>368</v>
      </c>
      <c r="D33" s="97" t="s">
        <v>432</v>
      </c>
      <c r="E33" s="123" t="s">
        <v>433</v>
      </c>
      <c r="F33" s="88" t="s">
        <v>364</v>
      </c>
      <c r="G33" s="2"/>
      <c r="H33" s="2" t="s">
        <v>364</v>
      </c>
      <c r="I33" s="2" t="s">
        <v>364</v>
      </c>
      <c r="J33" s="89" t="s">
        <v>364</v>
      </c>
      <c r="K33" s="91"/>
      <c r="L33" s="2" t="s">
        <v>364</v>
      </c>
      <c r="M33" s="89"/>
      <c r="N33" s="91" t="s">
        <v>364</v>
      </c>
      <c r="O33" s="89" t="s">
        <v>364</v>
      </c>
    </row>
    <row r="34" spans="2:15">
      <c r="B34" s="166">
        <v>79</v>
      </c>
      <c r="C34" s="172" t="s">
        <v>388</v>
      </c>
      <c r="D34" s="97" t="s">
        <v>434</v>
      </c>
      <c r="E34" s="123" t="s">
        <v>435</v>
      </c>
      <c r="F34" s="88" t="s">
        <v>364</v>
      </c>
      <c r="G34" s="2"/>
      <c r="H34" s="2"/>
      <c r="I34" s="2"/>
      <c r="J34" s="89"/>
      <c r="K34" s="91"/>
      <c r="L34" s="2" t="s">
        <v>364</v>
      </c>
      <c r="M34" s="89"/>
      <c r="N34" s="91"/>
      <c r="O34" s="89"/>
    </row>
    <row r="35" spans="2:15">
      <c r="B35" s="166">
        <v>7</v>
      </c>
      <c r="C35" s="172" t="s">
        <v>436</v>
      </c>
      <c r="D35" s="97" t="s">
        <v>437</v>
      </c>
      <c r="E35" s="123" t="s">
        <v>438</v>
      </c>
      <c r="F35" s="88" t="s">
        <v>364</v>
      </c>
      <c r="G35" s="2"/>
      <c r="H35" s="2" t="s">
        <v>364</v>
      </c>
      <c r="I35" s="2"/>
      <c r="J35" s="89" t="s">
        <v>364</v>
      </c>
      <c r="K35" s="91"/>
      <c r="L35" s="2" t="s">
        <v>364</v>
      </c>
      <c r="M35" s="89" t="s">
        <v>364</v>
      </c>
      <c r="N35" s="91" t="s">
        <v>364</v>
      </c>
      <c r="O35" s="89" t="s">
        <v>364</v>
      </c>
    </row>
    <row r="36" spans="2:15">
      <c r="B36" s="166">
        <v>8</v>
      </c>
      <c r="C36" s="172" t="s">
        <v>436</v>
      </c>
      <c r="D36" s="97" t="s">
        <v>439</v>
      </c>
      <c r="E36" s="123" t="s">
        <v>440</v>
      </c>
      <c r="F36" s="88" t="s">
        <v>364</v>
      </c>
      <c r="G36" s="2"/>
      <c r="H36" s="2"/>
      <c r="I36" s="2"/>
      <c r="J36" s="89"/>
      <c r="K36" s="91"/>
      <c r="L36" s="2" t="s">
        <v>364</v>
      </c>
      <c r="M36" s="89" t="s">
        <v>364</v>
      </c>
      <c r="N36" s="91" t="s">
        <v>364</v>
      </c>
      <c r="O36" s="89" t="s">
        <v>364</v>
      </c>
    </row>
    <row r="37" spans="2:15">
      <c r="B37" s="166">
        <v>55</v>
      </c>
      <c r="C37" s="172" t="s">
        <v>441</v>
      </c>
      <c r="D37" s="97" t="s">
        <v>442</v>
      </c>
      <c r="E37" s="123" t="s">
        <v>443</v>
      </c>
      <c r="F37" s="88"/>
      <c r="G37" s="2"/>
      <c r="H37" s="2"/>
      <c r="I37" s="2" t="s">
        <v>431</v>
      </c>
      <c r="J37" s="89" t="s">
        <v>431</v>
      </c>
      <c r="K37" s="91"/>
      <c r="L37" s="2" t="s">
        <v>431</v>
      </c>
      <c r="M37" s="89" t="s">
        <v>431</v>
      </c>
      <c r="N37" s="91" t="s">
        <v>431</v>
      </c>
      <c r="O37" s="89"/>
    </row>
    <row r="38" spans="2:15">
      <c r="B38" s="166">
        <v>53</v>
      </c>
      <c r="C38" s="172" t="s">
        <v>444</v>
      </c>
      <c r="D38" s="97" t="s">
        <v>445</v>
      </c>
      <c r="E38" s="123" t="s">
        <v>128</v>
      </c>
      <c r="F38" s="88"/>
      <c r="G38" s="2"/>
      <c r="H38" s="2"/>
      <c r="I38" s="2"/>
      <c r="J38" s="89"/>
      <c r="K38" s="91"/>
      <c r="L38" s="2"/>
      <c r="M38" s="89" t="s">
        <v>431</v>
      </c>
      <c r="N38" s="91"/>
      <c r="O38" s="89"/>
    </row>
    <row r="39" spans="2:15">
      <c r="B39" s="166">
        <v>88</v>
      </c>
      <c r="C39" s="172" t="s">
        <v>368</v>
      </c>
      <c r="D39" s="97" t="s">
        <v>446</v>
      </c>
      <c r="E39" s="123" t="s">
        <v>447</v>
      </c>
      <c r="F39" s="88"/>
      <c r="G39" s="2"/>
      <c r="H39" s="2"/>
      <c r="I39" s="2"/>
      <c r="J39" s="89"/>
      <c r="K39" s="91"/>
      <c r="L39" s="2" t="s">
        <v>364</v>
      </c>
      <c r="M39" s="89"/>
      <c r="N39" s="91"/>
      <c r="O39" s="89"/>
    </row>
    <row r="40" spans="2:15">
      <c r="B40" s="166">
        <v>76</v>
      </c>
      <c r="C40" s="172" t="s">
        <v>448</v>
      </c>
      <c r="D40" s="97" t="s">
        <v>449</v>
      </c>
      <c r="E40" s="123" t="s">
        <v>450</v>
      </c>
      <c r="F40" s="88" t="s">
        <v>364</v>
      </c>
      <c r="G40" s="2"/>
      <c r="H40" s="2"/>
      <c r="I40" s="2" t="s">
        <v>364</v>
      </c>
      <c r="J40" s="89" t="s">
        <v>364</v>
      </c>
      <c r="K40" s="91"/>
      <c r="L40" s="2" t="s">
        <v>364</v>
      </c>
      <c r="M40" s="89" t="s">
        <v>364</v>
      </c>
      <c r="N40" s="91" t="s">
        <v>364</v>
      </c>
      <c r="O40" s="89" t="s">
        <v>364</v>
      </c>
    </row>
    <row r="41" spans="2:15">
      <c r="B41" s="166">
        <v>51</v>
      </c>
      <c r="C41" s="172" t="s">
        <v>375</v>
      </c>
      <c r="D41" s="97" t="s">
        <v>451</v>
      </c>
      <c r="E41" s="123" t="s">
        <v>452</v>
      </c>
      <c r="F41" s="88"/>
      <c r="G41" s="2"/>
      <c r="H41" s="2"/>
      <c r="I41" s="2"/>
      <c r="J41" s="89"/>
      <c r="K41" s="91" t="s">
        <v>364</v>
      </c>
      <c r="L41" s="2"/>
      <c r="M41" s="89"/>
      <c r="N41" s="91"/>
      <c r="O41" s="89" t="s">
        <v>364</v>
      </c>
    </row>
    <row r="42" spans="2:15">
      <c r="B42" s="166">
        <v>50</v>
      </c>
      <c r="C42" s="172" t="s">
        <v>375</v>
      </c>
      <c r="D42" s="97" t="s">
        <v>453</v>
      </c>
      <c r="E42" s="123" t="s">
        <v>454</v>
      </c>
      <c r="F42" s="88" t="s">
        <v>364</v>
      </c>
      <c r="G42" s="2"/>
      <c r="H42" s="2"/>
      <c r="I42" s="2"/>
      <c r="J42" s="89"/>
      <c r="K42" s="91" t="s">
        <v>364</v>
      </c>
      <c r="L42" s="2"/>
      <c r="M42" s="89"/>
      <c r="N42" s="91" t="s">
        <v>364</v>
      </c>
      <c r="O42" s="89"/>
    </row>
    <row r="43" spans="2:15" ht="28.9">
      <c r="B43" s="166">
        <v>49</v>
      </c>
      <c r="C43" s="172" t="s">
        <v>375</v>
      </c>
      <c r="D43" s="97" t="s">
        <v>455</v>
      </c>
      <c r="E43" s="123" t="s">
        <v>456</v>
      </c>
      <c r="F43" s="88" t="s">
        <v>364</v>
      </c>
      <c r="G43" s="2"/>
      <c r="H43" s="2"/>
      <c r="I43" s="2"/>
      <c r="J43" s="89"/>
      <c r="K43" s="91" t="s">
        <v>364</v>
      </c>
      <c r="L43" s="2"/>
      <c r="M43" s="89"/>
      <c r="N43" s="91"/>
      <c r="O43" s="89" t="s">
        <v>364</v>
      </c>
    </row>
    <row r="44" spans="2:15">
      <c r="B44" s="166">
        <v>77</v>
      </c>
      <c r="C44" s="172" t="s">
        <v>388</v>
      </c>
      <c r="D44" s="97" t="s">
        <v>457</v>
      </c>
      <c r="E44" s="123" t="s">
        <v>458</v>
      </c>
      <c r="F44" s="88" t="s">
        <v>364</v>
      </c>
      <c r="G44" s="2" t="s">
        <v>364</v>
      </c>
      <c r="H44" s="2" t="s">
        <v>364</v>
      </c>
      <c r="I44" s="2" t="s">
        <v>364</v>
      </c>
      <c r="J44" s="89" t="s">
        <v>364</v>
      </c>
      <c r="K44" s="91"/>
      <c r="L44" s="2" t="s">
        <v>364</v>
      </c>
      <c r="M44" s="89"/>
      <c r="N44" s="91" t="s">
        <v>364</v>
      </c>
      <c r="O44" s="89" t="s">
        <v>364</v>
      </c>
    </row>
    <row r="45" spans="2:15">
      <c r="B45" s="166">
        <v>81</v>
      </c>
      <c r="C45" s="172" t="s">
        <v>459</v>
      </c>
      <c r="D45" s="97" t="s">
        <v>460</v>
      </c>
      <c r="E45" s="123" t="s">
        <v>458</v>
      </c>
      <c r="F45" s="88" t="s">
        <v>364</v>
      </c>
      <c r="G45" s="2" t="s">
        <v>364</v>
      </c>
      <c r="H45" s="2" t="s">
        <v>364</v>
      </c>
      <c r="I45" s="2" t="s">
        <v>364</v>
      </c>
      <c r="J45" s="89" t="s">
        <v>364</v>
      </c>
      <c r="K45" s="91"/>
      <c r="L45" s="2" t="s">
        <v>364</v>
      </c>
      <c r="M45" s="89"/>
      <c r="N45" s="91" t="s">
        <v>364</v>
      </c>
      <c r="O45" s="89" t="s">
        <v>364</v>
      </c>
    </row>
    <row r="46" spans="2:15">
      <c r="B46" s="166">
        <v>35</v>
      </c>
      <c r="C46" s="171" t="s">
        <v>402</v>
      </c>
      <c r="D46" s="104" t="s">
        <v>461</v>
      </c>
      <c r="E46" s="122" t="s">
        <v>462</v>
      </c>
      <c r="F46" s="94" t="s">
        <v>364</v>
      </c>
      <c r="G46" s="109" t="s">
        <v>364</v>
      </c>
      <c r="H46" s="109" t="s">
        <v>364</v>
      </c>
      <c r="I46" s="109" t="s">
        <v>364</v>
      </c>
      <c r="J46" s="110" t="s">
        <v>364</v>
      </c>
      <c r="K46" s="95">
        <v>6</v>
      </c>
      <c r="L46" s="2" t="s">
        <v>364</v>
      </c>
      <c r="M46" s="121" t="s">
        <v>463</v>
      </c>
      <c r="N46" s="91" t="s">
        <v>364</v>
      </c>
      <c r="O46" s="89" t="s">
        <v>364</v>
      </c>
    </row>
    <row r="47" spans="2:15">
      <c r="B47" s="166">
        <v>73</v>
      </c>
      <c r="C47" s="172" t="s">
        <v>365</v>
      </c>
      <c r="D47" s="97" t="s">
        <v>464</v>
      </c>
      <c r="E47" s="123" t="s">
        <v>465</v>
      </c>
      <c r="F47" s="88" t="s">
        <v>364</v>
      </c>
      <c r="G47" s="2"/>
      <c r="H47" s="2"/>
      <c r="I47" s="2"/>
      <c r="J47" s="89" t="s">
        <v>364</v>
      </c>
      <c r="K47" s="91"/>
      <c r="L47" s="2" t="s">
        <v>364</v>
      </c>
      <c r="M47" s="89"/>
      <c r="N47" s="91" t="s">
        <v>364</v>
      </c>
      <c r="O47" s="89" t="s">
        <v>364</v>
      </c>
    </row>
    <row r="48" spans="2:15">
      <c r="B48" s="166">
        <v>74</v>
      </c>
      <c r="C48" s="172" t="s">
        <v>448</v>
      </c>
      <c r="D48" s="97" t="s">
        <v>466</v>
      </c>
      <c r="E48" s="123" t="s">
        <v>465</v>
      </c>
      <c r="F48" s="88" t="s">
        <v>364</v>
      </c>
      <c r="G48" s="2"/>
      <c r="H48" s="2"/>
      <c r="I48" s="2"/>
      <c r="J48" s="89"/>
      <c r="K48" s="91"/>
      <c r="L48" s="2" t="s">
        <v>364</v>
      </c>
      <c r="M48" s="89" t="s">
        <v>364</v>
      </c>
      <c r="N48" s="91" t="s">
        <v>364</v>
      </c>
      <c r="O48" s="89" t="s">
        <v>364</v>
      </c>
    </row>
    <row r="49" spans="2:15">
      <c r="B49" s="166">
        <v>83</v>
      </c>
      <c r="C49" s="172" t="s">
        <v>459</v>
      </c>
      <c r="D49" s="97" t="s">
        <v>467</v>
      </c>
      <c r="E49" s="123" t="s">
        <v>465</v>
      </c>
      <c r="F49" s="88" t="s">
        <v>364</v>
      </c>
      <c r="G49" s="2"/>
      <c r="H49" s="2"/>
      <c r="I49" s="2"/>
      <c r="J49" s="89" t="s">
        <v>364</v>
      </c>
      <c r="K49" s="91"/>
      <c r="L49" s="2" t="s">
        <v>364</v>
      </c>
      <c r="M49" s="89" t="s">
        <v>364</v>
      </c>
      <c r="N49" s="91" t="s">
        <v>364</v>
      </c>
      <c r="O49" s="89" t="s">
        <v>364</v>
      </c>
    </row>
    <row r="50" spans="2:15">
      <c r="B50" s="166">
        <v>97</v>
      </c>
      <c r="C50" s="174" t="s">
        <v>398</v>
      </c>
      <c r="D50" s="135" t="s">
        <v>468</v>
      </c>
      <c r="E50" s="148" t="s">
        <v>469</v>
      </c>
      <c r="F50" s="137" t="s">
        <v>364</v>
      </c>
      <c r="G50" s="133"/>
      <c r="H50" s="133"/>
      <c r="I50" s="133"/>
      <c r="J50" s="134" t="s">
        <v>364</v>
      </c>
      <c r="K50" s="132" t="s">
        <v>364</v>
      </c>
      <c r="L50" s="133" t="s">
        <v>364</v>
      </c>
      <c r="M50" s="134" t="s">
        <v>364</v>
      </c>
      <c r="N50" s="132" t="s">
        <v>364</v>
      </c>
      <c r="O50" s="134" t="s">
        <v>364</v>
      </c>
    </row>
    <row r="51" spans="2:15" ht="28.9">
      <c r="B51" s="166">
        <v>2</v>
      </c>
      <c r="C51" s="180" t="s">
        <v>470</v>
      </c>
      <c r="D51" s="98" t="s">
        <v>471</v>
      </c>
      <c r="E51" s="150" t="s">
        <v>472</v>
      </c>
      <c r="F51" s="99" t="s">
        <v>364</v>
      </c>
      <c r="G51" s="102" t="s">
        <v>364</v>
      </c>
      <c r="H51" s="102" t="s">
        <v>364</v>
      </c>
      <c r="I51" s="102"/>
      <c r="J51" s="111" t="s">
        <v>364</v>
      </c>
      <c r="K51" s="100"/>
      <c r="L51" s="102"/>
      <c r="M51" s="111"/>
      <c r="N51" s="100" t="s">
        <v>364</v>
      </c>
      <c r="O51" s="111" t="s">
        <v>364</v>
      </c>
    </row>
    <row r="52" spans="2:15">
      <c r="B52" s="166">
        <v>65</v>
      </c>
      <c r="C52" s="172" t="s">
        <v>361</v>
      </c>
      <c r="D52" s="97" t="s">
        <v>473</v>
      </c>
      <c r="E52" s="123" t="s">
        <v>97</v>
      </c>
      <c r="F52" s="88" t="s">
        <v>364</v>
      </c>
      <c r="G52" s="2" t="s">
        <v>364</v>
      </c>
      <c r="H52" s="2"/>
      <c r="I52" s="2"/>
      <c r="J52" s="89" t="s">
        <v>364</v>
      </c>
      <c r="K52" s="91"/>
      <c r="L52" s="2" t="s">
        <v>364</v>
      </c>
      <c r="M52" s="89"/>
      <c r="N52" s="91" t="s">
        <v>364</v>
      </c>
      <c r="O52" s="89" t="s">
        <v>364</v>
      </c>
    </row>
    <row r="53" spans="2:15">
      <c r="B53" s="166">
        <v>12</v>
      </c>
      <c r="C53" s="172" t="s">
        <v>406</v>
      </c>
      <c r="D53" s="97" t="s">
        <v>474</v>
      </c>
      <c r="E53" s="123" t="s">
        <v>475</v>
      </c>
      <c r="F53" s="88"/>
      <c r="G53" s="2"/>
      <c r="H53" s="2"/>
      <c r="I53" s="2"/>
      <c r="J53" s="89"/>
      <c r="K53" s="91"/>
      <c r="L53" s="2"/>
      <c r="M53" s="89"/>
      <c r="N53" s="100" t="s">
        <v>364</v>
      </c>
      <c r="O53" s="111" t="s">
        <v>364</v>
      </c>
    </row>
    <row r="54" spans="2:15">
      <c r="B54" s="166">
        <v>70</v>
      </c>
      <c r="C54" s="172" t="s">
        <v>476</v>
      </c>
      <c r="D54" s="97" t="s">
        <v>477</v>
      </c>
      <c r="E54" s="124" t="s">
        <v>478</v>
      </c>
      <c r="F54" s="88"/>
      <c r="G54" s="2"/>
      <c r="H54" s="2"/>
      <c r="I54" s="2"/>
      <c r="J54" s="89" t="s">
        <v>364</v>
      </c>
      <c r="K54" s="91"/>
      <c r="L54" s="2" t="s">
        <v>364</v>
      </c>
      <c r="M54" s="89"/>
      <c r="N54" s="91"/>
      <c r="O54" s="89"/>
    </row>
    <row r="55" spans="2:15">
      <c r="B55" s="166">
        <v>58</v>
      </c>
      <c r="C55" s="172" t="s">
        <v>479</v>
      </c>
      <c r="D55" s="97" t="s">
        <v>480</v>
      </c>
      <c r="E55" s="123" t="s">
        <v>481</v>
      </c>
      <c r="F55" s="88" t="s">
        <v>364</v>
      </c>
      <c r="G55" s="2"/>
      <c r="H55" s="2"/>
      <c r="I55" s="2"/>
      <c r="J55" s="89" t="s">
        <v>364</v>
      </c>
      <c r="K55" s="91"/>
      <c r="L55" s="2"/>
      <c r="M55" s="89"/>
      <c r="N55" s="91" t="s">
        <v>364</v>
      </c>
      <c r="O55" s="89"/>
    </row>
    <row r="56" spans="2:15">
      <c r="B56" s="166">
        <v>86</v>
      </c>
      <c r="C56" s="172" t="s">
        <v>368</v>
      </c>
      <c r="D56" s="97" t="s">
        <v>482</v>
      </c>
      <c r="E56" s="123" t="s">
        <v>483</v>
      </c>
      <c r="F56" s="88" t="s">
        <v>364</v>
      </c>
      <c r="G56" s="2"/>
      <c r="H56" s="2"/>
      <c r="I56" s="2"/>
      <c r="J56" s="89"/>
      <c r="K56" s="91"/>
      <c r="L56" s="2" t="s">
        <v>364</v>
      </c>
      <c r="M56" s="89"/>
      <c r="N56" s="91" t="s">
        <v>364</v>
      </c>
      <c r="O56" s="89" t="s">
        <v>364</v>
      </c>
    </row>
    <row r="57" spans="2:15">
      <c r="B57" s="166">
        <v>93</v>
      </c>
      <c r="C57" s="172" t="s">
        <v>391</v>
      </c>
      <c r="D57" s="97" t="s">
        <v>484</v>
      </c>
      <c r="E57" s="123" t="s">
        <v>485</v>
      </c>
      <c r="F57" s="88"/>
      <c r="G57" s="2"/>
      <c r="H57" s="2"/>
      <c r="I57" s="2" t="s">
        <v>364</v>
      </c>
      <c r="J57" s="89"/>
      <c r="K57" s="91"/>
      <c r="L57" s="2" t="s">
        <v>364</v>
      </c>
      <c r="M57" s="89"/>
      <c r="N57" s="91" t="s">
        <v>364</v>
      </c>
      <c r="O57" s="89" t="s">
        <v>364</v>
      </c>
    </row>
    <row r="58" spans="2:15">
      <c r="B58" s="166">
        <v>26</v>
      </c>
      <c r="C58" s="173" t="s">
        <v>381</v>
      </c>
      <c r="D58" s="101" t="s">
        <v>486</v>
      </c>
      <c r="E58" s="125" t="s">
        <v>487</v>
      </c>
      <c r="F58" s="88"/>
      <c r="G58" s="2"/>
      <c r="H58" s="2"/>
      <c r="I58" s="2"/>
      <c r="J58" s="89"/>
      <c r="K58" s="91"/>
      <c r="L58" s="2" t="s">
        <v>364</v>
      </c>
      <c r="M58" s="89" t="s">
        <v>364</v>
      </c>
      <c r="N58" s="91" t="s">
        <v>364</v>
      </c>
      <c r="O58" s="89"/>
    </row>
    <row r="59" spans="2:15">
      <c r="B59" s="166">
        <v>47</v>
      </c>
      <c r="C59" s="172" t="s">
        <v>488</v>
      </c>
      <c r="D59" s="97" t="s">
        <v>489</v>
      </c>
      <c r="E59" s="123" t="s">
        <v>490</v>
      </c>
      <c r="F59" s="88" t="s">
        <v>364</v>
      </c>
      <c r="G59" s="2"/>
      <c r="H59" s="2"/>
      <c r="I59" s="2"/>
      <c r="J59" s="89" t="s">
        <v>364</v>
      </c>
      <c r="K59" s="91"/>
      <c r="L59" s="2"/>
      <c r="M59" s="89" t="s">
        <v>364</v>
      </c>
      <c r="N59" s="91"/>
      <c r="O59" s="89" t="s">
        <v>364</v>
      </c>
    </row>
    <row r="60" spans="2:15">
      <c r="B60" s="166">
        <v>6</v>
      </c>
      <c r="C60" s="181" t="s">
        <v>491</v>
      </c>
      <c r="D60" s="144" t="s">
        <v>492</v>
      </c>
      <c r="E60" s="183" t="s">
        <v>493</v>
      </c>
      <c r="F60" s="99" t="s">
        <v>364</v>
      </c>
      <c r="G60" s="102" t="s">
        <v>364</v>
      </c>
      <c r="H60" s="102" t="s">
        <v>364</v>
      </c>
      <c r="I60" s="102" t="s">
        <v>364</v>
      </c>
      <c r="J60" s="111" t="s">
        <v>364</v>
      </c>
      <c r="K60" s="100"/>
      <c r="L60" s="102" t="s">
        <v>364</v>
      </c>
      <c r="M60" s="111"/>
      <c r="N60" s="100" t="s">
        <v>364</v>
      </c>
      <c r="O60" s="111" t="s">
        <v>364</v>
      </c>
    </row>
    <row r="61" spans="2:15">
      <c r="B61" s="166">
        <v>82</v>
      </c>
      <c r="C61" s="172" t="s">
        <v>459</v>
      </c>
      <c r="D61" s="97" t="s">
        <v>494</v>
      </c>
      <c r="E61" s="123" t="s">
        <v>495</v>
      </c>
      <c r="F61" s="88" t="s">
        <v>364</v>
      </c>
      <c r="G61" s="2"/>
      <c r="H61" s="2"/>
      <c r="I61" s="2" t="s">
        <v>364</v>
      </c>
      <c r="J61" s="89" t="s">
        <v>364</v>
      </c>
      <c r="K61" s="91"/>
      <c r="L61" s="2" t="s">
        <v>364</v>
      </c>
      <c r="M61" s="89" t="s">
        <v>364</v>
      </c>
      <c r="N61" s="91" t="s">
        <v>364</v>
      </c>
      <c r="O61" s="89" t="s">
        <v>364</v>
      </c>
    </row>
    <row r="62" spans="2:15">
      <c r="B62" s="166">
        <v>14</v>
      </c>
      <c r="C62" s="172" t="s">
        <v>406</v>
      </c>
      <c r="D62" s="97" t="s">
        <v>496</v>
      </c>
      <c r="E62" s="123" t="s">
        <v>497</v>
      </c>
      <c r="F62" s="126"/>
      <c r="G62" s="127"/>
      <c r="H62" s="127"/>
      <c r="I62" s="127"/>
      <c r="J62" s="128"/>
      <c r="K62" s="86"/>
      <c r="L62" s="127"/>
      <c r="M62" s="128"/>
      <c r="N62" s="163" t="s">
        <v>364</v>
      </c>
      <c r="O62" s="161" t="s">
        <v>364</v>
      </c>
    </row>
    <row r="63" spans="2:15">
      <c r="B63" s="166">
        <v>60</v>
      </c>
      <c r="C63" s="172" t="s">
        <v>479</v>
      </c>
      <c r="D63" s="97" t="s">
        <v>498</v>
      </c>
      <c r="E63" s="123" t="s">
        <v>499</v>
      </c>
      <c r="F63" s="88" t="s">
        <v>364</v>
      </c>
      <c r="G63" s="2"/>
      <c r="H63" s="2"/>
      <c r="I63" s="2"/>
      <c r="J63" s="89" t="s">
        <v>364</v>
      </c>
      <c r="K63" s="91"/>
      <c r="L63" s="2"/>
      <c r="M63" s="89"/>
      <c r="N63" s="91" t="s">
        <v>364</v>
      </c>
      <c r="O63" s="89"/>
    </row>
    <row r="64" spans="2:15">
      <c r="B64" s="166">
        <v>11</v>
      </c>
      <c r="C64" s="172" t="s">
        <v>436</v>
      </c>
      <c r="D64" s="97" t="s">
        <v>500</v>
      </c>
      <c r="E64" s="123" t="s">
        <v>501</v>
      </c>
      <c r="F64" s="88"/>
      <c r="G64" s="2"/>
      <c r="H64" s="2"/>
      <c r="I64" s="2"/>
      <c r="J64" s="89"/>
      <c r="K64" s="91"/>
      <c r="L64" s="2"/>
      <c r="M64" s="89"/>
      <c r="N64" s="91" t="s">
        <v>364</v>
      </c>
      <c r="O64" s="89" t="s">
        <v>364</v>
      </c>
    </row>
    <row r="65" spans="2:15">
      <c r="B65" s="166">
        <v>10</v>
      </c>
      <c r="C65" s="172" t="s">
        <v>436</v>
      </c>
      <c r="D65" s="97" t="s">
        <v>502</v>
      </c>
      <c r="E65" s="123" t="s">
        <v>503</v>
      </c>
      <c r="F65" s="88"/>
      <c r="G65" s="2"/>
      <c r="H65" s="2"/>
      <c r="I65" s="2"/>
      <c r="J65" s="89"/>
      <c r="K65" s="91"/>
      <c r="L65" s="2"/>
      <c r="M65" s="89"/>
      <c r="N65" s="91"/>
      <c r="O65" s="89" t="s">
        <v>364</v>
      </c>
    </row>
    <row r="66" spans="2:15">
      <c r="B66" s="166">
        <v>30</v>
      </c>
      <c r="C66" s="171" t="s">
        <v>402</v>
      </c>
      <c r="D66" s="104" t="s">
        <v>504</v>
      </c>
      <c r="E66" s="122" t="s">
        <v>505</v>
      </c>
      <c r="F66" s="94" t="s">
        <v>364</v>
      </c>
      <c r="G66" s="109" t="s">
        <v>364</v>
      </c>
      <c r="H66" s="109" t="s">
        <v>364</v>
      </c>
      <c r="I66" s="109" t="s">
        <v>364</v>
      </c>
      <c r="J66" s="110" t="s">
        <v>364</v>
      </c>
      <c r="K66" s="95">
        <v>6</v>
      </c>
      <c r="L66" s="2" t="s">
        <v>364</v>
      </c>
      <c r="M66" s="121" t="s">
        <v>506</v>
      </c>
      <c r="N66" s="91" t="s">
        <v>364</v>
      </c>
      <c r="O66" s="89" t="s">
        <v>364</v>
      </c>
    </row>
    <row r="67" spans="2:15">
      <c r="B67" s="166">
        <v>33</v>
      </c>
      <c r="C67" s="171" t="s">
        <v>402</v>
      </c>
      <c r="D67" s="104" t="s">
        <v>507</v>
      </c>
      <c r="E67" s="122" t="s">
        <v>508</v>
      </c>
      <c r="F67" s="94" t="s">
        <v>364</v>
      </c>
      <c r="G67" s="109" t="s">
        <v>364</v>
      </c>
      <c r="H67" s="109" t="s">
        <v>364</v>
      </c>
      <c r="I67" s="109" t="s">
        <v>364</v>
      </c>
      <c r="J67" s="110" t="s">
        <v>364</v>
      </c>
      <c r="K67" s="95">
        <v>6</v>
      </c>
      <c r="L67" s="2" t="s">
        <v>364</v>
      </c>
      <c r="M67" s="121" t="s">
        <v>509</v>
      </c>
      <c r="N67" s="91" t="s">
        <v>364</v>
      </c>
      <c r="O67" s="89" t="s">
        <v>364</v>
      </c>
    </row>
    <row r="68" spans="2:15">
      <c r="B68" s="166">
        <v>68</v>
      </c>
      <c r="C68" s="172" t="s">
        <v>476</v>
      </c>
      <c r="D68" s="97" t="s">
        <v>510</v>
      </c>
      <c r="E68" s="123" t="s">
        <v>511</v>
      </c>
      <c r="F68" s="88" t="s">
        <v>364</v>
      </c>
      <c r="G68" s="2"/>
      <c r="H68" s="2"/>
      <c r="I68" s="2"/>
      <c r="J68" s="89" t="s">
        <v>364</v>
      </c>
      <c r="K68" s="91"/>
      <c r="L68" s="2" t="s">
        <v>364</v>
      </c>
      <c r="M68" s="89"/>
      <c r="N68" s="91"/>
      <c r="O68" s="89"/>
    </row>
    <row r="69" spans="2:15" ht="28.9">
      <c r="B69" s="166">
        <v>41</v>
      </c>
      <c r="C69" s="172" t="s">
        <v>425</v>
      </c>
      <c r="D69" s="97" t="s">
        <v>512</v>
      </c>
      <c r="E69" s="123" t="s">
        <v>513</v>
      </c>
      <c r="F69" s="88" t="s">
        <v>364</v>
      </c>
      <c r="G69" s="2"/>
      <c r="H69" s="2" t="s">
        <v>364</v>
      </c>
      <c r="I69" s="2" t="s">
        <v>364</v>
      </c>
      <c r="J69" s="89" t="s">
        <v>364</v>
      </c>
      <c r="K69" s="91"/>
      <c r="L69" s="2" t="s">
        <v>364</v>
      </c>
      <c r="M69" s="89"/>
      <c r="N69" s="91"/>
      <c r="O69" s="89" t="s">
        <v>364</v>
      </c>
    </row>
    <row r="70" spans="2:15">
      <c r="B70" s="166">
        <v>57</v>
      </c>
      <c r="C70" s="172" t="s">
        <v>479</v>
      </c>
      <c r="D70" s="97" t="s">
        <v>514</v>
      </c>
      <c r="E70" s="123" t="s">
        <v>515</v>
      </c>
      <c r="F70" s="126" t="s">
        <v>364</v>
      </c>
      <c r="G70" s="127"/>
      <c r="H70" s="127"/>
      <c r="I70" s="127"/>
      <c r="J70" s="128" t="s">
        <v>364</v>
      </c>
      <c r="K70" s="86"/>
      <c r="L70" s="127"/>
      <c r="M70" s="128"/>
      <c r="N70" s="86" t="s">
        <v>364</v>
      </c>
      <c r="O70" s="128"/>
    </row>
    <row r="71" spans="2:15">
      <c r="B71" s="166">
        <v>32</v>
      </c>
      <c r="C71" s="171" t="s">
        <v>402</v>
      </c>
      <c r="D71" s="104" t="s">
        <v>516</v>
      </c>
      <c r="E71" s="122" t="s">
        <v>517</v>
      </c>
      <c r="F71" s="94" t="s">
        <v>364</v>
      </c>
      <c r="G71" s="109" t="s">
        <v>364</v>
      </c>
      <c r="H71" s="109" t="s">
        <v>364</v>
      </c>
      <c r="I71" s="109" t="s">
        <v>364</v>
      </c>
      <c r="J71" s="110" t="s">
        <v>364</v>
      </c>
      <c r="K71" s="95">
        <v>8</v>
      </c>
      <c r="L71" s="2" t="s">
        <v>364</v>
      </c>
      <c r="M71" s="121" t="s">
        <v>518</v>
      </c>
      <c r="N71" s="91" t="s">
        <v>364</v>
      </c>
      <c r="O71" s="89" t="s">
        <v>364</v>
      </c>
    </row>
    <row r="72" spans="2:15" ht="28.9">
      <c r="B72" s="166">
        <v>46</v>
      </c>
      <c r="C72" s="172" t="s">
        <v>488</v>
      </c>
      <c r="D72" s="97" t="s">
        <v>519</v>
      </c>
      <c r="E72" s="123" t="s">
        <v>520</v>
      </c>
      <c r="F72" s="126" t="s">
        <v>364</v>
      </c>
      <c r="G72" s="127"/>
      <c r="H72" s="127" t="s">
        <v>364</v>
      </c>
      <c r="I72" s="127" t="s">
        <v>364</v>
      </c>
      <c r="J72" s="128" t="s">
        <v>364</v>
      </c>
      <c r="K72" s="86"/>
      <c r="L72" s="127"/>
      <c r="M72" s="128" t="s">
        <v>364</v>
      </c>
      <c r="N72" s="86" t="s">
        <v>364</v>
      </c>
      <c r="O72" s="128" t="s">
        <v>364</v>
      </c>
    </row>
    <row r="73" spans="2:15">
      <c r="B73" s="166">
        <v>44</v>
      </c>
      <c r="C73" s="172" t="s">
        <v>428</v>
      </c>
      <c r="D73" s="97" t="s">
        <v>521</v>
      </c>
      <c r="E73" s="123" t="s">
        <v>522</v>
      </c>
      <c r="F73" s="126"/>
      <c r="G73" s="127" t="s">
        <v>523</v>
      </c>
      <c r="H73" s="127" t="s">
        <v>431</v>
      </c>
      <c r="I73" s="127"/>
      <c r="J73" s="128"/>
      <c r="K73" s="86"/>
      <c r="L73" s="127"/>
      <c r="M73" s="128" t="s">
        <v>431</v>
      </c>
      <c r="N73" s="86" t="s">
        <v>431</v>
      </c>
      <c r="O73" s="128" t="s">
        <v>431</v>
      </c>
    </row>
    <row r="74" spans="2:15">
      <c r="B74" s="166">
        <v>9</v>
      </c>
      <c r="C74" s="172" t="s">
        <v>436</v>
      </c>
      <c r="D74" s="97" t="s">
        <v>524</v>
      </c>
      <c r="E74" s="123" t="s">
        <v>525</v>
      </c>
      <c r="F74" s="126" t="s">
        <v>526</v>
      </c>
      <c r="G74" s="127" t="s">
        <v>526</v>
      </c>
      <c r="H74" s="127" t="s">
        <v>526</v>
      </c>
      <c r="I74" s="127" t="s">
        <v>526</v>
      </c>
      <c r="J74" s="128" t="s">
        <v>526</v>
      </c>
      <c r="K74" s="86"/>
      <c r="L74" s="127"/>
      <c r="M74" s="128" t="s">
        <v>364</v>
      </c>
      <c r="N74" s="86" t="s">
        <v>364</v>
      </c>
      <c r="O74" s="128" t="s">
        <v>364</v>
      </c>
    </row>
    <row r="75" spans="2:15">
      <c r="B75" s="166">
        <v>56</v>
      </c>
      <c r="C75" s="172" t="s">
        <v>441</v>
      </c>
      <c r="D75" s="97" t="s">
        <v>527</v>
      </c>
      <c r="E75" s="123" t="s">
        <v>528</v>
      </c>
      <c r="F75" s="126" t="s">
        <v>431</v>
      </c>
      <c r="G75" s="127"/>
      <c r="H75" s="127" t="s">
        <v>431</v>
      </c>
      <c r="I75" s="127" t="s">
        <v>431</v>
      </c>
      <c r="J75" s="128" t="s">
        <v>431</v>
      </c>
      <c r="K75" s="86"/>
      <c r="L75" s="127" t="s">
        <v>431</v>
      </c>
      <c r="M75" s="128" t="s">
        <v>431</v>
      </c>
      <c r="N75" s="86"/>
      <c r="O75" s="128"/>
    </row>
    <row r="76" spans="2:15">
      <c r="B76" s="166">
        <v>43</v>
      </c>
      <c r="C76" s="172" t="s">
        <v>428</v>
      </c>
      <c r="D76" s="97" t="s">
        <v>529</v>
      </c>
      <c r="E76" s="123" t="s">
        <v>530</v>
      </c>
      <c r="F76" s="126" t="s">
        <v>431</v>
      </c>
      <c r="G76" s="127"/>
      <c r="H76" s="127"/>
      <c r="I76" s="127"/>
      <c r="J76" s="128" t="s">
        <v>431</v>
      </c>
      <c r="K76" s="86"/>
      <c r="L76" s="127"/>
      <c r="M76" s="128" t="s">
        <v>431</v>
      </c>
      <c r="N76" s="86"/>
      <c r="O76" s="128"/>
    </row>
    <row r="77" spans="2:15">
      <c r="B77" s="166">
        <v>1</v>
      </c>
      <c r="C77" s="180" t="s">
        <v>470</v>
      </c>
      <c r="D77" s="98" t="s">
        <v>531</v>
      </c>
      <c r="E77" s="150" t="s">
        <v>532</v>
      </c>
      <c r="F77" s="153" t="s">
        <v>364</v>
      </c>
      <c r="G77" s="157"/>
      <c r="H77" s="157"/>
      <c r="I77" s="157"/>
      <c r="J77" s="161" t="s">
        <v>364</v>
      </c>
      <c r="K77" s="163"/>
      <c r="L77" s="157"/>
      <c r="M77" s="161"/>
      <c r="N77" s="163" t="s">
        <v>364</v>
      </c>
      <c r="O77" s="161" t="s">
        <v>364</v>
      </c>
    </row>
    <row r="78" spans="2:15" ht="28.9">
      <c r="B78" s="166">
        <v>64</v>
      </c>
      <c r="C78" s="172" t="s">
        <v>361</v>
      </c>
      <c r="D78" s="97" t="s">
        <v>533</v>
      </c>
      <c r="E78" s="123" t="s">
        <v>534</v>
      </c>
      <c r="F78" s="126" t="s">
        <v>364</v>
      </c>
      <c r="G78" s="127"/>
      <c r="H78" s="127"/>
      <c r="I78" s="127"/>
      <c r="J78" s="128" t="s">
        <v>364</v>
      </c>
      <c r="K78" s="86"/>
      <c r="L78" s="127" t="s">
        <v>364</v>
      </c>
      <c r="M78" s="128"/>
      <c r="N78" s="86" t="s">
        <v>364</v>
      </c>
      <c r="O78" s="128" t="s">
        <v>364</v>
      </c>
    </row>
    <row r="79" spans="2:15">
      <c r="B79" s="166">
        <v>48</v>
      </c>
      <c r="C79" s="172" t="s">
        <v>488</v>
      </c>
      <c r="D79" s="97" t="s">
        <v>535</v>
      </c>
      <c r="E79" s="123" t="s">
        <v>536</v>
      </c>
      <c r="F79" s="126"/>
      <c r="G79" s="127"/>
      <c r="H79" s="127" t="s">
        <v>364</v>
      </c>
      <c r="I79" s="127" t="s">
        <v>364</v>
      </c>
      <c r="J79" s="128" t="s">
        <v>364</v>
      </c>
      <c r="K79" s="86"/>
      <c r="L79" s="127"/>
      <c r="M79" s="128"/>
      <c r="N79" s="86"/>
      <c r="O79" s="128"/>
    </row>
    <row r="80" spans="2:15">
      <c r="B80" s="166">
        <v>75</v>
      </c>
      <c r="C80" s="172" t="s">
        <v>448</v>
      </c>
      <c r="D80" s="97" t="s">
        <v>537</v>
      </c>
      <c r="E80" s="123" t="s">
        <v>538</v>
      </c>
      <c r="F80" s="126" t="s">
        <v>364</v>
      </c>
      <c r="G80" s="127" t="s">
        <v>364</v>
      </c>
      <c r="H80" s="127" t="s">
        <v>364</v>
      </c>
      <c r="I80" s="127" t="s">
        <v>364</v>
      </c>
      <c r="J80" s="128" t="s">
        <v>364</v>
      </c>
      <c r="K80" s="86"/>
      <c r="L80" s="127" t="s">
        <v>364</v>
      </c>
      <c r="M80" s="128"/>
      <c r="N80" s="86" t="s">
        <v>364</v>
      </c>
      <c r="O80" s="128" t="s">
        <v>364</v>
      </c>
    </row>
    <row r="81" spans="2:15">
      <c r="B81" s="166">
        <v>62</v>
      </c>
      <c r="C81" s="172" t="s">
        <v>409</v>
      </c>
      <c r="D81" s="97" t="s">
        <v>539</v>
      </c>
      <c r="E81" s="123" t="s">
        <v>540</v>
      </c>
      <c r="F81" s="126"/>
      <c r="G81" s="127"/>
      <c r="H81" s="127"/>
      <c r="I81" s="127"/>
      <c r="J81" s="128" t="s">
        <v>364</v>
      </c>
      <c r="K81" s="86"/>
      <c r="L81" s="127"/>
      <c r="M81" s="128" t="s">
        <v>364</v>
      </c>
      <c r="N81" s="86"/>
      <c r="O81" s="128"/>
    </row>
    <row r="82" spans="2:15" ht="28.9">
      <c r="B82" s="166">
        <v>45</v>
      </c>
      <c r="C82" s="172" t="s">
        <v>428</v>
      </c>
      <c r="D82" s="97" t="s">
        <v>541</v>
      </c>
      <c r="E82" s="123" t="s">
        <v>542</v>
      </c>
      <c r="F82" s="126" t="s">
        <v>431</v>
      </c>
      <c r="G82" s="127" t="s">
        <v>431</v>
      </c>
      <c r="H82" s="127" t="s">
        <v>431</v>
      </c>
      <c r="I82" s="127" t="s">
        <v>431</v>
      </c>
      <c r="J82" s="128" t="s">
        <v>431</v>
      </c>
      <c r="K82" s="86"/>
      <c r="L82" s="127"/>
      <c r="M82" s="128"/>
      <c r="N82" s="86" t="s">
        <v>431</v>
      </c>
      <c r="O82" s="128" t="s">
        <v>431</v>
      </c>
    </row>
    <row r="83" spans="2:15">
      <c r="B83" s="166">
        <v>36</v>
      </c>
      <c r="C83" s="171" t="s">
        <v>402</v>
      </c>
      <c r="D83" s="104" t="s">
        <v>543</v>
      </c>
      <c r="E83" s="122" t="s">
        <v>544</v>
      </c>
      <c r="F83" s="152" t="s">
        <v>364</v>
      </c>
      <c r="G83" s="156" t="s">
        <v>364</v>
      </c>
      <c r="H83" s="156" t="s">
        <v>364</v>
      </c>
      <c r="I83" s="156" t="s">
        <v>364</v>
      </c>
      <c r="J83" s="160" t="s">
        <v>364</v>
      </c>
      <c r="K83" s="113">
        <v>6</v>
      </c>
      <c r="L83" s="127" t="s">
        <v>364</v>
      </c>
      <c r="M83" s="162" t="s">
        <v>545</v>
      </c>
      <c r="N83" s="86" t="s">
        <v>364</v>
      </c>
      <c r="O83" s="128" t="s">
        <v>364</v>
      </c>
    </row>
    <row r="84" spans="2:15">
      <c r="B84" s="166">
        <v>78</v>
      </c>
      <c r="C84" s="172" t="s">
        <v>388</v>
      </c>
      <c r="D84" s="97" t="s">
        <v>546</v>
      </c>
      <c r="E84" s="123" t="s">
        <v>547</v>
      </c>
      <c r="F84" s="126" t="s">
        <v>364</v>
      </c>
      <c r="G84" s="127"/>
      <c r="H84" s="127"/>
      <c r="I84" s="127" t="s">
        <v>364</v>
      </c>
      <c r="J84" s="128" t="s">
        <v>364</v>
      </c>
      <c r="K84" s="86"/>
      <c r="L84" s="127" t="s">
        <v>364</v>
      </c>
      <c r="M84" s="128" t="s">
        <v>364</v>
      </c>
      <c r="N84" s="86" t="s">
        <v>364</v>
      </c>
      <c r="O84" s="128" t="s">
        <v>364</v>
      </c>
    </row>
    <row r="85" spans="2:15">
      <c r="B85" s="166">
        <v>85</v>
      </c>
      <c r="C85" s="172" t="s">
        <v>368</v>
      </c>
      <c r="D85" s="97" t="s">
        <v>548</v>
      </c>
      <c r="E85" s="123" t="s">
        <v>547</v>
      </c>
      <c r="F85" s="126" t="s">
        <v>364</v>
      </c>
      <c r="G85" s="127" t="s">
        <v>364</v>
      </c>
      <c r="H85" s="127" t="s">
        <v>364</v>
      </c>
      <c r="I85" s="127" t="s">
        <v>364</v>
      </c>
      <c r="J85" s="128" t="s">
        <v>364</v>
      </c>
      <c r="K85" s="86"/>
      <c r="L85" s="127" t="s">
        <v>364</v>
      </c>
      <c r="M85" s="128" t="s">
        <v>364</v>
      </c>
      <c r="N85" s="86" t="s">
        <v>364</v>
      </c>
      <c r="O85" s="128" t="s">
        <v>364</v>
      </c>
    </row>
    <row r="86" spans="2:15">
      <c r="B86" s="166">
        <v>95</v>
      </c>
      <c r="C86" s="172" t="s">
        <v>391</v>
      </c>
      <c r="D86" s="97" t="s">
        <v>549</v>
      </c>
      <c r="E86" s="123" t="s">
        <v>550</v>
      </c>
      <c r="F86" s="126" t="s">
        <v>364</v>
      </c>
      <c r="G86" s="127" t="s">
        <v>364</v>
      </c>
      <c r="H86" s="127" t="s">
        <v>364</v>
      </c>
      <c r="I86" s="127" t="s">
        <v>364</v>
      </c>
      <c r="J86" s="128" t="s">
        <v>364</v>
      </c>
      <c r="K86" s="86"/>
      <c r="L86" s="127" t="s">
        <v>364</v>
      </c>
      <c r="M86" s="128"/>
      <c r="N86" s="86" t="s">
        <v>364</v>
      </c>
      <c r="O86" s="128" t="s">
        <v>364</v>
      </c>
    </row>
    <row r="87" spans="2:15" ht="43.15">
      <c r="B87" s="166">
        <v>23</v>
      </c>
      <c r="C87" s="182" t="s">
        <v>551</v>
      </c>
      <c r="D87" s="108" t="s">
        <v>552</v>
      </c>
      <c r="E87" s="122" t="s">
        <v>553</v>
      </c>
      <c r="F87" s="154" t="s">
        <v>364</v>
      </c>
      <c r="G87" s="158" t="s">
        <v>374</v>
      </c>
      <c r="H87" s="158" t="s">
        <v>364</v>
      </c>
      <c r="I87" s="158" t="s">
        <v>364</v>
      </c>
      <c r="J87" s="162" t="s">
        <v>364</v>
      </c>
      <c r="K87" s="112" t="s">
        <v>374</v>
      </c>
      <c r="L87" s="158" t="s">
        <v>364</v>
      </c>
      <c r="M87" s="162" t="s">
        <v>547</v>
      </c>
      <c r="N87" s="112" t="s">
        <v>364</v>
      </c>
      <c r="O87" s="162" t="s">
        <v>364</v>
      </c>
    </row>
    <row r="88" spans="2:15">
      <c r="B88" s="166">
        <v>4</v>
      </c>
      <c r="C88" s="180" t="s">
        <v>470</v>
      </c>
      <c r="D88" s="98" t="s">
        <v>554</v>
      </c>
      <c r="E88" s="150" t="s">
        <v>555</v>
      </c>
      <c r="F88" s="153"/>
      <c r="G88" s="157"/>
      <c r="H88" s="157"/>
      <c r="I88" s="157"/>
      <c r="J88" s="161" t="s">
        <v>364</v>
      </c>
      <c r="K88" s="163"/>
      <c r="L88" s="157"/>
      <c r="M88" s="161"/>
      <c r="N88" s="163"/>
      <c r="O88" s="161" t="s">
        <v>364</v>
      </c>
    </row>
    <row r="89" spans="2:15">
      <c r="B89" s="166">
        <v>61</v>
      </c>
      <c r="C89" s="172" t="s">
        <v>409</v>
      </c>
      <c r="D89" s="97" t="s">
        <v>556</v>
      </c>
      <c r="E89" s="123" t="s">
        <v>557</v>
      </c>
      <c r="F89" s="126"/>
      <c r="G89" s="127"/>
      <c r="H89" s="127"/>
      <c r="I89" s="127"/>
      <c r="J89" s="128" t="s">
        <v>364</v>
      </c>
      <c r="K89" s="86"/>
      <c r="L89" s="127"/>
      <c r="M89" s="128" t="s">
        <v>364</v>
      </c>
      <c r="N89" s="86"/>
      <c r="O89" s="128"/>
    </row>
    <row r="90" spans="2:15">
      <c r="B90" s="166">
        <v>5</v>
      </c>
      <c r="C90" s="180" t="s">
        <v>491</v>
      </c>
      <c r="D90" s="98" t="s">
        <v>558</v>
      </c>
      <c r="E90" s="184" t="s">
        <v>559</v>
      </c>
      <c r="F90" s="153"/>
      <c r="G90" s="157"/>
      <c r="H90" s="157"/>
      <c r="I90" s="157"/>
      <c r="J90" s="161" t="s">
        <v>364</v>
      </c>
      <c r="K90" s="163"/>
      <c r="L90" s="157" t="s">
        <v>364</v>
      </c>
      <c r="M90" s="161"/>
      <c r="N90" s="163" t="s">
        <v>364</v>
      </c>
      <c r="O90" s="161" t="s">
        <v>364</v>
      </c>
    </row>
    <row r="91" spans="2:15" ht="28.9">
      <c r="B91" s="166">
        <v>39</v>
      </c>
      <c r="C91" s="172" t="s">
        <v>425</v>
      </c>
      <c r="D91" s="97" t="s">
        <v>560</v>
      </c>
      <c r="E91" s="123" t="s">
        <v>561</v>
      </c>
      <c r="F91" s="126" t="s">
        <v>364</v>
      </c>
      <c r="G91" s="127" t="s">
        <v>364</v>
      </c>
      <c r="H91" s="127" t="s">
        <v>364</v>
      </c>
      <c r="I91" s="127" t="s">
        <v>364</v>
      </c>
      <c r="J91" s="128" t="s">
        <v>364</v>
      </c>
      <c r="K91" s="86"/>
      <c r="L91" s="127" t="s">
        <v>364</v>
      </c>
      <c r="M91" s="128"/>
      <c r="N91" s="86" t="s">
        <v>364</v>
      </c>
      <c r="O91" s="128" t="s">
        <v>364</v>
      </c>
    </row>
    <row r="92" spans="2:15" ht="28.9">
      <c r="B92" s="166">
        <v>38</v>
      </c>
      <c r="C92" s="172" t="s">
        <v>425</v>
      </c>
      <c r="D92" s="97" t="s">
        <v>562</v>
      </c>
      <c r="E92" s="123" t="s">
        <v>563</v>
      </c>
      <c r="F92" s="88" t="s">
        <v>364</v>
      </c>
      <c r="G92" s="2" t="s">
        <v>364</v>
      </c>
      <c r="H92" s="2" t="s">
        <v>364</v>
      </c>
      <c r="I92" s="2" t="s">
        <v>364</v>
      </c>
      <c r="J92" s="89" t="s">
        <v>364</v>
      </c>
      <c r="K92" s="91"/>
      <c r="L92" s="2"/>
      <c r="M92" s="89"/>
      <c r="N92" s="91"/>
      <c r="O92" s="89"/>
    </row>
    <row r="93" spans="2:15" ht="43.15">
      <c r="B93" s="166">
        <v>40</v>
      </c>
      <c r="C93" s="172" t="s">
        <v>425</v>
      </c>
      <c r="D93" s="97" t="s">
        <v>564</v>
      </c>
      <c r="E93" s="123" t="s">
        <v>565</v>
      </c>
      <c r="F93" s="88" t="s">
        <v>364</v>
      </c>
      <c r="G93" s="2" t="s">
        <v>364</v>
      </c>
      <c r="H93" s="2" t="s">
        <v>364</v>
      </c>
      <c r="I93" s="2" t="s">
        <v>364</v>
      </c>
      <c r="J93" s="89" t="s">
        <v>364</v>
      </c>
      <c r="K93" s="91"/>
      <c r="L93" s="2" t="s">
        <v>364</v>
      </c>
      <c r="M93" s="89"/>
      <c r="N93" s="91" t="s">
        <v>364</v>
      </c>
      <c r="O93" s="89" t="s">
        <v>364</v>
      </c>
    </row>
    <row r="94" spans="2:15">
      <c r="B94" s="166">
        <v>54</v>
      </c>
      <c r="C94" s="172" t="s">
        <v>444</v>
      </c>
      <c r="D94" s="97" t="s">
        <v>566</v>
      </c>
      <c r="E94" s="123" t="s">
        <v>567</v>
      </c>
      <c r="F94" s="88"/>
      <c r="G94" s="2"/>
      <c r="H94" s="2"/>
      <c r="I94" s="2"/>
      <c r="J94" s="89"/>
      <c r="K94" s="91"/>
      <c r="L94" s="2"/>
      <c r="M94" s="89" t="s">
        <v>431</v>
      </c>
      <c r="N94" s="91"/>
      <c r="O94" s="89" t="s">
        <v>431</v>
      </c>
    </row>
    <row r="95" spans="2:15">
      <c r="B95" s="166">
        <v>3</v>
      </c>
      <c r="C95" s="180" t="s">
        <v>470</v>
      </c>
      <c r="D95" s="98" t="s">
        <v>568</v>
      </c>
      <c r="E95" s="150" t="s">
        <v>569</v>
      </c>
      <c r="F95" s="99" t="s">
        <v>364</v>
      </c>
      <c r="G95" s="102"/>
      <c r="H95" s="102"/>
      <c r="I95" s="102" t="s">
        <v>364</v>
      </c>
      <c r="J95" s="111" t="s">
        <v>364</v>
      </c>
      <c r="K95" s="100"/>
      <c r="L95" s="102" t="s">
        <v>364</v>
      </c>
      <c r="M95" s="111"/>
      <c r="N95" s="100" t="s">
        <v>364</v>
      </c>
      <c r="O95" s="111" t="s">
        <v>364</v>
      </c>
    </row>
    <row r="96" spans="2:15">
      <c r="B96" s="166">
        <v>27</v>
      </c>
      <c r="C96" s="172" t="s">
        <v>381</v>
      </c>
      <c r="D96" s="97" t="s">
        <v>570</v>
      </c>
      <c r="E96" s="123" t="s">
        <v>571</v>
      </c>
      <c r="F96" s="88"/>
      <c r="G96" s="2"/>
      <c r="H96" s="2"/>
      <c r="I96" s="2"/>
      <c r="J96" s="89"/>
      <c r="K96" s="91"/>
      <c r="L96" s="2"/>
      <c r="M96" s="89" t="s">
        <v>364</v>
      </c>
      <c r="N96" s="91"/>
      <c r="O96" s="89"/>
    </row>
    <row r="97" spans="2:15">
      <c r="B97" s="166">
        <v>28</v>
      </c>
      <c r="C97" s="172" t="s">
        <v>381</v>
      </c>
      <c r="D97" s="97" t="s">
        <v>572</v>
      </c>
      <c r="E97" s="123" t="s">
        <v>573</v>
      </c>
      <c r="F97" s="88" t="s">
        <v>364</v>
      </c>
      <c r="G97" s="2"/>
      <c r="H97" s="2"/>
      <c r="I97" s="2"/>
      <c r="J97" s="89"/>
      <c r="K97" s="91"/>
      <c r="L97" s="2" t="s">
        <v>364</v>
      </c>
      <c r="M97" s="89" t="s">
        <v>364</v>
      </c>
      <c r="N97" s="91" t="s">
        <v>364</v>
      </c>
      <c r="O97" s="89"/>
    </row>
    <row r="98" spans="2:15">
      <c r="B98" s="166">
        <v>87</v>
      </c>
      <c r="C98" s="172" t="s">
        <v>368</v>
      </c>
      <c r="D98" s="97" t="s">
        <v>574</v>
      </c>
      <c r="E98" s="123" t="s">
        <v>575</v>
      </c>
      <c r="F98" s="88"/>
      <c r="G98" s="2"/>
      <c r="H98" s="2"/>
      <c r="I98" s="2"/>
      <c r="J98" s="89" t="s">
        <v>364</v>
      </c>
      <c r="K98" s="91"/>
      <c r="L98" s="2" t="s">
        <v>364</v>
      </c>
      <c r="M98" s="89"/>
      <c r="N98" s="91" t="s">
        <v>364</v>
      </c>
      <c r="O98" s="89" t="s">
        <v>364</v>
      </c>
    </row>
    <row r="99" spans="2:15">
      <c r="B99" s="166">
        <v>31</v>
      </c>
      <c r="C99" s="171" t="s">
        <v>402</v>
      </c>
      <c r="D99" s="104" t="s">
        <v>576</v>
      </c>
      <c r="E99" s="122" t="s">
        <v>577</v>
      </c>
      <c r="F99" s="152" t="s">
        <v>364</v>
      </c>
      <c r="G99" s="156" t="s">
        <v>364</v>
      </c>
      <c r="H99" s="156" t="s">
        <v>364</v>
      </c>
      <c r="I99" s="156" t="s">
        <v>364</v>
      </c>
      <c r="J99" s="160" t="s">
        <v>364</v>
      </c>
      <c r="K99" s="113">
        <v>7</v>
      </c>
      <c r="L99" s="127" t="s">
        <v>364</v>
      </c>
      <c r="M99" s="162" t="s">
        <v>578</v>
      </c>
      <c r="N99" s="86" t="s">
        <v>364</v>
      </c>
      <c r="O99" s="128" t="s">
        <v>364</v>
      </c>
    </row>
    <row r="100" spans="2:15">
      <c r="B100" s="166">
        <v>67</v>
      </c>
      <c r="C100" s="172" t="s">
        <v>476</v>
      </c>
      <c r="D100" s="97" t="s">
        <v>579</v>
      </c>
      <c r="E100" s="123" t="s">
        <v>88</v>
      </c>
      <c r="F100" s="126"/>
      <c r="G100" s="127"/>
      <c r="H100" s="127" t="s">
        <v>364</v>
      </c>
      <c r="I100" s="127" t="s">
        <v>364</v>
      </c>
      <c r="J100" s="128" t="s">
        <v>364</v>
      </c>
      <c r="K100" s="86"/>
      <c r="L100" s="127" t="s">
        <v>364</v>
      </c>
      <c r="M100" s="128"/>
      <c r="N100" s="86" t="s">
        <v>364</v>
      </c>
      <c r="O100" s="128" t="s">
        <v>364</v>
      </c>
    </row>
    <row r="101" spans="2:15">
      <c r="B101" s="166">
        <v>24</v>
      </c>
      <c r="C101" s="171" t="s">
        <v>384</v>
      </c>
      <c r="D101" s="104" t="s">
        <v>580</v>
      </c>
      <c r="E101" s="122" t="s">
        <v>581</v>
      </c>
      <c r="F101" s="152" t="s">
        <v>364</v>
      </c>
      <c r="G101" s="156" t="s">
        <v>374</v>
      </c>
      <c r="H101" s="156" t="s">
        <v>364</v>
      </c>
      <c r="I101" s="156" t="s">
        <v>364</v>
      </c>
      <c r="J101" s="160" t="s">
        <v>364</v>
      </c>
      <c r="K101" s="113" t="s">
        <v>374</v>
      </c>
      <c r="L101" s="156" t="s">
        <v>364</v>
      </c>
      <c r="M101" s="160" t="s">
        <v>582</v>
      </c>
      <c r="N101" s="113" t="s">
        <v>364</v>
      </c>
      <c r="O101" s="160" t="s">
        <v>364</v>
      </c>
    </row>
    <row r="102" spans="2:15">
      <c r="B102" s="166">
        <v>59</v>
      </c>
      <c r="C102" s="172" t="s">
        <v>479</v>
      </c>
      <c r="D102" s="97" t="s">
        <v>583</v>
      </c>
      <c r="E102" s="123" t="s">
        <v>584</v>
      </c>
      <c r="F102" s="126" t="s">
        <v>364</v>
      </c>
      <c r="G102" s="127" t="s">
        <v>364</v>
      </c>
      <c r="H102" s="127"/>
      <c r="I102" s="127"/>
      <c r="J102" s="128" t="s">
        <v>364</v>
      </c>
      <c r="K102" s="86"/>
      <c r="L102" s="127"/>
      <c r="M102" s="128"/>
      <c r="N102" s="86" t="s">
        <v>364</v>
      </c>
      <c r="O102" s="128"/>
    </row>
    <row r="103" spans="2:15">
      <c r="B103" s="166">
        <v>69</v>
      </c>
      <c r="C103" s="172" t="s">
        <v>476</v>
      </c>
      <c r="D103" s="97" t="s">
        <v>585</v>
      </c>
      <c r="E103" s="123" t="s">
        <v>586</v>
      </c>
      <c r="F103" s="126" t="s">
        <v>364</v>
      </c>
      <c r="G103" s="127"/>
      <c r="H103" s="127"/>
      <c r="I103" s="127"/>
      <c r="J103" s="128"/>
      <c r="K103" s="86"/>
      <c r="L103" s="127" t="s">
        <v>364</v>
      </c>
      <c r="M103" s="128"/>
      <c r="N103" s="86" t="s">
        <v>364</v>
      </c>
      <c r="O103" s="128" t="s">
        <v>364</v>
      </c>
    </row>
    <row r="104" spans="2:15">
      <c r="B104" s="166">
        <v>992</v>
      </c>
      <c r="C104" s="174"/>
      <c r="D104" s="135" t="s">
        <v>587</v>
      </c>
      <c r="E104" s="148" t="s">
        <v>588</v>
      </c>
      <c r="F104" s="137"/>
      <c r="G104" s="133"/>
      <c r="H104" s="133"/>
      <c r="I104" s="133"/>
      <c r="J104" s="134"/>
      <c r="K104" s="132"/>
      <c r="L104" s="133"/>
      <c r="M104" s="134"/>
      <c r="N104" s="132"/>
      <c r="O104" s="134"/>
    </row>
    <row r="105" spans="2:15">
      <c r="B105" s="166">
        <v>993</v>
      </c>
      <c r="C105" s="174"/>
      <c r="D105" s="135" t="s">
        <v>589</v>
      </c>
      <c r="E105" s="148" t="s">
        <v>590</v>
      </c>
      <c r="F105" s="137"/>
      <c r="G105" s="133"/>
      <c r="H105" s="133"/>
      <c r="I105" s="133"/>
      <c r="J105" s="134"/>
      <c r="K105" s="132"/>
      <c r="L105" s="133"/>
      <c r="M105" s="134"/>
      <c r="N105" s="132"/>
      <c r="O105" s="134"/>
    </row>
    <row r="106" spans="2:15" ht="15" thickBot="1">
      <c r="B106" s="167">
        <v>991</v>
      </c>
      <c r="C106" s="175"/>
      <c r="D106" s="176" t="s">
        <v>591</v>
      </c>
      <c r="E106" s="177" t="s">
        <v>592</v>
      </c>
      <c r="F106" s="136"/>
      <c r="G106" s="130"/>
      <c r="H106" s="130"/>
      <c r="I106" s="130"/>
      <c r="J106" s="131"/>
      <c r="K106" s="129"/>
      <c r="L106" s="130"/>
      <c r="M106" s="131"/>
      <c r="N106" s="129"/>
      <c r="O106" s="131"/>
    </row>
  </sheetData>
  <mergeCells count="6">
    <mergeCell ref="D5:E5"/>
    <mergeCell ref="F5:J5"/>
    <mergeCell ref="K5:M5"/>
    <mergeCell ref="N5:O5"/>
    <mergeCell ref="B2:O2"/>
    <mergeCell ref="B3:O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75a94be8049b34b5c821c80123ee6f0e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39606edad4b46891cfe73450f172594d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080CDA-AB59-4D48-9C5C-975C08DAF944}"/>
</file>

<file path=customXml/itemProps2.xml><?xml version="1.0" encoding="utf-8"?>
<ds:datastoreItem xmlns:ds="http://schemas.openxmlformats.org/officeDocument/2006/customXml" ds:itemID="{F3FE94F8-B64C-4982-9FE8-130BB6A5DB83}"/>
</file>

<file path=customXml/itemProps3.xml><?xml version="1.0" encoding="utf-8"?>
<ds:datastoreItem xmlns:ds="http://schemas.openxmlformats.org/officeDocument/2006/customXml" ds:itemID="{8F7F5DC1-2F89-497F-9D0A-F17635D8A41C}"/>
</file>

<file path=customXml/itemProps4.xml><?xml version="1.0" encoding="utf-8"?>
<ds:datastoreItem xmlns:ds="http://schemas.openxmlformats.org/officeDocument/2006/customXml" ds:itemID="{634E04CD-C5A3-4C72-8720-B5C25CE58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Ruwan Karunarathne</dc:creator>
  <cp:keywords/>
  <dc:description/>
  <cp:lastModifiedBy>Fernando Pozo</cp:lastModifiedBy>
  <cp:revision/>
  <dcterms:created xsi:type="dcterms:W3CDTF">2022-12-20T08:53:37Z</dcterms:created>
  <dcterms:modified xsi:type="dcterms:W3CDTF">2025-12-15T12:40:15Z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