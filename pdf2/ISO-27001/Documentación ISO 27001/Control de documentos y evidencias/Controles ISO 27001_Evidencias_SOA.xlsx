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filterPrivacy="1" codeName="ThisWorkbook"/>
  <xr:revisionPtr revIDLastSave="1409" documentId="13_ncr:1_{6606EF10-6519-4D4B-A0B8-5C011393BA42}" xr6:coauthVersionLast="47" xr6:coauthVersionMax="47" xr10:uidLastSave="{DD140F78-9F2D-47FE-8253-CE101AA61DFF}"/>
  <bookViews>
    <workbookView xWindow="-108" yWindow="-108" windowWidth="23256" windowHeight="13896" firstSheet="3" activeTab="3" xr2:uid="{3573EA90-09C8-40B9-94BA-76E3D2A36DEA}"/>
  </bookViews>
  <sheets>
    <sheet name="Control" sheetId="10" r:id="rId1"/>
    <sheet name="Criterios de valoración" sheetId="9" r:id="rId2"/>
    <sheet name="Gráficos" sheetId="8" r:id="rId3"/>
    <sheet name="Controles_Evidencias" sheetId="2" r:id="rId4"/>
  </sheets>
  <definedNames>
    <definedName name="_xlnm._FilterDatabase" localSheetId="3" hidden="1">Controles_Evidencias!$A$1:$L$198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8" l="1"/>
  <c r="I11" i="8"/>
  <c r="A6" i="2"/>
  <c r="A7" i="2" s="1"/>
  <c r="H198" i="2" l="1"/>
  <c r="H197" i="2"/>
  <c r="H196" i="2"/>
  <c r="G18" i="8" l="1"/>
  <c r="J17" i="8" s="1"/>
  <c r="I17" i="8"/>
  <c r="I16" i="8"/>
  <c r="I15" i="8"/>
  <c r="I14" i="8"/>
  <c r="I13" i="8"/>
  <c r="I12" i="8"/>
  <c r="AS10" i="8"/>
  <c r="I10" i="8"/>
  <c r="I9" i="8"/>
  <c r="I8" i="8"/>
  <c r="I7" i="8"/>
  <c r="I6" i="8"/>
  <c r="I5" i="8"/>
  <c r="J5" i="8" l="1"/>
  <c r="J14" i="8"/>
  <c r="J9" i="8"/>
  <c r="J15" i="8"/>
  <c r="J4" i="8"/>
  <c r="J10" i="8"/>
  <c r="J7" i="8"/>
  <c r="J12" i="8"/>
  <c r="J8" i="8"/>
  <c r="J13" i="8"/>
  <c r="J6" i="8"/>
  <c r="J11" i="8"/>
  <c r="J16" i="8"/>
  <c r="J18" i="8"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<sst xmlns="http://schemas.openxmlformats.org/spreadsheetml/2006/main" count="1327" uniqueCount="742">
  <si>
    <t>RESPONSABLE DE MANTENIMIENTO</t>
  </si>
  <si>
    <t>ACCIONES</t>
  </si>
  <si>
    <t>FECHA DE REVISIÓN</t>
  </si>
  <si>
    <t>Responsable del SGSI</t>
  </si>
  <si>
    <t>Rellenado de evidencias</t>
  </si>
  <si>
    <t xml:space="preserve">CMM 0 </t>
  </si>
  <si>
    <t xml:space="preserve">CMM 1 </t>
  </si>
  <si>
    <t xml:space="preserve">CMM 2 </t>
  </si>
  <si>
    <t xml:space="preserve">CMM 3 </t>
  </si>
  <si>
    <t xml:space="preserve">CMM 4 </t>
  </si>
  <si>
    <t xml:space="preserve">CMM 5 </t>
  </si>
  <si>
    <t>Madurez</t>
  </si>
  <si>
    <t>El control no está implementado</t>
  </si>
  <si>
    <t>El control se aplica puntualmente sin periodicidad establecida, la aplicación del mismo depende de quien la lleve a cabo, está mal diseñado o se ejecuta mal, etc.</t>
  </si>
  <si>
    <t>El control está implantado y se ejecuta de manera adecuada, aunque solo sobre una parte de los elementos a los que aplica (algunos sistemas, políticas, personas, etc.)</t>
  </si>
  <si>
    <t>El control está implantado de manera uniforme y universal en toda la compañía.</t>
  </si>
  <si>
    <t>El control se implementa de manera uniforme y universal en toda la compañía y existen métricas asociadas a su ejecución</t>
  </si>
  <si>
    <t>El control se implementa de manera uniforme en toda la compañía, existen métricas asociadas a su ejecución y su eficacia y eficiencia se auditan de manera regular</t>
  </si>
  <si>
    <t>se aplica en alguna ocasión, no existen procedimientos de aplicación y no esta bien diseñado</t>
  </si>
  <si>
    <t>esta implantado pero no es conocido por todos los empleados</t>
  </si>
  <si>
    <t xml:space="preserve">esta implantado y es conocido por todos </t>
  </si>
  <si>
    <t>está implantado y se dispone de métricas asociadas al desempeño del control</t>
  </si>
  <si>
    <t>se mide y audita regularmente
es decir revisado</t>
  </si>
  <si>
    <t>Ejemplo: Backups</t>
  </si>
  <si>
    <t>No existen copias de seguridad de la información ni de las imágenes de los sistemas.</t>
  </si>
  <si>
    <t>Se lleva a cabo alguna copia de seguridad de vez en cuando.</t>
  </si>
  <si>
    <t>Se llevan a cabo copias de seguridad con periodicidad establecida y siguiendo siempre el mismo método. Sin embargo, no cubren toda la información necesaria ni existe documentación al respecto.</t>
  </si>
  <si>
    <t>Se llevan a cabo copias de seguridad con periodicidad establecida y siguiendo siempre el mismo método que está documentado.</t>
  </si>
  <si>
    <t>Además de lo anterior, se han establecido un conjunto de indicadores para medir la eficacia de la política de copias, y éstos se revisan periódicamente.</t>
  </si>
  <si>
    <t>Además de todo lo anterior, existe un grupo de trabajo que tiene en cuenta los indicadores establecidos para mejorar la eficacia y/o eficiencia de la política de copias.</t>
  </si>
  <si>
    <t>Eficacia</t>
  </si>
  <si>
    <t>NONEXISTENT</t>
  </si>
  <si>
    <t>AD-HOC</t>
  </si>
  <si>
    <t>REPEATABLE</t>
  </si>
  <si>
    <t>DEFINED</t>
  </si>
  <si>
    <t>MANAGED</t>
  </si>
  <si>
    <t>OPTIMIZED</t>
  </si>
  <si>
    <r>
      <rPr>
        <b/>
        <sz val="11"/>
        <color indexed="8"/>
        <rFont val="Arial"/>
        <family val="2"/>
      </rPr>
      <t>Factores atenuantes y agravantes</t>
    </r>
    <r>
      <rPr>
        <sz val="11"/>
        <color indexed="8"/>
        <rFont val="Arial"/>
        <family val="2"/>
        <charset val="1"/>
      </rPr>
      <t xml:space="preserve">
Sobre la base de las valoraciones realizadas según los criterios de la tabla anterior, se aplican los siguientes atenuantes o agravantes:
   - Se reducirá la puntuación sobre el grado de madurez en caso de que el equipo de proyecto haya tenido constancia de que los controles no se aplican con rigurosidad.
   - Se reducirá la puntuación sobre el grado de madurez en caso de que se haya comunicado al equipo de proyecto que los controles no se aplican con rigurosidad.
   - Se incrementará la puntuación sobre el grado de madurez en caso de que el equipo de proyecto haya identificado puntos fuertes en la gestión de la seguridad.
</t>
    </r>
  </si>
  <si>
    <t>Nº Control</t>
  </si>
  <si>
    <t>DOMAIN 2022</t>
  </si>
  <si>
    <t>DOMAIN 2013</t>
  </si>
  <si>
    <t>Total controles dominio</t>
  </si>
  <si>
    <t>Cumplimiento por dominio</t>
  </si>
  <si>
    <t>% Cumplimiento por dominio</t>
  </si>
  <si>
    <t>% Cumplimiento por controles</t>
  </si>
  <si>
    <t>Maturity Level</t>
  </si>
  <si>
    <t>Nº Controles</t>
  </si>
  <si>
    <t>% Madurez</t>
  </si>
  <si>
    <t>CONTROLES POR ÁREA</t>
  </si>
  <si>
    <t>CONTROLES IT</t>
  </si>
  <si>
    <t>Organizational controls</t>
  </si>
  <si>
    <t>Information Security Policies</t>
  </si>
  <si>
    <t>NONEXIST</t>
  </si>
  <si>
    <t>IT</t>
  </si>
  <si>
    <t>SEGURIDAD</t>
  </si>
  <si>
    <t>Organisation of Information Security</t>
  </si>
  <si>
    <t>HR</t>
  </si>
  <si>
    <t>PRODUCCIÓN</t>
  </si>
  <si>
    <t>People controls</t>
  </si>
  <si>
    <t>Human resource security</t>
  </si>
  <si>
    <t>SEGURIDAD FÍSICA</t>
  </si>
  <si>
    <t>GOBIERNO</t>
  </si>
  <si>
    <t>Asset management</t>
  </si>
  <si>
    <t>LEGAL &amp; COMPLIANCE</t>
  </si>
  <si>
    <t>ARQUITECTURA</t>
  </si>
  <si>
    <t>technological controls</t>
  </si>
  <si>
    <t>Acces control</t>
  </si>
  <si>
    <t>DIRECCIÓN</t>
  </si>
  <si>
    <t>WORKPLACE</t>
  </si>
  <si>
    <t>Cryptography</t>
  </si>
  <si>
    <t>DESARROLLO</t>
  </si>
  <si>
    <t>Physical controls</t>
  </si>
  <si>
    <t>Physical and environmental security</t>
  </si>
  <si>
    <t>Operations security</t>
  </si>
  <si>
    <t>communications security</t>
  </si>
  <si>
    <t>system acquisition, development and maintenance</t>
  </si>
  <si>
    <t>Supplier relationships</t>
  </si>
  <si>
    <t>Information security incident management</t>
  </si>
  <si>
    <t>Information security aspects of business continuity management</t>
  </si>
  <si>
    <t>Compliance</t>
  </si>
  <si>
    <t>MEDIA</t>
  </si>
  <si>
    <t>#</t>
  </si>
  <si>
    <t>Domain</t>
  </si>
  <si>
    <t>Control Ref.</t>
  </si>
  <si>
    <t>Operational capability</t>
  </si>
  <si>
    <t>Control</t>
  </si>
  <si>
    <t>Pregunta</t>
  </si>
  <si>
    <t>Cumplimiento</t>
  </si>
  <si>
    <t>Compliance (%)</t>
  </si>
  <si>
    <t>Comentarios</t>
  </si>
  <si>
    <t>Evidencias</t>
  </si>
  <si>
    <t>5.1</t>
  </si>
  <si>
    <t>Governance</t>
  </si>
  <si>
    <t>Políticas de seguridad de la información</t>
  </si>
  <si>
    <t>Se han definido políticas de seguridad de la información?</t>
  </si>
  <si>
    <t>SI</t>
  </si>
  <si>
    <t>Se han definido diferentes documentos relativos a seguridad de la información. Entre los más relevantes están la Política de seguridad de la información y la Norma de Norma general de utilización de los recursos y sistemas de información.</t>
  </si>
  <si>
    <t>Ev.1.1 Política de seguridad de la información 
Ev.1.2 Norma general de utilización de los recursos y sistemas de información</t>
  </si>
  <si>
    <t>Se han aprobado por la dirección?</t>
  </si>
  <si>
    <t>Todos los documentos han sido desarrollados por el responsable del SGSI, revisados por al menos un miembro de la dirección y aprobados por el jefe de seguridad. Todos estas personas han firmado el documento.</t>
  </si>
  <si>
    <t>Están publicadas para que los empleados puedan consultarlas?</t>
  </si>
  <si>
    <t>Todos los controles de uso público o interno están accesibles para todos los empleados en el sharepoint interno de Spika Tech.</t>
  </si>
  <si>
    <t>Link al SharePoint de Spika Tech, apartado del SGSI
Comunicado de Teams en el que se comunica el SGSI</t>
  </si>
  <si>
    <t>Se revisan periódicamente?</t>
  </si>
  <si>
    <t>De forma bianual se revisan y queda registrado en el Listado Documental SGSI_SPIKA.</t>
  </si>
  <si>
    <t>Listado Documental SGSI_SPIKA.xlsx</t>
  </si>
  <si>
    <t>5.2</t>
  </si>
  <si>
    <t>Roles y responsabilidades</t>
  </si>
  <si>
    <t>Están definidos los roles y responsabilidades relacionados con la seguridad de la información?</t>
  </si>
  <si>
    <t>Se han definido los roles y sus respectivas responsabilidades de forma documentada. Además se han nombrado y aceptado los principales roles del SGSI.</t>
  </si>
  <si>
    <t>PRO 002.01_ ROLES Y SEGREGACIÓN DE FUNCIONES.pdf
PdT firmado de "Responsable del SGSI", "Jefe de seguridad", "Administrador de sistemas" y "Jefe de seguridad suplente"</t>
  </si>
  <si>
    <t>5.3</t>
  </si>
  <si>
    <t>Identity_and_access_management</t>
  </si>
  <si>
    <t>Segregación de responsabilidades</t>
  </si>
  <si>
    <t>Están segregadas las responsabilidades que puedan entrar en conflicto?</t>
  </si>
  <si>
    <t>Existen varios roles relacionados con la seguridad de la información, los cuales pertenecen a personas diferentes. Esto queda definido en el documento referente a los roles.</t>
  </si>
  <si>
    <t>Documento "PRO 002.01_ ROLES Y SEGREGACIÓN DE FUNCIONES" y los PdT firmados.</t>
  </si>
  <si>
    <t>5.4</t>
  </si>
  <si>
    <t>Responsabilidades de la dirección</t>
  </si>
  <si>
    <t>La dirección se preocupa porque los trabajadores cumplan con sus responsabilidades en cuanto a la seguridad de la información?</t>
  </si>
  <si>
    <t>Si, los miembros de la dirección han revisado y firmado todos los documentos relacionados con el SGSI</t>
  </si>
  <si>
    <t>Firma en todos los documentos.
Correos y reuniones con la dirección.</t>
  </si>
  <si>
    <t>Se hace seguimiento del estado de la seguridad en la organización?</t>
  </si>
  <si>
    <t>De forma periódica se revisa que todo se cumpla correctamente. En estas revisiones se incluye revisiones de dispositivos, programas instalados. Todo esto acompañado de formación periódica.</t>
  </si>
  <si>
    <t>Registro donde se recoge todas las revisones "RGS_4 REVISIONES PERIÓDICAS.xlsl"</t>
  </si>
  <si>
    <t>Se comunica a los empleados cuáles son sus responsabildiades?</t>
  </si>
  <si>
    <t>Si, todos los documentos relacionados con el SGSI están disponible para los empleados, en los cuales se especifica sus responsabilidades</t>
  </si>
  <si>
    <t>Documento "PRO 002.01_ ROLES Y SEGREGACIÓN DE FUNCIONES" donde quedan reflejadas sus responsabilidades, entre las que se encuentra tener conocimiento de todos los controles, en los cuales se detallan sus responsabilidades</t>
  </si>
  <si>
    <t>Son concienciados y/o entrenados en estas?</t>
  </si>
  <si>
    <t>De forma periódica se realizan cursos o sesiones de formación. Se realizan sesiones bianuales de formación, aparte de que los integrantes de Spika Tech realizan cursos externos, acompañados por últimos de infografías</t>
  </si>
  <si>
    <t>Plan de formación, infográfias que hay en el SharePoint y títulos de los cursos que han hecho.</t>
  </si>
  <si>
    <t>Firman un acuerdo de aceptación de responsabilidades y de confidencialidad?</t>
  </si>
  <si>
    <t>Todos los empleados han firmado un NDA de confidencialidad.</t>
  </si>
  <si>
    <t>Modelo de NDA y NDAs firmados por los empleados.</t>
  </si>
  <si>
    <t>Existe un canal de comunicación anonimizable para reportar acciones indebidas relacionadas con la seguridad de la información?</t>
  </si>
  <si>
    <t>Si, para el reporte de cualquier tipo de incidencia existe un formulario en Microsoft Forms, el cual es anónimo.</t>
  </si>
  <si>
    <t>Formulario de Microsoft Forms y respuestas.</t>
  </si>
  <si>
    <t>Organizational mission</t>
  </si>
  <si>
    <t>5.5</t>
  </si>
  <si>
    <t>Contacto con las autoridades</t>
  </si>
  <si>
    <t>Se mantiene contacto con las autoridades relevantes en materia de seguridad (policía, bomberos, entidades regulatorias, servicios de emergencia...)?</t>
  </si>
  <si>
    <t>Se mantiene contacto con el INCIBE</t>
  </si>
  <si>
    <t>Procedimiento 15</t>
  </si>
  <si>
    <t>5.6</t>
  </si>
  <si>
    <t>Contacto con grupos de interés</t>
  </si>
  <si>
    <t>Se mantiene contacto con los grupos de interés correspondientes (foros de seguridad, asociaciones...)?</t>
  </si>
  <si>
    <t>Procedimiento 15
Correos del INCIBE</t>
  </si>
  <si>
    <t>5.7</t>
  </si>
  <si>
    <t>Threat Intelligence</t>
  </si>
  <si>
    <t>Se almacena información relacionada con amenazas de seguridad?</t>
  </si>
  <si>
    <t>Correos del INCIBE y publicaciones del INCIBE y del CCN</t>
  </si>
  <si>
    <t>Se analiza esta información?</t>
  </si>
  <si>
    <t>Se conocen las amenazas más comunes en la actualidad y en el sector?</t>
  </si>
  <si>
    <t>Si, gracias al plan de formación se conocen las amenazas más frecuentes.</t>
  </si>
  <si>
    <t>Registro "RGS_4 REVISIONES PERIÓDICAS.xlxs", infográfias que hay en el SharePoint y títulos de los cursos que han hecho.</t>
  </si>
  <si>
    <t>Se cuenta con los medios para hacer frente al menos a las más comunes?</t>
  </si>
  <si>
    <t>Se han implementado medidas como antivirus, backups, firewall.. y concienciación (ingenieria social) para evitar que sucedan incidentes. También existen medidas como revisión de dispositivos, control de entrada/salida...</t>
  </si>
  <si>
    <t>El software Norton ofrece un paquete de protección entre lo que se incluye VPN, Firewall, Antivirus, gestor de contraseñas...
Por otro lado, hay procedimientos específicos como "PRO 009.01_PROTECCIÓN DE EQUIPOS", el cual especifica como proteger los equipos.
Por último, la norma "NRM 003.01_PROTECCIÓN FRENTE A SOTWARE MALICIOSO" estable como hacer frente a las amenazas más frecuentes.</t>
  </si>
  <si>
    <t>5.8</t>
  </si>
  <si>
    <t>Risk_management</t>
  </si>
  <si>
    <t>Seguridad de la información en la gestión de proyectos</t>
  </si>
  <si>
    <t>Se tiene en cuenta la seguridad de la información en la planificación y desarrollo de los proyectos?</t>
  </si>
  <si>
    <t>Si, en cualquier desarrollo software la seguridad de la información es un punto que siempre se tiene en cuenta. Habiendo procedimientos que habla de ello y especifican como proceder.</t>
  </si>
  <si>
    <t>El procedimiento "PRO 012.01_DESARROLLO SEGURO" especifica como realizar un desarrollo seguro.</t>
  </si>
  <si>
    <t>Se tiene en cuenta el tipo de información involucrada en el proyecto, si involucra a empresas terceras, accesos a información privilegiada, etc.?</t>
  </si>
  <si>
    <t>Si, toda la información es analizada y clasificada. En el caso de que se trabaje con una empresa de terceros, en el contrato se añade un anexo que recoge los requisitos de seguridad que tienen que cumplir.</t>
  </si>
  <si>
    <t>En el procedimiento "PRO 004.01_ ETIQUETADO Y CLASIFICACIÓN DE LA INFORMACIÓN" queda especificado como clasificar la información y que implicaciones tiene. Por otro lado, el procedimiento "PRO 018.01_ PROTECCIÓN DE PROYECTOS IT" define los anexos que deberán de firmar las empresas de terceros.</t>
  </si>
  <si>
    <t>5.9</t>
  </si>
  <si>
    <t>Asset_management</t>
  </si>
  <si>
    <t xml:space="preserve">Inventario de información y otros activos </t>
  </si>
  <si>
    <t>Se tiene un inventario de activos?</t>
  </si>
  <si>
    <t>Si, hay un procedimiento que establece como debe ser, y una un excel en el cual se recoge el inventario de activos.</t>
  </si>
  <si>
    <t>El procedimiento "PRO 006.01_INVENTARIO DE ACTIVOS" define como debe ser el inventario de activos, y el registro "RGS_2 INVENTARIO DE ACTIVOS" recoge dicho inventario de activos</t>
  </si>
  <si>
    <t>Este inventario tiene un responsable?</t>
  </si>
  <si>
    <t>Si, como establece el procedimiento asociado, el responsable del SGSI es el encargado de revisar y actualizar el inventario de activos</t>
  </si>
  <si>
    <t>El procedimiento "PRO 006.01_INVENTARIO DE ACTIVOS" define que el inventario de activos tiene que tener un responsable.</t>
  </si>
  <si>
    <t>Los activos están asignados a un owner (ya sea persona física o un departamento)?</t>
  </si>
  <si>
    <t>Si, todos los activos tienen un responsable como establece el procedimiento "PRO 006.01_INVENTARIO DE ACTIVOS".</t>
  </si>
  <si>
    <t>El procedimiento "PRO 006.01_INVENTARIO DE ACTIVOS" define que todos los activos tienen que tener un responsable, y el registro "RGS_2 INVENTARIO DE ACTIVOS" recoge dichos activos con su responsable.</t>
  </si>
  <si>
    <t>Cómo se mantiene actualizado este inventario?</t>
  </si>
  <si>
    <t>Si, como establece el procedimiento asociado, el responsable del SGSI es el encargado de revisar y actualizar el inventario de activos. Esto se hace mediante revisiones periódicas y dejando registrado todos los activos nuevos o que han cambiado de propietario o personas que peuden acceder.</t>
  </si>
  <si>
    <t>El procedimiento "PRO 006.01_INVENTARIO DE ACTIVOS" define que el inventario de activos se tiene que mantener actualizado.
Por otro lado, gracias a lo que define el procedimiento "PRO 007.01_ADQUISICIÓN DE NUEVOS COMPONENTES TI" y la norma "NRM 004.01_REGISTRO DE AUTORIZACIONES", queda registrado los nuevos componentes y quien tiene acceso a ellos.</t>
  </si>
  <si>
    <t>Están clasificados los activos por su nivel de confidencialidad?</t>
  </si>
  <si>
    <t>Si, como se define en los documentos "PRO 006.01_INVENTARIO DE ACTIVOS" y "PRO 004.01_ ETIQUETADO Y CLASIFICACIÓN DE LA INFORMACIÓN", la información queda etiquetada según su nivel de confidencialidad.</t>
  </si>
  <si>
    <t>Esto queda reflejado en el registro "RGS_2 INVENTARIO DE ACTIVOS"</t>
  </si>
  <si>
    <t>5.10</t>
  </si>
  <si>
    <t>Information_protection</t>
  </si>
  <si>
    <t>Uso aceptable de la información y otros activos</t>
  </si>
  <si>
    <t>Se han identificado, documentado e implementado medidas para asegurar el uso aceptable de activos?</t>
  </si>
  <si>
    <t>Si, todos los activos y su acceso está controlado mediante el mínimo privilegio, aparte de que está en conocimiento de todos los empleados los documentos del SGSI de uso público y uso interno.</t>
  </si>
  <si>
    <t>Norma 1 de uso y recursos.
En los documentos "PRO 002.01_ ROLES Y SEGREGACIÓN DE FUNCIONES" y "PRO 010.01_GESTIÓN SOPORTES DE INFORMACIÓN", se detalla las responsabilidades para asegurar la seguridad de la información.</t>
  </si>
  <si>
    <t>Se llevan a cabo acciones de monitorización de los activos de los empleados?</t>
  </si>
  <si>
    <t>Si, de forma periódica se hace una revisión de dispositivos de los empleados y de los activos a los que tienen activos. Todo esto bajo la política de mínimo privilegio.</t>
  </si>
  <si>
    <t>El procedimiento "PRO 011.01_CONTROL DE ACCESO DE USUARIOS" establece el mínimo privilegio y por otro lado, las revisiones quedna reflejadas en el registro "RGS_2 INVENTARIO DE ACTIVOS".</t>
  </si>
  <si>
    <t>Se tiene identificados los empleados que pueden acceder a cierto tipo de información?</t>
  </si>
  <si>
    <t>Si, en el inventario de activos queda registrado quien tiene acceso a que información. En GitHub queda registrado quien tiene acceso a cada repositorio. Todo esto teniendo en cuenta el mínimo privilegio.</t>
  </si>
  <si>
    <t>El procedimiento "PRO 011.01_CONTROL DE ACCESO DE USUARIOS" establece el mínimo privilegio y por otro lado, las revisiones quedna reflejadas en el registro "RGS_2 INVENTARIO DE ACTIVOS". En GitHub cada respositorio tiene un owner y colaboradores.</t>
  </si>
  <si>
    <t>Se lleva a cabo el principio de mínimos privilegios?</t>
  </si>
  <si>
    <t>Tanto en documentos como en repositorios. Esot se revisa de forma periódica.</t>
  </si>
  <si>
    <t>Queda reflejado en el procedimiento "PRO 011.01_CONTROL DE ACCESO DE USUARIOS"</t>
  </si>
  <si>
    <t>5.11</t>
  </si>
  <si>
    <t>Devolución de activos</t>
  </si>
  <si>
    <t>Cómo se lleva a cabo este proceso?</t>
  </si>
  <si>
    <t>Se rige mediante el procedimiento correspondiente, acompañado de que el NDA establece que al acabar relación con Spika Tech, se debe devolver todos los activos.</t>
  </si>
  <si>
    <t>Esto queda establecido en el documentos "PRO 010.01_GESTIÓN SOPORTES DE INFORMACIÓN" y en el modelo de NDA.</t>
  </si>
  <si>
    <t>5.12</t>
  </si>
  <si>
    <t>Clasificación de la información</t>
  </si>
  <si>
    <t>Está la información clasificada por su nivel de confidencialidad u otros criterios?</t>
  </si>
  <si>
    <t>Si, toda la información relevante y a partir de la implantación de la ISO 27001 ha sido marcada, incluso se ha aplicado con caracter retroactivo como para los PNTs de la ISO 13485</t>
  </si>
  <si>
    <t>En el procedimiento "PRO 004.01_ ETIQUETADO Y CLASIFICACIÓN DE LA INFORMACIÓN" queda especificado como clasificar la información y que implicaciones tiene.</t>
  </si>
  <si>
    <t>Quién lleva a cabo esta función?</t>
  </si>
  <si>
    <t>La clasifica el responsable de dicha información y revisada por el responsable del SGSI en las revisiones periódicas.</t>
  </si>
  <si>
    <t>5.13</t>
  </si>
  <si>
    <t>Etiquetado de la información</t>
  </si>
  <si>
    <t>Se etiqueta la información en base a lo establecido en el apartado anterior?</t>
  </si>
  <si>
    <t>Está definido en el procedimiento relativo a lo mismo.</t>
  </si>
  <si>
    <t>5.14</t>
  </si>
  <si>
    <t>Transferencia de información</t>
  </si>
  <si>
    <t>Se han establecido normas y procedimientos para la transferencia de información dentro de la empresa?</t>
  </si>
  <si>
    <t>Queda establecido en un procedimiento y es necesario rellenar un formulario para solicitar acceso, para que posteriomente sea aceptado. En el caso de que esté en un soporte físico, también hay que solicitarlo de acuerdo a otro documento.</t>
  </si>
  <si>
    <t>EL procedimiento "PRO 011.01_CONTROL DE ACCESO DE USUARIOS" establece el mínimo privilegio y como se tiene que proceder para el intercambio de información. Por otro lado, el procedimiento "PRO 010.01_GESTIÓN SOPORTES DE INFORMACIÓN" establece como es la transferencia de soporte de información. Tanto para acceder a la información como para acceder al soporte, es necesario rellenar los formularios</t>
  </si>
  <si>
    <t>Y entre la empresa y terceros?</t>
  </si>
  <si>
    <t>En el procedimiento de protección de proyectos IT se establecen que disretricen deben tener en cuenta y en todo lo relacionado con la protección de proyectos IT.</t>
  </si>
  <si>
    <t>En el documento "PRO 018.01_ PROTECCIÓN DE PROYECTOS IT" se establece las directrices que tienen que llevar las empresas de terceros. Dependiendo de la información a la que tenga que tener acceso se rellena un anexo u otro.</t>
  </si>
  <si>
    <t>5.15</t>
  </si>
  <si>
    <t>Control de acceso</t>
  </si>
  <si>
    <t>Los responsables de la información determinan los requerimientos de seguridad para su acceso?</t>
  </si>
  <si>
    <t>Lo hacen al definir su nivel de confidencialidad y tipo de uso. Esto queda regulado en documentos y registrado en el inventario de activos</t>
  </si>
  <si>
    <t>En el procedimiento "PRO 004.01_ ETIQUETADO Y CLASIFICACIÓN DE LA INFORMACIÓN" queda especificado como clasificar la información y que implicaciones tiene.
El Procedimiento 11 define el control de acceso de los usuarios.</t>
  </si>
  <si>
    <t>5.16</t>
  </si>
  <si>
    <t>Gestión de identidades</t>
  </si>
  <si>
    <t>Cómo se gestiona el ciclo de vida de las identidades?</t>
  </si>
  <si>
    <t>El responsable de sistemas las gestiona desde su creación hasta que son eliminadas en caso de que sea necesaria</t>
  </si>
  <si>
    <t>_</t>
  </si>
  <si>
    <t>Hay identidades asignadas a grupos de personas?</t>
  </si>
  <si>
    <t>Si, mediante grupos de outlook se crean alias que agrupan a una serie de personas</t>
  </si>
  <si>
    <t>Identidades como "management@spikatech.com", son alias que engloban a una serie de personas.</t>
  </si>
  <si>
    <t>Se eliminan las identidades cuando no hacen falta?</t>
  </si>
  <si>
    <t>Si, se revisan de forma periódica, y en caso de que la identidad ya no sea necesaria, se elimina.</t>
  </si>
  <si>
    <t>Se almacenan registros de los eventos relacionados con la asignación, modificación o revocación de identidades?</t>
  </si>
  <si>
    <t>NO</t>
  </si>
  <si>
    <t>5.17</t>
  </si>
  <si>
    <t>Información de autenticación</t>
  </si>
  <si>
    <t>Cómo se generan las passwords de los usuarios al entrar en la empresa?</t>
  </si>
  <si>
    <t>Se generan contraseñas robustas para las cuentas de Spika Tech, ya sea manualmente cumpliendo los descrito en el procedimiento afín, o mediante la herramienta Norton Password Manager.</t>
  </si>
  <si>
    <t>El documento "PRO 002.01_ ROLES Y SEGREGACIÓN DE FUNCIONES" establece los requisitos para las contraseñas.</t>
  </si>
  <si>
    <t>Cómo se comunican a los empleados?</t>
  </si>
  <si>
    <t>Mediante correo electrónico se manda las credenciales del empleado.</t>
  </si>
  <si>
    <t>Captura de pantalla de un caso real</t>
  </si>
  <si>
    <t>Se obliga al empleado a cambiar la password por defecto?</t>
  </si>
  <si>
    <t>Si, al hacer el primer inicio de sesión se obliga al empleado a cambiar la contraseña por defecto a una nueva (cumpliendo los requisitos establecidos en el procedimiento correspondiente)</t>
  </si>
  <si>
    <t>Se utiliza alguna herramienta de gestión de contraseñas?</t>
  </si>
  <si>
    <t>Si, se usa la herramienta que ofrece Norton para la gestión y generación de contraseñas.</t>
  </si>
  <si>
    <t>Norton Password Manager</t>
  </si>
  <si>
    <t>Existe una política de contraseñas?</t>
  </si>
  <si>
    <t>Si, hay una política exclusiva para todo lo referente a las contraseñas que lo establece</t>
  </si>
  <si>
    <t>La política "PLT 006.01_CONTRASEÑAS" es la que establece todo lo relacionado con las contraseñas.</t>
  </si>
  <si>
    <t>5.18</t>
  </si>
  <si>
    <t>Derechos de acceso</t>
  </si>
  <si>
    <t>El responsable de sistemas</t>
  </si>
  <si>
    <t>Cada vez que alguien quiere acceder a información tiene que rellenar un formulario, para posteriormente ser revisado y aprobado y así se concluye.</t>
  </si>
  <si>
    <t>Si, y quedan registrados en el registros de revisones periódicas, siguiente el criterio de mínimo privilegio.</t>
  </si>
  <si>
    <t>El procedimiento "PRO 011.01_CONTROL DE ACCESO DE USUARIOS" establece los criterios de acceso a la información, y el registros "RGS_4 REVISIONES PERIÓDICAS" es el que se encarga de recoger las revisiones.</t>
  </si>
  <si>
    <t>Existe un flujo formal para la concesión, modificación y revocación de accesos?</t>
  </si>
  <si>
    <t>Si, mediante un formulario a través del que se solicita el acceso a la información. Esta solicitud después se procesa y se concede o no el acceso.</t>
  </si>
  <si>
    <t>Formulario "[FORMULARIO] Solicitud para acceso a información".</t>
  </si>
  <si>
    <t>Se lleva un registro de esto?</t>
  </si>
  <si>
    <t>Si, queda todas las solicitudes quedan guardadas en las respuestas del formulario, y que caso de que se de acceso, queda registrado en el inventario de activos de información.</t>
  </si>
  <si>
    <t>Formulario "[FORMULARIO] Solicitud para acceso a información" y registro "RGS_2 INVENTARIO DE ACTIVOS".</t>
  </si>
  <si>
    <t>5.19</t>
  </si>
  <si>
    <t>Seguridad de la información en relaciones con terceros</t>
  </si>
  <si>
    <t>Se realizan scorings a los proveedores?</t>
  </si>
  <si>
    <t>Si</t>
  </si>
  <si>
    <t>Se exige algún requisito de seguridad a los proveedores?</t>
  </si>
  <si>
    <t>Si, hay un procedimiento que lo establece, el cual contiene anexos para que lo firmen junto al contrato</t>
  </si>
  <si>
    <t>El procedimiento "PRO 018.01_ PROTECCIÓN DE PROYECTOS IT" Y SLA</t>
  </si>
  <si>
    <t>Están todos los proveedores identificados y registrados?</t>
  </si>
  <si>
    <t>Si, y han firmado el anexo de seguridad de proyectos IT para la seguridad de la información de Spika Tech</t>
  </si>
  <si>
    <t>En el registros "RSG_5 WHITELIST" están listados los proveedores y si están aprobados (Han firmado el anexo)</t>
  </si>
  <si>
    <t>Se ha realizado un ejercicio de análisis de riesgos y salvaguardas?</t>
  </si>
  <si>
    <t>Si, usando el anexo del procedimiento correspondiente</t>
  </si>
  <si>
    <t>5.20</t>
  </si>
  <si>
    <t>Supplier_relationships_security</t>
  </si>
  <si>
    <t>Aproximación a la seguridad de la información en los contratos con terceros</t>
  </si>
  <si>
    <t>Se incluyen cláusulas relacionadas con la seguridad de la información en los contratos con terceros?</t>
  </si>
  <si>
    <t>El procedimiento "PRO 018.01_ PROTECCIÓN DE PROYECTOS IT"</t>
  </si>
  <si>
    <t>5.21</t>
  </si>
  <si>
    <t>Gestionar la seguridad de la información en la cadena de suministro</t>
  </si>
  <si>
    <t>Se incluyen cláusulas relacionadas con la seguridad de la información DE LAS TIC en los contratos con terceros?</t>
  </si>
  <si>
    <t>5.22</t>
  </si>
  <si>
    <t>Monitorización, revisión y gestión del cambio de servicios de terceros</t>
  </si>
  <si>
    <t>Se lleva a cabo alguna acción de monitorización, revisión o auditoría con los proveedores para asegurar que cumplen con lo acordado en términos de seguridad?</t>
  </si>
  <si>
    <t>5.23</t>
  </si>
  <si>
    <t>Seguridad de la información para servicios de cloud</t>
  </si>
  <si>
    <t>Se utilizan los servicios de algún proveedor de nube?</t>
  </si>
  <si>
    <t>Si, se utiliza el servicio en la nube de Google llamado Firebase tanto para almacenamiento como para procesamiento.</t>
  </si>
  <si>
    <t>Captura de pantalla del panel de Firebase.</t>
  </si>
  <si>
    <t>Se han definido unos requisitos de seguridad a la hora de contratar estos servicios?</t>
  </si>
  <si>
    <t>Si, hay una norma que establece todos los criterios necesidades y protocolos relacionados con cloud</t>
  </si>
  <si>
    <t>La norma "NRM 002.01_ SERVICIOS CLOUD" es la que habla sobre cloud</t>
  </si>
  <si>
    <t>Se ha desarrollado un plan en caso de cesar el contrato con este proveedor?</t>
  </si>
  <si>
    <t>Se han definido roles y responsabilidades en la organización en cuanto al servicio cloud?</t>
  </si>
  <si>
    <t>Se han identificado los roles y responsabilidades entre la organización y el proveedor de cloud?</t>
  </si>
  <si>
    <t>5.24</t>
  </si>
  <si>
    <t>Information_security_event_management</t>
  </si>
  <si>
    <t>Planificación y preparación para la gestión de incidentes</t>
  </si>
  <si>
    <t>Se han desarrollado planes y procesos y definido responsabilidades para hacer frente a una incidencia de seguridad?</t>
  </si>
  <si>
    <t>Si, hay un documento que lo espcifica, aparte de un formulario y una cuenta de correo para reportar incidentes de forma anónima.</t>
  </si>
  <si>
    <t>El procedimiento "PRO 015.01_GESTIÓN Y NOTIFICACIÓN DE INCIDENTES DE SEGURIDAD" establece como se tiene que proceder en el aso de que ocurra un incidente de seguridad. Por otro lado, el formulario "[FORMULARIO] Reporte de una incidencia de seguridad" sirve para poder reportar los incidentes de forma anónima.</t>
  </si>
  <si>
    <t>Existe un punto de contacto para notificar cualquier incidente de seguridad?</t>
  </si>
  <si>
    <t>Si, por un lado está el formulario para reportar incidentes, y por otro lado, existe una cuenta de correo electrónico para reportar todo lo relacionado con seguridad.</t>
  </si>
  <si>
    <t>El formulario "[FORMULARIO] Reporte de una incidencia de seguridad" sirve para poder reportar los incidentes de forma anónima. La cuenta de correo es "incidencias@spikatech.com".</t>
  </si>
  <si>
    <t>5.25</t>
  </si>
  <si>
    <t>Evaluación y decisión de eventos de seguridad</t>
  </si>
  <si>
    <t>Cómo se decide si un evento de seguridad es un incidente?</t>
  </si>
  <si>
    <t>En el procedimiento relacionado con las incidencias, uno de los pasos a seguir después de recibir el reporte es estudiar y analizar la incidencia y determinar su nivel de peligrosidad</t>
  </si>
  <si>
    <t>El procedimiento "PRO 015.01_GESTIÓN Y NOTIFICACIÓN DE INCIDENTES DE SEGURIDAD" es el que define esto.</t>
  </si>
  <si>
    <t>5.26</t>
  </si>
  <si>
    <t>Respuesta a incidentes</t>
  </si>
  <si>
    <t>Se han establecido procedimientos de respuesta a incidentes?</t>
  </si>
  <si>
    <t>Se ha definido en el procedimiento de control de incidentes</t>
  </si>
  <si>
    <t>Estos se han comunicado a todas las partes interesadas?</t>
  </si>
  <si>
    <t>5.27</t>
  </si>
  <si>
    <t>Aprendizaje de los incidentes de seguridad</t>
  </si>
  <si>
    <t>Se realiza algún ejercicio de aprendizaje de incidentes?</t>
  </si>
  <si>
    <t>De forma regular se realizan sesiones y cursos de formación a los empleados. En estos se tratan diferentes puntos relacionados con la ciberseguridad</t>
  </si>
  <si>
    <t>En el formulario "[FORMULARIO] Registro de formación recibida" quedan registradas todas las formación. Por otro lado en el SGSI está disponible toda la formación.
Cuando ocurre un incidente se hace un comunicado vía Teams</t>
  </si>
  <si>
    <t>5.28</t>
  </si>
  <si>
    <t>Recogida de evidencias</t>
  </si>
  <si>
    <t>Existe algún procedimiento de recogida de evidencias después de un ataque?</t>
  </si>
  <si>
    <t>Si, en el procedimiento relacionado con incidentes se establece una fase en la que después de mitigar el ataque/incidente se hace una retrospectiva y análisis.</t>
  </si>
  <si>
    <t>5.29</t>
  </si>
  <si>
    <t>Continuity</t>
  </si>
  <si>
    <t>Seguridad durante una interrupción</t>
  </si>
  <si>
    <t>Se han establecido y probado planes de mantenimiento o recuperación de la información durante un corte de servicio?</t>
  </si>
  <si>
    <t>Política 4
BIA</t>
  </si>
  <si>
    <t>5.30</t>
  </si>
  <si>
    <t>Preparación de IT para la continuidad del negocio</t>
  </si>
  <si>
    <t>Se ha realizado un BIA?</t>
  </si>
  <si>
    <t>Si, se realiza periodicamente usando la plantilla del INCIBE</t>
  </si>
  <si>
    <t>El BIA que se ha realizado en Marzo de 2025</t>
  </si>
  <si>
    <t>Existe un plan de continuidad de negocio enfocado a IT?</t>
  </si>
  <si>
    <t>Si, hay una política que lo especifíca</t>
  </si>
  <si>
    <t>La política en cuestión es "PLT 004.01_ CONTINUIDAD DE NEGOCIO"</t>
  </si>
  <si>
    <t>5.31</t>
  </si>
  <si>
    <t>Legal_and_compliance</t>
  </si>
  <si>
    <t>Requerimientos contractuales legales y regulatorios</t>
  </si>
  <si>
    <t>Están identificados, documentados y actualizados los requerimientos de tipo legal o contractual relacionados con la seguridad de la información (requerimientos del mundo agroalimentario, operación en otros países, etc.)?</t>
  </si>
  <si>
    <t>Hay un registro donde se listan toda la legislación apicable</t>
  </si>
  <si>
    <t>El registro es "RGS_1 NORMATIVA APLICABLE"</t>
  </si>
  <si>
    <t>5.32</t>
  </si>
  <si>
    <t>Derechos de propiedad intelectual</t>
  </si>
  <si>
    <t>Se han definido procedimientos para proteger este tipo de material?</t>
  </si>
  <si>
    <t>Para proteger la propiedad intelectual se han tomado varias medidas como por ejemplo de un NDA, toda la documentación del SGSI, clausulas de protección contra terceros</t>
  </si>
  <si>
    <t>Modelo del NDA, Norma 1</t>
  </si>
  <si>
    <t>5.33</t>
  </si>
  <si>
    <t>Protección de registros</t>
  </si>
  <si>
    <t>Cómo se protegen los registros (logs, registros de contabilidad, información personal, etc.) ante la pérdida, robo o modificación de estos?</t>
  </si>
  <si>
    <t>Registros</t>
  </si>
  <si>
    <t>Cuánto tiempo se manitenen almacenados?</t>
  </si>
  <si>
    <t>Procedimiento 13</t>
  </si>
  <si>
    <t>5.34</t>
  </si>
  <si>
    <t>Privacidad y protección de la información personal</t>
  </si>
  <si>
    <t>Se ha llevado a cabo un proyecto de adaptación al GDPR?</t>
  </si>
  <si>
    <t>Hay asignado un DPO?</t>
  </si>
  <si>
    <t>Se ha realizado alguna auditoría al respecto?</t>
  </si>
  <si>
    <t>Está la documentación actualizada?</t>
  </si>
  <si>
    <t>5.35</t>
  </si>
  <si>
    <t>Information_security_assurance</t>
  </si>
  <si>
    <t>Revisión independiente de la seguridad de la información</t>
  </si>
  <si>
    <t>Se realizan auditorías periódicas en este aspecto?</t>
  </si>
  <si>
    <t>Si, se realizan auditorías tanto internas como externas, las cuales van acompañadas de un reporte.</t>
  </si>
  <si>
    <t>Todo lo relacionado con las auditorías queda recogido en el procedimiento "PRO 017.01_ AUDITORÍA"</t>
  </si>
  <si>
    <t>Qué se hace con el resultado de estas auditorías?</t>
  </si>
  <si>
    <t>Queda registrado y se corrigen las no conformidades detectadas.</t>
  </si>
  <si>
    <t>Plan de acciones correctivas</t>
  </si>
  <si>
    <t>5.36</t>
  </si>
  <si>
    <t>Cumplimiento de políticas, normas y estándares de seguridad</t>
  </si>
  <si>
    <t>Se revisan periódicamente las normativas, procesos y políticas de la compañía?</t>
  </si>
  <si>
    <t>Si, de forma periódica se hace una revisión y queda reflejado en un documento</t>
  </si>
  <si>
    <t>El documento donde queda registrado las revisiones es "Listado Documental SGSI_SPIKA"</t>
  </si>
  <si>
    <t>Si se detecta una mejora o un no cumplimiento, cómo se actúa?</t>
  </si>
  <si>
    <t>Se realizan las acciones necesarias para adaptarse</t>
  </si>
  <si>
    <t>Performance measurement</t>
  </si>
  <si>
    <t>5.37</t>
  </si>
  <si>
    <t>Documentación de los procesos operativos</t>
  </si>
  <si>
    <t>Existe documentación de cómo llevar a cabo ciertas tareas críticas?</t>
  </si>
  <si>
    <t>PRO 002.01_ ROLES Y SEGREGACIÓN DE FUNCIONES</t>
  </si>
  <si>
    <t>En esta documentación se incluye quiénes son los responsables de llevar a cabo esa actividad?</t>
  </si>
  <si>
    <t>Se incluye la forma de instalación segura y configuración de los sistemas?</t>
  </si>
  <si>
    <t>Carpeta del SGSI de "Configuración segura"</t>
  </si>
  <si>
    <t>Backups?</t>
  </si>
  <si>
    <t>Si, se realizan de forma periódica de los diferentes activos de información, todo esto quedando registrado</t>
  </si>
  <si>
    <t>En el registro "RGS_4 REVISIONES PERIÓDICAS" queda reflejado. Estos backups se hacen como estipula el procedimiento "PRO 013.01_COPIAS DE SEGURIDAD"</t>
  </si>
  <si>
    <t>Instrucciones de cómo gestionar fallos o errores?</t>
  </si>
  <si>
    <t>Si, con la gestión y reporte de incidentes</t>
  </si>
  <si>
    <t>El procemiento "PRO 015.01_GESTIÓN Y NOTIFICACIÓN DE INCIDENTES DE SEGURIDAD" estipula como actuar en caso de incidente.</t>
  </si>
  <si>
    <t>Matrices de escalado?</t>
  </si>
  <si>
    <t>Risk assessment</t>
  </si>
  <si>
    <t>Data Privacy Rick Assessment</t>
  </si>
  <si>
    <t>6.1</t>
  </si>
  <si>
    <t>Human_resource_security</t>
  </si>
  <si>
    <t>Screening</t>
  </si>
  <si>
    <t>Se lleva a cabo?</t>
  </si>
  <si>
    <t>A través de los RPTs</t>
  </si>
  <si>
    <t>6.2</t>
  </si>
  <si>
    <t>Términos y condiciones del empleo</t>
  </si>
  <si>
    <t>Se firma un acuerdo entre la empresa y trabajador sobre las responsabilidades de este en cuanto a la seguridad de la información?</t>
  </si>
  <si>
    <t>Si, tanto el NDA para confidencialidad y protección, como la norma 1, la cual establece las responsabilidades de cada empleado.</t>
  </si>
  <si>
    <t>El modelo del NDA y la norma "NRM 001.01_GENERAL DE UTILIZACIÓN DE LOS RECURSOS Y SISTEMAS DE INFORMACIÓN" firmada por los empleados.
NDA firmados</t>
  </si>
  <si>
    <t>6.3</t>
  </si>
  <si>
    <t>Concienciación y training</t>
  </si>
  <si>
    <t>Los empleados reciben cursos de formación y concienciación de manera regular y ajustado al desarrollo de su puesto de trabajo?</t>
  </si>
  <si>
    <t>Si, de forma periódica se realizan cursos y sesiones de concienciación, las cuales quedan registradas y reportadas.</t>
  </si>
  <si>
    <t>Toda formación recibida por los empleados queda reportada en el formulario "[FORMULARIO] Registro de formación recibida" y registrada en el registro "RGS_4 REVISIONES PERIÓDICAS". Aparte, toda la formación (sesiones, cursos, infografías...) queda guardado en el SGSI
Plan de formación</t>
  </si>
  <si>
    <t>6.4</t>
  </si>
  <si>
    <t>Proceso disciplinario</t>
  </si>
  <si>
    <t>Existe un proceso disciplinario que se haya formalizado y comunicado previamente a los empleados?</t>
  </si>
  <si>
    <t>Si, se rige por el estatuto de los trabajadores y por el convenio colectivo de forma supletoria</t>
  </si>
  <si>
    <t>Norma 1
Documento del estatuto de los trabajadores, el cual está en el SGSI</t>
  </si>
  <si>
    <t>6.5</t>
  </si>
  <si>
    <t>Responsabilidades a la finalización de la relación laboral</t>
  </si>
  <si>
    <t>Se han definido las responsabilidades a cumplir por el empleado en caso de finalización de relación contractual?</t>
  </si>
  <si>
    <t>Si, queda reflejado en el NDA.</t>
  </si>
  <si>
    <t>Los NDA firmados por los empleados</t>
  </si>
  <si>
    <t>6.6</t>
  </si>
  <si>
    <t>Confidencialidad o NDAs</t>
  </si>
  <si>
    <t>Se han definido acuerdos de confidencialidad para las ocasiones que requieran la protección de la información de la compañía?</t>
  </si>
  <si>
    <t>Si, queda reflejado en el NDA</t>
  </si>
  <si>
    <t>6.7</t>
  </si>
  <si>
    <t>System_and_network_security</t>
  </si>
  <si>
    <t>Teletrabajo</t>
  </si>
  <si>
    <t>Se han definido e implementado medidas de seguridad concretas para el personal que tenga que trabajar desde fuera de la oficina?</t>
  </si>
  <si>
    <t>No existe un documento en específico para ello, pero se deben de seguir las mismas normas que dentro de la oficina, aparte de tener que reportar que dispositivos has sacado de la oficina.</t>
  </si>
  <si>
    <t>El formulario "[FORMULARIO] Solicitud de Entrada-Salida de equipamiento" sirve para reportar que ha entrado y salido de la oficina.
Política 5</t>
  </si>
  <si>
    <t>6.8</t>
  </si>
  <si>
    <t>Reporting de eventos de seguridad</t>
  </si>
  <si>
    <t>Si, mediante un formulario anónimo.</t>
  </si>
  <si>
    <t>El formulario "[FORMULARIO] Reporte de una incidencia de seguridad" sirve para reportar de forma anónima incidentes de seguridad, aciones indebidas...
Norma 1</t>
  </si>
  <si>
    <t>7.1</t>
  </si>
  <si>
    <t>Physical_security</t>
  </si>
  <si>
    <t>Perímetros físicos de seguridad</t>
  </si>
  <si>
    <t>Se han definido perímetros de seguridad en las instalaciones de la organización? Incluyendo fábricas, oficinas, etc.</t>
  </si>
  <si>
    <t>Para el registro de entrada está ausencias, y en un futuro, turnos.
También se cuenta con un inventario de llaves.
Procedimiento 8.
Registro en la puerta</t>
  </si>
  <si>
    <t>7.2</t>
  </si>
  <si>
    <t>Entrada física</t>
  </si>
  <si>
    <t>Están protegidas las áreas seguras mediante controles de entrada y puntos de acceso tanto para el personal como para terceros?</t>
  </si>
  <si>
    <t>Si, hay un registro de entrada para personal de limpieza o relacionados, y un formulario donde se recogen todas las visitas</t>
  </si>
  <si>
    <t>En la puerta de la oficina hay un documento que se actualiza siempre que alguien externo a Spika Tech (que sea del servicio de limpieza o relacionado) entre a la misma.
Por otro lado, el formulario "[FORMULARIO] Visitas a la oficina" recoge todas las visitas que han entrado en la oficina.</t>
  </si>
  <si>
    <t>7.3</t>
  </si>
  <si>
    <t>Áreas seguras</t>
  </si>
  <si>
    <t>Existe un control físico de seguridad para acceder a la oficina, salas e instalaciones?</t>
  </si>
  <si>
    <t>Si, llaves para abrir la puerta</t>
  </si>
  <si>
    <t>Securing access to hardcopies</t>
  </si>
  <si>
    <t>7.4</t>
  </si>
  <si>
    <t>Monitorización física de seguridad</t>
  </si>
  <si>
    <t>Se monitoriza la entrada a los distintos sitios dentro de las instalaciones de la organización con cámaras de seguridad, guardias, alarmas, etc.?</t>
  </si>
  <si>
    <t>7.5</t>
  </si>
  <si>
    <t>Protección ante amenazas físicas y medioambientales</t>
  </si>
  <si>
    <t>Se han diseñado e implementado medidas ante este tipo de amenazas?</t>
  </si>
  <si>
    <t>Si, hay medidas como las anti incendio</t>
  </si>
  <si>
    <t>En el documento "PRO 008.01_PROTECCIÓN DE LA INFRAESTRUCTURA" quedan registradas las medidas ante amenazas físicas a la infraestructura.
Extintor</t>
  </si>
  <si>
    <t>7.6</t>
  </si>
  <si>
    <t>Trabajo en áreas seguras</t>
  </si>
  <si>
    <t>Se han definido e implementado medidas de seguridad concretas para el personal que tenga que trabajar en áreas seguras?</t>
  </si>
  <si>
    <t>Norma 1</t>
  </si>
  <si>
    <t>7.7</t>
  </si>
  <si>
    <t>Mesas y escritorios limpios</t>
  </si>
  <si>
    <t>Se han definido y comunicado normas para abordar este tema?</t>
  </si>
  <si>
    <t>Si, mediante politicas de mesas limpias</t>
  </si>
  <si>
    <t>Puestos de trabajo físicos.
Infografía que habla de ello.
Norma 1</t>
  </si>
  <si>
    <t>7.8</t>
  </si>
  <si>
    <t>Protección del equipamiento</t>
  </si>
  <si>
    <t>Se tiene en cuenta la protección del equipamiento corporativo que pueda ser crítico o contener información confidencial?</t>
  </si>
  <si>
    <t>Si, se almacena bajo llave en un armario de la oficina, la cual a su vez también tiene llave</t>
  </si>
  <si>
    <t>Armario con llave donde se guardan los activos críticos.
Procedimiento 9</t>
  </si>
  <si>
    <t>7.9</t>
  </si>
  <si>
    <t>Seguridad de los activos fuera de las instalaciones</t>
  </si>
  <si>
    <t>Se han definido métodos para proteger los equipos fuera de las instalaciones de la organización?</t>
  </si>
  <si>
    <t>Si, mediante contraseñas y sistemas como anti-virus, firewall...</t>
  </si>
  <si>
    <t>El software de Norton ofrece una serie de servicios como VPN, Firewall, análisis (del dispositivo, de red...) que ayuda la protección de los dispositivos.
Formulario para sacar dispositivos IT</t>
  </si>
  <si>
    <t>7.10</t>
  </si>
  <si>
    <t>Dispositivos de almacenamiento</t>
  </si>
  <si>
    <t>Están gestionados durante todo su ciclo de vida?</t>
  </si>
  <si>
    <t>Si, quedan registrados, tanto ubicación como personal con acceso</t>
  </si>
  <si>
    <t>El formulario "[FORMULARIO] Solicitud para la adquisición de un nuevo producto IT" se usa para solicitar la compra.
El formulario "[FORMULARIO] Solicitud de Entrada-Salida de equipamiento" se usa para saber si ha salido de la oficina.
El formulario "[FORMULARIO] Solicitud para acceso a información" se usa para poder acceder a los mismos.
El registro "RGS_2 INVENTARIO DE ACTIVOS" registra quien tiene acceso al mismo.
Procedimiento 10</t>
  </si>
  <si>
    <t>Qué se hace con los dispositivos que hay que borrar?</t>
  </si>
  <si>
    <t>Se sigue una política de borrado seguro, siempre y cuando la información haya pasado el plazo de retención</t>
  </si>
  <si>
    <t>Se almacenan en sitios seguros y bajo llave?</t>
  </si>
  <si>
    <t>Si, bajo llave y con solicitud para acceder a ellos</t>
  </si>
  <si>
    <t>La localización queda registrada en el registro "RGS_2 INVENTARIO DE ACTIVOS"</t>
  </si>
  <si>
    <t>Se cifran?</t>
  </si>
  <si>
    <t>Los ordenadores tienen los discos cifrados y las unidades de almacenamiento externo, en caso de que sea necesario por el tipo de información también se cifra</t>
  </si>
  <si>
    <t>Captura de pantalla del Bitlocker</t>
  </si>
  <si>
    <t>Están deshabilitados los puertos USB de los dispositivos corporativos?</t>
  </si>
  <si>
    <t>Si, pero se han habilitado los necesarios para poder desempeñar el trabajo del personal</t>
  </si>
  <si>
    <t>Formulario "[FORMULARIO] Solicitud para la modificación de dispositivos"</t>
  </si>
  <si>
    <t>Se monitoriza el uso de dispositivos USB?</t>
  </si>
  <si>
    <t>Si, hay un registro de ellos y quien tiene acceso</t>
  </si>
  <si>
    <t>La localización y quien tiene acceso queda registrada en el registro "RGS_2 INVENTARIO DE ACTIVOS"</t>
  </si>
  <si>
    <t>7.11</t>
  </si>
  <si>
    <t>Servicios de apoyo</t>
  </si>
  <si>
    <t>Las instalaciones de procesamiento de datos están protegidas ante cortes de suministro eléctrico?</t>
  </si>
  <si>
    <t>SAI
Procedimiento 8</t>
  </si>
  <si>
    <t>Se hacen pruebas para comprobar la funcionalidad de estas?</t>
  </si>
  <si>
    <t>7.12</t>
  </si>
  <si>
    <t>Seguridad en el cableado</t>
  </si>
  <si>
    <t>Están los cables de luz y datos protegidos ante la intercepción, interferencia o daño?</t>
  </si>
  <si>
    <t>Procedimiento 8</t>
  </si>
  <si>
    <t>7.13</t>
  </si>
  <si>
    <t>Mantenimiento de equipos</t>
  </si>
  <si>
    <t>Se lleva a cabo un mantenimiento periódico de los equipos corporativos?</t>
  </si>
  <si>
    <t>Si, se hacen revisiones periódicas que quedan registradas</t>
  </si>
  <si>
    <t>Registro "RGS_4 REVISIONES PERIÓDICAS"
Procedimiento 9 - Protección de equipos</t>
  </si>
  <si>
    <t>Existe un programa de monitorización del estado de los equipos para su mantenimiento?</t>
  </si>
  <si>
    <t>Norton</t>
  </si>
  <si>
    <t>7.14</t>
  </si>
  <si>
    <t>Retirada segura de equipos</t>
  </si>
  <si>
    <t>Se lleva a cabo un procedimiento de borrado seguro de los dispositivos a la hora de deshacerse de ellos o reutilizarlos dentro de la compañía?</t>
  </si>
  <si>
    <t>Si, hay un procedimiento en el que se detalla como proceder a la de detruir dispositivos de almacenamiento</t>
  </si>
  <si>
    <t>El procedimiento es "PRO 010.01_GESTIÓN SOPORTES DE INFORMACIÓN"</t>
  </si>
  <si>
    <t>8.1</t>
  </si>
  <si>
    <t>Endpoints para usuarios</t>
  </si>
  <si>
    <t>Hay restricciones de instalación de software en los endpoints de usuario?</t>
  </si>
  <si>
    <t>Si, hay una lista de software permitido, la cual los usuarios son libres de instalar (pero no desinstalar), en caso de que se quiera un software que no está en la lista, debe hacerse una solicitud</t>
  </si>
  <si>
    <t>La lista de software permitido está en el registro "RSG_5 WHITELIST" y el formulario para instalar o desisntalar es "[FORMULARIO] Solicitud para la modificación de dispositivos"</t>
  </si>
  <si>
    <t>Se actualizan los equipos automáticamente?</t>
  </si>
  <si>
    <t>Si, están configurados para ello y se revisa periodicamente</t>
  </si>
  <si>
    <t>Se puede ver las revisiones en el registro "RGS_4 REVISIONES PERIÓDICAS"</t>
  </si>
  <si>
    <t>Tienen los discos duros encriptados?</t>
  </si>
  <si>
    <t>Si, todos los discos duros de los dispositivos corporativos están cifrados</t>
  </si>
  <si>
    <t>Qué tipo de antimalware tienen instalado?</t>
  </si>
  <si>
    <t>Los dispositivos corporativos tienen instalado Norton, el cual ofrece una serie de servicios entre los que se encuentra antimalware</t>
  </si>
  <si>
    <t>El software de Norton ofrece una serie de servicios como VPN, Firewall, análisis (del dispositivo, de red...) que ayuda la protección de los dispositivos.</t>
  </si>
  <si>
    <t>Tienen gestión remota para, por ejemplo, deshabilitarlo, borrarlo o bloquearlo?</t>
  </si>
  <si>
    <t>Cómo es la política de backups con estos dispositivos?</t>
  </si>
  <si>
    <t>Se hacen diferentes tipos de backups. De datos de los ordenadores, repositorios, bases de datos e información importante</t>
  </si>
  <si>
    <t>Para los datos de los ordenadores coporativos, se realiza una copia de ciertas carpetas tanto en OneDrive como mediante Norton</t>
  </si>
  <si>
    <t>Se monitoriza el uso que los trabajadores dan a estos dispositivos?</t>
  </si>
  <si>
    <t>Se ha dado una formación específica a los trabajadores sobre cómo usar de manera adecuada estos dispositivos?</t>
  </si>
  <si>
    <t>Si, se realizan sesiones de formación de forma periódica, acompañadas de infografías y cursos externos</t>
  </si>
  <si>
    <t>Formulario "[FORMULARIO] Registro de formación recibida"
Carpera "Formación" del SGSI</t>
  </si>
  <si>
    <t>8.2</t>
  </si>
  <si>
    <t>Derechos de acceso privilegiados</t>
  </si>
  <si>
    <t>Se gestionan correctamente los derechos de acceso privilegiados?</t>
  </si>
  <si>
    <t>Si, se mantiene la política de mínimo privilegio, y se revisa de forma periódica. Para acceder información es necesario solicitarla.</t>
  </si>
  <si>
    <t>Formulario para solicitar información "[FORMULARIO] Solicitud para acceso a información"
Registro de quien tiene información a que "RGS_2 INVENTARIO DE ACTIVOS"
Procedimiento 11</t>
  </si>
  <si>
    <t>8.3</t>
  </si>
  <si>
    <t>Restricción de acceso a la información</t>
  </si>
  <si>
    <t>Se controla (y se registra) el acceso a la información en la organización, ya sea en carpetas compartidas, en la nube o en cualquier plataforma?</t>
  </si>
  <si>
    <t>Procedimiento 11
Formulario para solicitar información "[FORMULARIO] Solicitud para acceso a información"
Registro de quien tiene información a que "RGS_2 INVENTARIO DE ACTIVOS"</t>
  </si>
  <si>
    <t>Se controla a qué información puede acceder cada empleado?</t>
  </si>
  <si>
    <t>Se gestionan los permisos de escritura, lectura y ejecución de cada empleado en cada caso?</t>
  </si>
  <si>
    <t>8.4</t>
  </si>
  <si>
    <t>Application_security</t>
  </si>
  <si>
    <t>Acceso al código fuente</t>
  </si>
  <si>
    <t>Cómo se gestiona los permisos de lectura y escritura al código fuente, herramientas de desarrollo y librerías?</t>
  </si>
  <si>
    <t>Procedimiento 11
Formulario para solicitar información "[FORMULARIO] Solicitud para acceso a información"
Registro de quien tiene información a que "RGS_2 INVENTARIO DE ACTIVOS"
MFA
GitHub</t>
  </si>
  <si>
    <t>Se registra el acceso y modificación de este código fuente?</t>
  </si>
  <si>
    <t>Si, se mantiene la política de mínimo privilegio, y se revisa de forma periódica. El acceso mediante formularios, y las modificaciones en el historial de commits</t>
  </si>
  <si>
    <t>8.5</t>
  </si>
  <si>
    <t>Autenticación segura</t>
  </si>
  <si>
    <t>Qué métodos se utilizan en la organización para garantizar la autenticación segura de los usuarios a la hora de acceder a los dispositivos e información de la compañía? (i.e. passwords, certificados digitales, smart cards, tokens o medios biométricos)</t>
  </si>
  <si>
    <t>Mediante contraseñas, las cuales siguen la política de contraseñas. Aparte se usa el doble factor de autentificación</t>
  </si>
  <si>
    <t>Captura del doble factor de autentificación.
Política de contraseñas "PLT 006.01_CONTRASEÑAS"</t>
  </si>
  <si>
    <t>Se utiliza el MFA?</t>
  </si>
  <si>
    <t>Si, las cuentas corporativas tienen doble factor de autentificación</t>
  </si>
  <si>
    <t>Captura del doble factor de autentificación.</t>
  </si>
  <si>
    <t>Existe política de contraseñas definida e implantada en el directorio activo?</t>
  </si>
  <si>
    <t>8.6</t>
  </si>
  <si>
    <t>Gestión de capacidades</t>
  </si>
  <si>
    <t>Se monitoriza el uso de recursos de la compañía?</t>
  </si>
  <si>
    <t>Si, de forma periódica se revisa y registra</t>
  </si>
  <si>
    <t>Se usa el BIA para hacer esta tarea. La última versión es la de Marzo de 2025
Plan de capacidad
Plan de recursos</t>
  </si>
  <si>
    <t>8.7</t>
  </si>
  <si>
    <t>Protección contra el malware</t>
  </si>
  <si>
    <t>Qué herramientas de detección de malware están implantadas en la compañía?</t>
  </si>
  <si>
    <t>Captura de pantalla de las herramientas de Norton y que está instalado en los dispositivos.
Norma 3</t>
  </si>
  <si>
    <t>Existe alguna aplicación para prevenir o detectar software no autorizado?</t>
  </si>
  <si>
    <t>Existe alguna aplicación para prevenir o detectar el acceso a webs no autorizadas?</t>
  </si>
  <si>
    <t>Se hacen ejercicios de vulnerability management?</t>
  </si>
  <si>
    <t>Se escanean regularmente los sistemas más críticos en busca de archivos corruptos, accesos no autorizados o posibles malware?</t>
  </si>
  <si>
    <t>Si, de forma periódica se revisan todos los dispositivos en busca de posibles infecciones</t>
  </si>
  <si>
    <t>Captura de pantalla de la última revisión</t>
  </si>
  <si>
    <t>8.8</t>
  </si>
  <si>
    <t>Threat_and_vulnerability_management</t>
  </si>
  <si>
    <t>Gestión de vulerabilidades técnicas</t>
  </si>
  <si>
    <t>Se obtiene información sobre las vulnerabiliades técnicas de los sistemas de información?</t>
  </si>
  <si>
    <t>Durante la revisión periódica quedan registradas las vulnerabilidades</t>
  </si>
  <si>
    <t>La revisión se basa en lo establecido en la norma "NRM 005.01_GESTIÓN DE VULNERABILIDADES TÉCNICAS"</t>
  </si>
  <si>
    <t>Una vez estudiada esa información, la organización evalúa las medidas apropiadas para reducir o minimizar esa exposición?</t>
  </si>
  <si>
    <t>En caso de que sea por fallo humano, se refuerza el conocimiento mediante formación, y si es un fallo técnico se aplican las medidas necesarias</t>
  </si>
  <si>
    <t>En el inventario de activos, se especifica el software instalado en cada activo?</t>
  </si>
  <si>
    <t>Si, y se revisa de forma periódica quednado registrado.</t>
  </si>
  <si>
    <t>En el registro "RSG_5 WHITELIST" queda registrado.</t>
  </si>
  <si>
    <t>Se han definido roles y responsabilidades para el tema de vulnerability management dentro de la compañía, incluyendo monitorización, risk assessment, etc.?</t>
  </si>
  <si>
    <t>Está definido un procedimiento de actuación cuando se detecta una vulnerabilidad técnica?</t>
  </si>
  <si>
    <t>Si, tanto para reportar el incidente como para mitigarlo</t>
  </si>
  <si>
    <t>Formulario "[FORMULARIO] Reporte de una incidencia de seguridad"
Norma "NRM 005.01_GESTIÓN DE VULNERABILIDADES TÉCNICAS"</t>
  </si>
  <si>
    <t>Se testean los sistemas dados por seguros o remediados?</t>
  </si>
  <si>
    <t>Una vez se realizan las acciones correctivas se vuelve a comprobar</t>
  </si>
  <si>
    <t>Se registran estas acciones en un log o similar?</t>
  </si>
  <si>
    <t>End-of-Life / End-of-Support</t>
  </si>
  <si>
    <t>8.9</t>
  </si>
  <si>
    <t>Secure_configuration</t>
  </si>
  <si>
    <t>Configuration management</t>
  </si>
  <si>
    <t>Se han definido e implementado procesos y herramientas para hacer cumplir las configuraciones correspondientes para hardware, software, servicios (como cloud) y redes para los sistemas recién instalados?</t>
  </si>
  <si>
    <t>Si, hay varios documentos en los que queda reflejado, aparte de que se hace una revisión periódica para asegurarse de que se cumple</t>
  </si>
  <si>
    <t>NRM 003.01_PROTECCIÓN FRENTE A SOTWARE MALICIOSO
NRM 002.01_ SERVICIOS CLOUD
Carpeta "Configuración segura"</t>
  </si>
  <si>
    <t>Están los roles y responsabilidades definidos?</t>
  </si>
  <si>
    <t>Si, en el documento de roles queda definido los roles relacionados con la seguridad de la información y sus responsabilidades.</t>
  </si>
  <si>
    <t>8.10</t>
  </si>
  <si>
    <t>Borrado de información</t>
  </si>
  <si>
    <t>Se tiene definido el tiempo de borrado de la información que así lo requiera alguna normativa nacional o internacional?</t>
  </si>
  <si>
    <t>Si, cada tipo de información tiene un tiempo establecido para que pueda ser eliminado</t>
  </si>
  <si>
    <t>Procedimiento 10
PRO 013.01_COPIAS DE SEGURIDAD</t>
  </si>
  <si>
    <t>Se ha automatizado este proceso mediante algún tipo de herramienta?</t>
  </si>
  <si>
    <t>Se contrata alguna empresa externa para certificar la destrucción segura de los dispositivos?</t>
  </si>
  <si>
    <t>8.11</t>
  </si>
  <si>
    <t>Data masking</t>
  </si>
  <si>
    <t>Se utilizan técnicas de anonimización (o pseudoanonimización) de datos personales?</t>
  </si>
  <si>
    <t>Si, para datos personales en nuestras aplicaciones si que se anonimizan</t>
  </si>
  <si>
    <t>Procedimiento 12
Enseñar los casos de VR-CARDIO</t>
  </si>
  <si>
    <t>8.12</t>
  </si>
  <si>
    <t>Prevención de exfiltración de datos</t>
  </si>
  <si>
    <t>Se han aplicado medidas en los sistemas de la compañía para evitar la exfiltración de datos? (i.e. clasificando la información por su importancia, monitorizando los canales por los que se puede exfiltrar la información (mail, dispositivos portátiles, etc.) ...)</t>
  </si>
  <si>
    <t>Se mantiene una política de mínimo privilegio, aparte de NDA y controles que regulan esto</t>
  </si>
  <si>
    <t>NDA firmados</t>
  </si>
  <si>
    <t>Se utilizia alguna herramienta para esto?</t>
  </si>
  <si>
    <t>8.13</t>
  </si>
  <si>
    <t>Backups</t>
  </si>
  <si>
    <t>Se realizan copias de seguridad?</t>
  </si>
  <si>
    <t>Si, de forma periódica y según se establece en el procedimiento correspondiente</t>
  </si>
  <si>
    <t>PRO 013.01_COPIAS DE SEGURIDAD</t>
  </si>
  <si>
    <t>Se prueban regularmente para asegurar su funcionamiento?</t>
  </si>
  <si>
    <t>Si, queda registrado las revisiones de los backups</t>
  </si>
  <si>
    <t>RGS_4 REVISIONES PERIÓDICAS</t>
  </si>
  <si>
    <t>8.14</t>
  </si>
  <si>
    <t>Redundancia de las instalaciones de procesamiento de la información</t>
  </si>
  <si>
    <t>Se han identificado las necesidades y requisitos para la continuidad del negocio y los sistemas de información?</t>
  </si>
  <si>
    <t>Si, queda definido en uno de los documentos</t>
  </si>
  <si>
    <t>PLT 004.01_ CONTINUIDAD DE NEGOCIO
BIA</t>
  </si>
  <si>
    <t>Se han redundado estas instalaciones y sistemas de información acorde con estas necesidades?</t>
  </si>
  <si>
    <t>Se ha comprobado la efectividad de esta redundancia?</t>
  </si>
  <si>
    <t>8.15</t>
  </si>
  <si>
    <t>Logging</t>
  </si>
  <si>
    <t>Se generan logs de la actividad de los usuarios, excepciones, fallos o eventos relevantes?</t>
  </si>
  <si>
    <t>NO APLICA</t>
  </si>
  <si>
    <t>Hay algo que analice esos logs?</t>
  </si>
  <si>
    <t>8.16</t>
  </si>
  <si>
    <t>Actividades de monitorización</t>
  </si>
  <si>
    <t>Se monitorizan las redes, sistemas y aplicaciones para detectar comportamientos anómalos?</t>
  </si>
  <si>
    <t>Norton
Revisones periódicas</t>
  </si>
  <si>
    <t>8.17</t>
  </si>
  <si>
    <t>Sincronización de reloj</t>
  </si>
  <si>
    <t>Existe una sincronización de reloj de los sistemas de la compañía?</t>
  </si>
  <si>
    <t>Si, la automática de los dispositivos que usamos</t>
  </si>
  <si>
    <t>Revisones periódicas</t>
  </si>
  <si>
    <t>8.18</t>
  </si>
  <si>
    <t>Uso de programas privilegiados</t>
  </si>
  <si>
    <t>Se protegen adecuadamente los programas capaces de realizar daños graves a la compañía, como borrado masivo de información, control de los sistemas y los controles de seguridad?</t>
  </si>
  <si>
    <t>Si, el software o cuentas capaces de hacer esto están controladas y restringidas a personas con autorización</t>
  </si>
  <si>
    <t>Mediante la política de mínimo privilegio se asegura este punto. Esto queda registrado en RGS_2 INVENTARIO DE ACTIVOS
Procedimiento 11</t>
  </si>
  <si>
    <t>8.19</t>
  </si>
  <si>
    <t>Instalación de software en sistemas operativos</t>
  </si>
  <si>
    <t>Se han definido procedimientos seguros para la instalación de software en sistemas operativos?</t>
  </si>
  <si>
    <t>Si, hay una whitelist, aparte de las revisiones periódicas</t>
  </si>
  <si>
    <t>RSG_5 WHITELIST</t>
  </si>
  <si>
    <t>8.20</t>
  </si>
  <si>
    <t>Seguridad en la red</t>
  </si>
  <si>
    <t>Existe un diagrama de red de la organización?</t>
  </si>
  <si>
    <t>Si, queda registrado en el inventario de activos de red</t>
  </si>
  <si>
    <t>Procedimiento 20 y 21
RGS_2 INVENTARIO DE ACTIVOS</t>
  </si>
  <si>
    <t>Existe implementado algún sistema de protección de acceso a la red?</t>
  </si>
  <si>
    <t>Firewall de Norton</t>
  </si>
  <si>
    <t>8.21</t>
  </si>
  <si>
    <t>Seguridad en los servicios de red</t>
  </si>
  <si>
    <t>Se han identificado e implantado los mecanismos de seguridad necesarios para la protección de los servicios de red? (i.e. autenticación, SLAs, etc.)</t>
  </si>
  <si>
    <t>8.22</t>
  </si>
  <si>
    <t>Segregación de redes</t>
  </si>
  <si>
    <t>Existe una segregación de redes?</t>
  </si>
  <si>
    <t>Norton (Firewall, VPN...)</t>
  </si>
  <si>
    <t>8.23</t>
  </si>
  <si>
    <t>Web filtering</t>
  </si>
  <si>
    <t>Se restringe el acceso a webs que puedan exponer a contenido malicioso?</t>
  </si>
  <si>
    <t>Hay una whitelist, aparte de las revisiones periódicas</t>
  </si>
  <si>
    <t>Procedimiento 16</t>
  </si>
  <si>
    <t>8.24</t>
  </si>
  <si>
    <t>Uso de la criptografía</t>
  </si>
  <si>
    <t>Los discos duros están encriptados, y para la información sensible se usan métodos como FilCrypto</t>
  </si>
  <si>
    <t>RSG_5 WHITELIST
Bitlocker
Norma 1</t>
  </si>
  <si>
    <t>8.25</t>
  </si>
  <si>
    <t>Ciclo de vida del desarrollo seguro</t>
  </si>
  <si>
    <t>Qué procedimientos se llevan a cabo para conseguir esto?</t>
  </si>
  <si>
    <t>Antes, durante y después de un desarrollo se tiene en cuenta la seguridad de la información. Esto queda reflejado en un procedimiento</t>
  </si>
  <si>
    <t>PRO 012.01_DESARROLLO SEGURO
GitHub</t>
  </si>
  <si>
    <t>8.26</t>
  </si>
  <si>
    <t>Requerimientos de seguridad en las aplicaciones</t>
  </si>
  <si>
    <t>Se han identificado los requisitos de seguridad a la hora de desarrollar código o adquirir aplicaciones de terceros?</t>
  </si>
  <si>
    <t>Si, quedan reflejados en el procedimiento de desarrollo seguro, y en los anexos del procedimiento 18</t>
  </si>
  <si>
    <t>PRO 012.01_DESARROLLO SEGURO
Procedimiento 18
SLA</t>
  </si>
  <si>
    <t>8.27</t>
  </si>
  <si>
    <t>Arquitectura segura</t>
  </si>
  <si>
    <t xml:space="preserve">Se han establecido, documentado y aplicado principios de ingeniería segura de sistemas para los sistemas de información de la compañía? Esto incluye:, </t>
  </si>
  <si>
    <t>SI, tanto de ingeniera social con formación, como métodos software para proteger los sistemas</t>
  </si>
  <si>
    <t>PRO 012.01_DESARROLLO SEGURO
PRO 004.01_ ETIQUETADO Y CLASIFICACIÓN DE LA INFORMACIÓN
PRO 005.01_GESTIÓN Y ANÁLISIS DE RIESGOS
PRO 018.01_ PROTECCIÓN DE PROYECTOS IT
NRM 003.01_PROTECCIÓN FRENTE A SOTWARE MALICIOSO</t>
  </si>
  <si>
    <t xml:space="preserve"> controles de seguridad requeridos para proteger la información y los sistemas conta amenazas conocidas</t>
  </si>
  <si>
    <t>capacidades para prevenir, detectar y responder ante eventos de seguridad</t>
  </si>
  <si>
    <t>Reporte de incidentes</t>
  </si>
  <si>
    <t>controles específicos para procesos de negocio concretos (encriptación de información sensible, comprobaciones de integridad de los datos, etc.)</t>
  </si>
  <si>
    <t>8.28</t>
  </si>
  <si>
    <t>Secure coding</t>
  </si>
  <si>
    <t>Se llevan a cabo acciones para desarrollar código de forma segura</t>
  </si>
  <si>
    <t>Si, durante todo el ciclo de desarrollo seguro se siguen principios para asegurar la seguridad de la información</t>
  </si>
  <si>
    <t>PRO 012.01_DESARROLLO SEGURO
Plan de auditoría de código.
Plan de SonarQube</t>
  </si>
  <si>
    <t>8.29</t>
  </si>
  <si>
    <t>Security testing en desarrollo</t>
  </si>
  <si>
    <t>Se valida la seguridad del código fuente?</t>
  </si>
  <si>
    <t>Si, mediante pull request</t>
  </si>
  <si>
    <t>Enseñar GitHub</t>
  </si>
  <si>
    <t>Testing of detection processes</t>
  </si>
  <si>
    <t>8.30</t>
  </si>
  <si>
    <t>Desarrollo externalizado</t>
  </si>
  <si>
    <t>Se revisan las actividades relacionadas con esto?</t>
  </si>
  <si>
    <t>Procedimiento 12 y 18</t>
  </si>
  <si>
    <t>8.31</t>
  </si>
  <si>
    <t>Separación de desarrollo, test y producción</t>
  </si>
  <si>
    <t>Si, existen diferentes entornos para cada ámbito</t>
  </si>
  <si>
    <t>8.32</t>
  </si>
  <si>
    <t>Gestión del cambio</t>
  </si>
  <si>
    <t>Se lleva a cabo una gestión del cambio en la organización?</t>
  </si>
  <si>
    <t>Si, mediante permisos y pull request en GitHub</t>
  </si>
  <si>
    <t>Procedimiento 19
Enseñar GitHub</t>
  </si>
  <si>
    <t>8.33</t>
  </si>
  <si>
    <t>Información de prueba</t>
  </si>
  <si>
    <t>No se puede utilizar información real en entornos de prueba</t>
  </si>
  <si>
    <t>Formulario de petición</t>
  </si>
  <si>
    <t>8.34</t>
  </si>
  <si>
    <t>Protección de los sistemas durante las auditorías</t>
  </si>
  <si>
    <t>Se planifican y acuerdan las auditorías entre la compañía y los auditores para impactar lo mínimo posible en los sistemas y procesos de la compañía?</t>
  </si>
  <si>
    <t>Mensaje de Teams</t>
  </si>
  <si>
    <t>Detection of changes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</si>
</sst>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font>
      <sz val="11"/>
      <color theme="1"/>
      <name val="Calibri"/>
      <family val="2"/>
      <scheme val="minor"/>
    </font>
    <font>
      <sz val="11"/>
      <color theme="1"/>
      <name val="Calibri"/>
      <scheme val="minor"/>
    </font>
    <font>
      <sz val="11"/>
      <color theme="0"/>
      <name val="Calibri"/>
      <family val="2"/>
      <scheme val="minor"/>
    </font>
    <font>
      <b/>
      <sz val="12"/>
      <color theme="0"/>
      <name val="Calibri"/>
      <family val="2"/>
      <scheme val="minor"/>
    </font>
    <font>
      <sz val="11"/>
      <color theme="1"/>
      <name val="Calibri"/>
      <family val="2"/>
    </font>
    <font>
      <sz val="11"/>
      <name val="Calibri"/>
      <family val="2"/>
      <scheme val="minor"/>
    </font>
    <font>
      <sz val="11"/>
      <name val="Calibri"/>
      <family val="2"/>
    </font>
    <font>
      <b/>
      <sz val="10"/>
      <color theme="0"/>
      <name val="Calibri"/>
      <family val="2"/>
    </font>
    <font>
      <b/>
      <sz val="11"/>
      <color rgb="FFFFFFFF"/>
      <name val="Calibri"/>
      <family val="2"/>
      <scheme val="minor"/>
    </font>
    <font>
      <sz val="10"/>
      <color theme="1"/>
      <name val="Calibri"/>
      <family val="2"/>
    </font>
    <font>
      <sz val="9"/>
      <name val="Calibri"/>
      <family val="2"/>
    </font>
    <font>
      <sz val="10"/>
      <color rgb="FF000000"/>
      <name val="Times New Roman"/>
      <family val="1"/>
    </font>
    <font>
      <sz val="10"/>
      <color rgb="FF000000"/>
      <name val="Calibri"/>
      <family val="2"/>
    </font>
    <font>
      <sz val="8"/>
      <color rgb="FF000000"/>
      <name val="Calibri"/>
      <family val="2"/>
    </font>
    <font>
      <sz val="8"/>
      <color rgb="FF000000"/>
      <name val="Calibri"/>
      <family val="2"/>
      <scheme val="minor"/>
    </font>
    <font>
      <sz val="10"/>
      <name val="Calibri"/>
      <family val="2"/>
    </font>
    <font>
      <sz val="11"/>
      <color theme="1"/>
      <name val="Calibri"/>
      <family val="2"/>
      <scheme val="minor"/>
    </font>
    <font>
      <sz val="10"/>
      <color indexed="8"/>
      <name val="Arial"/>
      <family val="2"/>
      <charset val="1"/>
    </font>
    <font>
      <sz val="11"/>
      <color rgb="FF000000"/>
      <name val="Calibri"/>
      <family val="2"/>
    </font>
    <font>
      <b/>
      <sz val="11"/>
      <color rgb="FFFFFFFF"/>
      <name val="Calibri"/>
      <family val="2"/>
    </font>
    <font>
      <b/>
      <sz val="11"/>
      <color rgb="FF000000"/>
      <name val="Arial"/>
      <family val="2"/>
    </font>
    <font>
      <sz val="11"/>
      <color indexed="8"/>
      <name val="Arial"/>
      <family val="2"/>
      <charset val="1"/>
    </font>
    <font>
      <sz val="11"/>
      <color theme="0"/>
      <name val="Arial"/>
      <family val="2"/>
      <charset val="1"/>
    </font>
    <font>
      <b/>
      <sz val="11"/>
      <color indexed="8"/>
      <name val="Arial"/>
      <family val="2"/>
    </font>
    <font>
      <b/>
      <sz val="11"/>
      <color rgb="FF000000"/>
      <name val="Arial"/>
      <family val="2"/>
      <charset val="1"/>
    </font>
    <font>
      <sz val="11"/>
      <color indexed="8"/>
      <name val="Arial"/>
      <family val="2"/>
    </font>
    <font>
      <b/>
      <sz val="11"/>
      <color theme="1"/>
      <name val="Calibri"/>
      <family val="2"/>
    </font>
    <font>
      <sz val="11"/>
      <color rgb="FF000000"/>
      <name val="Calibri"/>
      <family val="2"/>
      <scheme val="minor"/>
    </font>
    <font>
      <sz val="11"/>
      <color theme="1"/>
      <name val="Calibri"/>
    </font>
    <font>
      <b/>
      <sz val="11"/>
      <color theme="1"/>
      <name val="Calibri"/>
      <family val="2"/>
      <scheme val="minor"/>
    </font>
  </fonts>
  <fills count="26">
    <fill>
      <patternFill patternType="none"/>
    </fill>
    <fill>
      <patternFill patternType="gray125"/>
    </fill>
    <fill>
      <patternFill patternType="solid">
        <fgColor rgb="FFEFF4FF"/>
        <bgColor indexed="64"/>
      </patternFill>
    </fill>
    <fill>
      <patternFill patternType="solid">
        <fgColor theme="0" tint="-4.9989318521683403E-2"/>
        <bgColor indexed="64"/>
      </patternFill>
    </fill>
    <fill>
      <patternFill patternType="solid">
        <fgColor theme="0"/>
        <bgColor indexed="64"/>
      </patternFill>
    </fill>
    <fill>
      <patternFill patternType="solid">
        <fgColor theme="3"/>
        <bgColor indexed="64"/>
      </patternFill>
    </fill>
    <fill>
      <patternFill patternType="solid">
        <fgColor rgb="FF44546A"/>
        <bgColor rgb="FF000000"/>
      </patternFill>
    </fill>
    <fill>
      <patternFill patternType="solid">
        <fgColor rgb="FFDDEBF7"/>
        <bgColor indexed="64"/>
      </patternFill>
    </fill>
    <fill>
      <patternFill patternType="solid">
        <fgColor rgb="FFFFFFFF"/>
        <bgColor indexed="64"/>
      </patternFill>
    </fill>
    <fill>
      <patternFill patternType="solid">
        <fgColor rgb="FFF8696B"/>
        <bgColor rgb="FF000000"/>
      </patternFill>
    </fill>
    <fill>
      <patternFill patternType="solid">
        <fgColor rgb="FFFBA977"/>
        <bgColor rgb="FF000000"/>
      </patternFill>
    </fill>
    <fill>
      <patternFill patternType="solid">
        <fgColor theme="8" tint="-0.249977111117893"/>
        <bgColor indexed="64"/>
      </patternFill>
    </fill>
    <fill>
      <patternFill patternType="solid">
        <fgColor rgb="FFFFEB84"/>
        <bgColor rgb="FF000000"/>
      </patternFill>
    </fill>
    <fill>
      <patternFill patternType="solid">
        <fgColor rgb="FFC6E0B4"/>
        <bgColor rgb="FF000000"/>
      </patternFill>
    </fill>
    <fill>
      <patternFill patternType="solid">
        <fgColor rgb="FF63BE7B"/>
        <bgColor rgb="FF000000"/>
      </patternFill>
    </fill>
    <fill>
      <patternFill patternType="solid">
        <fgColor rgb="FF2F75B5"/>
        <bgColor rgb="FF000000"/>
      </patternFill>
    </fill>
    <fill>
      <patternFill patternType="solid">
        <fgColor rgb="FF2F75B5"/>
        <bgColor indexed="64"/>
      </patternFill>
    </fill>
    <fill>
      <patternFill patternType="solid">
        <fgColor theme="0" tint="-0.14999847407452621"/>
        <bgColor indexed="64"/>
      </patternFill>
    </fill>
    <fill>
      <patternFill patternType="solid">
        <fgColor theme="8" tint="-0.499984740745262"/>
        <bgColor theme="4"/>
      </patternFill>
    </fill>
    <fill>
      <patternFill patternType="solid">
        <fgColor theme="8" tint="-0.499984740745262"/>
        <bgColor indexed="64"/>
      </patternFill>
    </fill>
    <fill>
      <patternFill patternType="solid">
        <fgColor theme="9" tint="0.59999389629810485"/>
        <bgColor indexed="64"/>
      </patternFill>
    </fill>
    <fill>
      <patternFill patternType="solid">
        <fgColor theme="4" tint="0.59999389629810485"/>
        <bgColor theme="4"/>
      </patternFill>
    </fill>
    <fill>
      <patternFill patternType="solid">
        <fgColor theme="4" tint="0.59999389629810485"/>
        <bgColor indexed="64"/>
      </patternFill>
    </fill>
    <fill>
      <patternFill patternType="solid">
        <fgColor rgb="FFAEAAAA"/>
        <bgColor indexed="64"/>
      </patternFill>
    </fill>
    <fill>
      <patternFill patternType="solid">
        <fgColor rgb="FF3399FF"/>
        <bgColor indexed="64"/>
      </patternFill>
    </fill>
    <fill>
      <patternFill patternType="solid">
        <fgColor rgb="FF5B7D7F"/>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000000"/>
      </left>
      <right style="thin">
        <color rgb="FF000000"/>
      </right>
      <top/>
      <bottom style="thin">
        <color rgb="FF000000"/>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A6A6A6"/>
      </left>
      <right style="thin">
        <color rgb="FFA6A6A6"/>
      </right>
      <top style="thin">
        <color rgb="FFA6A6A6"/>
      </top>
      <bottom style="thin">
        <color rgb="FFA6A6A6"/>
      </bottom>
      <diagonal/>
    </border>
    <border>
      <left style="thin">
        <color rgb="FF000000"/>
      </left>
      <right/>
      <top style="thin">
        <color rgb="FF000000"/>
      </top>
      <bottom/>
      <diagonal/>
    </border>
    <border>
      <left/>
      <right style="thin">
        <color rgb="FF000000"/>
      </right>
      <top style="thin">
        <color rgb="FF000000"/>
      </top>
      <bottom/>
      <diagonal/>
    </border>
  </borders>
  <cellStyleXfs count="4">
    <xf numFmtId="0" fontId="0" fillId="0" borderId="0"/>
    <xf numFmtId="0" fontId="11" fillId="0" borderId="0"/>
    <xf numFmtId="0" fontId="17" fillId="0" borderId="0"/>
    <xf numFmtId="0" fontId="16" fillId="0" borderId="0"/>
  </cellStyleXfs>
  <cellXfs count="138">
    <xf numFmtId="0" fontId="0" fillId="0" borderId="0" xfId="0"/>
    <xf numFmtId="0" fontId="0" fillId="0" borderId="0" xfId="0" applyAlignment="1">
      <alignment wrapText="1"/>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4" fillId="0" borderId="0" xfId="0" applyFont="1"/>
    <xf numFmtId="0" fontId="4" fillId="0" borderId="0" xfId="0" applyFont="1" applyAlignment="1">
      <alignment horizontal="left"/>
    </xf>
    <xf numFmtId="0" fontId="4" fillId="0" borderId="0" xfId="0" applyFont="1" applyAlignment="1">
      <alignment wrapText="1"/>
    </xf>
    <xf numFmtId="0" fontId="4" fillId="0" borderId="0" xfId="0" applyFont="1" applyAlignment="1">
      <alignment horizontal="center"/>
    </xf>
    <xf numFmtId="0" fontId="4" fillId="0" borderId="0" xfId="0" applyFont="1" applyAlignment="1">
      <alignment horizontal="center" vertical="center" wrapText="1"/>
    </xf>
    <xf numFmtId="0" fontId="4" fillId="0" borderId="5" xfId="0" applyFont="1" applyBorder="1"/>
    <xf numFmtId="0" fontId="4" fillId="0" borderId="11" xfId="0" applyFont="1" applyBorder="1"/>
    <xf numFmtId="0" fontId="4" fillId="0" borderId="11" xfId="0" applyFont="1" applyBorder="1" applyAlignment="1">
      <alignment horizontal="left"/>
    </xf>
    <xf numFmtId="0" fontId="4" fillId="0" borderId="11" xfId="0" applyFont="1" applyBorder="1" applyAlignment="1">
      <alignment horizontal="center" vertical="center" wrapText="1"/>
    </xf>
    <xf numFmtId="0" fontId="4" fillId="0" borderId="9" xfId="0" applyFont="1" applyBorder="1"/>
    <xf numFmtId="0" fontId="4" fillId="0" borderId="3" xfId="0" applyFont="1" applyBorder="1"/>
    <xf numFmtId="0" fontId="7" fillId="4" borderId="0" xfId="0" applyFont="1" applyFill="1" applyAlignment="1">
      <alignment horizontal="center" vertical="center" wrapText="1"/>
    </xf>
    <xf numFmtId="0" fontId="7" fillId="5" borderId="5" xfId="0" applyFont="1" applyFill="1" applyBorder="1" applyAlignment="1">
      <alignment horizontal="center" vertical="center" wrapText="1"/>
    </xf>
    <xf numFmtId="0" fontId="4" fillId="0" borderId="7" xfId="0" applyFont="1" applyBorder="1"/>
    <xf numFmtId="0" fontId="7" fillId="5" borderId="10" xfId="0" applyFont="1" applyFill="1" applyBorder="1" applyAlignment="1">
      <alignment horizontal="center" vertical="center" wrapText="1"/>
    </xf>
    <xf numFmtId="0" fontId="8" fillId="6" borderId="0" xfId="0" applyFont="1" applyFill="1" applyAlignment="1">
      <alignment horizontal="center" vertical="center" wrapText="1"/>
    </xf>
    <xf numFmtId="0" fontId="9" fillId="4" borderId="0" xfId="0" applyFont="1" applyFill="1" applyAlignment="1">
      <alignment horizontal="left" vertical="center" wrapText="1" indent="1"/>
    </xf>
    <xf numFmtId="0" fontId="9" fillId="0" borderId="1" xfId="0" applyFont="1" applyBorder="1" applyAlignment="1">
      <alignment horizontal="center" vertical="center" wrapText="1"/>
    </xf>
    <xf numFmtId="9" fontId="12" fillId="4" borderId="1" xfId="1" applyNumberFormat="1" applyFont="1" applyFill="1" applyBorder="1" applyAlignment="1">
      <alignment horizontal="center" vertical="center"/>
    </xf>
    <xf numFmtId="0" fontId="13" fillId="9" borderId="15" xfId="0" applyFont="1" applyFill="1" applyBorder="1" applyAlignment="1">
      <alignment horizontal="center"/>
    </xf>
    <xf numFmtId="9" fontId="14" fillId="9" borderId="10" xfId="0" applyNumberFormat="1" applyFont="1" applyFill="1" applyBorder="1" applyAlignment="1">
      <alignment horizontal="center"/>
    </xf>
    <xf numFmtId="0" fontId="4" fillId="0" borderId="1" xfId="0" applyFont="1" applyBorder="1"/>
    <xf numFmtId="9" fontId="4" fillId="0" borderId="1" xfId="0" applyNumberFormat="1" applyFont="1" applyBorder="1"/>
    <xf numFmtId="9" fontId="4" fillId="0" borderId="0" xfId="0" applyNumberFormat="1" applyFont="1"/>
    <xf numFmtId="0" fontId="13" fillId="10" borderId="10" xfId="0" applyFont="1" applyFill="1" applyBorder="1" applyAlignment="1">
      <alignment horizontal="center"/>
    </xf>
    <xf numFmtId="9" fontId="14" fillId="10" borderId="10" xfId="0" applyNumberFormat="1" applyFont="1" applyFill="1" applyBorder="1" applyAlignment="1">
      <alignment horizontal="center"/>
    </xf>
    <xf numFmtId="9" fontId="14" fillId="12" borderId="15" xfId="0" applyNumberFormat="1" applyFont="1" applyFill="1" applyBorder="1" applyAlignment="1">
      <alignment horizontal="center"/>
    </xf>
    <xf numFmtId="0" fontId="14" fillId="12" borderId="15" xfId="0" applyFont="1" applyFill="1" applyBorder="1" applyAlignment="1">
      <alignment horizontal="center"/>
    </xf>
    <xf numFmtId="0" fontId="13" fillId="13" borderId="10" xfId="0" applyFont="1" applyFill="1" applyBorder="1" applyAlignment="1">
      <alignment horizontal="center"/>
    </xf>
    <xf numFmtId="9" fontId="14" fillId="13" borderId="15" xfId="0" applyNumberFormat="1" applyFont="1" applyFill="1" applyBorder="1" applyAlignment="1">
      <alignment horizontal="center"/>
    </xf>
    <xf numFmtId="0" fontId="4" fillId="0" borderId="1" xfId="0" applyFont="1" applyBorder="1" applyAlignment="1">
      <alignment horizontal="center" vertical="center" wrapText="1"/>
    </xf>
    <xf numFmtId="9" fontId="4" fillId="0" borderId="1" xfId="0" applyNumberFormat="1" applyFont="1" applyBorder="1" applyAlignment="1">
      <alignment horizontal="center" vertical="center"/>
    </xf>
    <xf numFmtId="9" fontId="14" fillId="14" borderId="15" xfId="0" applyNumberFormat="1" applyFont="1" applyFill="1" applyBorder="1" applyAlignment="1">
      <alignment horizontal="center"/>
    </xf>
    <xf numFmtId="0" fontId="14" fillId="14" borderId="15" xfId="0" applyFont="1" applyFill="1" applyBorder="1" applyAlignment="1">
      <alignment horizontal="center"/>
    </xf>
    <xf numFmtId="0" fontId="14" fillId="15" borderId="10" xfId="0" applyFont="1" applyFill="1" applyBorder="1" applyAlignment="1">
      <alignment horizontal="center"/>
    </xf>
    <xf numFmtId="9" fontId="14" fillId="15" borderId="10" xfId="0" applyNumberFormat="1" applyFont="1" applyFill="1" applyBorder="1" applyAlignment="1">
      <alignment horizontal="center"/>
    </xf>
    <xf numFmtId="0" fontId="4" fillId="0" borderId="4" xfId="0" applyFont="1" applyBorder="1"/>
    <xf numFmtId="0" fontId="4" fillId="0" borderId="16" xfId="0" applyFont="1" applyBorder="1"/>
    <xf numFmtId="0" fontId="4" fillId="0" borderId="16" xfId="0" applyFont="1" applyBorder="1" applyAlignment="1">
      <alignment horizontal="left"/>
    </xf>
    <xf numFmtId="0" fontId="4" fillId="0" borderId="16" xfId="0" applyFont="1" applyBorder="1" applyAlignment="1">
      <alignment wrapText="1"/>
    </xf>
    <xf numFmtId="0" fontId="4" fillId="0" borderId="16" xfId="0" applyFont="1" applyBorder="1" applyAlignment="1">
      <alignment horizontal="center"/>
    </xf>
    <xf numFmtId="0" fontId="4" fillId="0" borderId="8" xfId="0" applyFont="1" applyBorder="1"/>
    <xf numFmtId="0" fontId="18" fillId="0" borderId="0" xfId="2" applyFont="1" applyAlignment="1">
      <alignment vertical="top" wrapText="1"/>
    </xf>
    <xf numFmtId="0" fontId="19" fillId="9" borderId="10" xfId="3" applyFont="1" applyFill="1" applyBorder="1" applyAlignment="1">
      <alignment horizontal="center"/>
    </xf>
    <xf numFmtId="0" fontId="19" fillId="10" borderId="10" xfId="3" applyFont="1" applyFill="1" applyBorder="1" applyAlignment="1">
      <alignment horizontal="center"/>
    </xf>
    <xf numFmtId="0" fontId="19" fillId="12" borderId="10" xfId="3" applyFont="1" applyFill="1" applyBorder="1" applyAlignment="1">
      <alignment horizontal="center"/>
    </xf>
    <xf numFmtId="0" fontId="19" fillId="13" borderId="10" xfId="3" applyFont="1" applyFill="1" applyBorder="1" applyAlignment="1">
      <alignment horizontal="center"/>
    </xf>
    <xf numFmtId="0" fontId="19" fillId="14" borderId="10" xfId="3" applyFont="1" applyFill="1" applyBorder="1" applyAlignment="1">
      <alignment horizontal="center"/>
    </xf>
    <xf numFmtId="0" fontId="19" fillId="16" borderId="10" xfId="3" applyFont="1" applyFill="1" applyBorder="1" applyAlignment="1">
      <alignment horizontal="center"/>
    </xf>
    <xf numFmtId="0" fontId="20" fillId="17" borderId="1" xfId="2" applyFont="1" applyFill="1" applyBorder="1" applyAlignment="1">
      <alignment horizontal="center" vertical="center" wrapText="1" readingOrder="1"/>
    </xf>
    <xf numFmtId="9" fontId="21" fillId="4" borderId="14" xfId="2" applyNumberFormat="1" applyFont="1" applyFill="1" applyBorder="1" applyAlignment="1">
      <alignment horizontal="center" vertical="center" wrapText="1"/>
    </xf>
    <xf numFmtId="0" fontId="21" fillId="4" borderId="0" xfId="2" applyFont="1" applyFill="1" applyAlignment="1">
      <alignment vertical="center"/>
    </xf>
    <xf numFmtId="0" fontId="21" fillId="0" borderId="0" xfId="2" applyFont="1" applyAlignment="1">
      <alignment vertical="center"/>
    </xf>
    <xf numFmtId="0" fontId="22" fillId="4" borderId="0" xfId="2" applyFont="1" applyFill="1" applyAlignment="1">
      <alignment vertical="center" wrapText="1"/>
    </xf>
    <xf numFmtId="0" fontId="22" fillId="4" borderId="0" xfId="2" applyFont="1" applyFill="1" applyAlignment="1">
      <alignment horizontal="left" vertical="center" wrapText="1"/>
    </xf>
    <xf numFmtId="0" fontId="23" fillId="4" borderId="1" xfId="2" applyFont="1" applyFill="1" applyBorder="1" applyAlignment="1">
      <alignment vertical="center"/>
    </xf>
    <xf numFmtId="0" fontId="21" fillId="4" borderId="1" xfId="2" applyFont="1" applyFill="1" applyBorder="1" applyAlignment="1">
      <alignment vertical="center" wrapText="1"/>
    </xf>
    <xf numFmtId="0" fontId="23" fillId="4" borderId="0" xfId="2" applyFont="1" applyFill="1" applyAlignment="1">
      <alignment vertical="center"/>
    </xf>
    <xf numFmtId="0" fontId="21" fillId="4" borderId="0" xfId="2" applyFont="1" applyFill="1" applyAlignment="1">
      <alignment vertical="center" wrapText="1"/>
    </xf>
    <xf numFmtId="0" fontId="21" fillId="4" borderId="0" xfId="2" applyFont="1" applyFill="1" applyAlignment="1">
      <alignment horizontal="left"/>
    </xf>
    <xf numFmtId="0" fontId="18" fillId="9" borderId="15" xfId="3" applyFont="1" applyFill="1" applyBorder="1" applyAlignment="1">
      <alignment horizontal="left"/>
    </xf>
    <xf numFmtId="9" fontId="21" fillId="4" borderId="15" xfId="2" applyNumberFormat="1" applyFont="1" applyFill="1" applyBorder="1" applyAlignment="1">
      <alignment horizontal="center" vertical="center"/>
    </xf>
    <xf numFmtId="0" fontId="18" fillId="10" borderId="10" xfId="3" applyFont="1" applyFill="1" applyBorder="1" applyAlignment="1">
      <alignment horizontal="left"/>
    </xf>
    <xf numFmtId="9" fontId="21" fillId="4" borderId="10" xfId="2" applyNumberFormat="1" applyFont="1" applyFill="1" applyBorder="1" applyAlignment="1">
      <alignment horizontal="center" vertical="center"/>
    </xf>
    <xf numFmtId="0" fontId="18" fillId="12" borderId="10" xfId="3" applyFont="1" applyFill="1" applyBorder="1" applyAlignment="1">
      <alignment horizontal="left"/>
    </xf>
    <xf numFmtId="0" fontId="18" fillId="13" borderId="10" xfId="3" applyFont="1" applyFill="1" applyBorder="1" applyAlignment="1">
      <alignment horizontal="left"/>
    </xf>
    <xf numFmtId="0" fontId="18" fillId="14" borderId="10" xfId="3" applyFont="1" applyFill="1" applyBorder="1" applyAlignment="1">
      <alignment horizontal="left"/>
    </xf>
    <xf numFmtId="0" fontId="18" fillId="16" borderId="10" xfId="3" applyFont="1" applyFill="1" applyBorder="1" applyAlignment="1">
      <alignment horizontal="left"/>
    </xf>
    <xf numFmtId="0" fontId="21" fillId="4" borderId="0" xfId="2" applyFont="1" applyFill="1"/>
    <xf numFmtId="0" fontId="0" fillId="3" borderId="1" xfId="0" applyFill="1" applyBorder="1" applyAlignment="1">
      <alignment horizontal="center" vertical="center" wrapText="1"/>
    </xf>
    <xf numFmtId="0" fontId="5" fillId="0" borderId="1" xfId="0" applyFont="1" applyBorder="1" applyAlignment="1">
      <alignment horizontal="center" vertical="center" wrapText="1"/>
    </xf>
    <xf numFmtId="0" fontId="2" fillId="11"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0" fillId="0" borderId="0" xfId="0" applyAlignment="1">
      <alignment horizontal="center" vertical="center" wrapText="1"/>
    </xf>
    <xf numFmtId="9" fontId="3" fillId="19" borderId="1" xfId="0" applyNumberFormat="1" applyFont="1" applyFill="1" applyBorder="1" applyAlignment="1">
      <alignment horizontal="center" vertical="center" wrapText="1"/>
    </xf>
    <xf numFmtId="0" fontId="0" fillId="4" borderId="1" xfId="0" applyFill="1" applyBorder="1" applyAlignment="1">
      <alignment horizontal="center" vertical="center" wrapText="1"/>
    </xf>
    <xf numFmtId="0" fontId="5" fillId="20" borderId="1" xfId="0" applyFont="1" applyFill="1" applyBorder="1" applyAlignment="1">
      <alignment horizontal="center" vertical="center" wrapText="1"/>
    </xf>
    <xf numFmtId="0" fontId="5" fillId="20" borderId="17" xfId="0" applyFont="1" applyFill="1" applyBorder="1" applyAlignment="1">
      <alignment horizontal="center" vertical="center" wrapText="1"/>
    </xf>
    <xf numFmtId="0" fontId="3" fillId="21" borderId="1" xfId="0" applyFont="1" applyFill="1" applyBorder="1" applyAlignment="1">
      <alignment horizontal="center" vertical="center" wrapText="1"/>
    </xf>
    <xf numFmtId="9" fontId="3" fillId="22" borderId="1" xfId="0" applyNumberFormat="1" applyFont="1" applyFill="1" applyBorder="1" applyAlignment="1">
      <alignment horizontal="center" vertical="center" wrapText="1"/>
    </xf>
    <xf numFmtId="0" fontId="18" fillId="0" borderId="21" xfId="0" applyFont="1" applyBorder="1" applyAlignment="1">
      <alignment wrapText="1"/>
    </xf>
    <xf numFmtId="0" fontId="3" fillId="23" borderId="1" xfId="0" applyFont="1" applyFill="1" applyBorder="1" applyAlignment="1">
      <alignment horizontal="center" vertical="center" wrapText="1"/>
    </xf>
    <xf numFmtId="9" fontId="0" fillId="0" borderId="1" xfId="0" applyNumberFormat="1" applyBorder="1" applyAlignment="1">
      <alignment horizontal="center" vertical="center" wrapText="1"/>
    </xf>
    <xf numFmtId="2" fontId="0" fillId="0" borderId="0" xfId="0" applyNumberFormat="1" applyAlignment="1">
      <alignment horizontal="center" vertical="center" wrapText="1"/>
    </xf>
    <xf numFmtId="9" fontId="0" fillId="0" borderId="0" xfId="0" applyNumberFormat="1" applyAlignment="1">
      <alignment wrapText="1"/>
    </xf>
    <xf numFmtId="0" fontId="18" fillId="0" borderId="0" xfId="0" applyFont="1" applyAlignment="1">
      <alignment horizontal="center"/>
    </xf>
    <xf numFmtId="0" fontId="5" fillId="4" borderId="1" xfId="0" applyFont="1" applyFill="1" applyBorder="1" applyAlignment="1">
      <alignment horizontal="center" vertical="center" wrapText="1"/>
    </xf>
    <xf numFmtId="0" fontId="10" fillId="7" borderId="1" xfId="0" applyFont="1" applyFill="1" applyBorder="1" applyAlignment="1">
      <alignment vertical="center" wrapText="1"/>
    </xf>
    <xf numFmtId="0" fontId="7" fillId="5" borderId="18" xfId="0" applyFont="1" applyFill="1" applyBorder="1" applyAlignment="1">
      <alignment horizontal="center" vertical="center" wrapText="1"/>
    </xf>
    <xf numFmtId="0" fontId="7" fillId="5" borderId="11" xfId="0" applyFont="1" applyFill="1" applyBorder="1" applyAlignment="1">
      <alignment horizontal="center" vertical="center" wrapText="1"/>
    </xf>
    <xf numFmtId="0" fontId="4" fillId="0" borderId="1" xfId="0" applyFont="1" applyBorder="1" applyAlignment="1">
      <alignment horizontal="center"/>
    </xf>
    <xf numFmtId="0" fontId="1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4" fillId="8" borderId="1" xfId="0" applyFont="1" applyFill="1" applyBorder="1" applyAlignment="1">
      <alignment horizontal="center" vertical="center" wrapText="1"/>
    </xf>
    <xf numFmtId="0" fontId="26" fillId="0" borderId="0" xfId="0" applyFont="1" applyAlignment="1">
      <alignment horizontal="center" vertical="center" wrapText="1"/>
    </xf>
    <xf numFmtId="2" fontId="26" fillId="0" borderId="0" xfId="0" applyNumberFormat="1" applyFont="1" applyAlignment="1">
      <alignment horizontal="center" vertical="center"/>
    </xf>
    <xf numFmtId="9" fontId="26" fillId="0" borderId="0" xfId="0" applyNumberFormat="1" applyFont="1" applyAlignment="1">
      <alignment horizontal="center" vertical="center"/>
    </xf>
    <xf numFmtId="0" fontId="0" fillId="0" borderId="1" xfId="0" applyBorder="1" applyAlignment="1">
      <alignment vertical="center"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2" fontId="0" fillId="0" borderId="1" xfId="0" applyNumberFormat="1" applyBorder="1" applyAlignment="1">
      <alignment horizontal="center" vertical="center" wrapText="1"/>
    </xf>
    <xf numFmtId="1"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0" fontId="3" fillId="25" borderId="1" xfId="0" applyFont="1" applyFill="1" applyBorder="1" applyAlignment="1">
      <alignment horizontal="center"/>
    </xf>
    <xf numFmtId="0" fontId="29" fillId="0" borderId="1" xfId="0" applyFont="1" applyBorder="1" applyAlignment="1">
      <alignment vertical="center"/>
    </xf>
    <xf numFmtId="0" fontId="29" fillId="0" borderId="1" xfId="0" applyFont="1" applyBorder="1" applyAlignment="1">
      <alignment wrapText="1"/>
    </xf>
    <xf numFmtId="14" fontId="29" fillId="4" borderId="1" xfId="0" applyNumberFormat="1" applyFont="1" applyFill="1" applyBorder="1" applyAlignment="1">
      <alignment vertical="center"/>
    </xf>
    <xf numFmtId="0" fontId="29" fillId="0" borderId="1" xfId="0" applyFont="1" applyBorder="1"/>
    <xf numFmtId="0" fontId="29" fillId="4" borderId="1" xfId="0" applyFont="1" applyFill="1" applyBorder="1"/>
    <xf numFmtId="0" fontId="24" fillId="17" borderId="1" xfId="2" applyFont="1" applyFill="1" applyBorder="1" applyAlignment="1">
      <alignment horizontal="center" vertical="center" wrapText="1" readingOrder="1"/>
    </xf>
    <xf numFmtId="0" fontId="25" fillId="4" borderId="1" xfId="2" applyFont="1" applyFill="1" applyBorder="1" applyAlignment="1">
      <alignment horizontal="left" vertical="top" wrapText="1"/>
    </xf>
    <xf numFmtId="0" fontId="21" fillId="4" borderId="1" xfId="2" applyFont="1" applyFill="1" applyBorder="1" applyAlignment="1">
      <alignment horizontal="left" vertical="top" wrapText="1"/>
    </xf>
    <xf numFmtId="0" fontId="7" fillId="5" borderId="12" xfId="0" applyFont="1" applyFill="1" applyBorder="1" applyAlignment="1">
      <alignment horizontal="center" vertical="center" wrapText="1"/>
    </xf>
    <xf numFmtId="0" fontId="7" fillId="5" borderId="13" xfId="0" applyFont="1" applyFill="1" applyBorder="1" applyAlignment="1">
      <alignment horizontal="center" vertical="center" wrapText="1"/>
    </xf>
    <xf numFmtId="0" fontId="7" fillId="5" borderId="22" xfId="0" applyFont="1" applyFill="1" applyBorder="1" applyAlignment="1">
      <alignment horizontal="center" vertical="center" wrapText="1"/>
    </xf>
    <xf numFmtId="0" fontId="7" fillId="5" borderId="23"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24" borderId="18" xfId="0" applyFill="1" applyBorder="1" applyAlignment="1">
      <alignment horizontal="center" vertical="center" wrapText="1"/>
    </xf>
    <xf numFmtId="0" fontId="0" fillId="24" borderId="19" xfId="0" applyFill="1" applyBorder="1" applyAlignment="1">
      <alignment horizontal="center" vertical="center" wrapText="1"/>
    </xf>
    <xf numFmtId="0" fontId="0" fillId="24" borderId="20" xfId="0" applyFill="1" applyBorder="1" applyAlignment="1">
      <alignment horizontal="center" vertical="center" wrapText="1"/>
    </xf>
    <xf numFmtId="0" fontId="0" fillId="0" borderId="1" xfId="0" applyBorder="1" applyAlignment="1">
      <alignment horizontal="center" vertical="center" wrapText="1"/>
    </xf>
    <xf numFmtId="9" fontId="0" fillId="0" borderId="18" xfId="0" applyNumberFormat="1" applyBorder="1" applyAlignment="1">
      <alignment horizontal="center" vertical="center" wrapText="1"/>
    </xf>
    <xf numFmtId="9" fontId="0" fillId="0" borderId="20" xfId="0" applyNumberFormat="1" applyBorder="1" applyAlignment="1">
      <alignment horizontal="center" vertical="center" wrapText="1"/>
    </xf>
    <xf numFmtId="9" fontId="0" fillId="0" borderId="19" xfId="0" applyNumberFormat="1" applyBorder="1" applyAlignment="1">
      <alignment horizontal="center" vertical="center" wrapText="1"/>
    </xf>
    <xf numFmtId="2"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1" fontId="0" fillId="0" borderId="1" xfId="0" applyNumberFormat="1" applyBorder="1" applyAlignment="1">
      <alignment horizontal="center" vertical="center" wrapText="1"/>
    </xf>
    <xf numFmtId="0" fontId="2" fillId="11" borderId="1" xfId="0" applyFont="1" applyFill="1" applyBorder="1" applyAlignment="1">
      <alignment horizontal="center" vertical="center" wrapText="1"/>
    </xf>
    <xf numFmtId="0" fontId="18" fillId="0" borderId="18" xfId="0" applyFont="1" applyBorder="1" applyAlignment="1">
      <alignment horizontal="center" vertical="center" wrapText="1"/>
    </xf>
    <xf numFmtId="0" fontId="1" fillId="0" borderId="1" xfId="0" applyFont="1" applyBorder="1" applyAlignment="1">
      <alignment horizontal="center" vertical="center" wrapText="1"/>
    </xf>
  </cellXfs>
  <cellStyles count="4">
    <cellStyle name="Normal" xfId="0" builtinId="0"/>
    <cellStyle name="Normal 2" xfId="1" xr:uid="{CCF3A670-623B-412B-9591-14D829E8E724}"/>
    <cellStyle name="Normal 5" xfId="3" xr:uid="{27907CEC-EC71-4156-BD71-EDA3B081F8A1}"/>
    <cellStyle name="Normal 7" xfId="2" xr:uid="{EE7DA26B-36E1-48D4-AB66-42F57F7C16F2}"/>
  </cellStyles>
  <dxfs count="1">
    <dxf>
      <font>
        <color rgb="FF000000"/>
      </font>
      <fill>
        <patternFill patternType="solid">
          <bgColor rgb="FFF8696B"/>
        </patternFill>
      </fill>
    </dxf>
  </dxfs>
  <tableStyles count="0" defaultTableStyle="TableStyleMedium2" defaultPivotStyle="PivotStyleLight16"/>
  <colors>
    <mruColors>
      <color rgb="FF3399FF"/>
      <color rgb="FF003399"/>
      <color rgb="FF0033CC"/>
      <color rgb="FF3366FF"/>
      <color rgb="FF333399"/>
      <color rgb="FF000066"/>
      <color rgb="FFCADAFE"/>
      <color rgb="FF2A6BA6"/>
      <color rgb="FF5B9BD5"/>
      <color rgb="FF3F44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Types" Target="richData/rdRichValueTypes.xml"/><Relationship Id="rId5" Type="http://schemas.openxmlformats.org/officeDocument/2006/relationships/theme" Target="theme/theme1.xml"/><Relationship Id="rId15" Type="http://schemas.openxmlformats.org/officeDocument/2006/relationships/customXml" Target="../customXml/item3.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Maturity Level</a:t>
            </a:r>
          </a:p>
        </c:rich>
      </c:tx>
      <c:layout>
        <c:manualLayout>
          <c:xMode val="edge"/>
          <c:yMode val="edge"/>
          <c:x val="0.39769686824784395"/>
          <c:y val="0"/>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v/>
          </c:tx>
          <c:dPt>
            <c:idx val="0"/>
            <c:bubble3D val="0"/>
            <c:spPr>
              <a:solidFill>
                <a:srgbClr val="FBA977"/>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FB35-463F-AFC3-DA4D1E7624AE}"/>
              </c:ext>
            </c:extLst>
          </c:dPt>
          <c:dPt>
            <c:idx val="1"/>
            <c:bubble3D val="0"/>
            <c:spPr>
              <a:solidFill>
                <a:srgbClr val="FFEB8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FB35-463F-AFC3-DA4D1E7624AE}"/>
              </c:ext>
            </c:extLst>
          </c:dPt>
          <c:dPt>
            <c:idx val="2"/>
            <c:bubble3D val="0"/>
            <c:spPr>
              <a:solidFill>
                <a:srgbClr val="C6E0B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FB35-463F-AFC3-DA4D1E7624AE}"/>
              </c:ext>
            </c:extLst>
          </c:dPt>
          <c:dPt>
            <c:idx val="3"/>
            <c:bubble3D val="0"/>
            <c:spPr>
              <a:solidFill>
                <a:srgbClr val="63BE7B"/>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FB35-463F-AFC3-DA4D1E7624A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B35-463F-AFC3-DA4D1E7624AE}"/>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35-463F-AFC3-DA4D1E7624AE}"/>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B35-463F-AFC3-DA4D1E7624AE}"/>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B35-463F-AFC3-DA4D1E7624A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6"/>
              <c:pt idx="0">
                <c:v>NONEXIST</c:v>
              </c:pt>
              <c:pt idx="1">
                <c:v>AD-HOC</c:v>
              </c:pt>
              <c:pt idx="2">
                <c:v>REPEATABLE</c:v>
              </c:pt>
              <c:pt idx="3">
                <c:v>DEFINED</c:v>
              </c:pt>
              <c:pt idx="4">
                <c:v>MANAGED</c:v>
              </c:pt>
              <c:pt idx="5">
                <c:v>OPTIMIZED</c:v>
              </c:pt>
            </c:strLit>
          </c:cat>
          <c:val>
            <c:numLit>
              <c:formatCode>General</c:formatCode>
              <c:ptCount val="4"/>
              <c:pt idx="0">
                <c:v>2</c:v>
              </c:pt>
              <c:pt idx="1">
                <c:v>37</c:v>
              </c:pt>
              <c:pt idx="2">
                <c:v>51</c:v>
              </c:pt>
              <c:pt idx="3">
                <c:v>11</c:v>
              </c:pt>
            </c:numLit>
          </c:val>
          <c:extLst>
            <c:ext xmlns:c16="http://schemas.microsoft.com/office/drawing/2014/chart" uri="{C3380CC4-5D6E-409C-BE32-E72D297353CC}">
              <c16:uniqueId val="{00000008-FB35-463F-AFC3-DA4D1E7624A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0"/>
          <c:tx>
            <c:v>Total controles dominio</c:v>
          </c:tx>
          <c:spPr>
            <a:solidFill>
              <a:schemeClr val="accent3"/>
            </a:solidFill>
            <a:ln>
              <a:noFill/>
            </a:ln>
            <a:effectLst/>
          </c:spPr>
          <c:invertIfNegative val="0"/>
          <c:cat>
            <c:strLit>
              <c:ptCount val="14"/>
              <c:pt idx="0">
                <c:v>Políticas de Seguridad de la información</c:v>
              </c:pt>
              <c:pt idx="1">
                <c:v>Organización de la seguridad de la información</c:v>
              </c:pt>
              <c:pt idx="2">
                <c:v>Seguridad en recursos humanos</c:v>
              </c:pt>
              <c:pt idx="3">
                <c:v>Gestión de activos</c:v>
              </c:pt>
              <c:pt idx="4">
                <c:v>Control de acceso</c:v>
              </c:pt>
              <c:pt idx="5">
                <c:v>Criptografía</c:v>
              </c:pt>
              <c:pt idx="6">
                <c:v>Seguridad física y ambiental</c:v>
              </c:pt>
              <c:pt idx="7">
                <c:v>Seguridad en operaciones</c:v>
              </c:pt>
              <c:pt idx="8">
                <c:v>Seguridad de las comunicaciones</c:v>
              </c:pt>
              <c:pt idx="9">
                <c:v>Adquisición, desarrollo y mantenimiento de sistemas</c:v>
              </c:pt>
              <c:pt idx="10">
                <c:v>Relaciones con proveedores</c:v>
              </c:pt>
              <c:pt idx="11">
                <c:v>Gestión de incidentes de seguridad de la información</c:v>
              </c:pt>
              <c:pt idx="12">
                <c:v>Gestión de la Continuidad de Negocio</c:v>
              </c:pt>
              <c:pt idx="13">
                <c:v>Cumplimiento</c:v>
              </c:pt>
            </c:strLit>
          </c:cat>
          <c:val>
            <c:numLit>
              <c:formatCode>General</c:formatCode>
              <c:ptCount val="14"/>
              <c:pt idx="0">
                <c:v>1</c:v>
              </c:pt>
              <c:pt idx="1">
                <c:v>6</c:v>
              </c:pt>
              <c:pt idx="2">
                <c:v>9</c:v>
              </c:pt>
              <c:pt idx="3">
                <c:v>5</c:v>
              </c:pt>
              <c:pt idx="4">
                <c:v>9</c:v>
              </c:pt>
              <c:pt idx="5">
                <c:v>1</c:v>
              </c:pt>
              <c:pt idx="6">
                <c:v>15</c:v>
              </c:pt>
              <c:pt idx="7">
                <c:v>19</c:v>
              </c:pt>
              <c:pt idx="8">
                <c:v>4</c:v>
              </c:pt>
              <c:pt idx="9">
                <c:v>13</c:v>
              </c:pt>
              <c:pt idx="10">
                <c:v>2</c:v>
              </c:pt>
              <c:pt idx="11">
                <c:v>5</c:v>
              </c:pt>
              <c:pt idx="12">
                <c:v>2</c:v>
              </c:pt>
              <c:pt idx="13">
                <c:v>10</c:v>
              </c:pt>
            </c:numLit>
          </c:val>
          <c:extLst>
            <c:ext xmlns:c16="http://schemas.microsoft.com/office/drawing/2014/chart" uri="{C3380CC4-5D6E-409C-BE32-E72D297353CC}">
              <c16:uniqueId val="{00000000-E2A5-4492-8523-36C78D5C2015}"/>
            </c:ext>
          </c:extLst>
        </c:ser>
        <c:ser>
          <c:idx val="3"/>
          <c:order val="1"/>
          <c:tx>
            <c:v>Cumplimiento por dominio</c:v>
          </c:tx>
          <c:spPr>
            <a:solidFill>
              <a:schemeClr val="accent6">
                <a:lumMod val="60000"/>
                <a:lumOff val="40000"/>
              </a:schemeClr>
            </a:solidFill>
            <a:ln>
              <a:noFill/>
            </a:ln>
            <a:effectLst/>
          </c:spPr>
          <c:invertIfNegative val="0"/>
          <c:cat>
            <c:strLit>
              <c:ptCount val="14"/>
              <c:pt idx="0">
                <c:v>Políticas de Seguridad de la información</c:v>
              </c:pt>
              <c:pt idx="1">
                <c:v>Organización de la seguridad de la información</c:v>
              </c:pt>
              <c:pt idx="2">
                <c:v>Seguridad en recursos humanos</c:v>
              </c:pt>
              <c:pt idx="3">
                <c:v>Gestión de activos</c:v>
              </c:pt>
              <c:pt idx="4">
                <c:v>Control de acceso</c:v>
              </c:pt>
              <c:pt idx="5">
                <c:v>Criptografía</c:v>
              </c:pt>
              <c:pt idx="6">
                <c:v>Seguridad física y ambiental</c:v>
              </c:pt>
              <c:pt idx="7">
                <c:v>Seguridad en operaciones</c:v>
              </c:pt>
              <c:pt idx="8">
                <c:v>Seguridad de las comunicaciones</c:v>
              </c:pt>
              <c:pt idx="9">
                <c:v>Adquisición, desarrollo y mantenimiento de sistemas</c:v>
              </c:pt>
              <c:pt idx="10">
                <c:v>Relaciones con proveedores</c:v>
              </c:pt>
              <c:pt idx="11">
                <c:v>Gestión de incidentes de seguridad de la información</c:v>
              </c:pt>
              <c:pt idx="12">
                <c:v>Gestión de la Continuidad de Negocio</c:v>
              </c:pt>
              <c:pt idx="13">
                <c:v>Cumplimiento</c:v>
              </c:pt>
            </c:strLit>
          </c:cat>
          <c:val>
            <c:numLit>
              <c:formatCode>General</c:formatCode>
              <c:ptCount val="14"/>
              <c:pt idx="0">
                <c:v>0</c:v>
              </c:pt>
              <c:pt idx="1">
                <c:v>3</c:v>
              </c:pt>
              <c:pt idx="2">
                <c:v>1</c:v>
              </c:pt>
              <c:pt idx="3">
                <c:v>0</c:v>
              </c:pt>
              <c:pt idx="4">
                <c:v>2</c:v>
              </c:pt>
              <c:pt idx="5">
                <c:v>0</c:v>
              </c:pt>
              <c:pt idx="6">
                <c:v>5</c:v>
              </c:pt>
              <c:pt idx="7">
                <c:v>8</c:v>
              </c:pt>
              <c:pt idx="8">
                <c:v>1</c:v>
              </c:pt>
              <c:pt idx="9">
                <c:v>5</c:v>
              </c:pt>
              <c:pt idx="10">
                <c:v>0</c:v>
              </c:pt>
              <c:pt idx="11">
                <c:v>4</c:v>
              </c:pt>
              <c:pt idx="12">
                <c:v>0</c:v>
              </c:pt>
              <c:pt idx="13">
                <c:v>3</c:v>
              </c:pt>
            </c:numLit>
          </c:val>
          <c:extLst>
            <c:ext xmlns:c16="http://schemas.microsoft.com/office/drawing/2014/chart" uri="{C3380CC4-5D6E-409C-BE32-E72D297353CC}">
              <c16:uniqueId val="{00000001-E2A5-4492-8523-36C78D5C2015}"/>
            </c:ext>
          </c:extLst>
        </c:ser>
        <c:dLbls>
          <c:showLegendKey val="0"/>
          <c:showVal val="0"/>
          <c:showCatName val="0"/>
          <c:showSerName val="0"/>
          <c:showPercent val="0"/>
          <c:showBubbleSize val="0"/>
        </c:dLbls>
        <c:gapWidth val="51"/>
        <c:overlap val="100"/>
        <c:axId val="1273117919"/>
        <c:axId val="1273137471"/>
      </c:barChart>
      <c:lineChart>
        <c:grouping val="standard"/>
        <c:varyColors val="0"/>
        <c:ser>
          <c:idx val="4"/>
          <c:order val="2"/>
          <c:tx>
            <c:v>% Cumplimiento por dominio</c:v>
          </c:tx>
          <c:spPr>
            <a:ln w="28575" cap="rnd">
              <a:solidFill>
                <a:schemeClr val="accent5"/>
              </a:solidFill>
              <a:round/>
            </a:ln>
            <a:effectLst/>
          </c:spPr>
          <c:marker>
            <c:symbol val="none"/>
          </c:marker>
          <c:val>
            <c:numLit>
              <c:formatCode>General</c:formatCode>
              <c:ptCount val="14"/>
              <c:pt idx="0">
                <c:v>0</c:v>
              </c:pt>
              <c:pt idx="1">
                <c:v>0.5</c:v>
              </c:pt>
              <c:pt idx="2">
                <c:v>0.1111111111111111</c:v>
              </c:pt>
              <c:pt idx="3">
                <c:v>0</c:v>
              </c:pt>
              <c:pt idx="4">
                <c:v>0.22222222222222221</c:v>
              </c:pt>
              <c:pt idx="5">
                <c:v>0</c:v>
              </c:pt>
              <c:pt idx="6">
                <c:v>0.33333333333333331</c:v>
              </c:pt>
              <c:pt idx="7">
                <c:v>0.42105263157894735</c:v>
              </c:pt>
              <c:pt idx="8">
                <c:v>0.25</c:v>
              </c:pt>
              <c:pt idx="9">
                <c:v>0.38461538461538464</c:v>
              </c:pt>
              <c:pt idx="10">
                <c:v>0</c:v>
              </c:pt>
              <c:pt idx="11">
                <c:v>0.8</c:v>
              </c:pt>
              <c:pt idx="12">
                <c:v>0</c:v>
              </c:pt>
              <c:pt idx="13">
                <c:v>0.3</c:v>
              </c:pt>
            </c:numLit>
          </c:val>
          <c:smooth val="0"/>
          <c:extLst>
            <c:ext xmlns:c16="http://schemas.microsoft.com/office/drawing/2014/chart" uri="{C3380CC4-5D6E-409C-BE32-E72D297353CC}">
              <c16:uniqueId val="{00000002-E2A5-4492-8523-36C78D5C2015}"/>
            </c:ext>
          </c:extLst>
        </c:ser>
        <c:dLbls>
          <c:showLegendKey val="0"/>
          <c:showVal val="0"/>
          <c:showCatName val="0"/>
          <c:showSerName val="0"/>
          <c:showPercent val="0"/>
          <c:showBubbleSize val="0"/>
        </c:dLbls>
        <c:marker val="1"/>
        <c:smooth val="0"/>
        <c:axId val="1273138303"/>
        <c:axId val="1273139551"/>
      </c:lineChart>
      <c:catAx>
        <c:axId val="127311791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137471"/>
        <c:crosses val="autoZero"/>
        <c:auto val="0"/>
        <c:lblAlgn val="ctr"/>
        <c:lblOffset val="100"/>
        <c:tickLblSkip val="1"/>
        <c:noMultiLvlLbl val="0"/>
      </c:catAx>
      <c:valAx>
        <c:axId val="1273137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Control por dominio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117919"/>
        <c:crosses val="autoZero"/>
        <c:crossBetween val="between"/>
      </c:valAx>
      <c:valAx>
        <c:axId val="1273139551"/>
        <c:scaling>
          <c:orientation val="minMax"/>
          <c:max val="1"/>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 Cumplimiento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138303"/>
        <c:crosses val="max"/>
        <c:crossBetween val="between"/>
      </c:valAx>
      <c:catAx>
        <c:axId val="1273138303"/>
        <c:scaling>
          <c:orientation val="minMax"/>
        </c:scaling>
        <c:delete val="1"/>
        <c:axPos val="b"/>
        <c:numFmt formatCode="General" sourceLinked="1"/>
        <c:majorTickMark val="none"/>
        <c:minorTickMark val="none"/>
        <c:tickLblPos val="nextTo"/>
        <c:crossAx val="127313955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6042375249865216E-2"/>
          <c:y val="0.10159539821329204"/>
          <c:w val="0.85894034701448896"/>
          <c:h val="0.66168434538419396"/>
        </c:manualLayout>
      </c:layout>
      <c:barChart>
        <c:barDir val="col"/>
        <c:grouping val="clustered"/>
        <c:varyColors val="0"/>
        <c:ser>
          <c:idx val="0"/>
          <c:order val="0"/>
          <c:spPr>
            <a:solidFill>
              <a:srgbClr val="C6E0B4"/>
            </a:solidFill>
            <a:ln>
              <a:noFill/>
            </a:ln>
            <a:effectLst>
              <a:softEdge rad="0"/>
            </a:effectLst>
          </c:spPr>
          <c:invertIfNegative val="0"/>
          <c:dPt>
            <c:idx val="1"/>
            <c:invertIfNegative val="0"/>
            <c:bubble3D val="0"/>
            <c:spPr>
              <a:solidFill>
                <a:schemeClr val="accent2">
                  <a:lumMod val="20000"/>
                  <a:lumOff val="80000"/>
                </a:schemeClr>
              </a:solidFill>
              <a:ln>
                <a:noFill/>
              </a:ln>
              <a:effectLst>
                <a:softEdge rad="0"/>
              </a:effectLst>
            </c:spPr>
            <c:extLst>
              <c:ext xmlns:c16="http://schemas.microsoft.com/office/drawing/2014/chart" uri="{C3380CC4-5D6E-409C-BE32-E72D297353CC}">
                <c16:uniqueId val="{00000001-8751-472C-8CBE-9D016109A5C8}"/>
              </c:ext>
            </c:extLst>
          </c:dPt>
          <c:dPt>
            <c:idx val="2"/>
            <c:invertIfNegative val="0"/>
            <c:bubble3D val="0"/>
            <c:spPr>
              <a:solidFill>
                <a:schemeClr val="accent1">
                  <a:lumMod val="40000"/>
                  <a:lumOff val="60000"/>
                </a:schemeClr>
              </a:solidFill>
              <a:ln>
                <a:noFill/>
              </a:ln>
              <a:effectLst>
                <a:softEdge rad="0"/>
              </a:effectLst>
            </c:spPr>
            <c:extLst>
              <c:ext xmlns:c16="http://schemas.microsoft.com/office/drawing/2014/chart" uri="{C3380CC4-5D6E-409C-BE32-E72D297353CC}">
                <c16:uniqueId val="{00000003-8751-472C-8CBE-9D016109A5C8}"/>
              </c:ext>
            </c:extLst>
          </c:dPt>
          <c:dPt>
            <c:idx val="3"/>
            <c:invertIfNegative val="0"/>
            <c:bubble3D val="0"/>
            <c:spPr>
              <a:solidFill>
                <a:schemeClr val="accent4">
                  <a:lumMod val="20000"/>
                  <a:lumOff val="80000"/>
                </a:schemeClr>
              </a:solidFill>
              <a:ln>
                <a:noFill/>
              </a:ln>
              <a:effectLst>
                <a:softEdge rad="0"/>
              </a:effectLst>
            </c:spPr>
            <c:extLst>
              <c:ext xmlns:c16="http://schemas.microsoft.com/office/drawing/2014/chart" uri="{C3380CC4-5D6E-409C-BE32-E72D297353CC}">
                <c16:uniqueId val="{00000005-8751-472C-8CBE-9D016109A5C8}"/>
              </c:ext>
            </c:extLst>
          </c:dPt>
          <c:dPt>
            <c:idx val="4"/>
            <c:invertIfNegative val="0"/>
            <c:bubble3D val="0"/>
            <c:spPr>
              <a:solidFill>
                <a:srgbClr val="E0AFE5"/>
              </a:solidFill>
              <a:ln>
                <a:noFill/>
              </a:ln>
              <a:effectLst>
                <a:softEdge rad="0"/>
              </a:effectLst>
            </c:spPr>
            <c:extLst>
              <c:ext xmlns:c16="http://schemas.microsoft.com/office/drawing/2014/chart" uri="{C3380CC4-5D6E-409C-BE32-E72D297353CC}">
                <c16:uniqueId val="{00000007-8751-472C-8CBE-9D016109A5C8}"/>
              </c:ext>
            </c:extLst>
          </c:dPt>
          <c:dLbls>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751-472C-8CBE-9D016109A5C8}"/>
                </c:ext>
              </c:extLst>
            </c:dLbl>
            <c:dLbl>
              <c:idx val="3"/>
              <c:dLblPos val="outEnd"/>
              <c:showLegendKey val="0"/>
              <c:showVal val="1"/>
              <c:showCatName val="0"/>
              <c:showSerName val="0"/>
              <c:showPercent val="0"/>
              <c:showBubbleSize val="0"/>
              <c:separator>
</c:separator>
              <c:extLst>
                <c:ext xmlns:c15="http://schemas.microsoft.com/office/drawing/2012/chart" uri="{CE6537A1-D6FC-4f65-9D91-7224C49458BB}">
                  <c15:layout>
                    <c:manualLayout>
                      <c:w val="2.8355361467190414E-2"/>
                      <c:h val="3.8307243025929263E-2"/>
                    </c:manualLayout>
                  </c15:layout>
                </c:ext>
                <c:ext xmlns:c16="http://schemas.microsoft.com/office/drawing/2014/chart" uri="{C3380CC4-5D6E-409C-BE32-E72D297353CC}">
                  <c16:uniqueId val="{00000005-8751-472C-8CBE-9D016109A5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Gráficos!$AC$4:$AC$8</c:f>
              <c:strCache>
                <c:ptCount val="5"/>
                <c:pt idx="0">
                  <c:v>IT</c:v>
                </c:pt>
                <c:pt idx="1">
                  <c:v>HR</c:v>
                </c:pt>
                <c:pt idx="2">
                  <c:v>SEGURIDAD FÍSICA</c:v>
                </c:pt>
                <c:pt idx="3">
                  <c:v>LEGAL &amp; COMPLIANCE</c:v>
                </c:pt>
                <c:pt idx="4">
                  <c:v>DIRECCIÓN</c:v>
                </c:pt>
              </c:strCache>
            </c:strRef>
          </c:cat>
          <c:val>
            <c:numLit>
              <c:formatCode>General</c:formatCode>
              <c:ptCount val="5"/>
              <c:pt idx="0">
                <c:v>0.8</c:v>
              </c:pt>
              <c:pt idx="1">
                <c:v>0.1</c:v>
              </c:pt>
              <c:pt idx="2">
                <c:v>0.06</c:v>
              </c:pt>
              <c:pt idx="3">
                <c:v>0.03</c:v>
              </c:pt>
              <c:pt idx="4">
                <c:v>0.01</c:v>
              </c:pt>
            </c:numLit>
          </c:val>
          <c:extLst>
            <c:ext xmlns:c16="http://schemas.microsoft.com/office/drawing/2014/chart" uri="{C3380CC4-5D6E-409C-BE32-E72D297353CC}">
              <c16:uniqueId val="{00000009-8751-472C-8CBE-9D016109A5C8}"/>
            </c:ext>
          </c:extLst>
        </c:ser>
        <c:dLbls>
          <c:dLblPos val="ctr"/>
          <c:showLegendKey val="0"/>
          <c:showVal val="1"/>
          <c:showCatName val="0"/>
          <c:showSerName val="0"/>
          <c:showPercent val="0"/>
          <c:showBubbleSize val="0"/>
        </c:dLbls>
        <c:gapWidth val="100"/>
        <c:axId val="1885693247"/>
        <c:axId val="1532912879"/>
      </c:barChart>
      <c:catAx>
        <c:axId val="1885693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ÁREAS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192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2912879"/>
        <c:crosses val="autoZero"/>
        <c:auto val="0"/>
        <c:lblAlgn val="ctr"/>
        <c:lblOffset val="100"/>
        <c:noMultiLvlLbl val="0"/>
      </c:catAx>
      <c:valAx>
        <c:axId val="1532912879"/>
        <c:scaling>
          <c:orientation val="minMax"/>
          <c:max val="0.9"/>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 CONTROLES CUMPLIDOS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693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106577291221504E-2"/>
          <c:y val="1.4224720608786637E-2"/>
          <c:w val="0.93843245616602755"/>
          <c:h val="0.84386332440621914"/>
        </c:manualLayout>
      </c:layout>
      <c:barChart>
        <c:barDir val="col"/>
        <c:grouping val="clustered"/>
        <c:varyColors val="0"/>
        <c:ser>
          <c:idx val="0"/>
          <c:order val="0"/>
          <c:spPr>
            <a:solidFill>
              <a:srgbClr val="C6E0B4"/>
            </a:solidFill>
            <a:ln>
              <a:noFill/>
            </a:ln>
            <a:effectLst/>
          </c:spPr>
          <c:invertIfNegative val="0"/>
          <c:dPt>
            <c:idx val="0"/>
            <c:invertIfNegative val="0"/>
            <c:bubble3D val="0"/>
            <c:spPr>
              <a:solidFill>
                <a:srgbClr val="FDC3C7"/>
              </a:solidFill>
              <a:ln>
                <a:noFill/>
              </a:ln>
              <a:effectLst/>
            </c:spPr>
            <c:extLst>
              <c:ext xmlns:c16="http://schemas.microsoft.com/office/drawing/2014/chart" uri="{C3380CC4-5D6E-409C-BE32-E72D297353CC}">
                <c16:uniqueId val="{00000001-04DE-48F5-8E65-107797AB3702}"/>
              </c:ext>
            </c:extLst>
          </c:dPt>
          <c:dPt>
            <c:idx val="2"/>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3-04DE-48F5-8E65-107797AB3702}"/>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04DE-48F5-8E65-107797AB3702}"/>
              </c:ext>
            </c:extLst>
          </c:dPt>
          <c:dPt>
            <c:idx val="4"/>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7-04DE-48F5-8E65-107797AB3702}"/>
              </c:ext>
            </c:extLst>
          </c:dPt>
          <c:dPt>
            <c:idx val="5"/>
            <c:invertIfNegative val="0"/>
            <c:bubble3D val="0"/>
            <c:spPr>
              <a:solidFill>
                <a:srgbClr val="E0AFE5"/>
              </a:solidFill>
              <a:ln>
                <a:noFill/>
              </a:ln>
              <a:effectLst/>
            </c:spPr>
            <c:extLst>
              <c:ext xmlns:c16="http://schemas.microsoft.com/office/drawing/2014/chart" uri="{C3380CC4-5D6E-409C-BE32-E72D297353CC}">
                <c16:uniqueId val="{00000009-04DE-48F5-8E65-107797AB37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SEGURIDAD</c:v>
              </c:pt>
              <c:pt idx="1">
                <c:v>PRODUCCIÓN</c:v>
              </c:pt>
              <c:pt idx="2">
                <c:v>GOBIERNO</c:v>
              </c:pt>
              <c:pt idx="3">
                <c:v>ARQUITECTURA</c:v>
              </c:pt>
              <c:pt idx="4">
                <c:v>WORKPLACE</c:v>
              </c:pt>
              <c:pt idx="5">
                <c:v>DESARROLLO</c:v>
              </c:pt>
            </c:strLit>
          </c:cat>
          <c:val>
            <c:numLit>
              <c:formatCode>General</c:formatCode>
              <c:ptCount val="6"/>
              <c:pt idx="0">
                <c:v>0.66</c:v>
              </c:pt>
              <c:pt idx="1">
                <c:v>0.17</c:v>
              </c:pt>
              <c:pt idx="2">
                <c:v>7.0000000000000007E-2</c:v>
              </c:pt>
              <c:pt idx="3">
                <c:v>0.05</c:v>
              </c:pt>
              <c:pt idx="4">
                <c:v>0.03</c:v>
              </c:pt>
              <c:pt idx="5">
                <c:v>0.02</c:v>
              </c:pt>
            </c:numLit>
          </c:val>
          <c:extLst>
            <c:ext xmlns:c16="http://schemas.microsoft.com/office/drawing/2014/chart" uri="{C3380CC4-5D6E-409C-BE32-E72D297353CC}">
              <c16:uniqueId val="{0000000A-04DE-48F5-8E65-107797AB3702}"/>
            </c:ext>
          </c:extLst>
        </c:ser>
        <c:dLbls>
          <c:dLblPos val="outEnd"/>
          <c:showLegendKey val="0"/>
          <c:showVal val="1"/>
          <c:showCatName val="0"/>
          <c:showSerName val="0"/>
          <c:showPercent val="0"/>
          <c:showBubbleSize val="0"/>
        </c:dLbls>
        <c:gapWidth val="100"/>
        <c:overlap val="-27"/>
        <c:axId val="1684091983"/>
        <c:axId val="1700847727"/>
      </c:barChart>
      <c:catAx>
        <c:axId val="16840919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ÁREAS</a:t>
                </a:r>
                <a:r>
                  <a:rPr lang="es-ES" baseline="0"/>
                  <a:t> IT</a:t>
                </a:r>
                <a:endParaRPr lang="es-ES"/>
              </a:p>
            </c:rich>
          </c:tx>
          <c:layout>
            <c:manualLayout>
              <c:xMode val="edge"/>
              <c:yMode val="edge"/>
              <c:x val="0.44302512328671839"/>
              <c:y val="0.95816352285738737"/>
            </c:manualLayout>
          </c:layout>
          <c:overlay val="0"/>
          <c:spPr>
            <a:noFill/>
            <a:ln>
              <a:noFill/>
            </a:ln>
            <a:effectLst>
              <a:glow rad="127000">
                <a:schemeClr val="accent1"/>
              </a:glow>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92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847727"/>
        <c:crosses val="autoZero"/>
        <c:auto val="1"/>
        <c:lblAlgn val="ctr"/>
        <c:lblOffset val="100"/>
        <c:noMultiLvlLbl val="0"/>
      </c:catAx>
      <c:valAx>
        <c:axId val="1700847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s-ES" sz="1000" b="0" i="0" baseline="0">
                    <a:effectLst/>
                  </a:rPr>
                  <a:t>% CONTROLES CUMPLIDOS</a:t>
                </a:r>
                <a:endParaRPr lang="es-ES" sz="1000">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s-ES"/>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0919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185233</xdr:colOff>
      <xdr:row>21</xdr:row>
      <xdr:rowOff>83248</xdr:rowOff>
    </xdr:from>
    <xdr:to>
      <xdr:col>23</xdr:col>
      <xdr:colOff>436143</xdr:colOff>
      <xdr:row>42</xdr:row>
      <xdr:rowOff>168636</xdr:rowOff>
    </xdr:to>
    <xdr:graphicFrame macro="">
      <xdr:nvGraphicFramePr>
        <xdr:cNvPr id="2" name="Gráfico 1">
          <a:extLst>
            <a:ext uri="{FF2B5EF4-FFF2-40B4-BE49-F238E27FC236}">
              <a16:creationId xmlns:a16="http://schemas.microsoft.com/office/drawing/2014/main" id="{05674B00-964F-406B-9E14-47BF109CA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542925</xdr:colOff>
      <xdr:row>21</xdr:row>
      <xdr:rowOff>114300</xdr:rowOff>
    </xdr:from>
    <xdr:to>
      <xdr:col>7</xdr:col>
      <xdr:colOff>971550</xdr:colOff>
      <xdr:row>42</xdr:row>
      <xdr:rowOff>114300</xdr:rowOff>
    </xdr:to>
    <xdr:graphicFrame macro="">
      <xdr:nvGraphicFramePr>
        <xdr:cNvPr id="3" name="Gráfico 3">
          <a:extLst>
            <a:ext uri="{FF2B5EF4-FFF2-40B4-BE49-F238E27FC236}">
              <a16:creationId xmlns:a16="http://schemas.microsoft.com/office/drawing/2014/main" id="{B9C1E68C-F1EE-444B-894F-CC5F0F7B8C96}"/>
            </a:ext>
            <a:ext uri="{147F2762-F138-4A5C-976F-8EAC2B608ADB}">
              <a16:predDERef xmlns:a16="http://schemas.microsoft.com/office/drawing/2014/main" pred="{05674B00-964F-406B-9E14-47BF109CA5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265978</xdr:colOff>
      <xdr:row>15</xdr:row>
      <xdr:rowOff>24200</xdr:rowOff>
    </xdr:from>
    <xdr:to>
      <xdr:col>36</xdr:col>
      <xdr:colOff>287548</xdr:colOff>
      <xdr:row>40</xdr:row>
      <xdr:rowOff>119811</xdr:rowOff>
    </xdr:to>
    <xdr:graphicFrame macro="">
      <xdr:nvGraphicFramePr>
        <xdr:cNvPr id="5" name="Gráfico 1">
          <a:extLst>
            <a:ext uri="{FF2B5EF4-FFF2-40B4-BE49-F238E27FC236}">
              <a16:creationId xmlns:a16="http://schemas.microsoft.com/office/drawing/2014/main" id="{65FF4AEA-131F-4A12-AF16-87BFBBCCC040}"/>
            </a:ext>
            <a:ext uri="{147F2762-F138-4A5C-976F-8EAC2B608ADB}">
              <a16:predDERef xmlns:a16="http://schemas.microsoft.com/office/drawing/2014/main" pred="{9CE027D4-3BF5-426E-B0F6-83BF23E50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241300</xdr:colOff>
      <xdr:row>15</xdr:row>
      <xdr:rowOff>65087</xdr:rowOff>
    </xdr:from>
    <xdr:to>
      <xdr:col>49</xdr:col>
      <xdr:colOff>95250</xdr:colOff>
      <xdr:row>40</xdr:row>
      <xdr:rowOff>174624</xdr:rowOff>
    </xdr:to>
    <xdr:graphicFrame macro="">
      <xdr:nvGraphicFramePr>
        <xdr:cNvPr id="7" name="Gráfico 6">
          <a:extLst>
            <a:ext uri="{FF2B5EF4-FFF2-40B4-BE49-F238E27FC236}">
              <a16:creationId xmlns:a16="http://schemas.microsoft.com/office/drawing/2014/main" id="{107CDFFF-D95A-447E-AD21-94290404F056}"/>
            </a:ext>
            <a:ext uri="{147F2762-F138-4A5C-976F-8EAC2B608ADB}">
              <a16:predDERef xmlns:a16="http://schemas.microsoft.com/office/drawing/2014/main" pred="{5DE521C0-106C-4BA5-BF50-FCFB5972E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#REF!</fb>
    <v>3</v>
    <v>1</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9798B-0742-4C44-8520-06421BBA27D1}">
  <dimension ref="B4:D13"/>
  <sheetViews>
    <sheetView workbookViewId="0">
      <selection activeCell="C6" sqref="C6"/>
    </sheetView>
  </sheetViews>
  <sheetFormatPr defaultColWidth="11.42578125" defaultRowHeight="15" customHeight="1"/>
  <cols>
    <col min="2" max="3" width="42.140625" customWidth="1"/>
    <col min="4" max="4" width="36.7109375" customWidth="1"/>
  </cols>
  <sheetData>
    <row r="4" spans="2:4" ht="15.75">
      <c r="B4" s="107" t="s">
        <v>0</v>
      </c>
      <c r="C4" s="107" t="s">
        <v>1</v>
      </c>
      <c r="D4" s="107" t="s">
        <v>2</v>
      </c>
    </row>
    <row r="5" spans="2:4">
      <c r="B5" s="108" t="s">
        <v>3</v>
      </c>
      <c r="C5" s="109" t="s">
        <v>4</v>
      </c>
      <c r="D5" s="110">
        <v>45727</v>
      </c>
    </row>
    <row r="6" spans="2:4">
      <c r="B6" s="111"/>
      <c r="C6" s="111"/>
      <c r="D6" s="112"/>
    </row>
    <row r="7" spans="2:4">
      <c r="B7" s="111"/>
      <c r="C7" s="111"/>
      <c r="D7" s="112"/>
    </row>
    <row r="8" spans="2:4">
      <c r="B8" s="111"/>
      <c r="C8" s="111"/>
      <c r="D8" s="112"/>
    </row>
    <row r="9" spans="2:4">
      <c r="B9" s="111"/>
      <c r="C9" s="111"/>
      <c r="D9" s="112"/>
    </row>
    <row r="10" spans="2:4">
      <c r="B10" s="111"/>
      <c r="C10" s="111"/>
      <c r="D10" s="112"/>
    </row>
    <row r="11" spans="2:4">
      <c r="B11" s="111"/>
      <c r="C11" s="111"/>
      <c r="D11" s="112"/>
    </row>
    <row r="12" spans="2:4">
      <c r="B12" s="111"/>
      <c r="C12" s="111"/>
      <c r="D12" s="112"/>
    </row>
    <row r="13" spans="2:4">
      <c r="B13" s="111"/>
      <c r="C13" s="111"/>
      <c r="D13" s="112"/>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85A46-15C4-4E18-BDC0-992B4C791225}">
  <dimension ref="B2:H29"/>
  <sheetViews>
    <sheetView topLeftCell="B16" workbookViewId="0">
      <selection activeCell="B16" sqref="B16:H16"/>
    </sheetView>
  </sheetViews>
  <sheetFormatPr defaultColWidth="8.7109375" defaultRowHeight="14.45"/>
  <cols>
    <col min="1" max="1" width="3.5703125" customWidth="1"/>
    <col min="2" max="9" width="22.42578125" customWidth="1"/>
  </cols>
  <sheetData>
    <row r="2" spans="2:8">
      <c r="B2" s="46"/>
      <c r="C2" s="47" t="s">
        <v>5</v>
      </c>
      <c r="D2" s="48" t="s">
        <v>6</v>
      </c>
      <c r="E2" s="49" t="s">
        <v>7</v>
      </c>
      <c r="F2" s="50" t="s">
        <v>8</v>
      </c>
      <c r="G2" s="51" t="s">
        <v>9</v>
      </c>
      <c r="H2" s="52" t="s">
        <v>10</v>
      </c>
    </row>
    <row r="3" spans="2:8" ht="135.75" customHeight="1">
      <c r="B3" s="53" t="s">
        <v>11</v>
      </c>
      <c r="C3" s="54" t="s">
        <v>12</v>
      </c>
      <c r="D3" s="54" t="s">
        <v>13</v>
      </c>
      <c r="E3" s="54" t="s">
        <v>14</v>
      </c>
      <c r="F3" s="54" t="s">
        <v>15</v>
      </c>
      <c r="G3" s="54" t="s">
        <v>16</v>
      </c>
      <c r="H3" s="54" t="s">
        <v>17</v>
      </c>
    </row>
    <row r="4" spans="2:8" ht="40.5" customHeight="1">
      <c r="B4" s="55"/>
      <c r="C4" s="56"/>
      <c r="D4" s="57" t="s">
        <v>18</v>
      </c>
      <c r="E4" s="57" t="s">
        <v>19</v>
      </c>
      <c r="F4" s="58" t="s">
        <v>20</v>
      </c>
      <c r="G4" s="57" t="s">
        <v>21</v>
      </c>
      <c r="H4" s="57" t="s">
        <v>22</v>
      </c>
    </row>
    <row r="5" spans="2:8" ht="259.5" customHeight="1">
      <c r="B5" s="59" t="s">
        <v>23</v>
      </c>
      <c r="C5" s="60" t="s">
        <v>24</v>
      </c>
      <c r="D5" s="60" t="s">
        <v>25</v>
      </c>
      <c r="E5" s="60" t="s">
        <v>26</v>
      </c>
      <c r="F5" s="60" t="s">
        <v>27</v>
      </c>
      <c r="G5" s="60" t="s">
        <v>28</v>
      </c>
      <c r="H5" s="60" t="s">
        <v>29</v>
      </c>
    </row>
    <row r="6" spans="2:8">
      <c r="B6" s="61"/>
      <c r="C6" s="62"/>
      <c r="D6" s="62"/>
      <c r="E6" s="62"/>
      <c r="F6" s="62"/>
      <c r="G6" s="62"/>
      <c r="H6" s="62"/>
    </row>
    <row r="7" spans="2:8">
      <c r="B7" s="113" t="s">
        <v>11</v>
      </c>
      <c r="C7" s="113"/>
      <c r="D7" s="53" t="s">
        <v>30</v>
      </c>
      <c r="E7" s="63"/>
    </row>
    <row r="8" spans="2:8">
      <c r="B8" s="64" t="s">
        <v>31</v>
      </c>
      <c r="C8" s="64">
        <v>0</v>
      </c>
      <c r="D8" s="65">
        <v>0</v>
      </c>
    </row>
    <row r="9" spans="2:8">
      <c r="B9" s="66" t="s">
        <v>32</v>
      </c>
      <c r="C9" s="66">
        <v>1</v>
      </c>
      <c r="D9" s="67">
        <v>0.25</v>
      </c>
    </row>
    <row r="10" spans="2:8">
      <c r="B10" s="68" t="s">
        <v>33</v>
      </c>
      <c r="C10" s="68">
        <v>2</v>
      </c>
      <c r="D10" s="67">
        <v>0.5</v>
      </c>
    </row>
    <row r="11" spans="2:8">
      <c r="B11" s="69" t="s">
        <v>34</v>
      </c>
      <c r="C11" s="69">
        <v>3</v>
      </c>
      <c r="D11" s="67">
        <v>0.7</v>
      </c>
    </row>
    <row r="12" spans="2:8">
      <c r="B12" s="70" t="s">
        <v>35</v>
      </c>
      <c r="C12" s="70">
        <v>4</v>
      </c>
      <c r="D12" s="67">
        <v>0.8</v>
      </c>
    </row>
    <row r="13" spans="2:8">
      <c r="B13" s="71" t="s">
        <v>36</v>
      </c>
      <c r="C13" s="71">
        <v>5</v>
      </c>
      <c r="D13" s="67">
        <v>1</v>
      </c>
    </row>
    <row r="14" spans="2:8">
      <c r="B14" s="72"/>
      <c r="C14" s="72"/>
      <c r="D14" s="72"/>
      <c r="E14" s="72"/>
      <c r="F14" s="63"/>
      <c r="G14" s="72"/>
      <c r="H14" s="72"/>
    </row>
    <row r="15" spans="2:8">
      <c r="B15" s="72"/>
      <c r="C15" s="72"/>
      <c r="D15" s="72"/>
      <c r="E15" s="72"/>
      <c r="F15" s="63"/>
      <c r="G15" s="72"/>
      <c r="H15" s="72"/>
    </row>
    <row r="16" spans="2:8" ht="116.25" customHeight="1">
      <c r="B16" s="114" t="s">
        <v>37</v>
      </c>
      <c r="C16" s="115"/>
      <c r="D16" s="115"/>
      <c r="E16" s="115"/>
      <c r="F16" s="115"/>
      <c r="G16" s="115"/>
      <c r="H16" s="115"/>
    </row>
    <row r="19" spans="2:4">
      <c r="B19" s="113" t="s">
        <v>11</v>
      </c>
      <c r="C19" s="113"/>
      <c r="D19" s="53" t="s">
        <v>30</v>
      </c>
    </row>
    <row r="20" spans="2:4">
      <c r="B20" s="64" t="s">
        <v>31</v>
      </c>
      <c r="C20" s="64">
        <v>0</v>
      </c>
      <c r="D20" s="65">
        <v>0</v>
      </c>
    </row>
    <row r="21" spans="2:4">
      <c r="B21" s="66" t="s">
        <v>32</v>
      </c>
      <c r="C21" s="66">
        <v>1</v>
      </c>
      <c r="D21" s="67">
        <v>0.25</v>
      </c>
    </row>
    <row r="22" spans="2:4">
      <c r="B22" s="66"/>
      <c r="C22" s="66">
        <v>1.5</v>
      </c>
      <c r="D22" s="67">
        <v>0.3</v>
      </c>
    </row>
    <row r="23" spans="2:4">
      <c r="B23" s="68" t="s">
        <v>33</v>
      </c>
      <c r="C23" s="68">
        <v>2</v>
      </c>
      <c r="D23" s="67">
        <v>0.4</v>
      </c>
    </row>
    <row r="24" spans="2:4">
      <c r="B24" s="68"/>
      <c r="C24" s="68">
        <v>2.5</v>
      </c>
      <c r="D24" s="67">
        <v>0.5</v>
      </c>
    </row>
    <row r="25" spans="2:4">
      <c r="B25" s="69" t="s">
        <v>34</v>
      </c>
      <c r="C25" s="69">
        <v>3</v>
      </c>
      <c r="D25" s="67">
        <v>0.6</v>
      </c>
    </row>
    <row r="26" spans="2:4">
      <c r="B26" s="69"/>
      <c r="C26" s="69">
        <v>3.5</v>
      </c>
      <c r="D26" s="67">
        <v>0.7</v>
      </c>
    </row>
    <row r="27" spans="2:4">
      <c r="B27" s="70" t="s">
        <v>35</v>
      </c>
      <c r="C27" s="70">
        <v>4</v>
      </c>
      <c r="D27" s="67">
        <v>0.8</v>
      </c>
    </row>
    <row r="28" spans="2:4">
      <c r="B28" s="70"/>
      <c r="C28" s="70">
        <v>4.5</v>
      </c>
      <c r="D28" s="67">
        <v>0.9</v>
      </c>
    </row>
    <row r="29" spans="2:4">
      <c r="B29" s="71" t="s">
        <v>36</v>
      </c>
      <c r="C29" s="71">
        <v>5</v>
      </c>
      <c r="D29" s="67">
        <v>1</v>
      </c>
    </row>
  </sheetData>
  <mergeCells count="3">
    <mergeCell ref="B7:C7"/>
    <mergeCell ref="B16:H16"/>
    <mergeCell ref="B19:C19"/>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2FCC8-41F8-45D4-A87A-699ABE1879B6}">
  <dimension ref="B1:AX46"/>
  <sheetViews>
    <sheetView zoomScale="81" zoomScaleNormal="81" workbookViewId="0">
      <selection activeCell="H5" sqref="H5"/>
    </sheetView>
  </sheetViews>
  <sheetFormatPr defaultColWidth="8.5703125" defaultRowHeight="14.45"/>
  <cols>
    <col min="1" max="1" width="3" style="4" customWidth="1"/>
    <col min="2" max="2" width="2.85546875" style="4" customWidth="1"/>
    <col min="3" max="3" width="2.140625" style="4" customWidth="1"/>
    <col min="4" max="4" width="10.85546875" style="5" customWidth="1"/>
    <col min="5" max="5" width="25.140625" style="5" customWidth="1"/>
    <col min="6" max="6" width="72.140625" style="6" customWidth="1"/>
    <col min="7" max="7" width="19.42578125" style="4" customWidth="1"/>
    <col min="8" max="8" width="16.42578125" style="7" customWidth="1"/>
    <col min="9" max="9" width="15.5703125" style="4" customWidth="1"/>
    <col min="10" max="10" width="14.42578125" style="4" customWidth="1"/>
    <col min="11" max="11" width="10" style="4" customWidth="1"/>
    <col min="12" max="12" width="9.5703125" style="4" customWidth="1"/>
    <col min="13" max="14" width="8.5703125" style="4"/>
    <col min="15" max="15" width="8.42578125" style="4" customWidth="1"/>
    <col min="16" max="16" width="5.140625" style="4" customWidth="1"/>
    <col min="17" max="17" width="1.85546875" style="4" customWidth="1"/>
    <col min="18" max="19" width="8.5703125" style="4"/>
    <col min="20" max="20" width="11.85546875" style="4" customWidth="1"/>
    <col min="21" max="21" width="11.7109375" style="4" customWidth="1"/>
    <col min="22" max="26" width="8.5703125" style="4"/>
    <col min="27" max="27" width="23.5703125" style="4" customWidth="1"/>
    <col min="28" max="28" width="8.5703125" style="4"/>
    <col min="29" max="29" width="26.140625" style="4" customWidth="1"/>
    <col min="30" max="30" width="15.85546875" style="4" customWidth="1"/>
    <col min="31" max="38" width="8.5703125" style="4"/>
    <col min="39" max="39" width="15.42578125" style="4" customWidth="1"/>
    <col min="40" max="41" width="8.5703125" style="4"/>
    <col min="42" max="42" width="19.28515625" style="4" customWidth="1"/>
    <col min="43" max="43" width="6.5703125" style="4" customWidth="1"/>
    <col min="44" max="44" width="18.7109375" style="4" customWidth="1"/>
    <col min="45" max="45" width="9.28515625" style="4" customWidth="1"/>
    <col min="46" max="46" width="12.5703125" style="4" customWidth="1"/>
    <col min="47" max="49" width="8.5703125" style="4"/>
    <col min="50" max="50" width="3.28515625" style="4" customWidth="1"/>
    <col min="51" max="16384" width="8.5703125" style="4"/>
  </cols>
  <sheetData>
    <row r="1" spans="2:50">
      <c r="I1" s="8"/>
    </row>
    <row r="2" spans="2:50">
      <c r="B2" s="9"/>
      <c r="C2" s="10"/>
      <c r="D2" s="11"/>
      <c r="E2" s="11"/>
      <c r="F2" s="12"/>
      <c r="G2" s="12"/>
      <c r="H2" s="12"/>
      <c r="I2" s="10"/>
      <c r="J2" s="10"/>
      <c r="K2" s="13"/>
      <c r="N2" s="9"/>
      <c r="O2" s="10"/>
      <c r="P2" s="10"/>
      <c r="Q2" s="10"/>
      <c r="R2" s="10"/>
      <c r="S2" s="10"/>
      <c r="T2" s="10"/>
      <c r="U2" s="10"/>
      <c r="V2" s="10"/>
      <c r="W2" s="10"/>
      <c r="X2" s="13"/>
      <c r="Z2" s="9"/>
      <c r="AA2" s="10"/>
      <c r="AB2" s="10"/>
      <c r="AC2" s="10"/>
      <c r="AD2" s="10"/>
      <c r="AE2" s="10"/>
      <c r="AF2" s="10"/>
      <c r="AG2" s="10"/>
      <c r="AH2" s="10"/>
      <c r="AI2" s="10"/>
      <c r="AJ2" s="10"/>
      <c r="AK2" s="13"/>
      <c r="AM2" s="9"/>
      <c r="AN2" s="10"/>
      <c r="AO2" s="10"/>
      <c r="AP2" s="10"/>
      <c r="AQ2" s="10"/>
      <c r="AR2" s="10"/>
      <c r="AS2" s="10"/>
      <c r="AT2" s="10"/>
      <c r="AU2" s="10"/>
      <c r="AV2" s="10"/>
      <c r="AW2" s="10"/>
      <c r="AX2" s="13"/>
    </row>
    <row r="3" spans="2:50" ht="27.6">
      <c r="B3" s="14"/>
      <c r="C3" s="15"/>
      <c r="D3" s="92" t="s">
        <v>38</v>
      </c>
      <c r="E3" s="16" t="s">
        <v>39</v>
      </c>
      <c r="F3" s="16" t="s">
        <v>40</v>
      </c>
      <c r="G3" s="93" t="s">
        <v>41</v>
      </c>
      <c r="H3" s="92" t="s">
        <v>42</v>
      </c>
      <c r="I3" s="92" t="s">
        <v>43</v>
      </c>
      <c r="J3" s="92" t="s">
        <v>44</v>
      </c>
      <c r="K3" s="17"/>
      <c r="N3" s="14"/>
      <c r="R3" s="116" t="s">
        <v>45</v>
      </c>
      <c r="S3" s="117"/>
      <c r="T3" s="18" t="s">
        <v>46</v>
      </c>
      <c r="U3" s="19" t="s">
        <v>47</v>
      </c>
      <c r="X3" s="17"/>
      <c r="Z3" s="14"/>
      <c r="AC3" s="118" t="s">
        <v>48</v>
      </c>
      <c r="AD3" s="119"/>
      <c r="AE3" s="15"/>
      <c r="AK3" s="17"/>
      <c r="AM3" s="14"/>
      <c r="AR3" s="120" t="s">
        <v>49</v>
      </c>
      <c r="AS3" s="121"/>
      <c r="AX3" s="17"/>
    </row>
    <row r="4" spans="2:50" ht="15.6" customHeight="1">
      <c r="B4" s="14"/>
      <c r="C4" s="20"/>
      <c r="D4" s="94">
        <v>1</v>
      </c>
      <c r="E4" s="91" t="s">
        <v>50</v>
      </c>
      <c r="F4" s="91" t="s">
        <v>51</v>
      </c>
      <c r="G4" s="21">
        <v>1</v>
      </c>
      <c r="H4" s="21">
        <v>1</v>
      </c>
      <c r="I4" s="22">
        <f>H4/G4</f>
        <v>1</v>
      </c>
      <c r="J4" s="22">
        <f>H4/G18</f>
        <v>9.9009900990099011E-3</v>
      </c>
      <c r="K4" s="17"/>
      <c r="N4" s="14"/>
      <c r="R4" s="23" t="s">
        <v>52</v>
      </c>
      <c r="S4" s="23">
        <v>0</v>
      </c>
      <c r="T4" s="23">
        <v>0</v>
      </c>
      <c r="U4" s="24">
        <v>0</v>
      </c>
      <c r="X4" s="17"/>
      <c r="Z4" s="14"/>
      <c r="AC4" s="25" t="s">
        <v>53</v>
      </c>
      <c r="AD4" s="26">
        <v>0.8</v>
      </c>
      <c r="AE4" s="27"/>
      <c r="AK4" s="17"/>
      <c r="AM4" s="14"/>
      <c r="AR4" s="25" t="s">
        <v>54</v>
      </c>
      <c r="AS4" s="26">
        <v>0.66</v>
      </c>
      <c r="AX4" s="17"/>
    </row>
    <row r="5" spans="2:50" ht="17.45" customHeight="1">
      <c r="B5" s="14"/>
      <c r="D5" s="94">
        <v>2</v>
      </c>
      <c r="E5" s="91" t="s">
        <v>50</v>
      </c>
      <c r="F5" s="91" t="s">
        <v>55</v>
      </c>
      <c r="G5" s="95">
        <v>6</v>
      </c>
      <c r="H5" s="21">
        <v>3</v>
      </c>
      <c r="I5" s="22">
        <f t="shared" ref="I5:I17" si="0">H5/G5</f>
        <v>0.5</v>
      </c>
      <c r="J5" s="22">
        <f>H5/G18</f>
        <v>2.9702970297029702E-2</v>
      </c>
      <c r="K5" s="17"/>
      <c r="N5" s="14"/>
      <c r="R5" s="28" t="s">
        <v>32</v>
      </c>
      <c r="S5" s="28">
        <v>1</v>
      </c>
      <c r="T5" s="28" t="e" vm="1">
        <v>#REF!</v>
      </c>
      <c r="U5" s="29">
        <v>0.25</v>
      </c>
      <c r="X5" s="17"/>
      <c r="Z5" s="14"/>
      <c r="AC5" s="25" t="s">
        <v>56</v>
      </c>
      <c r="AD5" s="26">
        <v>0.1</v>
      </c>
      <c r="AE5" s="27"/>
      <c r="AK5" s="17"/>
      <c r="AM5" s="14"/>
      <c r="AR5" s="25" t="s">
        <v>57</v>
      </c>
      <c r="AS5" s="26">
        <v>0.17</v>
      </c>
      <c r="AX5" s="17"/>
    </row>
    <row r="6" spans="2:50">
      <c r="B6" s="14"/>
      <c r="D6" s="94">
        <v>3</v>
      </c>
      <c r="E6" s="91" t="s">
        <v>58</v>
      </c>
      <c r="F6" s="91" t="s">
        <v>59</v>
      </c>
      <c r="G6" s="95">
        <v>9</v>
      </c>
      <c r="H6" s="21">
        <v>1</v>
      </c>
      <c r="I6" s="22">
        <f t="shared" si="0"/>
        <v>0.1111111111111111</v>
      </c>
      <c r="J6" s="22">
        <f>H6/G18</f>
        <v>9.9009900990099011E-3</v>
      </c>
      <c r="K6" s="17"/>
      <c r="N6" s="14"/>
      <c r="R6" s="30" t="s">
        <v>33</v>
      </c>
      <c r="S6" s="31">
        <v>2</v>
      </c>
      <c r="T6" s="31">
        <v>37</v>
      </c>
      <c r="U6" s="30">
        <v>0.5</v>
      </c>
      <c r="X6" s="17"/>
      <c r="Z6" s="14"/>
      <c r="AC6" s="25" t="s">
        <v>60</v>
      </c>
      <c r="AD6" s="26">
        <v>0.06</v>
      </c>
      <c r="AE6" s="27"/>
      <c r="AK6" s="17"/>
      <c r="AM6" s="14"/>
      <c r="AR6" s="25" t="s">
        <v>61</v>
      </c>
      <c r="AS6" s="26">
        <v>7.0000000000000007E-2</v>
      </c>
      <c r="AX6" s="17"/>
    </row>
    <row r="7" spans="2:50" ht="14.45" customHeight="1">
      <c r="B7" s="14"/>
      <c r="D7" s="94">
        <v>4</v>
      </c>
      <c r="E7" s="91" t="s">
        <v>50</v>
      </c>
      <c r="F7" s="91" t="s">
        <v>62</v>
      </c>
      <c r="G7" s="95">
        <v>5</v>
      </c>
      <c r="H7" s="21">
        <v>0</v>
      </c>
      <c r="I7" s="22">
        <f t="shared" si="0"/>
        <v>0</v>
      </c>
      <c r="J7" s="22">
        <f>H7/G18</f>
        <v>0</v>
      </c>
      <c r="K7" s="17"/>
      <c r="N7" s="14"/>
      <c r="R7" s="32" t="s">
        <v>34</v>
      </c>
      <c r="S7" s="32">
        <v>3</v>
      </c>
      <c r="T7" s="32">
        <v>51</v>
      </c>
      <c r="U7" s="33">
        <v>0.7</v>
      </c>
      <c r="X7" s="17"/>
      <c r="Z7" s="14"/>
      <c r="AC7" s="25" t="s">
        <v>63</v>
      </c>
      <c r="AD7" s="26">
        <v>0.03</v>
      </c>
      <c r="AE7" s="27"/>
      <c r="AK7" s="17"/>
      <c r="AM7" s="14"/>
      <c r="AR7" s="25" t="s">
        <v>64</v>
      </c>
      <c r="AS7" s="26">
        <v>0.05</v>
      </c>
      <c r="AX7" s="17"/>
    </row>
    <row r="8" spans="2:50">
      <c r="B8" s="14"/>
      <c r="D8" s="94">
        <v>5</v>
      </c>
      <c r="E8" s="91" t="s">
        <v>65</v>
      </c>
      <c r="F8" s="91" t="s">
        <v>66</v>
      </c>
      <c r="G8" s="96">
        <v>9</v>
      </c>
      <c r="H8" s="34">
        <v>2</v>
      </c>
      <c r="I8" s="22">
        <f t="shared" si="0"/>
        <v>0.22222222222222221</v>
      </c>
      <c r="J8" s="35">
        <f>H8/G18</f>
        <v>1.9801980198019802E-2</v>
      </c>
      <c r="K8" s="17"/>
      <c r="N8" s="14"/>
      <c r="R8" s="36" t="s">
        <v>35</v>
      </c>
      <c r="S8" s="37">
        <v>4</v>
      </c>
      <c r="T8" s="37">
        <v>11</v>
      </c>
      <c r="U8" s="36">
        <v>0.8</v>
      </c>
      <c r="X8" s="17"/>
      <c r="Z8" s="14"/>
      <c r="AC8" s="25" t="s">
        <v>67</v>
      </c>
      <c r="AD8" s="26">
        <v>0.01</v>
      </c>
      <c r="AE8" s="27"/>
      <c r="AK8" s="17"/>
      <c r="AM8" s="14"/>
      <c r="AR8" s="25" t="s">
        <v>68</v>
      </c>
      <c r="AS8" s="26">
        <v>0.03</v>
      </c>
      <c r="AX8" s="17"/>
    </row>
    <row r="9" spans="2:50">
      <c r="B9" s="14"/>
      <c r="D9" s="94">
        <v>6</v>
      </c>
      <c r="E9" s="91" t="s">
        <v>65</v>
      </c>
      <c r="F9" s="91" t="s">
        <v>69</v>
      </c>
      <c r="G9" s="34">
        <v>1</v>
      </c>
      <c r="H9" s="34">
        <v>0</v>
      </c>
      <c r="I9" s="22">
        <f t="shared" si="0"/>
        <v>0</v>
      </c>
      <c r="J9" s="35">
        <f>H9/G18</f>
        <v>0</v>
      </c>
      <c r="K9" s="17"/>
      <c r="N9" s="14"/>
      <c r="R9" s="38" t="s">
        <v>36</v>
      </c>
      <c r="S9" s="38">
        <v>5</v>
      </c>
      <c r="T9" s="38">
        <v>0</v>
      </c>
      <c r="U9" s="39">
        <v>1</v>
      </c>
      <c r="X9" s="17"/>
      <c r="Z9" s="14"/>
      <c r="AK9" s="17"/>
      <c r="AM9" s="14"/>
      <c r="AR9" s="25" t="s">
        <v>70</v>
      </c>
      <c r="AS9" s="26">
        <v>0.02</v>
      </c>
      <c r="AX9" s="17"/>
    </row>
    <row r="10" spans="2:50">
      <c r="B10" s="14"/>
      <c r="D10" s="94">
        <v>7</v>
      </c>
      <c r="E10" s="91" t="s">
        <v>71</v>
      </c>
      <c r="F10" s="91" t="s">
        <v>72</v>
      </c>
      <c r="G10" s="96">
        <v>15</v>
      </c>
      <c r="H10" s="34">
        <v>5</v>
      </c>
      <c r="I10" s="22">
        <f t="shared" si="0"/>
        <v>0.33333333333333331</v>
      </c>
      <c r="J10" s="35">
        <f>H10/G18</f>
        <v>4.9504950495049507E-2</v>
      </c>
      <c r="K10" s="17"/>
      <c r="N10" s="14"/>
      <c r="X10" s="17"/>
      <c r="Z10" s="14"/>
      <c r="AK10" s="17"/>
      <c r="AM10" s="14"/>
      <c r="AS10" s="27">
        <f>SUM(AS4:AS9)</f>
        <v>1.0000000000000002</v>
      </c>
      <c r="AX10" s="17"/>
    </row>
    <row r="11" spans="2:50">
      <c r="B11" s="14"/>
      <c r="D11" s="94">
        <v>8</v>
      </c>
      <c r="E11" s="91" t="s">
        <v>65</v>
      </c>
      <c r="F11" s="91" t="s">
        <v>73</v>
      </c>
      <c r="G11" s="96">
        <v>19</v>
      </c>
      <c r="H11" s="34">
        <v>8</v>
      </c>
      <c r="I11" s="22">
        <f>H11/G11</f>
        <v>0.42105263157894735</v>
      </c>
      <c r="J11" s="35">
        <f>H11/G18</f>
        <v>7.9207920792079209E-2</v>
      </c>
      <c r="K11" s="17"/>
      <c r="N11" s="14"/>
      <c r="X11" s="17"/>
      <c r="Z11" s="14"/>
      <c r="AK11" s="17"/>
      <c r="AM11" s="14"/>
      <c r="AX11" s="17"/>
    </row>
    <row r="12" spans="2:50">
      <c r="B12" s="14"/>
      <c r="D12" s="94">
        <v>9</v>
      </c>
      <c r="E12" s="91" t="s">
        <v>65</v>
      </c>
      <c r="F12" s="91" t="s">
        <v>74</v>
      </c>
      <c r="G12" s="34">
        <v>4</v>
      </c>
      <c r="H12" s="34">
        <v>1</v>
      </c>
      <c r="I12" s="22">
        <f t="shared" si="0"/>
        <v>0.25</v>
      </c>
      <c r="J12" s="35">
        <f>H12/G18</f>
        <v>9.9009900990099011E-3</v>
      </c>
      <c r="K12" s="17"/>
      <c r="N12" s="14"/>
      <c r="X12" s="17"/>
      <c r="Z12" s="14"/>
      <c r="AK12" s="17"/>
      <c r="AM12" s="14"/>
      <c r="AX12" s="17"/>
    </row>
    <row r="13" spans="2:50">
      <c r="B13" s="14"/>
      <c r="D13" s="94">
        <v>10</v>
      </c>
      <c r="E13" s="91" t="s">
        <v>65</v>
      </c>
      <c r="F13" s="91" t="s">
        <v>75</v>
      </c>
      <c r="G13" s="96">
        <v>13</v>
      </c>
      <c r="H13" s="34">
        <v>5</v>
      </c>
      <c r="I13" s="22">
        <f t="shared" si="0"/>
        <v>0.38461538461538464</v>
      </c>
      <c r="J13" s="35">
        <f>H13/G18</f>
        <v>4.9504950495049507E-2</v>
      </c>
      <c r="K13" s="17"/>
      <c r="N13" s="14"/>
      <c r="X13" s="17"/>
      <c r="Z13" s="14"/>
      <c r="AK13" s="17"/>
      <c r="AM13" s="14"/>
      <c r="AX13" s="17"/>
    </row>
    <row r="14" spans="2:50" ht="14.25" customHeight="1">
      <c r="B14" s="14"/>
      <c r="D14" s="94">
        <v>11</v>
      </c>
      <c r="E14" s="91" t="s">
        <v>50</v>
      </c>
      <c r="F14" s="91" t="s">
        <v>76</v>
      </c>
      <c r="G14" s="34">
        <v>2</v>
      </c>
      <c r="H14" s="34">
        <v>0</v>
      </c>
      <c r="I14" s="22">
        <f t="shared" si="0"/>
        <v>0</v>
      </c>
      <c r="J14" s="35">
        <f>H14/G18</f>
        <v>0</v>
      </c>
      <c r="K14" s="17"/>
      <c r="N14" s="14"/>
      <c r="X14" s="17"/>
      <c r="Z14" s="14"/>
      <c r="AK14" s="17"/>
      <c r="AM14" s="14"/>
      <c r="AX14" s="17"/>
    </row>
    <row r="15" spans="2:50">
      <c r="B15" s="14"/>
      <c r="D15" s="94">
        <v>12</v>
      </c>
      <c r="E15" s="91" t="s">
        <v>65</v>
      </c>
      <c r="F15" s="91" t="s">
        <v>77</v>
      </c>
      <c r="G15" s="34">
        <v>5</v>
      </c>
      <c r="H15" s="34">
        <v>4</v>
      </c>
      <c r="I15" s="22">
        <f t="shared" si="0"/>
        <v>0.8</v>
      </c>
      <c r="J15" s="35">
        <f>H15/G18</f>
        <v>3.9603960396039604E-2</v>
      </c>
      <c r="K15" s="17"/>
      <c r="N15" s="14"/>
      <c r="X15" s="17"/>
      <c r="Z15" s="14"/>
      <c r="AK15" s="17"/>
      <c r="AM15" s="14"/>
      <c r="AX15" s="17"/>
    </row>
    <row r="16" spans="2:50">
      <c r="B16" s="14"/>
      <c r="D16" s="94">
        <v>13</v>
      </c>
      <c r="E16" s="91" t="s">
        <v>50</v>
      </c>
      <c r="F16" s="91" t="s">
        <v>78</v>
      </c>
      <c r="G16" s="97">
        <v>2</v>
      </c>
      <c r="H16" s="34">
        <v>0</v>
      </c>
      <c r="I16" s="22">
        <f t="shared" si="0"/>
        <v>0</v>
      </c>
      <c r="J16" s="35">
        <f>H16/G18</f>
        <v>0</v>
      </c>
      <c r="K16" s="17"/>
      <c r="N16" s="14"/>
      <c r="X16" s="17"/>
      <c r="Z16" s="14"/>
      <c r="AK16" s="17"/>
      <c r="AM16" s="14"/>
      <c r="AX16" s="17"/>
    </row>
    <row r="17" spans="2:50">
      <c r="B17" s="14"/>
      <c r="D17" s="94">
        <v>14</v>
      </c>
      <c r="E17" s="91" t="s">
        <v>50</v>
      </c>
      <c r="F17" s="91" t="s">
        <v>79</v>
      </c>
      <c r="G17" s="96">
        <v>10</v>
      </c>
      <c r="H17" s="34">
        <v>3</v>
      </c>
      <c r="I17" s="22">
        <f t="shared" si="0"/>
        <v>0.3</v>
      </c>
      <c r="J17" s="35">
        <f>H17/G18</f>
        <v>2.9702970297029702E-2</v>
      </c>
      <c r="K17" s="17"/>
      <c r="N17" s="14"/>
      <c r="X17" s="17"/>
      <c r="Z17" s="14"/>
      <c r="AK17" s="17"/>
      <c r="AM17" s="14"/>
      <c r="AX17" s="17"/>
    </row>
    <row r="18" spans="2:50">
      <c r="B18" s="14"/>
      <c r="D18" s="7"/>
      <c r="E18" s="7"/>
      <c r="F18" s="98" t="s">
        <v>80</v>
      </c>
      <c r="G18" s="98">
        <f>SUM(G4:G17)</f>
        <v>101</v>
      </c>
      <c r="H18" s="98"/>
      <c r="I18" s="99"/>
      <c r="J18" s="100">
        <f>SUM(J4:J17)</f>
        <v>0.32673267326732669</v>
      </c>
      <c r="K18" s="17"/>
      <c r="N18" s="14"/>
      <c r="X18" s="17"/>
      <c r="Z18" s="14"/>
      <c r="AK18" s="17"/>
      <c r="AM18" s="14"/>
      <c r="AX18" s="17"/>
    </row>
    <row r="19" spans="2:50" ht="17.45" customHeight="1">
      <c r="B19" s="14"/>
      <c r="F19" s="8"/>
      <c r="G19" s="8"/>
      <c r="H19" s="8"/>
      <c r="K19" s="17"/>
      <c r="N19" s="14"/>
      <c r="X19" s="17"/>
      <c r="Z19" s="14"/>
      <c r="AK19" s="17"/>
      <c r="AM19" s="14"/>
      <c r="AX19" s="17"/>
    </row>
    <row r="20" spans="2:50">
      <c r="B20" s="14"/>
      <c r="F20" s="8"/>
      <c r="G20" s="8"/>
      <c r="H20" s="8"/>
      <c r="K20" s="17"/>
      <c r="N20" s="14"/>
      <c r="X20" s="17"/>
      <c r="Z20" s="14"/>
      <c r="AK20" s="17"/>
      <c r="AM20" s="14"/>
      <c r="AX20" s="17"/>
    </row>
    <row r="21" spans="2:50">
      <c r="B21" s="14"/>
      <c r="F21" s="8"/>
      <c r="G21" s="8"/>
      <c r="H21" s="8"/>
      <c r="K21" s="17"/>
      <c r="N21" s="14"/>
      <c r="X21" s="17"/>
      <c r="Z21" s="14"/>
      <c r="AK21" s="17"/>
      <c r="AM21" s="14"/>
      <c r="AX21" s="17"/>
    </row>
    <row r="22" spans="2:50">
      <c r="B22" s="14"/>
      <c r="F22" s="8"/>
      <c r="G22" s="8"/>
      <c r="H22" s="8"/>
      <c r="K22" s="17"/>
      <c r="N22" s="14"/>
      <c r="X22" s="17"/>
      <c r="Z22" s="14"/>
      <c r="AK22" s="17"/>
      <c r="AM22" s="14"/>
      <c r="AX22" s="17"/>
    </row>
    <row r="23" spans="2:50">
      <c r="B23" s="14"/>
      <c r="F23" s="8"/>
      <c r="G23" s="8"/>
      <c r="H23" s="8"/>
      <c r="K23" s="17"/>
      <c r="N23" s="14"/>
      <c r="X23" s="17"/>
      <c r="Z23" s="14"/>
      <c r="AK23" s="17"/>
      <c r="AM23" s="14"/>
      <c r="AX23" s="17"/>
    </row>
    <row r="24" spans="2:50">
      <c r="B24" s="14"/>
      <c r="F24" s="8"/>
      <c r="G24" s="8"/>
      <c r="H24" s="8"/>
      <c r="K24" s="17"/>
      <c r="N24" s="14"/>
      <c r="X24" s="17"/>
      <c r="Z24" s="14"/>
      <c r="AK24" s="17"/>
      <c r="AM24" s="14"/>
      <c r="AX24" s="17"/>
    </row>
    <row r="25" spans="2:50">
      <c r="B25" s="14"/>
      <c r="F25" s="8"/>
      <c r="G25" s="8"/>
      <c r="H25" s="8"/>
      <c r="K25" s="17"/>
      <c r="N25" s="14"/>
      <c r="X25" s="17"/>
      <c r="Z25" s="14"/>
      <c r="AK25" s="17"/>
      <c r="AM25" s="14"/>
      <c r="AX25" s="17"/>
    </row>
    <row r="26" spans="2:50">
      <c r="B26" s="14"/>
      <c r="F26" s="8"/>
      <c r="G26" s="8"/>
      <c r="H26" s="8"/>
      <c r="K26" s="17"/>
      <c r="N26" s="14"/>
      <c r="X26" s="17"/>
      <c r="Z26" s="14"/>
      <c r="AK26" s="17"/>
      <c r="AM26" s="14"/>
      <c r="AX26" s="17"/>
    </row>
    <row r="27" spans="2:50">
      <c r="B27" s="14"/>
      <c r="F27" s="8"/>
      <c r="G27" s="8"/>
      <c r="H27" s="8"/>
      <c r="K27" s="17"/>
      <c r="N27" s="14"/>
      <c r="X27" s="17"/>
      <c r="Z27" s="14"/>
      <c r="AK27" s="17"/>
      <c r="AM27" s="14"/>
      <c r="AX27" s="17"/>
    </row>
    <row r="28" spans="2:50">
      <c r="B28" s="14"/>
      <c r="F28" s="8"/>
      <c r="G28" s="8"/>
      <c r="H28" s="8"/>
      <c r="K28" s="17"/>
      <c r="N28" s="14"/>
      <c r="X28" s="17"/>
      <c r="Z28" s="14"/>
      <c r="AK28" s="17"/>
      <c r="AM28" s="14"/>
      <c r="AX28" s="17"/>
    </row>
    <row r="29" spans="2:50">
      <c r="B29" s="14"/>
      <c r="F29" s="8"/>
      <c r="G29" s="8"/>
      <c r="H29" s="8"/>
      <c r="K29" s="17"/>
      <c r="N29" s="14"/>
      <c r="X29" s="17"/>
      <c r="Z29" s="14"/>
      <c r="AK29" s="17"/>
      <c r="AM29" s="14"/>
      <c r="AX29" s="17"/>
    </row>
    <row r="30" spans="2:50">
      <c r="B30" s="14"/>
      <c r="F30" s="8"/>
      <c r="G30" s="8"/>
      <c r="H30" s="8"/>
      <c r="K30" s="17"/>
      <c r="N30" s="14"/>
      <c r="X30" s="17"/>
      <c r="Z30" s="14"/>
      <c r="AK30" s="17"/>
      <c r="AM30" s="14"/>
      <c r="AX30" s="17"/>
    </row>
    <row r="31" spans="2:50">
      <c r="B31" s="14"/>
      <c r="F31" s="8"/>
      <c r="G31" s="8"/>
      <c r="H31" s="8"/>
      <c r="K31" s="17"/>
      <c r="N31" s="14"/>
      <c r="X31" s="17"/>
      <c r="Z31" s="14"/>
      <c r="AK31" s="17"/>
      <c r="AM31" s="14"/>
      <c r="AX31" s="17"/>
    </row>
    <row r="32" spans="2:50">
      <c r="B32" s="14"/>
      <c r="F32" s="8"/>
      <c r="G32" s="8"/>
      <c r="H32" s="8"/>
      <c r="K32" s="17"/>
      <c r="N32" s="14"/>
      <c r="X32" s="17"/>
      <c r="Z32" s="14"/>
      <c r="AK32" s="17"/>
      <c r="AM32" s="14"/>
      <c r="AX32" s="17"/>
    </row>
    <row r="33" spans="2:50">
      <c r="B33" s="14"/>
      <c r="F33" s="8"/>
      <c r="G33" s="8"/>
      <c r="H33" s="8"/>
      <c r="K33" s="17"/>
      <c r="N33" s="14"/>
      <c r="X33" s="17"/>
      <c r="Z33" s="14"/>
      <c r="AK33" s="17"/>
      <c r="AM33" s="14"/>
      <c r="AX33" s="17"/>
    </row>
    <row r="34" spans="2:50">
      <c r="B34" s="14"/>
      <c r="F34" s="8"/>
      <c r="G34" s="8"/>
      <c r="H34" s="8"/>
      <c r="K34" s="17"/>
      <c r="N34" s="14"/>
      <c r="X34" s="17"/>
      <c r="Z34" s="14"/>
      <c r="AK34" s="17"/>
      <c r="AM34" s="14"/>
      <c r="AX34" s="17"/>
    </row>
    <row r="35" spans="2:50">
      <c r="B35" s="14"/>
      <c r="F35" s="8"/>
      <c r="G35" s="8"/>
      <c r="H35" s="8"/>
      <c r="K35" s="17"/>
      <c r="N35" s="14"/>
      <c r="X35" s="17"/>
      <c r="Z35" s="14"/>
      <c r="AK35" s="17"/>
      <c r="AM35" s="14"/>
      <c r="AX35" s="17"/>
    </row>
    <row r="36" spans="2:50">
      <c r="B36" s="14"/>
      <c r="F36" s="8"/>
      <c r="G36" s="8"/>
      <c r="H36" s="8"/>
      <c r="K36" s="17"/>
      <c r="N36" s="14"/>
      <c r="X36" s="17"/>
      <c r="Z36" s="14"/>
      <c r="AK36" s="17"/>
      <c r="AM36" s="14"/>
      <c r="AX36" s="17"/>
    </row>
    <row r="37" spans="2:50">
      <c r="B37" s="14"/>
      <c r="F37" s="8"/>
      <c r="G37" s="8"/>
      <c r="H37" s="8"/>
      <c r="K37" s="17"/>
      <c r="N37" s="14"/>
      <c r="X37" s="17"/>
      <c r="Z37" s="14"/>
      <c r="AK37" s="17"/>
      <c r="AM37" s="14"/>
      <c r="AX37" s="17"/>
    </row>
    <row r="38" spans="2:50">
      <c r="B38" s="14"/>
      <c r="F38" s="8"/>
      <c r="G38" s="8"/>
      <c r="H38" s="8"/>
      <c r="K38" s="17"/>
      <c r="N38" s="14"/>
      <c r="X38" s="17"/>
      <c r="Z38" s="14"/>
      <c r="AK38" s="17"/>
      <c r="AM38" s="14"/>
      <c r="AX38" s="17"/>
    </row>
    <row r="39" spans="2:50">
      <c r="B39" s="14"/>
      <c r="F39" s="8"/>
      <c r="G39" s="8"/>
      <c r="H39" s="8"/>
      <c r="K39" s="17"/>
      <c r="N39" s="14"/>
      <c r="X39" s="17"/>
      <c r="Z39" s="14"/>
      <c r="AK39" s="17"/>
      <c r="AM39" s="14"/>
      <c r="AX39" s="17"/>
    </row>
    <row r="40" spans="2:50">
      <c r="B40" s="14"/>
      <c r="F40" s="8"/>
      <c r="G40" s="8"/>
      <c r="H40" s="8"/>
      <c r="K40" s="17"/>
      <c r="N40" s="14"/>
      <c r="X40" s="17"/>
      <c r="Z40" s="14"/>
      <c r="AK40" s="17"/>
      <c r="AM40" s="14"/>
      <c r="AX40" s="17"/>
    </row>
    <row r="41" spans="2:50">
      <c r="B41" s="14"/>
      <c r="F41" s="8"/>
      <c r="G41" s="8"/>
      <c r="H41" s="8"/>
      <c r="K41" s="17"/>
      <c r="N41" s="14"/>
      <c r="X41" s="17"/>
      <c r="Z41" s="14"/>
      <c r="AK41" s="17"/>
      <c r="AM41" s="14"/>
      <c r="AX41" s="17"/>
    </row>
    <row r="42" spans="2:50">
      <c r="B42" s="14"/>
      <c r="K42" s="17"/>
      <c r="N42" s="14"/>
      <c r="X42" s="17"/>
      <c r="Z42" s="14"/>
      <c r="AK42" s="17"/>
      <c r="AM42" s="14"/>
      <c r="AX42" s="17"/>
    </row>
    <row r="43" spans="2:50">
      <c r="B43" s="14"/>
      <c r="K43" s="17"/>
      <c r="N43" s="14"/>
      <c r="X43" s="17"/>
      <c r="Z43" s="14"/>
      <c r="AK43" s="17"/>
      <c r="AM43" s="14"/>
      <c r="AX43" s="17"/>
    </row>
    <row r="44" spans="2:50">
      <c r="B44" s="40"/>
      <c r="C44" s="41"/>
      <c r="D44" s="42"/>
      <c r="E44" s="42"/>
      <c r="F44" s="43"/>
      <c r="G44" s="41"/>
      <c r="H44" s="44"/>
      <c r="I44" s="41"/>
      <c r="J44" s="41"/>
      <c r="K44" s="45"/>
      <c r="N44" s="40"/>
      <c r="O44" s="41"/>
      <c r="P44" s="41"/>
      <c r="Q44" s="41"/>
      <c r="R44" s="41"/>
      <c r="S44" s="41"/>
      <c r="T44" s="41"/>
      <c r="U44" s="41"/>
      <c r="V44" s="41"/>
      <c r="W44" s="41"/>
      <c r="X44" s="45"/>
      <c r="Z44" s="14"/>
      <c r="AK44" s="17"/>
      <c r="AM44" s="14"/>
      <c r="AX44" s="17"/>
    </row>
    <row r="45" spans="2:50">
      <c r="Z45" s="14"/>
      <c r="AK45" s="17"/>
      <c r="AM45" s="14"/>
      <c r="AX45" s="17"/>
    </row>
    <row r="46" spans="2:50">
      <c r="Z46" s="14"/>
      <c r="AK46" s="17"/>
      <c r="AM46" s="14"/>
      <c r="AX46" s="17"/>
    </row>
  </sheetData>
  <mergeCells count="3">
    <mergeCell ref="R3:S3"/>
    <mergeCell ref="AC3:AD3"/>
    <mergeCell ref="AR3:AS3"/>
  </mergeCells>
  <conditionalFormatting sqref="S4">
    <cfRule type="top10" dxfId="0" priority="1" bottom="1" rank="1"/>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6CCBC-267D-4240-8925-3CFBCDA4B42E}">
  <sheetPr codeName="Hoja2"/>
  <dimension ref="A1:L198"/>
  <sheetViews>
    <sheetView tabSelected="1" zoomScale="70" zoomScaleNormal="70" workbookViewId="0">
      <pane xSplit="3" ySplit="1" topLeftCell="D2" activePane="bottomRight" state="frozen"/>
      <selection pane="bottomRight" activeCell="C2" sqref="C2:C5"/>
      <selection pane="bottomLeft" activeCell="A2" sqref="A2"/>
      <selection pane="topRight" activeCell="D1" sqref="D1"/>
    </sheetView>
  </sheetViews>
  <sheetFormatPr defaultColWidth="11.42578125" defaultRowHeight="15" customHeight="1"/>
  <cols>
    <col min="1" max="1" width="11.7109375" style="77" customWidth="1"/>
    <col min="2" max="2" width="14.42578125" style="77" customWidth="1"/>
    <col min="3" max="3" width="15.42578125" style="77" customWidth="1"/>
    <col min="4" max="4" width="14.85546875" style="77" customWidth="1"/>
    <col min="5" max="5" width="37.28515625" style="1" customWidth="1"/>
    <col min="6" max="6" width="39.5703125" style="1" customWidth="1"/>
    <col min="7" max="7" width="14.42578125" style="77" customWidth="1"/>
    <col min="8" max="8" width="10.28515625" style="77" customWidth="1"/>
    <col min="9" max="9" width="19.7109375" style="88" customWidth="1"/>
    <col min="10" max="10" width="12.42578125" style="1" customWidth="1"/>
    <col min="11" max="11" width="44.85546875" style="1" customWidth="1"/>
    <col min="12" max="12" width="34.140625" style="1" customWidth="1"/>
    <col min="13" max="16384" width="11.42578125" style="1"/>
  </cols>
  <sheetData>
    <row r="1" spans="1:12" ht="29.45" customHeight="1">
      <c r="A1" s="82" t="s">
        <v>81</v>
      </c>
      <c r="B1" s="83" t="s">
        <v>82</v>
      </c>
      <c r="C1" s="76" t="s">
        <v>83</v>
      </c>
      <c r="D1" s="85" t="s">
        <v>84</v>
      </c>
      <c r="E1" s="76" t="s">
        <v>85</v>
      </c>
      <c r="F1" s="76" t="s">
        <v>86</v>
      </c>
      <c r="G1" s="76" t="s">
        <v>87</v>
      </c>
      <c r="H1" s="76" t="s">
        <v>45</v>
      </c>
      <c r="I1" s="78" t="s">
        <v>88</v>
      </c>
      <c r="J1" s="76" t="s">
        <v>79</v>
      </c>
      <c r="K1" s="76" t="s">
        <v>89</v>
      </c>
      <c r="L1" s="76" t="s">
        <v>90</v>
      </c>
    </row>
    <row r="2" spans="1:12" ht="91.5">
      <c r="A2" s="128">
        <v>1</v>
      </c>
      <c r="B2" s="128">
        <v>1</v>
      </c>
      <c r="C2" s="128" t="s">
        <v>91</v>
      </c>
      <c r="D2" s="122" t="s">
        <v>92</v>
      </c>
      <c r="E2" s="135" t="s">
        <v>93</v>
      </c>
      <c r="F2" s="3" t="s">
        <v>94</v>
      </c>
      <c r="G2" s="2" t="s">
        <v>95</v>
      </c>
      <c r="H2" s="132">
        <v>4</v>
      </c>
      <c r="I2" s="129">
        <v>0.8</v>
      </c>
      <c r="J2" s="122" t="s">
        <v>95</v>
      </c>
      <c r="K2" s="2" t="s">
        <v>96</v>
      </c>
      <c r="L2" s="2" t="s">
        <v>97</v>
      </c>
    </row>
    <row r="3" spans="1:12" ht="72">
      <c r="A3" s="128"/>
      <c r="B3" s="128"/>
      <c r="C3" s="128"/>
      <c r="D3" s="123"/>
      <c r="E3" s="135"/>
      <c r="F3" s="2" t="s">
        <v>98</v>
      </c>
      <c r="G3" s="2" t="s">
        <v>95</v>
      </c>
      <c r="H3" s="132"/>
      <c r="I3" s="131"/>
      <c r="J3" s="123"/>
      <c r="K3" s="2" t="s">
        <v>99</v>
      </c>
      <c r="L3" s="2" t="s">
        <v>97</v>
      </c>
    </row>
    <row r="4" spans="1:12" ht="57.6">
      <c r="A4" s="128"/>
      <c r="B4" s="128"/>
      <c r="C4" s="128"/>
      <c r="D4" s="123"/>
      <c r="E4" s="135"/>
      <c r="F4" s="3" t="s">
        <v>100</v>
      </c>
      <c r="G4" s="2" t="s">
        <v>95</v>
      </c>
      <c r="H4" s="132"/>
      <c r="I4" s="131"/>
      <c r="J4" s="123"/>
      <c r="K4" s="2" t="s">
        <v>101</v>
      </c>
      <c r="L4" s="2" t="s">
        <v>102</v>
      </c>
    </row>
    <row r="5" spans="1:12" ht="28.9">
      <c r="A5" s="128"/>
      <c r="B5" s="128"/>
      <c r="C5" s="128"/>
      <c r="D5" s="124"/>
      <c r="E5" s="135"/>
      <c r="F5" s="2" t="s">
        <v>103</v>
      </c>
      <c r="G5" s="2" t="s">
        <v>95</v>
      </c>
      <c r="H5" s="132"/>
      <c r="I5" s="130"/>
      <c r="J5" s="124"/>
      <c r="K5" s="2" t="s">
        <v>104</v>
      </c>
      <c r="L5" s="2" t="s">
        <v>105</v>
      </c>
    </row>
    <row r="6" spans="1:12" ht="105" customHeight="1">
      <c r="A6" s="2">
        <f>A2+1</f>
        <v>2</v>
      </c>
      <c r="B6" s="2">
        <v>2</v>
      </c>
      <c r="C6" s="2" t="s">
        <v>106</v>
      </c>
      <c r="D6" s="2" t="s">
        <v>92</v>
      </c>
      <c r="E6" s="75" t="s">
        <v>107</v>
      </c>
      <c r="F6" s="3" t="s">
        <v>108</v>
      </c>
      <c r="G6" s="2" t="s">
        <v>95</v>
      </c>
      <c r="H6" s="2">
        <v>3</v>
      </c>
      <c r="I6" s="86">
        <v>0.7</v>
      </c>
      <c r="J6" s="2" t="s">
        <v>95</v>
      </c>
      <c r="K6" s="137" t="s">
        <v>109</v>
      </c>
      <c r="L6" s="137" t="s">
        <v>110</v>
      </c>
    </row>
    <row r="7" spans="1:12" ht="57.6">
      <c r="A7" s="2">
        <f>A6+1</f>
        <v>3</v>
      </c>
      <c r="B7" s="2">
        <v>2</v>
      </c>
      <c r="C7" s="2" t="s">
        <v>111</v>
      </c>
      <c r="D7" s="84" t="s">
        <v>112</v>
      </c>
      <c r="E7" s="75" t="s">
        <v>113</v>
      </c>
      <c r="F7" s="2" t="s">
        <v>114</v>
      </c>
      <c r="G7" s="2" t="s">
        <v>95</v>
      </c>
      <c r="H7" s="2">
        <v>4</v>
      </c>
      <c r="I7" s="86">
        <v>0.8</v>
      </c>
      <c r="J7" s="2" t="s">
        <v>95</v>
      </c>
      <c r="K7" s="2" t="s">
        <v>115</v>
      </c>
      <c r="L7" s="2" t="s">
        <v>116</v>
      </c>
    </row>
    <row r="8" spans="1:12" ht="57.6">
      <c r="A8" s="128">
        <v>4</v>
      </c>
      <c r="B8" s="128">
        <v>3</v>
      </c>
      <c r="C8" s="128" t="s">
        <v>117</v>
      </c>
      <c r="D8" s="136" t="s">
        <v>92</v>
      </c>
      <c r="E8" s="135" t="s">
        <v>118</v>
      </c>
      <c r="F8" s="3" t="s">
        <v>119</v>
      </c>
      <c r="G8" s="2" t="s">
        <v>95</v>
      </c>
      <c r="H8" s="134">
        <v>4</v>
      </c>
      <c r="I8" s="129">
        <v>0.8</v>
      </c>
      <c r="J8" s="2" t="s">
        <v>95</v>
      </c>
      <c r="K8" s="2" t="s">
        <v>120</v>
      </c>
      <c r="L8" s="2" t="s">
        <v>121</v>
      </c>
    </row>
    <row r="9" spans="1:12" ht="57.6">
      <c r="A9" s="128"/>
      <c r="B9" s="128"/>
      <c r="C9" s="128"/>
      <c r="D9" s="123"/>
      <c r="E9" s="135"/>
      <c r="F9" s="2" t="s">
        <v>122</v>
      </c>
      <c r="G9" s="2" t="s">
        <v>95</v>
      </c>
      <c r="H9" s="134"/>
      <c r="I9" s="131"/>
      <c r="J9" s="2" t="s">
        <v>95</v>
      </c>
      <c r="K9" s="2" t="s">
        <v>123</v>
      </c>
      <c r="L9" s="2" t="s">
        <v>124</v>
      </c>
    </row>
    <row r="10" spans="1:12" ht="100.9">
      <c r="A10" s="128"/>
      <c r="B10" s="128"/>
      <c r="C10" s="128"/>
      <c r="D10" s="123"/>
      <c r="E10" s="135"/>
      <c r="F10" s="3" t="s">
        <v>125</v>
      </c>
      <c r="G10" s="2" t="s">
        <v>95</v>
      </c>
      <c r="H10" s="134"/>
      <c r="I10" s="131"/>
      <c r="J10" s="2" t="s">
        <v>95</v>
      </c>
      <c r="K10" s="2" t="s">
        <v>126</v>
      </c>
      <c r="L10" s="2" t="s">
        <v>127</v>
      </c>
    </row>
    <row r="11" spans="1:12" ht="72">
      <c r="A11" s="128"/>
      <c r="B11" s="128"/>
      <c r="C11" s="128"/>
      <c r="D11" s="123"/>
      <c r="E11" s="135"/>
      <c r="F11" s="2" t="s">
        <v>128</v>
      </c>
      <c r="G11" s="2" t="s">
        <v>95</v>
      </c>
      <c r="H11" s="134"/>
      <c r="I11" s="131"/>
      <c r="J11" s="2" t="s">
        <v>95</v>
      </c>
      <c r="K11" s="2" t="s">
        <v>129</v>
      </c>
      <c r="L11" s="2" t="s">
        <v>130</v>
      </c>
    </row>
    <row r="12" spans="1:12" ht="41.45" customHeight="1">
      <c r="A12" s="128"/>
      <c r="B12" s="128"/>
      <c r="C12" s="128"/>
      <c r="D12" s="123"/>
      <c r="E12" s="135"/>
      <c r="F12" s="3" t="s">
        <v>131</v>
      </c>
      <c r="G12" s="2" t="s">
        <v>95</v>
      </c>
      <c r="H12" s="134"/>
      <c r="I12" s="131"/>
      <c r="J12" s="2" t="s">
        <v>95</v>
      </c>
      <c r="K12" s="2" t="s">
        <v>132</v>
      </c>
      <c r="L12" s="2" t="s">
        <v>133</v>
      </c>
    </row>
    <row r="13" spans="1:12" ht="61.9" customHeight="1">
      <c r="A13" s="128"/>
      <c r="B13" s="128"/>
      <c r="C13" s="128"/>
      <c r="D13" s="124"/>
      <c r="E13" s="135"/>
      <c r="F13" s="2" t="s">
        <v>134</v>
      </c>
      <c r="G13" s="2" t="s">
        <v>95</v>
      </c>
      <c r="H13" s="134"/>
      <c r="I13" s="130"/>
      <c r="J13" s="2" t="s">
        <v>95</v>
      </c>
      <c r="K13" s="2" t="s">
        <v>135</v>
      </c>
      <c r="L13" s="2" t="s">
        <v>136</v>
      </c>
    </row>
    <row r="14" spans="1:12" ht="14.45">
      <c r="A14" s="2">
        <v>5</v>
      </c>
      <c r="B14" s="2"/>
      <c r="C14" s="2"/>
      <c r="D14" s="89" t="s">
        <v>92</v>
      </c>
      <c r="E14" s="80" t="s">
        <v>137</v>
      </c>
      <c r="F14" s="2"/>
      <c r="G14" s="2"/>
      <c r="H14" s="105"/>
      <c r="I14" s="86"/>
      <c r="J14" s="2"/>
      <c r="K14" s="2"/>
      <c r="L14" s="2"/>
    </row>
    <row r="15" spans="1:12" ht="57.6">
      <c r="A15" s="2">
        <v>6</v>
      </c>
      <c r="B15" s="2">
        <v>2</v>
      </c>
      <c r="C15" s="2" t="s">
        <v>138</v>
      </c>
      <c r="D15" s="89" t="s">
        <v>92</v>
      </c>
      <c r="E15" s="75" t="s">
        <v>139</v>
      </c>
      <c r="F15" s="3" t="s">
        <v>140</v>
      </c>
      <c r="G15" s="2" t="s">
        <v>95</v>
      </c>
      <c r="H15" s="2">
        <v>4</v>
      </c>
      <c r="I15" s="86">
        <v>0.8</v>
      </c>
      <c r="J15" s="2" t="s">
        <v>95</v>
      </c>
      <c r="K15" s="2" t="s">
        <v>141</v>
      </c>
      <c r="L15" s="2" t="s">
        <v>142</v>
      </c>
    </row>
    <row r="16" spans="1:12" ht="43.15">
      <c r="A16" s="2">
        <v>7</v>
      </c>
      <c r="B16" s="2">
        <v>2</v>
      </c>
      <c r="C16" s="2" t="s">
        <v>143</v>
      </c>
      <c r="D16" s="89" t="s">
        <v>92</v>
      </c>
      <c r="E16" s="75" t="s">
        <v>144</v>
      </c>
      <c r="F16" s="2" t="s">
        <v>145</v>
      </c>
      <c r="G16" s="2" t="s">
        <v>95</v>
      </c>
      <c r="H16" s="105">
        <v>4</v>
      </c>
      <c r="I16" s="86">
        <v>0.8</v>
      </c>
      <c r="J16" s="2" t="s">
        <v>95</v>
      </c>
      <c r="K16" s="2"/>
      <c r="L16" s="2" t="s">
        <v>146</v>
      </c>
    </row>
    <row r="17" spans="1:12" ht="28.9">
      <c r="A17" s="128">
        <v>8</v>
      </c>
      <c r="B17" s="128">
        <v>8</v>
      </c>
      <c r="C17" s="128" t="s">
        <v>147</v>
      </c>
      <c r="D17" s="125"/>
      <c r="E17" s="135" t="s">
        <v>148</v>
      </c>
      <c r="F17" s="3" t="s">
        <v>149</v>
      </c>
      <c r="G17" s="2" t="s">
        <v>95</v>
      </c>
      <c r="H17" s="128">
        <v>4</v>
      </c>
      <c r="I17" s="129">
        <v>0.8</v>
      </c>
      <c r="J17" s="2" t="s">
        <v>95</v>
      </c>
      <c r="K17" s="2"/>
      <c r="L17" s="2" t="s">
        <v>150</v>
      </c>
    </row>
    <row r="18" spans="1:12" ht="14.45">
      <c r="A18" s="128"/>
      <c r="B18" s="128"/>
      <c r="C18" s="128"/>
      <c r="D18" s="126"/>
      <c r="E18" s="135"/>
      <c r="F18" s="2" t="s">
        <v>151</v>
      </c>
      <c r="G18" s="2" t="s">
        <v>95</v>
      </c>
      <c r="H18" s="128"/>
      <c r="I18" s="131"/>
      <c r="J18" s="2" t="s">
        <v>95</v>
      </c>
      <c r="K18" s="2"/>
      <c r="L18" s="2"/>
    </row>
    <row r="19" spans="1:12" ht="57.6">
      <c r="A19" s="128"/>
      <c r="B19" s="128"/>
      <c r="C19" s="128"/>
      <c r="D19" s="126"/>
      <c r="E19" s="135"/>
      <c r="F19" s="3" t="s">
        <v>152</v>
      </c>
      <c r="G19" s="2" t="s">
        <v>95</v>
      </c>
      <c r="H19" s="128"/>
      <c r="I19" s="131"/>
      <c r="J19" s="2" t="s">
        <v>95</v>
      </c>
      <c r="K19" s="2" t="s">
        <v>153</v>
      </c>
      <c r="L19" s="2" t="s">
        <v>154</v>
      </c>
    </row>
    <row r="20" spans="1:12" ht="201.6">
      <c r="A20" s="128"/>
      <c r="B20" s="128"/>
      <c r="C20" s="128"/>
      <c r="D20" s="127"/>
      <c r="E20" s="135"/>
      <c r="F20" s="2" t="s">
        <v>155</v>
      </c>
      <c r="G20" s="2" t="s">
        <v>95</v>
      </c>
      <c r="H20" s="128"/>
      <c r="I20" s="130"/>
      <c r="J20" s="2" t="s">
        <v>95</v>
      </c>
      <c r="K20" s="2" t="s">
        <v>156</v>
      </c>
      <c r="L20" s="2" t="s">
        <v>157</v>
      </c>
    </row>
    <row r="21" spans="1:12" ht="57.6">
      <c r="A21" s="128">
        <v>9</v>
      </c>
      <c r="B21" s="128">
        <v>2</v>
      </c>
      <c r="C21" s="128" t="s">
        <v>158</v>
      </c>
      <c r="D21" s="122" t="s">
        <v>159</v>
      </c>
      <c r="E21" s="135" t="s">
        <v>160</v>
      </c>
      <c r="F21" s="3" t="s">
        <v>161</v>
      </c>
      <c r="G21" s="2" t="s">
        <v>95</v>
      </c>
      <c r="H21" s="128">
        <v>4</v>
      </c>
      <c r="I21" s="129">
        <v>0.8</v>
      </c>
      <c r="J21" s="2" t="s">
        <v>95</v>
      </c>
      <c r="K21" s="2" t="s">
        <v>162</v>
      </c>
      <c r="L21" s="2" t="s">
        <v>163</v>
      </c>
    </row>
    <row r="22" spans="1:12" ht="129.6">
      <c r="A22" s="128"/>
      <c r="B22" s="128"/>
      <c r="C22" s="128"/>
      <c r="D22" s="124"/>
      <c r="E22" s="135"/>
      <c r="F22" s="2" t="s">
        <v>164</v>
      </c>
      <c r="G22" s="2" t="s">
        <v>95</v>
      </c>
      <c r="H22" s="128"/>
      <c r="I22" s="130"/>
      <c r="J22" s="2" t="s">
        <v>95</v>
      </c>
      <c r="K22" s="2" t="s">
        <v>165</v>
      </c>
      <c r="L22" s="2" t="s">
        <v>166</v>
      </c>
    </row>
    <row r="23" spans="1:12" ht="86.45">
      <c r="A23" s="128">
        <v>10</v>
      </c>
      <c r="B23" s="128">
        <v>4</v>
      </c>
      <c r="C23" s="128" t="s">
        <v>167</v>
      </c>
      <c r="D23" s="122" t="s">
        <v>168</v>
      </c>
      <c r="E23" s="135" t="s">
        <v>169</v>
      </c>
      <c r="F23" s="3" t="s">
        <v>170</v>
      </c>
      <c r="G23" s="2" t="s">
        <v>95</v>
      </c>
      <c r="H23" s="122">
        <v>4</v>
      </c>
      <c r="I23" s="129">
        <v>0.8</v>
      </c>
      <c r="J23" s="2" t="s">
        <v>95</v>
      </c>
      <c r="K23" s="2" t="s">
        <v>171</v>
      </c>
      <c r="L23" s="2" t="s">
        <v>172</v>
      </c>
    </row>
    <row r="24" spans="1:12" ht="57.6">
      <c r="A24" s="128"/>
      <c r="B24" s="128"/>
      <c r="C24" s="128"/>
      <c r="D24" s="123"/>
      <c r="E24" s="135"/>
      <c r="F24" s="2" t="s">
        <v>173</v>
      </c>
      <c r="G24" s="2" t="s">
        <v>95</v>
      </c>
      <c r="H24" s="123"/>
      <c r="I24" s="131"/>
      <c r="J24" s="2" t="s">
        <v>95</v>
      </c>
      <c r="K24" s="2" t="s">
        <v>174</v>
      </c>
      <c r="L24" s="2" t="s">
        <v>175</v>
      </c>
    </row>
    <row r="25" spans="1:12" ht="100.9">
      <c r="A25" s="128"/>
      <c r="B25" s="128"/>
      <c r="C25" s="128"/>
      <c r="D25" s="123"/>
      <c r="E25" s="135"/>
      <c r="F25" s="2" t="s">
        <v>176</v>
      </c>
      <c r="G25" s="2" t="s">
        <v>95</v>
      </c>
      <c r="H25" s="123"/>
      <c r="I25" s="131"/>
      <c r="J25" s="2" t="s">
        <v>95</v>
      </c>
      <c r="K25" s="2" t="s">
        <v>177</v>
      </c>
      <c r="L25" s="2" t="s">
        <v>178</v>
      </c>
    </row>
    <row r="26" spans="1:12" ht="172.9">
      <c r="A26" s="128"/>
      <c r="B26" s="128"/>
      <c r="C26" s="128"/>
      <c r="D26" s="123"/>
      <c r="E26" s="135"/>
      <c r="F26" s="2" t="s">
        <v>179</v>
      </c>
      <c r="G26" s="2" t="s">
        <v>95</v>
      </c>
      <c r="H26" s="123"/>
      <c r="I26" s="131"/>
      <c r="J26" s="2" t="s">
        <v>95</v>
      </c>
      <c r="K26" s="2" t="s">
        <v>180</v>
      </c>
      <c r="L26" s="2" t="s">
        <v>181</v>
      </c>
    </row>
    <row r="27" spans="1:12" ht="72">
      <c r="A27" s="128"/>
      <c r="B27" s="128"/>
      <c r="C27" s="128"/>
      <c r="D27" s="124"/>
      <c r="E27" s="135"/>
      <c r="F27" s="2" t="s">
        <v>182</v>
      </c>
      <c r="G27" s="2" t="s">
        <v>95</v>
      </c>
      <c r="H27" s="124"/>
      <c r="I27" s="130"/>
      <c r="J27" s="2" t="s">
        <v>95</v>
      </c>
      <c r="K27" s="2" t="s">
        <v>183</v>
      </c>
      <c r="L27" s="2" t="s">
        <v>184</v>
      </c>
    </row>
    <row r="28" spans="1:12" ht="100.9">
      <c r="A28" s="128">
        <v>11</v>
      </c>
      <c r="B28" s="128">
        <v>4</v>
      </c>
      <c r="C28" s="128" t="s">
        <v>185</v>
      </c>
      <c r="D28" s="122" t="s">
        <v>186</v>
      </c>
      <c r="E28" s="135" t="s">
        <v>187</v>
      </c>
      <c r="F28" s="2" t="s">
        <v>188</v>
      </c>
      <c r="G28" s="2" t="s">
        <v>95</v>
      </c>
      <c r="H28" s="132">
        <v>4</v>
      </c>
      <c r="I28" s="129">
        <v>0.8</v>
      </c>
      <c r="J28" s="2" t="s">
        <v>95</v>
      </c>
      <c r="K28" s="2" t="s">
        <v>189</v>
      </c>
      <c r="L28" s="2" t="s">
        <v>190</v>
      </c>
    </row>
    <row r="29" spans="1:12" ht="86.45">
      <c r="A29" s="128"/>
      <c r="B29" s="128"/>
      <c r="C29" s="128"/>
      <c r="D29" s="123"/>
      <c r="E29" s="135"/>
      <c r="F29" s="3" t="s">
        <v>191</v>
      </c>
      <c r="G29" s="79" t="s">
        <v>95</v>
      </c>
      <c r="H29" s="132"/>
      <c r="I29" s="131"/>
      <c r="J29" s="2" t="s">
        <v>95</v>
      </c>
      <c r="K29" s="2" t="s">
        <v>192</v>
      </c>
      <c r="L29" s="2" t="s">
        <v>193</v>
      </c>
    </row>
    <row r="30" spans="1:12" ht="115.15">
      <c r="A30" s="128"/>
      <c r="B30" s="128"/>
      <c r="C30" s="128"/>
      <c r="D30" s="123"/>
      <c r="E30" s="135"/>
      <c r="F30" s="2" t="s">
        <v>194</v>
      </c>
      <c r="G30" s="2" t="s">
        <v>95</v>
      </c>
      <c r="H30" s="132"/>
      <c r="I30" s="131"/>
      <c r="J30" s="2" t="s">
        <v>95</v>
      </c>
      <c r="K30" s="2" t="s">
        <v>195</v>
      </c>
      <c r="L30" s="2" t="s">
        <v>196</v>
      </c>
    </row>
    <row r="31" spans="1:12" ht="43.15">
      <c r="A31" s="128"/>
      <c r="B31" s="128"/>
      <c r="C31" s="128"/>
      <c r="D31" s="124"/>
      <c r="E31" s="135"/>
      <c r="F31" s="2" t="s">
        <v>197</v>
      </c>
      <c r="G31" s="2" t="s">
        <v>95</v>
      </c>
      <c r="H31" s="132"/>
      <c r="I31" s="130"/>
      <c r="J31" s="2" t="s">
        <v>95</v>
      </c>
      <c r="K31" s="2" t="s">
        <v>198</v>
      </c>
      <c r="L31" s="2" t="s">
        <v>199</v>
      </c>
    </row>
    <row r="32" spans="1:12" ht="57.6">
      <c r="A32" s="2">
        <v>12</v>
      </c>
      <c r="B32" s="2">
        <v>4</v>
      </c>
      <c r="C32" s="2" t="s">
        <v>200</v>
      </c>
      <c r="D32" s="2" t="s">
        <v>168</v>
      </c>
      <c r="E32" s="75" t="s">
        <v>201</v>
      </c>
      <c r="F32" s="2" t="s">
        <v>202</v>
      </c>
      <c r="G32" s="2" t="s">
        <v>95</v>
      </c>
      <c r="H32" s="2">
        <v>4</v>
      </c>
      <c r="I32" s="86">
        <v>0.8</v>
      </c>
      <c r="J32" s="2" t="s">
        <v>95</v>
      </c>
      <c r="K32" s="2" t="s">
        <v>203</v>
      </c>
      <c r="L32" s="2" t="s">
        <v>204</v>
      </c>
    </row>
    <row r="33" spans="1:12" ht="72">
      <c r="A33" s="128">
        <v>13</v>
      </c>
      <c r="B33" s="128">
        <v>4</v>
      </c>
      <c r="C33" s="128" t="s">
        <v>205</v>
      </c>
      <c r="D33" s="122" t="s">
        <v>186</v>
      </c>
      <c r="E33" s="135" t="s">
        <v>206</v>
      </c>
      <c r="F33" s="3" t="s">
        <v>207</v>
      </c>
      <c r="G33" s="2" t="s">
        <v>95</v>
      </c>
      <c r="H33" s="128">
        <v>4</v>
      </c>
      <c r="I33" s="129">
        <v>0.8</v>
      </c>
      <c r="J33" s="2" t="s">
        <v>95</v>
      </c>
      <c r="K33" s="2" t="s">
        <v>208</v>
      </c>
      <c r="L33" s="2" t="s">
        <v>209</v>
      </c>
    </row>
    <row r="34" spans="1:12" ht="72">
      <c r="A34" s="128"/>
      <c r="B34" s="128"/>
      <c r="C34" s="128"/>
      <c r="D34" s="124"/>
      <c r="E34" s="135"/>
      <c r="F34" s="2" t="s">
        <v>210</v>
      </c>
      <c r="G34" s="2" t="s">
        <v>95</v>
      </c>
      <c r="H34" s="128"/>
      <c r="I34" s="130"/>
      <c r="J34" s="2" t="s">
        <v>95</v>
      </c>
      <c r="K34" s="2" t="s">
        <v>211</v>
      </c>
      <c r="L34" s="2" t="s">
        <v>209</v>
      </c>
    </row>
    <row r="35" spans="1:12" ht="72">
      <c r="A35" s="2">
        <v>14</v>
      </c>
      <c r="B35" s="2">
        <v>4</v>
      </c>
      <c r="C35" s="2" t="s">
        <v>212</v>
      </c>
      <c r="D35" s="2" t="s">
        <v>186</v>
      </c>
      <c r="E35" s="75" t="s">
        <v>213</v>
      </c>
      <c r="F35" s="2" t="s">
        <v>214</v>
      </c>
      <c r="G35" s="2" t="s">
        <v>95</v>
      </c>
      <c r="H35" s="2">
        <v>4</v>
      </c>
      <c r="I35" s="86">
        <v>0.8</v>
      </c>
      <c r="J35" s="2" t="s">
        <v>95</v>
      </c>
      <c r="K35" s="2" t="s">
        <v>215</v>
      </c>
      <c r="L35" s="2" t="s">
        <v>209</v>
      </c>
    </row>
    <row r="36" spans="1:12" ht="198">
      <c r="A36" s="128">
        <v>15</v>
      </c>
      <c r="B36" s="128">
        <v>9</v>
      </c>
      <c r="C36" s="128" t="s">
        <v>216</v>
      </c>
      <c r="D36" s="122" t="s">
        <v>186</v>
      </c>
      <c r="E36" s="135" t="s">
        <v>217</v>
      </c>
      <c r="F36" s="2" t="s">
        <v>218</v>
      </c>
      <c r="G36" s="2" t="s">
        <v>95</v>
      </c>
      <c r="H36" s="128">
        <v>4</v>
      </c>
      <c r="I36" s="129">
        <v>0.8</v>
      </c>
      <c r="J36" s="2" t="s">
        <v>95</v>
      </c>
      <c r="K36" s="2" t="s">
        <v>219</v>
      </c>
      <c r="L36" s="2" t="s">
        <v>220</v>
      </c>
    </row>
    <row r="37" spans="1:12" ht="100.9">
      <c r="A37" s="128"/>
      <c r="B37" s="128"/>
      <c r="C37" s="128"/>
      <c r="D37" s="124"/>
      <c r="E37" s="135"/>
      <c r="F37" s="2" t="s">
        <v>221</v>
      </c>
      <c r="G37" s="2" t="s">
        <v>95</v>
      </c>
      <c r="H37" s="128"/>
      <c r="I37" s="130"/>
      <c r="J37" s="2" t="s">
        <v>95</v>
      </c>
      <c r="K37" s="2" t="s">
        <v>222</v>
      </c>
      <c r="L37" s="2" t="s">
        <v>223</v>
      </c>
    </row>
    <row r="38" spans="1:12" ht="100.9">
      <c r="A38" s="2">
        <v>16</v>
      </c>
      <c r="B38" s="2">
        <v>5</v>
      </c>
      <c r="C38" s="2" t="s">
        <v>224</v>
      </c>
      <c r="D38" s="2" t="s">
        <v>112</v>
      </c>
      <c r="E38" s="75" t="s">
        <v>225</v>
      </c>
      <c r="F38" s="2" t="s">
        <v>226</v>
      </c>
      <c r="G38" s="2" t="s">
        <v>95</v>
      </c>
      <c r="H38" s="2">
        <v>4</v>
      </c>
      <c r="I38" s="86">
        <v>0.8</v>
      </c>
      <c r="J38" s="2" t="s">
        <v>95</v>
      </c>
      <c r="K38" s="2" t="s">
        <v>227</v>
      </c>
      <c r="L38" s="2" t="s">
        <v>228</v>
      </c>
    </row>
    <row r="39" spans="1:12" ht="43.15">
      <c r="A39" s="128">
        <v>17</v>
      </c>
      <c r="B39" s="128">
        <v>5</v>
      </c>
      <c r="C39" s="128" t="s">
        <v>229</v>
      </c>
      <c r="D39" s="122" t="s">
        <v>112</v>
      </c>
      <c r="E39" s="135" t="s">
        <v>230</v>
      </c>
      <c r="F39" s="3" t="s">
        <v>231</v>
      </c>
      <c r="G39" s="2" t="s">
        <v>95</v>
      </c>
      <c r="H39" s="128">
        <v>4</v>
      </c>
      <c r="I39" s="129">
        <v>0.8</v>
      </c>
      <c r="J39" s="2" t="s">
        <v>95</v>
      </c>
      <c r="K39" s="2" t="s">
        <v>232</v>
      </c>
      <c r="L39" s="2" t="s">
        <v>233</v>
      </c>
    </row>
    <row r="40" spans="1:12" ht="57.6">
      <c r="A40" s="128"/>
      <c r="B40" s="128"/>
      <c r="C40" s="128"/>
      <c r="D40" s="123"/>
      <c r="E40" s="135"/>
      <c r="F40" s="2" t="s">
        <v>234</v>
      </c>
      <c r="G40" s="2" t="s">
        <v>95</v>
      </c>
      <c r="H40" s="128"/>
      <c r="I40" s="131"/>
      <c r="J40" s="2" t="s">
        <v>95</v>
      </c>
      <c r="K40" s="2" t="s">
        <v>235</v>
      </c>
      <c r="L40" s="2" t="s">
        <v>236</v>
      </c>
    </row>
    <row r="41" spans="1:12" ht="28.9">
      <c r="A41" s="128"/>
      <c r="B41" s="128"/>
      <c r="C41" s="128"/>
      <c r="D41" s="123"/>
      <c r="E41" s="135"/>
      <c r="F41" s="3" t="s">
        <v>237</v>
      </c>
      <c r="G41" s="2" t="s">
        <v>95</v>
      </c>
      <c r="H41" s="128"/>
      <c r="I41" s="131"/>
      <c r="J41" s="2" t="s">
        <v>95</v>
      </c>
      <c r="K41" s="2" t="s">
        <v>238</v>
      </c>
      <c r="L41" s="2" t="s">
        <v>233</v>
      </c>
    </row>
    <row r="42" spans="1:12" ht="45.75">
      <c r="A42" s="128"/>
      <c r="B42" s="128"/>
      <c r="C42" s="128"/>
      <c r="D42" s="124"/>
      <c r="E42" s="135"/>
      <c r="F42" s="2" t="s">
        <v>239</v>
      </c>
      <c r="G42" s="2" t="s">
        <v>95</v>
      </c>
      <c r="H42" s="128"/>
      <c r="I42" s="130"/>
      <c r="J42" s="2" t="s">
        <v>240</v>
      </c>
      <c r="K42" s="2"/>
      <c r="L42" s="101"/>
    </row>
    <row r="43" spans="1:12" ht="57.6">
      <c r="A43" s="128">
        <v>18</v>
      </c>
      <c r="B43" s="128">
        <v>5</v>
      </c>
      <c r="C43" s="128" t="s">
        <v>241</v>
      </c>
      <c r="D43" s="122" t="s">
        <v>112</v>
      </c>
      <c r="E43" s="135" t="s">
        <v>242</v>
      </c>
      <c r="F43" s="3" t="s">
        <v>243</v>
      </c>
      <c r="G43" s="2" t="s">
        <v>95</v>
      </c>
      <c r="H43" s="132">
        <v>4</v>
      </c>
      <c r="I43" s="129">
        <v>0.8</v>
      </c>
      <c r="J43" s="2" t="s">
        <v>95</v>
      </c>
      <c r="K43" s="2" t="s">
        <v>244</v>
      </c>
      <c r="L43" s="2" t="s">
        <v>245</v>
      </c>
    </row>
    <row r="44" spans="1:12" ht="28.9">
      <c r="A44" s="128"/>
      <c r="B44" s="128"/>
      <c r="C44" s="128"/>
      <c r="D44" s="123"/>
      <c r="E44" s="135"/>
      <c r="F44" s="2" t="s">
        <v>246</v>
      </c>
      <c r="G44" s="2" t="s">
        <v>95</v>
      </c>
      <c r="H44" s="132"/>
      <c r="I44" s="131"/>
      <c r="J44" s="2" t="s">
        <v>95</v>
      </c>
      <c r="K44" s="2" t="s">
        <v>247</v>
      </c>
      <c r="L44" s="2" t="s">
        <v>248</v>
      </c>
    </row>
    <row r="45" spans="1:12" ht="57.6">
      <c r="A45" s="128"/>
      <c r="B45" s="128"/>
      <c r="C45" s="128"/>
      <c r="D45" s="123"/>
      <c r="E45" s="135"/>
      <c r="F45" s="3" t="s">
        <v>249</v>
      </c>
      <c r="G45" s="2" t="s">
        <v>95</v>
      </c>
      <c r="H45" s="132"/>
      <c r="I45" s="131"/>
      <c r="J45" s="2" t="s">
        <v>95</v>
      </c>
      <c r="K45" s="2" t="s">
        <v>250</v>
      </c>
      <c r="L45" s="2" t="s">
        <v>248</v>
      </c>
    </row>
    <row r="46" spans="1:12" ht="28.9">
      <c r="A46" s="128"/>
      <c r="B46" s="128"/>
      <c r="C46" s="128"/>
      <c r="D46" s="123"/>
      <c r="E46" s="135"/>
      <c r="F46" s="2" t="s">
        <v>251</v>
      </c>
      <c r="G46" s="2" t="s">
        <v>95</v>
      </c>
      <c r="H46" s="132"/>
      <c r="I46" s="131"/>
      <c r="J46" s="2" t="s">
        <v>95</v>
      </c>
      <c r="K46" s="2" t="s">
        <v>252</v>
      </c>
      <c r="L46" s="2" t="s">
        <v>253</v>
      </c>
    </row>
    <row r="47" spans="1:12" ht="43.15">
      <c r="A47" s="128"/>
      <c r="B47" s="128"/>
      <c r="C47" s="128"/>
      <c r="D47" s="124"/>
      <c r="E47" s="135"/>
      <c r="F47" s="3" t="s">
        <v>254</v>
      </c>
      <c r="G47" s="2" t="s">
        <v>95</v>
      </c>
      <c r="H47" s="132"/>
      <c r="I47" s="130"/>
      <c r="J47" s="2" t="s">
        <v>95</v>
      </c>
      <c r="K47" s="2" t="s">
        <v>255</v>
      </c>
      <c r="L47" s="2" t="s">
        <v>256</v>
      </c>
    </row>
    <row r="48" spans="1:12" ht="57.6">
      <c r="A48" s="128">
        <v>19</v>
      </c>
      <c r="B48" s="128">
        <v>5</v>
      </c>
      <c r="C48" s="128" t="s">
        <v>257</v>
      </c>
      <c r="D48" s="122" t="s">
        <v>112</v>
      </c>
      <c r="E48" s="135" t="s">
        <v>258</v>
      </c>
      <c r="F48" s="2" t="s">
        <v>210</v>
      </c>
      <c r="G48" s="2" t="s">
        <v>95</v>
      </c>
      <c r="H48" s="133">
        <v>4</v>
      </c>
      <c r="I48" s="129">
        <v>0.8</v>
      </c>
      <c r="J48" s="2" t="s">
        <v>95</v>
      </c>
      <c r="K48" s="2" t="s">
        <v>259</v>
      </c>
      <c r="L48" s="2" t="s">
        <v>260</v>
      </c>
    </row>
    <row r="49" spans="1:12" ht="100.9">
      <c r="A49" s="128"/>
      <c r="B49" s="128"/>
      <c r="C49" s="128"/>
      <c r="D49" s="123"/>
      <c r="E49" s="135"/>
      <c r="F49" s="3" t="s">
        <v>103</v>
      </c>
      <c r="G49" s="2" t="s">
        <v>95</v>
      </c>
      <c r="H49" s="133"/>
      <c r="I49" s="131"/>
      <c r="J49" s="2" t="s">
        <v>95</v>
      </c>
      <c r="K49" s="2" t="s">
        <v>261</v>
      </c>
      <c r="L49" s="2" t="s">
        <v>262</v>
      </c>
    </row>
    <row r="50" spans="1:12" ht="43.15">
      <c r="A50" s="128"/>
      <c r="B50" s="128"/>
      <c r="C50" s="128"/>
      <c r="D50" s="123"/>
      <c r="E50" s="135"/>
      <c r="F50" s="2" t="s">
        <v>263</v>
      </c>
      <c r="G50" s="2" t="s">
        <v>95</v>
      </c>
      <c r="H50" s="133"/>
      <c r="I50" s="131"/>
      <c r="J50" s="2" t="s">
        <v>95</v>
      </c>
      <c r="K50" s="2" t="s">
        <v>264</v>
      </c>
      <c r="L50" s="2" t="s">
        <v>265</v>
      </c>
    </row>
    <row r="51" spans="1:12" ht="57.6">
      <c r="A51" s="128"/>
      <c r="B51" s="128"/>
      <c r="C51" s="128"/>
      <c r="D51" s="124"/>
      <c r="E51" s="135"/>
      <c r="F51" s="2" t="s">
        <v>266</v>
      </c>
      <c r="G51" s="2" t="s">
        <v>95</v>
      </c>
      <c r="H51" s="133"/>
      <c r="I51" s="130"/>
      <c r="J51" s="2" t="s">
        <v>95</v>
      </c>
      <c r="K51" s="2" t="s">
        <v>267</v>
      </c>
      <c r="L51" s="2" t="s">
        <v>268</v>
      </c>
    </row>
    <row r="52" spans="1:12">
      <c r="A52" s="128">
        <v>20</v>
      </c>
      <c r="B52" s="128">
        <v>11</v>
      </c>
      <c r="C52" s="128" t="s">
        <v>269</v>
      </c>
      <c r="D52" s="122" t="s">
        <v>159</v>
      </c>
      <c r="E52" s="135" t="s">
        <v>270</v>
      </c>
      <c r="F52" s="2" t="s">
        <v>271</v>
      </c>
      <c r="G52" s="2" t="s">
        <v>272</v>
      </c>
      <c r="H52" s="128">
        <v>4</v>
      </c>
      <c r="I52" s="129">
        <v>0.8</v>
      </c>
      <c r="J52" s="2"/>
      <c r="K52" s="2" t="s">
        <v>233</v>
      </c>
      <c r="L52" s="2" t="s">
        <v>233</v>
      </c>
    </row>
    <row r="53" spans="1:12" ht="28.9">
      <c r="A53" s="128"/>
      <c r="B53" s="128"/>
      <c r="C53" s="128"/>
      <c r="D53" s="123"/>
      <c r="E53" s="135"/>
      <c r="F53" s="2" t="s">
        <v>273</v>
      </c>
      <c r="G53" s="2" t="s">
        <v>95</v>
      </c>
      <c r="H53" s="128"/>
      <c r="I53" s="131"/>
      <c r="J53" s="2" t="s">
        <v>95</v>
      </c>
      <c r="K53" s="2" t="s">
        <v>274</v>
      </c>
      <c r="L53" s="2" t="s">
        <v>275</v>
      </c>
    </row>
    <row r="54" spans="1:12" ht="43.15">
      <c r="A54" s="128"/>
      <c r="B54" s="128"/>
      <c r="C54" s="128"/>
      <c r="D54" s="123"/>
      <c r="E54" s="135"/>
      <c r="F54" s="2" t="s">
        <v>276</v>
      </c>
      <c r="G54" s="2" t="s">
        <v>95</v>
      </c>
      <c r="H54" s="128"/>
      <c r="I54" s="131"/>
      <c r="J54" s="2" t="s">
        <v>95</v>
      </c>
      <c r="K54" s="2" t="s">
        <v>277</v>
      </c>
      <c r="L54" s="2" t="s">
        <v>278</v>
      </c>
    </row>
    <row r="55" spans="1:12" ht="28.9">
      <c r="A55" s="128"/>
      <c r="B55" s="128"/>
      <c r="C55" s="128"/>
      <c r="D55" s="124"/>
      <c r="E55" s="135"/>
      <c r="F55" s="2" t="s">
        <v>279</v>
      </c>
      <c r="G55" s="2" t="s">
        <v>95</v>
      </c>
      <c r="H55" s="128"/>
      <c r="I55" s="130"/>
      <c r="J55" s="2" t="s">
        <v>95</v>
      </c>
      <c r="K55" s="2" t="s">
        <v>280</v>
      </c>
      <c r="L55" s="2" t="s">
        <v>233</v>
      </c>
    </row>
    <row r="56" spans="1:12" ht="43.15">
      <c r="A56" s="2">
        <v>21</v>
      </c>
      <c r="B56" s="2">
        <v>11</v>
      </c>
      <c r="C56" s="2" t="s">
        <v>281</v>
      </c>
      <c r="D56" s="2" t="s">
        <v>282</v>
      </c>
      <c r="E56" s="75" t="s">
        <v>283</v>
      </c>
      <c r="F56" s="2" t="s">
        <v>284</v>
      </c>
      <c r="G56" s="2" t="s">
        <v>95</v>
      </c>
      <c r="H56" s="2">
        <v>4</v>
      </c>
      <c r="I56" s="86">
        <v>0.8</v>
      </c>
      <c r="J56" s="2" t="s">
        <v>95</v>
      </c>
      <c r="K56" s="2" t="s">
        <v>274</v>
      </c>
      <c r="L56" s="2" t="s">
        <v>285</v>
      </c>
    </row>
    <row r="57" spans="1:12" ht="43.15">
      <c r="A57" s="2">
        <v>22</v>
      </c>
      <c r="B57" s="79">
        <v>11</v>
      </c>
      <c r="C57" s="2" t="s">
        <v>286</v>
      </c>
      <c r="D57" s="2" t="s">
        <v>282</v>
      </c>
      <c r="E57" s="75" t="s">
        <v>287</v>
      </c>
      <c r="F57" s="3" t="s">
        <v>288</v>
      </c>
      <c r="G57" s="2" t="s">
        <v>95</v>
      </c>
      <c r="H57" s="2">
        <v>4</v>
      </c>
      <c r="I57" s="86">
        <v>0.8</v>
      </c>
      <c r="J57" s="2" t="s">
        <v>95</v>
      </c>
      <c r="K57" s="2" t="s">
        <v>274</v>
      </c>
      <c r="L57" s="2" t="s">
        <v>285</v>
      </c>
    </row>
    <row r="58" spans="1:12" ht="57.6">
      <c r="A58" s="2">
        <v>23</v>
      </c>
      <c r="B58" s="2">
        <v>11</v>
      </c>
      <c r="C58" s="2" t="s">
        <v>289</v>
      </c>
      <c r="D58" s="2" t="s">
        <v>282</v>
      </c>
      <c r="E58" s="75" t="s">
        <v>290</v>
      </c>
      <c r="F58" s="2" t="s">
        <v>291</v>
      </c>
      <c r="G58" s="2" t="s">
        <v>95</v>
      </c>
      <c r="H58" s="2">
        <v>4</v>
      </c>
      <c r="I58" s="86">
        <v>0.8</v>
      </c>
      <c r="J58" s="2" t="s">
        <v>95</v>
      </c>
      <c r="K58" s="2" t="s">
        <v>274</v>
      </c>
      <c r="L58" s="2" t="s">
        <v>285</v>
      </c>
    </row>
    <row r="59" spans="1:12" ht="43.15">
      <c r="A59" s="128">
        <v>24</v>
      </c>
      <c r="B59" s="128">
        <v>5</v>
      </c>
      <c r="C59" s="128" t="s">
        <v>292</v>
      </c>
      <c r="D59" s="122" t="s">
        <v>282</v>
      </c>
      <c r="E59" s="135" t="s">
        <v>293</v>
      </c>
      <c r="F59" s="3" t="s">
        <v>294</v>
      </c>
      <c r="G59" s="2" t="s">
        <v>95</v>
      </c>
      <c r="H59" s="122">
        <v>4</v>
      </c>
      <c r="I59" s="129">
        <v>0.8</v>
      </c>
      <c r="J59" s="2" t="s">
        <v>95</v>
      </c>
      <c r="K59" s="2" t="s">
        <v>295</v>
      </c>
      <c r="L59" s="2" t="s">
        <v>296</v>
      </c>
    </row>
    <row r="60" spans="1:12" ht="28.9">
      <c r="A60" s="128"/>
      <c r="B60" s="128"/>
      <c r="C60" s="128"/>
      <c r="D60" s="123"/>
      <c r="E60" s="135"/>
      <c r="F60" s="2" t="s">
        <v>297</v>
      </c>
      <c r="G60" s="2" t="s">
        <v>95</v>
      </c>
      <c r="H60" s="123"/>
      <c r="I60" s="131"/>
      <c r="J60" s="2" t="s">
        <v>95</v>
      </c>
      <c r="K60" s="2" t="s">
        <v>298</v>
      </c>
      <c r="L60" s="2" t="s">
        <v>299</v>
      </c>
    </row>
    <row r="61" spans="1:12" ht="30.75">
      <c r="A61" s="128"/>
      <c r="B61" s="128"/>
      <c r="C61" s="128"/>
      <c r="D61" s="123"/>
      <c r="E61" s="135"/>
      <c r="F61" s="3" t="s">
        <v>300</v>
      </c>
      <c r="G61" s="2" t="s">
        <v>95</v>
      </c>
      <c r="H61" s="123"/>
      <c r="I61" s="131"/>
      <c r="J61" s="2" t="s">
        <v>240</v>
      </c>
      <c r="K61" s="2" t="s">
        <v>233</v>
      </c>
      <c r="L61" s="2" t="s">
        <v>233</v>
      </c>
    </row>
    <row r="62" spans="1:12" ht="30.75">
      <c r="A62" s="128"/>
      <c r="B62" s="128"/>
      <c r="C62" s="128"/>
      <c r="D62" s="123"/>
      <c r="E62" s="135"/>
      <c r="F62" s="2" t="s">
        <v>301</v>
      </c>
      <c r="G62" s="2" t="s">
        <v>95</v>
      </c>
      <c r="H62" s="123"/>
      <c r="I62" s="131"/>
      <c r="J62" s="2" t="s">
        <v>240</v>
      </c>
      <c r="K62" s="2" t="s">
        <v>233</v>
      </c>
      <c r="L62" s="2" t="s">
        <v>233</v>
      </c>
    </row>
    <row r="63" spans="1:12" ht="45.75">
      <c r="A63" s="128"/>
      <c r="B63" s="128"/>
      <c r="C63" s="128"/>
      <c r="D63" s="124"/>
      <c r="E63" s="135"/>
      <c r="F63" s="3" t="s">
        <v>302</v>
      </c>
      <c r="G63" s="2" t="s">
        <v>95</v>
      </c>
      <c r="H63" s="124"/>
      <c r="I63" s="130"/>
      <c r="J63" s="2" t="s">
        <v>240</v>
      </c>
      <c r="K63" s="2" t="s">
        <v>233</v>
      </c>
      <c r="L63" s="2" t="s">
        <v>233</v>
      </c>
    </row>
    <row r="64" spans="1:12" ht="144">
      <c r="A64" s="128">
        <v>25</v>
      </c>
      <c r="B64" s="128">
        <v>12</v>
      </c>
      <c r="C64" s="128" t="s">
        <v>303</v>
      </c>
      <c r="D64" s="122" t="s">
        <v>304</v>
      </c>
      <c r="E64" s="135" t="s">
        <v>305</v>
      </c>
      <c r="F64" s="2" t="s">
        <v>306</v>
      </c>
      <c r="G64" s="2" t="s">
        <v>95</v>
      </c>
      <c r="H64" s="128">
        <v>4</v>
      </c>
      <c r="I64" s="129">
        <v>0.8</v>
      </c>
      <c r="J64" s="2" t="s">
        <v>95</v>
      </c>
      <c r="K64" s="2" t="s">
        <v>307</v>
      </c>
      <c r="L64" s="2" t="s">
        <v>308</v>
      </c>
    </row>
    <row r="65" spans="1:12" ht="72">
      <c r="A65" s="128"/>
      <c r="B65" s="128"/>
      <c r="C65" s="128"/>
      <c r="D65" s="124"/>
      <c r="E65" s="135"/>
      <c r="F65" s="3" t="s">
        <v>309</v>
      </c>
      <c r="G65" s="2" t="s">
        <v>95</v>
      </c>
      <c r="H65" s="128"/>
      <c r="I65" s="130"/>
      <c r="J65" s="2" t="s">
        <v>95</v>
      </c>
      <c r="K65" s="2" t="s">
        <v>310</v>
      </c>
      <c r="L65" s="2" t="s">
        <v>311</v>
      </c>
    </row>
    <row r="66" spans="1:12" ht="57.6">
      <c r="A66" s="2">
        <v>26</v>
      </c>
      <c r="B66" s="2">
        <v>12</v>
      </c>
      <c r="C66" s="2" t="s">
        <v>312</v>
      </c>
      <c r="D66" s="2" t="s">
        <v>304</v>
      </c>
      <c r="E66" s="75" t="s">
        <v>313</v>
      </c>
      <c r="F66" s="2" t="s">
        <v>314</v>
      </c>
      <c r="G66" s="2" t="s">
        <v>95</v>
      </c>
      <c r="H66" s="2">
        <v>4</v>
      </c>
      <c r="I66" s="86">
        <v>0.8</v>
      </c>
      <c r="J66" s="2" t="s">
        <v>95</v>
      </c>
      <c r="K66" s="2" t="s">
        <v>315</v>
      </c>
      <c r="L66" s="2" t="s">
        <v>316</v>
      </c>
    </row>
    <row r="67" spans="1:12" ht="57.6">
      <c r="A67" s="128">
        <v>27</v>
      </c>
      <c r="B67" s="128">
        <v>12</v>
      </c>
      <c r="C67" s="128" t="s">
        <v>317</v>
      </c>
      <c r="D67" s="122" t="s">
        <v>304</v>
      </c>
      <c r="E67" s="135" t="s">
        <v>318</v>
      </c>
      <c r="F67" s="2" t="s">
        <v>319</v>
      </c>
      <c r="G67" s="2" t="s">
        <v>95</v>
      </c>
      <c r="H67" s="128">
        <v>4</v>
      </c>
      <c r="I67" s="129">
        <v>0.8</v>
      </c>
      <c r="J67" s="2" t="s">
        <v>95</v>
      </c>
      <c r="K67" s="2" t="s">
        <v>320</v>
      </c>
      <c r="L67" s="2" t="s">
        <v>316</v>
      </c>
    </row>
    <row r="68" spans="1:12" ht="57.6">
      <c r="A68" s="128"/>
      <c r="B68" s="128"/>
      <c r="C68" s="128"/>
      <c r="D68" s="124"/>
      <c r="E68" s="135"/>
      <c r="F68" s="2" t="s">
        <v>321</v>
      </c>
      <c r="G68" s="2" t="s">
        <v>95</v>
      </c>
      <c r="H68" s="128"/>
      <c r="I68" s="130"/>
      <c r="J68" s="2" t="s">
        <v>95</v>
      </c>
      <c r="K68" s="2" t="s">
        <v>320</v>
      </c>
      <c r="L68" s="2" t="s">
        <v>316</v>
      </c>
    </row>
    <row r="69" spans="1:12" ht="100.9">
      <c r="A69" s="2">
        <v>28</v>
      </c>
      <c r="B69" s="2">
        <v>12</v>
      </c>
      <c r="C69" s="2" t="s">
        <v>322</v>
      </c>
      <c r="D69" s="2" t="s">
        <v>304</v>
      </c>
      <c r="E69" s="75" t="s">
        <v>323</v>
      </c>
      <c r="F69" s="2" t="s">
        <v>324</v>
      </c>
      <c r="G69" s="2" t="s">
        <v>95</v>
      </c>
      <c r="H69" s="2">
        <v>4</v>
      </c>
      <c r="I69" s="86">
        <v>0.8</v>
      </c>
      <c r="J69" s="2" t="s">
        <v>95</v>
      </c>
      <c r="K69" s="2" t="s">
        <v>325</v>
      </c>
      <c r="L69" s="2" t="s">
        <v>326</v>
      </c>
    </row>
    <row r="70" spans="1:12" ht="57.6">
      <c r="A70" s="2">
        <v>29</v>
      </c>
      <c r="B70" s="2">
        <v>12</v>
      </c>
      <c r="C70" s="2" t="s">
        <v>327</v>
      </c>
      <c r="D70" s="2" t="s">
        <v>304</v>
      </c>
      <c r="E70" s="75" t="s">
        <v>328</v>
      </c>
      <c r="F70" s="2" t="s">
        <v>329</v>
      </c>
      <c r="G70" s="2" t="s">
        <v>95</v>
      </c>
      <c r="H70" s="2">
        <v>4</v>
      </c>
      <c r="I70" s="86">
        <v>0.8</v>
      </c>
      <c r="J70" s="2" t="s">
        <v>95</v>
      </c>
      <c r="K70" s="2" t="s">
        <v>330</v>
      </c>
      <c r="L70" s="2" t="s">
        <v>316</v>
      </c>
    </row>
    <row r="71" spans="1:12" ht="43.15">
      <c r="A71" s="2">
        <v>30</v>
      </c>
      <c r="B71" s="2">
        <v>8</v>
      </c>
      <c r="C71" s="2" t="s">
        <v>331</v>
      </c>
      <c r="D71" s="2" t="s">
        <v>332</v>
      </c>
      <c r="E71" s="75" t="s">
        <v>333</v>
      </c>
      <c r="F71" s="2" t="s">
        <v>334</v>
      </c>
      <c r="G71" s="2" t="s">
        <v>95</v>
      </c>
      <c r="H71" s="104">
        <v>4</v>
      </c>
      <c r="I71" s="86">
        <v>0.8</v>
      </c>
      <c r="J71" s="2" t="s">
        <v>95</v>
      </c>
      <c r="K71" s="2" t="s">
        <v>233</v>
      </c>
      <c r="L71" s="2" t="s">
        <v>335</v>
      </c>
    </row>
    <row r="72" spans="1:12" ht="28.9">
      <c r="A72" s="128">
        <v>31</v>
      </c>
      <c r="B72" s="128">
        <v>13</v>
      </c>
      <c r="C72" s="128" t="s">
        <v>336</v>
      </c>
      <c r="D72" s="122" t="s">
        <v>332</v>
      </c>
      <c r="E72" s="135" t="s">
        <v>337</v>
      </c>
      <c r="F72" s="2" t="s">
        <v>338</v>
      </c>
      <c r="G72" s="2" t="s">
        <v>95</v>
      </c>
      <c r="H72" s="128">
        <v>4</v>
      </c>
      <c r="I72" s="129">
        <v>0.8</v>
      </c>
      <c r="J72" s="2" t="s">
        <v>95</v>
      </c>
      <c r="K72" s="2" t="s">
        <v>339</v>
      </c>
      <c r="L72" s="2" t="s">
        <v>340</v>
      </c>
    </row>
    <row r="73" spans="1:12" ht="28.9">
      <c r="A73" s="128"/>
      <c r="B73" s="128"/>
      <c r="C73" s="128"/>
      <c r="D73" s="124"/>
      <c r="E73" s="135"/>
      <c r="F73" s="2" t="s">
        <v>341</v>
      </c>
      <c r="G73" s="2" t="s">
        <v>95</v>
      </c>
      <c r="H73" s="128"/>
      <c r="I73" s="130"/>
      <c r="J73" s="2" t="s">
        <v>95</v>
      </c>
      <c r="K73" s="2" t="s">
        <v>342</v>
      </c>
      <c r="L73" s="2" t="s">
        <v>343</v>
      </c>
    </row>
    <row r="74" spans="1:12" ht="86.45">
      <c r="A74" s="2">
        <v>32</v>
      </c>
      <c r="B74" s="2">
        <v>14</v>
      </c>
      <c r="C74" s="2" t="s">
        <v>344</v>
      </c>
      <c r="D74" s="2" t="s">
        <v>345</v>
      </c>
      <c r="E74" s="75" t="s">
        <v>346</v>
      </c>
      <c r="F74" s="2" t="s">
        <v>347</v>
      </c>
      <c r="G74" s="2" t="s">
        <v>95</v>
      </c>
      <c r="H74" s="2">
        <v>4</v>
      </c>
      <c r="I74" s="86">
        <v>0.8</v>
      </c>
      <c r="J74" s="2" t="s">
        <v>95</v>
      </c>
      <c r="K74" s="2" t="s">
        <v>348</v>
      </c>
      <c r="L74" s="2" t="s">
        <v>349</v>
      </c>
    </row>
    <row r="75" spans="1:12" ht="57.6">
      <c r="A75" s="2">
        <v>33</v>
      </c>
      <c r="B75" s="2">
        <v>14</v>
      </c>
      <c r="C75" s="2" t="s">
        <v>350</v>
      </c>
      <c r="D75" s="2" t="s">
        <v>345</v>
      </c>
      <c r="E75" s="75" t="s">
        <v>351</v>
      </c>
      <c r="F75" s="2" t="s">
        <v>352</v>
      </c>
      <c r="G75" s="2" t="s">
        <v>95</v>
      </c>
      <c r="H75" s="2">
        <v>4</v>
      </c>
      <c r="I75" s="86">
        <v>0.8</v>
      </c>
      <c r="J75" s="2" t="s">
        <v>95</v>
      </c>
      <c r="K75" s="2" t="s">
        <v>353</v>
      </c>
      <c r="L75" s="2" t="s">
        <v>354</v>
      </c>
    </row>
    <row r="76" spans="1:12" ht="43.15">
      <c r="A76" s="128">
        <v>34</v>
      </c>
      <c r="B76" s="128">
        <v>14</v>
      </c>
      <c r="C76" s="128" t="s">
        <v>355</v>
      </c>
      <c r="D76" s="122" t="s">
        <v>345</v>
      </c>
      <c r="E76" s="135" t="s">
        <v>356</v>
      </c>
      <c r="F76" s="3" t="s">
        <v>357</v>
      </c>
      <c r="G76" s="2" t="s">
        <v>95</v>
      </c>
      <c r="H76" s="128">
        <v>4</v>
      </c>
      <c r="I76" s="129">
        <v>0.8</v>
      </c>
      <c r="J76" s="2" t="s">
        <v>95</v>
      </c>
      <c r="K76" s="34" t="s">
        <v>233</v>
      </c>
      <c r="L76" s="34" t="s">
        <v>358</v>
      </c>
    </row>
    <row r="77" spans="1:12" ht="14.45">
      <c r="A77" s="128"/>
      <c r="B77" s="128"/>
      <c r="C77" s="128"/>
      <c r="D77" s="124"/>
      <c r="E77" s="135"/>
      <c r="F77" s="2" t="s">
        <v>359</v>
      </c>
      <c r="G77" s="2" t="s">
        <v>95</v>
      </c>
      <c r="H77" s="128"/>
      <c r="I77" s="130"/>
      <c r="J77" s="2" t="s">
        <v>95</v>
      </c>
      <c r="K77" s="34" t="s">
        <v>233</v>
      </c>
      <c r="L77" s="34" t="s">
        <v>360</v>
      </c>
    </row>
    <row r="78" spans="1:12" ht="28.9">
      <c r="A78" s="128">
        <v>35</v>
      </c>
      <c r="B78" s="128">
        <v>14</v>
      </c>
      <c r="C78" s="128" t="s">
        <v>361</v>
      </c>
      <c r="D78" s="122" t="s">
        <v>345</v>
      </c>
      <c r="E78" s="135" t="s">
        <v>362</v>
      </c>
      <c r="F78" s="3" t="s">
        <v>363</v>
      </c>
      <c r="G78" s="2" t="s">
        <v>240</v>
      </c>
      <c r="H78" s="128">
        <v>2</v>
      </c>
      <c r="I78" s="129">
        <v>0.6</v>
      </c>
      <c r="J78" s="2" t="s">
        <v>240</v>
      </c>
      <c r="K78" s="34" t="s">
        <v>233</v>
      </c>
      <c r="L78" s="34" t="s">
        <v>233</v>
      </c>
    </row>
    <row r="79" spans="1:12" ht="14.45">
      <c r="A79" s="128"/>
      <c r="B79" s="128"/>
      <c r="C79" s="128"/>
      <c r="D79" s="123"/>
      <c r="E79" s="135"/>
      <c r="F79" s="2" t="s">
        <v>364</v>
      </c>
      <c r="G79" s="2" t="s">
        <v>240</v>
      </c>
      <c r="H79" s="128"/>
      <c r="I79" s="131"/>
      <c r="J79" s="2" t="s">
        <v>240</v>
      </c>
      <c r="K79" s="34" t="s">
        <v>233</v>
      </c>
      <c r="L79" s="34" t="s">
        <v>233</v>
      </c>
    </row>
    <row r="80" spans="1:12" ht="14.45">
      <c r="A80" s="128"/>
      <c r="B80" s="128"/>
      <c r="C80" s="128"/>
      <c r="D80" s="123"/>
      <c r="E80" s="135"/>
      <c r="F80" s="3" t="s">
        <v>365</v>
      </c>
      <c r="G80" s="2" t="s">
        <v>240</v>
      </c>
      <c r="H80" s="128"/>
      <c r="I80" s="131"/>
      <c r="J80" s="2" t="s">
        <v>240</v>
      </c>
      <c r="K80" s="34" t="s">
        <v>233</v>
      </c>
      <c r="L80" s="34" t="s">
        <v>233</v>
      </c>
    </row>
    <row r="81" spans="1:12" ht="14.45">
      <c r="A81" s="128"/>
      <c r="B81" s="128"/>
      <c r="C81" s="128"/>
      <c r="D81" s="124"/>
      <c r="E81" s="135"/>
      <c r="F81" s="2" t="s">
        <v>366</v>
      </c>
      <c r="G81" s="2" t="s">
        <v>240</v>
      </c>
      <c r="H81" s="128"/>
      <c r="I81" s="130"/>
      <c r="J81" s="2" t="s">
        <v>240</v>
      </c>
      <c r="K81" s="34" t="s">
        <v>233</v>
      </c>
      <c r="L81" s="34" t="s">
        <v>233</v>
      </c>
    </row>
    <row r="82" spans="1:12" ht="43.15">
      <c r="A82" s="128">
        <v>36</v>
      </c>
      <c r="B82" s="128">
        <v>14</v>
      </c>
      <c r="C82" s="128" t="s">
        <v>367</v>
      </c>
      <c r="D82" s="122" t="s">
        <v>368</v>
      </c>
      <c r="E82" s="135" t="s">
        <v>369</v>
      </c>
      <c r="F82" s="3" t="s">
        <v>370</v>
      </c>
      <c r="G82" s="2" t="s">
        <v>95</v>
      </c>
      <c r="H82" s="128">
        <v>4</v>
      </c>
      <c r="I82" s="129">
        <v>0.8</v>
      </c>
      <c r="J82" s="2" t="s">
        <v>95</v>
      </c>
      <c r="K82" s="2" t="s">
        <v>371</v>
      </c>
      <c r="L82" s="2" t="s">
        <v>372</v>
      </c>
    </row>
    <row r="83" spans="1:12" ht="28.9">
      <c r="A83" s="128"/>
      <c r="B83" s="128"/>
      <c r="C83" s="128"/>
      <c r="D83" s="124"/>
      <c r="E83" s="135"/>
      <c r="F83" s="2" t="s">
        <v>373</v>
      </c>
      <c r="G83" s="2" t="s">
        <v>95</v>
      </c>
      <c r="H83" s="128"/>
      <c r="I83" s="130"/>
      <c r="J83" s="2" t="s">
        <v>95</v>
      </c>
      <c r="K83" s="2" t="s">
        <v>374</v>
      </c>
      <c r="L83" s="2" t="s">
        <v>375</v>
      </c>
    </row>
    <row r="84" spans="1:12" ht="43.15">
      <c r="A84" s="128">
        <v>37</v>
      </c>
      <c r="B84" s="128">
        <v>14</v>
      </c>
      <c r="C84" s="128" t="s">
        <v>376</v>
      </c>
      <c r="D84" s="122" t="s">
        <v>368</v>
      </c>
      <c r="E84" s="135" t="s">
        <v>377</v>
      </c>
      <c r="F84" s="3" t="s">
        <v>378</v>
      </c>
      <c r="G84" s="2" t="s">
        <v>95</v>
      </c>
      <c r="H84" s="128">
        <v>4</v>
      </c>
      <c r="I84" s="129">
        <v>0.8</v>
      </c>
      <c r="J84" s="2" t="s">
        <v>95</v>
      </c>
      <c r="K84" s="2" t="s">
        <v>379</v>
      </c>
      <c r="L84" s="2" t="s">
        <v>380</v>
      </c>
    </row>
    <row r="85" spans="1:12" ht="28.9">
      <c r="A85" s="128"/>
      <c r="B85" s="128"/>
      <c r="C85" s="128"/>
      <c r="D85" s="124"/>
      <c r="E85" s="135"/>
      <c r="F85" s="3" t="s">
        <v>381</v>
      </c>
      <c r="G85" s="2" t="s">
        <v>95</v>
      </c>
      <c r="H85" s="128"/>
      <c r="I85" s="130"/>
      <c r="J85" s="2" t="s">
        <v>95</v>
      </c>
      <c r="K85" s="2" t="s">
        <v>382</v>
      </c>
      <c r="L85" s="2" t="s">
        <v>375</v>
      </c>
    </row>
    <row r="86" spans="1:12" ht="28.9">
      <c r="A86" s="2">
        <v>38</v>
      </c>
      <c r="B86" s="2"/>
      <c r="C86" s="2"/>
      <c r="D86" s="2" t="s">
        <v>368</v>
      </c>
      <c r="E86" s="80" t="s">
        <v>383</v>
      </c>
      <c r="F86" s="3"/>
      <c r="G86" s="2"/>
      <c r="H86" s="2"/>
      <c r="I86" s="86"/>
      <c r="J86" s="2"/>
      <c r="K86" s="2"/>
      <c r="L86" s="2"/>
    </row>
    <row r="87" spans="1:12" ht="28.9">
      <c r="A87" s="128">
        <v>39</v>
      </c>
      <c r="B87" s="128">
        <v>14</v>
      </c>
      <c r="C87" s="128" t="s">
        <v>384</v>
      </c>
      <c r="D87" s="125"/>
      <c r="E87" s="135" t="s">
        <v>385</v>
      </c>
      <c r="F87" s="2" t="s">
        <v>386</v>
      </c>
      <c r="G87" s="2" t="s">
        <v>95</v>
      </c>
      <c r="H87" s="128">
        <v>3</v>
      </c>
      <c r="I87" s="129">
        <v>0.7</v>
      </c>
      <c r="J87" s="2" t="s">
        <v>95</v>
      </c>
      <c r="K87" s="34" t="s">
        <v>233</v>
      </c>
      <c r="L87" s="34" t="s">
        <v>387</v>
      </c>
    </row>
    <row r="88" spans="1:12" ht="43.15">
      <c r="A88" s="128"/>
      <c r="B88" s="128"/>
      <c r="C88" s="128"/>
      <c r="D88" s="126"/>
      <c r="E88" s="135"/>
      <c r="F88" s="3" t="s">
        <v>388</v>
      </c>
      <c r="G88" s="2" t="s">
        <v>95</v>
      </c>
      <c r="H88" s="128"/>
      <c r="I88" s="131"/>
      <c r="J88" s="2" t="s">
        <v>95</v>
      </c>
      <c r="K88" s="34" t="s">
        <v>233</v>
      </c>
      <c r="L88" s="34" t="s">
        <v>387</v>
      </c>
    </row>
    <row r="89" spans="1:12" ht="28.9">
      <c r="A89" s="128"/>
      <c r="B89" s="128"/>
      <c r="C89" s="128"/>
      <c r="D89" s="126"/>
      <c r="E89" s="135"/>
      <c r="F89" s="2" t="s">
        <v>389</v>
      </c>
      <c r="G89" s="2" t="s">
        <v>95</v>
      </c>
      <c r="H89" s="128"/>
      <c r="I89" s="131"/>
      <c r="J89" s="2" t="s">
        <v>95</v>
      </c>
      <c r="K89" s="34" t="s">
        <v>233</v>
      </c>
      <c r="L89" s="34" t="s">
        <v>390</v>
      </c>
    </row>
    <row r="90" spans="1:12" ht="72">
      <c r="A90" s="128"/>
      <c r="B90" s="128"/>
      <c r="C90" s="128"/>
      <c r="D90" s="126"/>
      <c r="E90" s="135"/>
      <c r="F90" s="3" t="s">
        <v>391</v>
      </c>
      <c r="G90" s="2" t="s">
        <v>95</v>
      </c>
      <c r="H90" s="128"/>
      <c r="I90" s="131"/>
      <c r="J90" s="2" t="s">
        <v>95</v>
      </c>
      <c r="K90" s="2" t="s">
        <v>392</v>
      </c>
      <c r="L90" s="2" t="s">
        <v>393</v>
      </c>
    </row>
    <row r="91" spans="1:12" ht="57.6">
      <c r="A91" s="128"/>
      <c r="B91" s="128"/>
      <c r="C91" s="128"/>
      <c r="D91" s="126"/>
      <c r="E91" s="135"/>
      <c r="F91" s="2" t="s">
        <v>394</v>
      </c>
      <c r="G91" s="2" t="s">
        <v>95</v>
      </c>
      <c r="H91" s="128"/>
      <c r="I91" s="131"/>
      <c r="J91" s="2" t="s">
        <v>95</v>
      </c>
      <c r="K91" s="2" t="s">
        <v>395</v>
      </c>
      <c r="L91" s="2" t="s">
        <v>396</v>
      </c>
    </row>
    <row r="92" spans="1:12" ht="14.45">
      <c r="A92" s="128"/>
      <c r="B92" s="128"/>
      <c r="C92" s="128"/>
      <c r="D92" s="127"/>
      <c r="E92" s="135"/>
      <c r="F92" s="3" t="s">
        <v>397</v>
      </c>
      <c r="G92" s="2" t="s">
        <v>240</v>
      </c>
      <c r="H92" s="128"/>
      <c r="I92" s="130"/>
      <c r="J92" s="2" t="s">
        <v>240</v>
      </c>
      <c r="K92" s="34" t="s">
        <v>233</v>
      </c>
      <c r="L92" s="34" t="s">
        <v>233</v>
      </c>
    </row>
    <row r="93" spans="1:12" ht="28.9">
      <c r="A93" s="2">
        <v>40</v>
      </c>
      <c r="B93" s="2"/>
      <c r="C93" s="2"/>
      <c r="D93" s="2" t="s">
        <v>159</v>
      </c>
      <c r="E93" s="80" t="s">
        <v>398</v>
      </c>
      <c r="F93" s="3"/>
      <c r="G93" s="2"/>
      <c r="H93" s="2"/>
      <c r="I93" s="86"/>
      <c r="J93" s="2"/>
      <c r="K93" s="2"/>
      <c r="L93" s="2"/>
    </row>
    <row r="94" spans="1:12" ht="28.9">
      <c r="A94" s="2">
        <v>41</v>
      </c>
      <c r="B94" s="2"/>
      <c r="C94" s="2"/>
      <c r="D94" s="2" t="s">
        <v>159</v>
      </c>
      <c r="E94" s="80" t="s">
        <v>399</v>
      </c>
      <c r="F94" s="3"/>
      <c r="G94" s="2"/>
      <c r="H94" s="2"/>
      <c r="I94" s="86"/>
      <c r="J94" s="2"/>
      <c r="K94" s="2"/>
      <c r="L94" s="2"/>
    </row>
    <row r="95" spans="1:12" ht="28.9">
      <c r="A95" s="2">
        <v>42</v>
      </c>
      <c r="B95" s="2">
        <v>3</v>
      </c>
      <c r="C95" s="2" t="s">
        <v>400</v>
      </c>
      <c r="D95" s="2" t="s">
        <v>401</v>
      </c>
      <c r="E95" s="75" t="s">
        <v>402</v>
      </c>
      <c r="F95" s="2" t="s">
        <v>403</v>
      </c>
      <c r="G95" s="2" t="s">
        <v>95</v>
      </c>
      <c r="H95" s="2">
        <v>3</v>
      </c>
      <c r="I95" s="86">
        <v>0.7</v>
      </c>
      <c r="J95" s="2" t="s">
        <v>95</v>
      </c>
      <c r="K95" s="34" t="s">
        <v>233</v>
      </c>
      <c r="L95" s="34" t="s">
        <v>404</v>
      </c>
    </row>
    <row r="96" spans="1:12" ht="86.45">
      <c r="A96" s="2">
        <v>43</v>
      </c>
      <c r="B96" s="2">
        <v>3</v>
      </c>
      <c r="C96" s="2" t="s">
        <v>405</v>
      </c>
      <c r="D96" s="2" t="s">
        <v>401</v>
      </c>
      <c r="E96" s="75" t="s">
        <v>406</v>
      </c>
      <c r="F96" s="3" t="s">
        <v>407</v>
      </c>
      <c r="G96" s="2" t="s">
        <v>95</v>
      </c>
      <c r="H96" s="2">
        <v>4</v>
      </c>
      <c r="I96" s="86">
        <v>0.8</v>
      </c>
      <c r="J96" s="2" t="s">
        <v>95</v>
      </c>
      <c r="K96" s="2" t="s">
        <v>408</v>
      </c>
      <c r="L96" s="2" t="s">
        <v>409</v>
      </c>
    </row>
    <row r="97" spans="1:12" ht="129.6">
      <c r="A97" s="2">
        <v>44</v>
      </c>
      <c r="B97" s="2">
        <v>3</v>
      </c>
      <c r="C97" s="2" t="s">
        <v>410</v>
      </c>
      <c r="D97" s="2" t="s">
        <v>401</v>
      </c>
      <c r="E97" s="75" t="s">
        <v>411</v>
      </c>
      <c r="F97" s="2" t="s">
        <v>412</v>
      </c>
      <c r="G97" s="2" t="s">
        <v>95</v>
      </c>
      <c r="H97" s="2">
        <v>4</v>
      </c>
      <c r="I97" s="86">
        <v>0.8</v>
      </c>
      <c r="J97" s="2" t="s">
        <v>95</v>
      </c>
      <c r="K97" s="2" t="s">
        <v>413</v>
      </c>
      <c r="L97" s="2" t="s">
        <v>414</v>
      </c>
    </row>
    <row r="98" spans="1:12" ht="43.15">
      <c r="A98" s="2">
        <v>45</v>
      </c>
      <c r="B98" s="2">
        <v>3</v>
      </c>
      <c r="C98" s="2" t="s">
        <v>415</v>
      </c>
      <c r="D98" s="2" t="s">
        <v>401</v>
      </c>
      <c r="E98" s="75" t="s">
        <v>416</v>
      </c>
      <c r="F98" s="3" t="s">
        <v>417</v>
      </c>
      <c r="G98" s="2" t="s">
        <v>95</v>
      </c>
      <c r="H98" s="2">
        <v>4</v>
      </c>
      <c r="I98" s="86">
        <v>0.8</v>
      </c>
      <c r="J98" s="2" t="s">
        <v>95</v>
      </c>
      <c r="K98" s="2" t="s">
        <v>418</v>
      </c>
      <c r="L98" s="2" t="s">
        <v>419</v>
      </c>
    </row>
    <row r="99" spans="1:12" ht="43.15">
      <c r="A99" s="2">
        <v>46</v>
      </c>
      <c r="B99" s="2">
        <v>3</v>
      </c>
      <c r="C99" s="2" t="s">
        <v>420</v>
      </c>
      <c r="D99" s="2" t="s">
        <v>401</v>
      </c>
      <c r="E99" s="75" t="s">
        <v>421</v>
      </c>
      <c r="F99" s="2" t="s">
        <v>422</v>
      </c>
      <c r="G99" s="2" t="s">
        <v>95</v>
      </c>
      <c r="H99" s="2">
        <v>4</v>
      </c>
      <c r="I99" s="86">
        <v>0.8</v>
      </c>
      <c r="J99" s="2" t="s">
        <v>95</v>
      </c>
      <c r="K99" s="2" t="s">
        <v>423</v>
      </c>
      <c r="L99" s="2" t="s">
        <v>424</v>
      </c>
    </row>
    <row r="100" spans="1:12" ht="43.15">
      <c r="A100" s="2">
        <v>47</v>
      </c>
      <c r="B100" s="2">
        <v>9</v>
      </c>
      <c r="C100" s="2" t="s">
        <v>425</v>
      </c>
      <c r="D100" s="2" t="s">
        <v>401</v>
      </c>
      <c r="E100" s="75" t="s">
        <v>426</v>
      </c>
      <c r="F100" s="3" t="s">
        <v>427</v>
      </c>
      <c r="G100" s="2" t="s">
        <v>95</v>
      </c>
      <c r="H100" s="2">
        <v>4</v>
      </c>
      <c r="I100" s="86">
        <v>0.8</v>
      </c>
      <c r="J100" s="2" t="s">
        <v>95</v>
      </c>
      <c r="K100" s="2" t="s">
        <v>428</v>
      </c>
      <c r="L100" s="2" t="s">
        <v>424</v>
      </c>
    </row>
    <row r="101" spans="1:12" ht="72">
      <c r="A101" s="2">
        <v>48</v>
      </c>
      <c r="B101" s="2">
        <v>2</v>
      </c>
      <c r="C101" s="2" t="s">
        <v>429</v>
      </c>
      <c r="D101" s="2" t="s">
        <v>430</v>
      </c>
      <c r="E101" s="75" t="s">
        <v>431</v>
      </c>
      <c r="F101" s="2" t="s">
        <v>432</v>
      </c>
      <c r="G101" s="2" t="s">
        <v>95</v>
      </c>
      <c r="H101" s="2">
        <v>4</v>
      </c>
      <c r="I101" s="86">
        <v>0.8</v>
      </c>
      <c r="J101" s="2" t="s">
        <v>95</v>
      </c>
      <c r="K101" s="2" t="s">
        <v>433</v>
      </c>
      <c r="L101" s="2" t="s">
        <v>434</v>
      </c>
    </row>
    <row r="102" spans="1:12" ht="58.15" customHeight="1">
      <c r="A102" s="2">
        <v>49</v>
      </c>
      <c r="B102" s="2">
        <v>12</v>
      </c>
      <c r="C102" s="2" t="s">
        <v>435</v>
      </c>
      <c r="D102" s="2" t="s">
        <v>304</v>
      </c>
      <c r="E102" s="75" t="s">
        <v>436</v>
      </c>
      <c r="F102" s="3" t="s">
        <v>134</v>
      </c>
      <c r="G102" s="2" t="s">
        <v>95</v>
      </c>
      <c r="H102" s="2">
        <v>4</v>
      </c>
      <c r="I102" s="86">
        <v>0.8</v>
      </c>
      <c r="J102" s="2" t="s">
        <v>95</v>
      </c>
      <c r="K102" s="2" t="s">
        <v>437</v>
      </c>
      <c r="L102" s="2" t="s">
        <v>438</v>
      </c>
    </row>
    <row r="103" spans="1:12" ht="86.45">
      <c r="A103" s="2">
        <v>50</v>
      </c>
      <c r="B103" s="2">
        <v>7</v>
      </c>
      <c r="C103" s="2" t="s">
        <v>439</v>
      </c>
      <c r="D103" s="2" t="s">
        <v>440</v>
      </c>
      <c r="E103" s="75" t="s">
        <v>441</v>
      </c>
      <c r="F103" s="2" t="s">
        <v>442</v>
      </c>
      <c r="G103" s="2" t="s">
        <v>95</v>
      </c>
      <c r="H103" s="2">
        <v>4</v>
      </c>
      <c r="I103" s="86">
        <v>0.8</v>
      </c>
      <c r="J103" s="2" t="s">
        <v>95</v>
      </c>
      <c r="K103" s="34" t="s">
        <v>233</v>
      </c>
      <c r="L103" s="34" t="s">
        <v>443</v>
      </c>
    </row>
    <row r="104" spans="1:12" ht="129.6">
      <c r="A104" s="2">
        <v>51</v>
      </c>
      <c r="B104" s="2">
        <v>7</v>
      </c>
      <c r="C104" s="2" t="s">
        <v>444</v>
      </c>
      <c r="D104" s="2" t="s">
        <v>440</v>
      </c>
      <c r="E104" s="75" t="s">
        <v>445</v>
      </c>
      <c r="F104" s="3" t="s">
        <v>446</v>
      </c>
      <c r="G104" s="2" t="s">
        <v>95</v>
      </c>
      <c r="H104" s="2">
        <v>4</v>
      </c>
      <c r="I104" s="86">
        <v>0.8</v>
      </c>
      <c r="J104" s="2" t="s">
        <v>95</v>
      </c>
      <c r="K104" s="2" t="s">
        <v>447</v>
      </c>
      <c r="L104" s="2" t="s">
        <v>448</v>
      </c>
    </row>
    <row r="105" spans="1:12" ht="86.45">
      <c r="A105" s="2">
        <v>52</v>
      </c>
      <c r="B105" s="2">
        <v>7</v>
      </c>
      <c r="C105" s="2" t="s">
        <v>449</v>
      </c>
      <c r="D105" s="2" t="s">
        <v>440</v>
      </c>
      <c r="E105" s="75" t="s">
        <v>450</v>
      </c>
      <c r="F105" s="2" t="s">
        <v>451</v>
      </c>
      <c r="G105" s="2" t="s">
        <v>95</v>
      </c>
      <c r="H105" s="2">
        <v>4</v>
      </c>
      <c r="I105" s="86">
        <v>0.8</v>
      </c>
      <c r="J105" s="2" t="s">
        <v>95</v>
      </c>
      <c r="K105" s="2" t="s">
        <v>452</v>
      </c>
      <c r="L105" s="103" t="s">
        <v>443</v>
      </c>
    </row>
    <row r="106" spans="1:12" ht="14.45">
      <c r="A106" s="2">
        <v>53</v>
      </c>
      <c r="B106" s="2"/>
      <c r="C106" s="2"/>
      <c r="D106" s="2" t="s">
        <v>440</v>
      </c>
      <c r="E106" s="80" t="s">
        <v>453</v>
      </c>
      <c r="F106" s="2"/>
      <c r="G106" s="2"/>
      <c r="H106" s="2">
        <v>4</v>
      </c>
      <c r="I106" s="86"/>
      <c r="J106" s="2"/>
      <c r="K106" s="2"/>
      <c r="L106" s="2"/>
    </row>
    <row r="107" spans="1:12" ht="52.9" customHeight="1">
      <c r="A107" s="2">
        <v>54</v>
      </c>
      <c r="B107" s="2">
        <v>7</v>
      </c>
      <c r="C107" s="2" t="s">
        <v>454</v>
      </c>
      <c r="D107" s="2" t="s">
        <v>440</v>
      </c>
      <c r="E107" s="75" t="s">
        <v>455</v>
      </c>
      <c r="F107" s="3" t="s">
        <v>456</v>
      </c>
      <c r="G107" s="2" t="s">
        <v>95</v>
      </c>
      <c r="H107" s="2">
        <v>4</v>
      </c>
      <c r="I107" s="86">
        <v>0.8</v>
      </c>
      <c r="J107" s="2" t="s">
        <v>95</v>
      </c>
      <c r="K107" s="2" t="s">
        <v>233</v>
      </c>
      <c r="L107" s="103" t="s">
        <v>443</v>
      </c>
    </row>
    <row r="108" spans="1:12" ht="86.45">
      <c r="A108" s="2">
        <v>55</v>
      </c>
      <c r="B108" s="2">
        <v>7</v>
      </c>
      <c r="C108" s="2" t="s">
        <v>457</v>
      </c>
      <c r="D108" s="2" t="s">
        <v>440</v>
      </c>
      <c r="E108" s="75" t="s">
        <v>458</v>
      </c>
      <c r="F108" s="2" t="s">
        <v>459</v>
      </c>
      <c r="G108" s="2" t="s">
        <v>95</v>
      </c>
      <c r="H108" s="2">
        <v>4</v>
      </c>
      <c r="I108" s="86">
        <v>0.8</v>
      </c>
      <c r="J108" s="2" t="s">
        <v>95</v>
      </c>
      <c r="K108" s="2" t="s">
        <v>460</v>
      </c>
      <c r="L108" s="2" t="s">
        <v>461</v>
      </c>
    </row>
    <row r="109" spans="1:12" ht="43.15">
      <c r="A109" s="2">
        <v>56</v>
      </c>
      <c r="B109" s="2">
        <v>7</v>
      </c>
      <c r="C109" s="2" t="s">
        <v>462</v>
      </c>
      <c r="D109" s="2" t="s">
        <v>440</v>
      </c>
      <c r="E109" s="75" t="s">
        <v>463</v>
      </c>
      <c r="F109" s="3" t="s">
        <v>464</v>
      </c>
      <c r="G109" s="2" t="s">
        <v>95</v>
      </c>
      <c r="H109" s="2">
        <v>4</v>
      </c>
      <c r="I109" s="86">
        <v>0.8</v>
      </c>
      <c r="J109" s="2" t="s">
        <v>95</v>
      </c>
      <c r="K109" s="2" t="s">
        <v>233</v>
      </c>
      <c r="L109" s="2" t="s">
        <v>465</v>
      </c>
    </row>
    <row r="110" spans="1:12" ht="43.15">
      <c r="A110" s="2">
        <v>57</v>
      </c>
      <c r="B110" s="2">
        <v>7</v>
      </c>
      <c r="C110" s="2" t="s">
        <v>466</v>
      </c>
      <c r="D110" s="2" t="s">
        <v>440</v>
      </c>
      <c r="E110" s="75" t="s">
        <v>467</v>
      </c>
      <c r="F110" s="2" t="s">
        <v>468</v>
      </c>
      <c r="G110" s="2" t="s">
        <v>95</v>
      </c>
      <c r="H110" s="2">
        <v>4</v>
      </c>
      <c r="I110" s="86">
        <v>0.8</v>
      </c>
      <c r="J110" s="2" t="s">
        <v>95</v>
      </c>
      <c r="K110" s="2" t="s">
        <v>469</v>
      </c>
      <c r="L110" s="102" t="s">
        <v>470</v>
      </c>
    </row>
    <row r="111" spans="1:12" ht="43.15">
      <c r="A111" s="2">
        <v>58</v>
      </c>
      <c r="B111" s="2">
        <v>7</v>
      </c>
      <c r="C111" s="2" t="s">
        <v>471</v>
      </c>
      <c r="D111" s="2" t="s">
        <v>440</v>
      </c>
      <c r="E111" s="75" t="s">
        <v>472</v>
      </c>
      <c r="F111" s="3" t="s">
        <v>473</v>
      </c>
      <c r="G111" s="2" t="s">
        <v>95</v>
      </c>
      <c r="H111" s="2">
        <v>4</v>
      </c>
      <c r="I111" s="86">
        <v>0.8</v>
      </c>
      <c r="J111" s="2" t="s">
        <v>95</v>
      </c>
      <c r="K111" s="2" t="s">
        <v>474</v>
      </c>
      <c r="L111" s="2" t="s">
        <v>475</v>
      </c>
    </row>
    <row r="112" spans="1:12" ht="72">
      <c r="A112" s="2">
        <v>59</v>
      </c>
      <c r="B112" s="2">
        <v>7</v>
      </c>
      <c r="C112" s="2" t="s">
        <v>476</v>
      </c>
      <c r="D112" s="2" t="s">
        <v>168</v>
      </c>
      <c r="E112" s="75" t="s">
        <v>477</v>
      </c>
      <c r="F112" s="2" t="s">
        <v>478</v>
      </c>
      <c r="G112" s="2" t="s">
        <v>95</v>
      </c>
      <c r="H112" s="2">
        <v>4</v>
      </c>
      <c r="I112" s="86">
        <v>0.8</v>
      </c>
      <c r="J112" s="2" t="s">
        <v>95</v>
      </c>
      <c r="K112" s="2" t="s">
        <v>479</v>
      </c>
      <c r="L112" s="2" t="s">
        <v>480</v>
      </c>
    </row>
    <row r="113" spans="1:12" ht="201.6">
      <c r="A113" s="128">
        <v>60</v>
      </c>
      <c r="B113" s="128">
        <v>7</v>
      </c>
      <c r="C113" s="128" t="s">
        <v>481</v>
      </c>
      <c r="D113" s="122" t="s">
        <v>168</v>
      </c>
      <c r="E113" s="135" t="s">
        <v>482</v>
      </c>
      <c r="F113" s="3" t="s">
        <v>483</v>
      </c>
      <c r="G113" s="2" t="s">
        <v>95</v>
      </c>
      <c r="H113" s="134">
        <v>4</v>
      </c>
      <c r="I113" s="129">
        <v>0.8</v>
      </c>
      <c r="J113" s="2" t="s">
        <v>95</v>
      </c>
      <c r="K113" s="2" t="s">
        <v>484</v>
      </c>
      <c r="L113" s="2" t="s">
        <v>485</v>
      </c>
    </row>
    <row r="114" spans="1:12" ht="43.15">
      <c r="A114" s="128"/>
      <c r="B114" s="128"/>
      <c r="C114" s="128"/>
      <c r="D114" s="123"/>
      <c r="E114" s="135"/>
      <c r="F114" s="2" t="s">
        <v>486</v>
      </c>
      <c r="G114" s="2" t="s">
        <v>95</v>
      </c>
      <c r="H114" s="134"/>
      <c r="I114" s="131"/>
      <c r="J114" s="2" t="s">
        <v>95</v>
      </c>
      <c r="K114" s="2" t="s">
        <v>487</v>
      </c>
      <c r="L114" s="2"/>
    </row>
    <row r="115" spans="1:12" ht="43.15">
      <c r="A115" s="128"/>
      <c r="B115" s="128"/>
      <c r="C115" s="128"/>
      <c r="D115" s="123"/>
      <c r="E115" s="135"/>
      <c r="F115" s="3" t="s">
        <v>488</v>
      </c>
      <c r="G115" s="2" t="s">
        <v>95</v>
      </c>
      <c r="H115" s="134"/>
      <c r="I115" s="131"/>
      <c r="J115" s="2" t="s">
        <v>95</v>
      </c>
      <c r="K115" s="2" t="s">
        <v>489</v>
      </c>
      <c r="L115" s="2" t="s">
        <v>490</v>
      </c>
    </row>
    <row r="116" spans="1:12" ht="57.6">
      <c r="A116" s="128"/>
      <c r="B116" s="128"/>
      <c r="C116" s="128"/>
      <c r="D116" s="123"/>
      <c r="E116" s="135"/>
      <c r="F116" s="2" t="s">
        <v>491</v>
      </c>
      <c r="G116" s="2" t="s">
        <v>95</v>
      </c>
      <c r="H116" s="134"/>
      <c r="I116" s="131"/>
      <c r="J116" s="2" t="s">
        <v>95</v>
      </c>
      <c r="K116" s="2" t="s">
        <v>492</v>
      </c>
      <c r="L116" s="2" t="s">
        <v>493</v>
      </c>
    </row>
    <row r="117" spans="1:12" ht="28.9">
      <c r="A117" s="128"/>
      <c r="B117" s="128"/>
      <c r="C117" s="128"/>
      <c r="D117" s="123"/>
      <c r="E117" s="135"/>
      <c r="F117" s="3" t="s">
        <v>494</v>
      </c>
      <c r="G117" s="2" t="s">
        <v>95</v>
      </c>
      <c r="H117" s="134"/>
      <c r="I117" s="131"/>
      <c r="J117" s="2" t="s">
        <v>95</v>
      </c>
      <c r="K117" s="2" t="s">
        <v>495</v>
      </c>
      <c r="L117" s="2" t="s">
        <v>496</v>
      </c>
    </row>
    <row r="118" spans="1:12" ht="43.15">
      <c r="A118" s="128"/>
      <c r="B118" s="128"/>
      <c r="C118" s="128"/>
      <c r="D118" s="124"/>
      <c r="E118" s="135"/>
      <c r="F118" s="2" t="s">
        <v>497</v>
      </c>
      <c r="G118" s="2" t="s">
        <v>95</v>
      </c>
      <c r="H118" s="134"/>
      <c r="I118" s="130"/>
      <c r="J118" s="2" t="s">
        <v>95</v>
      </c>
      <c r="K118" s="2" t="s">
        <v>498</v>
      </c>
      <c r="L118" s="2" t="s">
        <v>499</v>
      </c>
    </row>
    <row r="119" spans="1:12" ht="43.15">
      <c r="A119" s="128">
        <v>61</v>
      </c>
      <c r="B119" s="128">
        <v>7</v>
      </c>
      <c r="C119" s="128" t="s">
        <v>500</v>
      </c>
      <c r="D119" s="122" t="s">
        <v>440</v>
      </c>
      <c r="E119" s="135" t="s">
        <v>501</v>
      </c>
      <c r="F119" s="3" t="s">
        <v>502</v>
      </c>
      <c r="G119" s="2" t="s">
        <v>95</v>
      </c>
      <c r="H119" s="128">
        <v>4</v>
      </c>
      <c r="I119" s="129">
        <v>0.8</v>
      </c>
      <c r="J119" s="2" t="s">
        <v>95</v>
      </c>
      <c r="K119" s="2" t="s">
        <v>233</v>
      </c>
      <c r="L119" s="2" t="s">
        <v>503</v>
      </c>
    </row>
    <row r="120" spans="1:12" ht="28.9">
      <c r="A120" s="128"/>
      <c r="B120" s="128"/>
      <c r="C120" s="128"/>
      <c r="D120" s="124"/>
      <c r="E120" s="135"/>
      <c r="F120" s="2" t="s">
        <v>504</v>
      </c>
      <c r="G120" s="2" t="s">
        <v>95</v>
      </c>
      <c r="H120" s="128"/>
      <c r="I120" s="130"/>
      <c r="J120" s="2" t="s">
        <v>95</v>
      </c>
      <c r="K120" s="2" t="s">
        <v>233</v>
      </c>
      <c r="L120" s="2" t="s">
        <v>233</v>
      </c>
    </row>
    <row r="121" spans="1:12" ht="28.9">
      <c r="A121" s="2">
        <v>62</v>
      </c>
      <c r="B121" s="2">
        <v>7</v>
      </c>
      <c r="C121" s="2" t="s">
        <v>505</v>
      </c>
      <c r="D121" s="2" t="s">
        <v>440</v>
      </c>
      <c r="E121" s="75" t="s">
        <v>506</v>
      </c>
      <c r="F121" s="3" t="s">
        <v>507</v>
      </c>
      <c r="G121" s="2" t="s">
        <v>240</v>
      </c>
      <c r="H121" s="2">
        <v>2</v>
      </c>
      <c r="I121" s="86">
        <v>0.6</v>
      </c>
      <c r="J121" s="2" t="s">
        <v>240</v>
      </c>
      <c r="K121" s="2" t="s">
        <v>233</v>
      </c>
      <c r="L121" s="2" t="s">
        <v>508</v>
      </c>
    </row>
    <row r="122" spans="1:12" ht="57.6">
      <c r="A122" s="128">
        <v>63</v>
      </c>
      <c r="B122" s="128">
        <v>7</v>
      </c>
      <c r="C122" s="128" t="s">
        <v>509</v>
      </c>
      <c r="D122" s="122" t="s">
        <v>440</v>
      </c>
      <c r="E122" s="135" t="s">
        <v>510</v>
      </c>
      <c r="F122" s="2" t="s">
        <v>511</v>
      </c>
      <c r="G122" s="2" t="s">
        <v>95</v>
      </c>
      <c r="H122" s="128">
        <v>4</v>
      </c>
      <c r="I122" s="129">
        <v>0.8</v>
      </c>
      <c r="J122" s="2" t="s">
        <v>95</v>
      </c>
      <c r="K122" s="2" t="s">
        <v>512</v>
      </c>
      <c r="L122" s="2" t="s">
        <v>513</v>
      </c>
    </row>
    <row r="123" spans="1:12" ht="28.9">
      <c r="A123" s="128"/>
      <c r="B123" s="128"/>
      <c r="C123" s="128"/>
      <c r="D123" s="124"/>
      <c r="E123" s="135"/>
      <c r="F123" s="3" t="s">
        <v>514</v>
      </c>
      <c r="G123" s="2" t="s">
        <v>95</v>
      </c>
      <c r="H123" s="128"/>
      <c r="I123" s="130"/>
      <c r="J123" s="2" t="s">
        <v>95</v>
      </c>
      <c r="K123" s="2" t="s">
        <v>233</v>
      </c>
      <c r="L123" s="2" t="s">
        <v>515</v>
      </c>
    </row>
    <row r="124" spans="1:12" ht="57.6">
      <c r="A124" s="2">
        <v>64</v>
      </c>
      <c r="B124" s="2">
        <v>7</v>
      </c>
      <c r="C124" s="2" t="s">
        <v>516</v>
      </c>
      <c r="D124" s="2" t="s">
        <v>168</v>
      </c>
      <c r="E124" s="75" t="s">
        <v>517</v>
      </c>
      <c r="F124" s="2" t="s">
        <v>518</v>
      </c>
      <c r="G124" s="2" t="s">
        <v>95</v>
      </c>
      <c r="H124" s="2">
        <v>4</v>
      </c>
      <c r="I124" s="86">
        <v>0.8</v>
      </c>
      <c r="J124" s="2" t="s">
        <v>95</v>
      </c>
      <c r="K124" s="2" t="s">
        <v>519</v>
      </c>
      <c r="L124" s="102" t="s">
        <v>520</v>
      </c>
    </row>
    <row r="125" spans="1:12" ht="72">
      <c r="A125" s="128">
        <v>65</v>
      </c>
      <c r="B125" s="128">
        <v>8</v>
      </c>
      <c r="C125" s="128" t="s">
        <v>521</v>
      </c>
      <c r="D125" s="122" t="s">
        <v>186</v>
      </c>
      <c r="E125" s="135" t="s">
        <v>522</v>
      </c>
      <c r="F125" s="3" t="s">
        <v>523</v>
      </c>
      <c r="G125" s="2" t="s">
        <v>95</v>
      </c>
      <c r="H125" s="133">
        <v>3</v>
      </c>
      <c r="I125" s="129">
        <v>0.7</v>
      </c>
      <c r="J125" s="2" t="s">
        <v>95</v>
      </c>
      <c r="K125" s="2" t="s">
        <v>524</v>
      </c>
      <c r="L125" s="2" t="s">
        <v>525</v>
      </c>
    </row>
    <row r="126" spans="1:12" ht="45.75">
      <c r="A126" s="128"/>
      <c r="B126" s="128"/>
      <c r="C126" s="128"/>
      <c r="D126" s="123"/>
      <c r="E126" s="135"/>
      <c r="F126" s="2" t="s">
        <v>526</v>
      </c>
      <c r="G126" s="2" t="s">
        <v>95</v>
      </c>
      <c r="H126" s="133"/>
      <c r="I126" s="131"/>
      <c r="J126" s="2" t="s">
        <v>95</v>
      </c>
      <c r="K126" s="2" t="s">
        <v>527</v>
      </c>
      <c r="L126" s="2" t="s">
        <v>528</v>
      </c>
    </row>
    <row r="127" spans="1:12" ht="28.9">
      <c r="A127" s="128"/>
      <c r="B127" s="128"/>
      <c r="C127" s="128"/>
      <c r="D127" s="123"/>
      <c r="E127" s="135"/>
      <c r="F127" s="3" t="s">
        <v>529</v>
      </c>
      <c r="G127" s="2" t="s">
        <v>95</v>
      </c>
      <c r="H127" s="133"/>
      <c r="I127" s="131"/>
      <c r="J127" s="2" t="s">
        <v>95</v>
      </c>
      <c r="K127" s="2" t="s">
        <v>530</v>
      </c>
      <c r="L127" s="2" t="s">
        <v>493</v>
      </c>
    </row>
    <row r="128" spans="1:12" ht="57.6">
      <c r="A128" s="128"/>
      <c r="B128" s="128"/>
      <c r="C128" s="128"/>
      <c r="D128" s="123"/>
      <c r="E128" s="135"/>
      <c r="F128" s="2" t="s">
        <v>531</v>
      </c>
      <c r="G128" s="2" t="s">
        <v>95</v>
      </c>
      <c r="H128" s="133"/>
      <c r="I128" s="131"/>
      <c r="J128" s="2" t="s">
        <v>95</v>
      </c>
      <c r="K128" s="2" t="s">
        <v>532</v>
      </c>
      <c r="L128" s="2" t="s">
        <v>533</v>
      </c>
    </row>
    <row r="129" spans="1:12" ht="28.9">
      <c r="A129" s="128"/>
      <c r="B129" s="128"/>
      <c r="C129" s="128"/>
      <c r="D129" s="123"/>
      <c r="E129" s="135"/>
      <c r="F129" s="2" t="s">
        <v>534</v>
      </c>
      <c r="G129" s="2" t="s">
        <v>240</v>
      </c>
      <c r="H129" s="133"/>
      <c r="I129" s="131"/>
      <c r="J129" s="2" t="s">
        <v>240</v>
      </c>
      <c r="K129" s="2" t="s">
        <v>233</v>
      </c>
      <c r="L129" s="2" t="s">
        <v>233</v>
      </c>
    </row>
    <row r="130" spans="1:12" ht="57.6">
      <c r="A130" s="128"/>
      <c r="B130" s="128"/>
      <c r="C130" s="128"/>
      <c r="D130" s="123"/>
      <c r="E130" s="135"/>
      <c r="F130" s="2" t="s">
        <v>535</v>
      </c>
      <c r="G130" s="2" t="s">
        <v>95</v>
      </c>
      <c r="H130" s="133"/>
      <c r="I130" s="131"/>
      <c r="J130" s="2" t="s">
        <v>95</v>
      </c>
      <c r="K130" s="2" t="s">
        <v>536</v>
      </c>
      <c r="L130" s="2" t="s">
        <v>537</v>
      </c>
    </row>
    <row r="131" spans="1:12" ht="28.9">
      <c r="A131" s="128"/>
      <c r="B131" s="128"/>
      <c r="C131" s="128"/>
      <c r="D131" s="123"/>
      <c r="E131" s="135"/>
      <c r="F131" s="3" t="s">
        <v>538</v>
      </c>
      <c r="G131" s="2" t="s">
        <v>240</v>
      </c>
      <c r="H131" s="133"/>
      <c r="I131" s="131"/>
      <c r="J131" s="2" t="s">
        <v>240</v>
      </c>
      <c r="K131" s="2" t="s">
        <v>233</v>
      </c>
      <c r="L131" s="2" t="s">
        <v>233</v>
      </c>
    </row>
    <row r="132" spans="1:12" ht="43.15">
      <c r="A132" s="128"/>
      <c r="B132" s="128"/>
      <c r="C132" s="128"/>
      <c r="D132" s="124"/>
      <c r="E132" s="135"/>
      <c r="F132" s="2" t="s">
        <v>539</v>
      </c>
      <c r="G132" s="2" t="s">
        <v>95</v>
      </c>
      <c r="H132" s="133"/>
      <c r="I132" s="130"/>
      <c r="J132" s="2" t="s">
        <v>95</v>
      </c>
      <c r="K132" s="2" t="s">
        <v>540</v>
      </c>
      <c r="L132" s="2" t="s">
        <v>541</v>
      </c>
    </row>
    <row r="133" spans="1:12" ht="86.45">
      <c r="A133" s="2">
        <v>66</v>
      </c>
      <c r="B133" s="2">
        <v>8</v>
      </c>
      <c r="C133" s="2" t="s">
        <v>542</v>
      </c>
      <c r="D133" s="2" t="s">
        <v>112</v>
      </c>
      <c r="E133" s="75" t="s">
        <v>543</v>
      </c>
      <c r="F133" s="3" t="s">
        <v>544</v>
      </c>
      <c r="G133" s="2" t="s">
        <v>95</v>
      </c>
      <c r="H133" s="106">
        <v>4</v>
      </c>
      <c r="I133" s="86">
        <v>0.8</v>
      </c>
      <c r="J133" s="2" t="s">
        <v>95</v>
      </c>
      <c r="K133" s="2" t="s">
        <v>545</v>
      </c>
      <c r="L133" s="2" t="s">
        <v>546</v>
      </c>
    </row>
    <row r="134" spans="1:12" ht="86.45">
      <c r="A134" s="128">
        <v>67</v>
      </c>
      <c r="B134" s="128">
        <v>5</v>
      </c>
      <c r="C134" s="128" t="s">
        <v>547</v>
      </c>
      <c r="D134" s="122" t="s">
        <v>112</v>
      </c>
      <c r="E134" s="135" t="s">
        <v>548</v>
      </c>
      <c r="F134" s="73" t="s">
        <v>549</v>
      </c>
      <c r="G134" s="2" t="s">
        <v>95</v>
      </c>
      <c r="H134" s="132">
        <v>4</v>
      </c>
      <c r="I134" s="129">
        <v>0.8</v>
      </c>
      <c r="J134" s="2" t="s">
        <v>95</v>
      </c>
      <c r="K134" s="2" t="s">
        <v>545</v>
      </c>
      <c r="L134" s="2" t="s">
        <v>550</v>
      </c>
    </row>
    <row r="135" spans="1:12" ht="86.45">
      <c r="A135" s="128"/>
      <c r="B135" s="128"/>
      <c r="C135" s="128"/>
      <c r="D135" s="123"/>
      <c r="E135" s="135"/>
      <c r="F135" s="73" t="s">
        <v>551</v>
      </c>
      <c r="G135" s="2" t="s">
        <v>95</v>
      </c>
      <c r="H135" s="132"/>
      <c r="I135" s="131"/>
      <c r="J135" s="2" t="s">
        <v>95</v>
      </c>
      <c r="K135" s="2" t="s">
        <v>545</v>
      </c>
      <c r="L135" s="2" t="s">
        <v>550</v>
      </c>
    </row>
    <row r="136" spans="1:12" ht="39" customHeight="1">
      <c r="A136" s="128"/>
      <c r="B136" s="128"/>
      <c r="C136" s="128"/>
      <c r="D136" s="124"/>
      <c r="E136" s="135"/>
      <c r="F136" s="73" t="s">
        <v>552</v>
      </c>
      <c r="G136" s="2" t="s">
        <v>95</v>
      </c>
      <c r="H136" s="132"/>
      <c r="I136" s="130"/>
      <c r="J136" s="2" t="s">
        <v>95</v>
      </c>
      <c r="K136" s="2" t="s">
        <v>545</v>
      </c>
      <c r="L136" s="2" t="s">
        <v>550</v>
      </c>
    </row>
    <row r="137" spans="1:12" ht="115.15">
      <c r="A137" s="128">
        <v>68</v>
      </c>
      <c r="B137" s="128">
        <v>5</v>
      </c>
      <c r="C137" s="128" t="s">
        <v>553</v>
      </c>
      <c r="D137" s="122" t="s">
        <v>554</v>
      </c>
      <c r="E137" s="135" t="s">
        <v>555</v>
      </c>
      <c r="F137" s="73" t="s">
        <v>556</v>
      </c>
      <c r="G137" s="2" t="s">
        <v>95</v>
      </c>
      <c r="H137" s="122">
        <v>4</v>
      </c>
      <c r="I137" s="129">
        <v>0.8</v>
      </c>
      <c r="J137" s="2" t="s">
        <v>95</v>
      </c>
      <c r="K137" s="2" t="s">
        <v>545</v>
      </c>
      <c r="L137" s="2" t="s">
        <v>557</v>
      </c>
    </row>
    <row r="138" spans="1:12" ht="115.15">
      <c r="A138" s="128"/>
      <c r="B138" s="128"/>
      <c r="C138" s="128"/>
      <c r="D138" s="124"/>
      <c r="E138" s="135"/>
      <c r="F138" s="73" t="s">
        <v>558</v>
      </c>
      <c r="G138" s="2" t="s">
        <v>95</v>
      </c>
      <c r="H138" s="124"/>
      <c r="I138" s="130"/>
      <c r="J138" s="2" t="s">
        <v>95</v>
      </c>
      <c r="K138" s="2" t="s">
        <v>559</v>
      </c>
      <c r="L138" s="2" t="s">
        <v>557</v>
      </c>
    </row>
    <row r="139" spans="1:12" ht="86.45">
      <c r="A139" s="128">
        <v>69</v>
      </c>
      <c r="B139" s="128">
        <v>5</v>
      </c>
      <c r="C139" s="128" t="s">
        <v>560</v>
      </c>
      <c r="D139" s="122" t="s">
        <v>112</v>
      </c>
      <c r="E139" s="135" t="s">
        <v>561</v>
      </c>
      <c r="F139" s="3" t="s">
        <v>562</v>
      </c>
      <c r="G139" s="2" t="s">
        <v>95</v>
      </c>
      <c r="H139" s="132">
        <v>4</v>
      </c>
      <c r="I139" s="129">
        <v>0.8</v>
      </c>
      <c r="J139" s="2" t="s">
        <v>95</v>
      </c>
      <c r="K139" s="2" t="s">
        <v>563</v>
      </c>
      <c r="L139" s="2" t="s">
        <v>564</v>
      </c>
    </row>
    <row r="140" spans="1:12" ht="28.9">
      <c r="A140" s="128"/>
      <c r="B140" s="128"/>
      <c r="C140" s="128"/>
      <c r="D140" s="123"/>
      <c r="E140" s="135"/>
      <c r="F140" s="2" t="s">
        <v>565</v>
      </c>
      <c r="G140" s="2" t="s">
        <v>95</v>
      </c>
      <c r="H140" s="132"/>
      <c r="I140" s="131"/>
      <c r="J140" s="2" t="s">
        <v>95</v>
      </c>
      <c r="K140" s="2" t="s">
        <v>566</v>
      </c>
      <c r="L140" s="2" t="s">
        <v>567</v>
      </c>
    </row>
    <row r="141" spans="1:12" ht="30.75">
      <c r="A141" s="128"/>
      <c r="B141" s="128"/>
      <c r="C141" s="128"/>
      <c r="D141" s="124"/>
      <c r="E141" s="135"/>
      <c r="F141" s="3" t="s">
        <v>568</v>
      </c>
      <c r="G141" s="2" t="s">
        <v>240</v>
      </c>
      <c r="H141" s="132"/>
      <c r="I141" s="130"/>
      <c r="J141" s="2" t="s">
        <v>240</v>
      </c>
      <c r="K141" s="2" t="s">
        <v>233</v>
      </c>
      <c r="L141" s="2" t="s">
        <v>233</v>
      </c>
    </row>
    <row r="142" spans="1:12" ht="57.6">
      <c r="A142" s="2">
        <v>70</v>
      </c>
      <c r="B142" s="2"/>
      <c r="C142" s="2" t="s">
        <v>569</v>
      </c>
      <c r="D142" s="2" t="s">
        <v>332</v>
      </c>
      <c r="E142" s="75" t="s">
        <v>570</v>
      </c>
      <c r="F142" s="2" t="s">
        <v>571</v>
      </c>
      <c r="G142" s="2" t="s">
        <v>95</v>
      </c>
      <c r="H142" s="2">
        <v>4</v>
      </c>
      <c r="I142" s="86">
        <v>0.8</v>
      </c>
      <c r="J142" s="2" t="s">
        <v>95</v>
      </c>
      <c r="K142" s="2" t="s">
        <v>572</v>
      </c>
      <c r="L142" s="2" t="s">
        <v>573</v>
      </c>
    </row>
    <row r="143" spans="1:12" ht="57.6">
      <c r="A143" s="128">
        <v>71</v>
      </c>
      <c r="B143" s="128">
        <v>8</v>
      </c>
      <c r="C143" s="128" t="s">
        <v>574</v>
      </c>
      <c r="D143" s="122" t="s">
        <v>430</v>
      </c>
      <c r="E143" s="135" t="s">
        <v>575</v>
      </c>
      <c r="F143" s="3" t="s">
        <v>576</v>
      </c>
      <c r="G143" s="2" t="s">
        <v>95</v>
      </c>
      <c r="H143" s="128">
        <v>3</v>
      </c>
      <c r="I143" s="129">
        <v>0.7</v>
      </c>
      <c r="J143" s="2" t="s">
        <v>95</v>
      </c>
      <c r="K143" s="2" t="s">
        <v>533</v>
      </c>
      <c r="L143" s="2" t="s">
        <v>577</v>
      </c>
    </row>
    <row r="144" spans="1:12" ht="57.6">
      <c r="A144" s="128"/>
      <c r="B144" s="128"/>
      <c r="C144" s="128"/>
      <c r="D144" s="123"/>
      <c r="E144" s="135"/>
      <c r="F144" s="2" t="s">
        <v>578</v>
      </c>
      <c r="G144" s="2" t="s">
        <v>95</v>
      </c>
      <c r="H144" s="128"/>
      <c r="I144" s="131"/>
      <c r="J144" s="2" t="s">
        <v>95</v>
      </c>
      <c r="K144" s="2" t="s">
        <v>533</v>
      </c>
      <c r="L144" s="2" t="s">
        <v>577</v>
      </c>
    </row>
    <row r="145" spans="1:12" ht="28.9">
      <c r="A145" s="128"/>
      <c r="B145" s="128"/>
      <c r="C145" s="128"/>
      <c r="D145" s="123"/>
      <c r="E145" s="135"/>
      <c r="F145" s="3" t="s">
        <v>579</v>
      </c>
      <c r="G145" s="2" t="s">
        <v>240</v>
      </c>
      <c r="H145" s="128"/>
      <c r="I145" s="131"/>
      <c r="J145" s="2" t="s">
        <v>240</v>
      </c>
      <c r="K145" s="2" t="s">
        <v>233</v>
      </c>
      <c r="L145" s="2" t="s">
        <v>233</v>
      </c>
    </row>
    <row r="146" spans="1:12" ht="28.9">
      <c r="A146" s="128"/>
      <c r="B146" s="128"/>
      <c r="C146" s="128"/>
      <c r="D146" s="123"/>
      <c r="E146" s="135"/>
      <c r="F146" s="2" t="s">
        <v>580</v>
      </c>
      <c r="G146" s="2" t="s">
        <v>240</v>
      </c>
      <c r="H146" s="128"/>
      <c r="I146" s="131"/>
      <c r="J146" s="2" t="s">
        <v>240</v>
      </c>
      <c r="K146" s="2" t="s">
        <v>233</v>
      </c>
      <c r="L146" s="2" t="s">
        <v>233</v>
      </c>
    </row>
    <row r="147" spans="1:12" ht="43.15">
      <c r="A147" s="128"/>
      <c r="B147" s="128"/>
      <c r="C147" s="128"/>
      <c r="D147" s="124"/>
      <c r="E147" s="135"/>
      <c r="F147" s="3" t="s">
        <v>581</v>
      </c>
      <c r="G147" s="2" t="s">
        <v>95</v>
      </c>
      <c r="H147" s="128"/>
      <c r="I147" s="130"/>
      <c r="J147" s="2" t="s">
        <v>95</v>
      </c>
      <c r="K147" s="2" t="s">
        <v>582</v>
      </c>
      <c r="L147" s="2" t="s">
        <v>583</v>
      </c>
    </row>
    <row r="148" spans="1:12" ht="43.15">
      <c r="A148" s="128">
        <v>72</v>
      </c>
      <c r="B148" s="128">
        <v>8</v>
      </c>
      <c r="C148" s="128" t="s">
        <v>584</v>
      </c>
      <c r="D148" s="122" t="s">
        <v>585</v>
      </c>
      <c r="E148" s="135" t="s">
        <v>586</v>
      </c>
      <c r="F148" s="2" t="s">
        <v>587</v>
      </c>
      <c r="G148" s="2" t="s">
        <v>95</v>
      </c>
      <c r="H148" s="133">
        <v>3</v>
      </c>
      <c r="I148" s="129">
        <v>0.7</v>
      </c>
      <c r="J148" s="2" t="s">
        <v>95</v>
      </c>
      <c r="K148" s="2" t="s">
        <v>588</v>
      </c>
      <c r="L148" s="2" t="s">
        <v>589</v>
      </c>
    </row>
    <row r="149" spans="1:12" ht="43.15">
      <c r="A149" s="128"/>
      <c r="B149" s="128"/>
      <c r="C149" s="128"/>
      <c r="D149" s="123"/>
      <c r="E149" s="135"/>
      <c r="F149" s="3" t="s">
        <v>590</v>
      </c>
      <c r="G149" s="2" t="s">
        <v>95</v>
      </c>
      <c r="H149" s="133"/>
      <c r="I149" s="131"/>
      <c r="J149" s="2" t="s">
        <v>95</v>
      </c>
      <c r="K149" s="2" t="s">
        <v>591</v>
      </c>
      <c r="L149" s="2" t="s">
        <v>589</v>
      </c>
    </row>
    <row r="150" spans="1:12" ht="28.9">
      <c r="A150" s="128"/>
      <c r="B150" s="128"/>
      <c r="C150" s="128"/>
      <c r="D150" s="123"/>
      <c r="E150" s="135"/>
      <c r="F150" s="2" t="s">
        <v>592</v>
      </c>
      <c r="G150" s="79" t="s">
        <v>95</v>
      </c>
      <c r="H150" s="133"/>
      <c r="I150" s="131"/>
      <c r="J150" s="2" t="s">
        <v>95</v>
      </c>
      <c r="K150" s="2" t="s">
        <v>593</v>
      </c>
      <c r="L150" s="2" t="s">
        <v>594</v>
      </c>
    </row>
    <row r="151" spans="1:12" ht="57.6">
      <c r="A151" s="128"/>
      <c r="B151" s="128"/>
      <c r="C151" s="128"/>
      <c r="D151" s="123"/>
      <c r="E151" s="135"/>
      <c r="F151" s="2" t="s">
        <v>595</v>
      </c>
      <c r="G151" s="79" t="s">
        <v>240</v>
      </c>
      <c r="H151" s="133"/>
      <c r="I151" s="131"/>
      <c r="J151" s="2" t="s">
        <v>240</v>
      </c>
      <c r="K151" s="2" t="s">
        <v>233</v>
      </c>
      <c r="L151" s="2" t="s">
        <v>233</v>
      </c>
    </row>
    <row r="152" spans="1:12" ht="57.6">
      <c r="A152" s="128"/>
      <c r="B152" s="128"/>
      <c r="C152" s="128"/>
      <c r="D152" s="123"/>
      <c r="E152" s="135"/>
      <c r="F152" s="2" t="s">
        <v>596</v>
      </c>
      <c r="G152" s="2" t="s">
        <v>95</v>
      </c>
      <c r="H152" s="133"/>
      <c r="I152" s="131"/>
      <c r="J152" s="2" t="s">
        <v>95</v>
      </c>
      <c r="K152" s="2" t="s">
        <v>597</v>
      </c>
      <c r="L152" s="2" t="s">
        <v>598</v>
      </c>
    </row>
    <row r="153" spans="1:12" ht="43.15">
      <c r="A153" s="128"/>
      <c r="B153" s="128"/>
      <c r="C153" s="128"/>
      <c r="D153" s="123"/>
      <c r="E153" s="135"/>
      <c r="F153" s="3" t="s">
        <v>599</v>
      </c>
      <c r="G153" s="2" t="s">
        <v>95</v>
      </c>
      <c r="H153" s="133"/>
      <c r="I153" s="131"/>
      <c r="J153" s="2" t="s">
        <v>95</v>
      </c>
      <c r="K153" s="2" t="s">
        <v>600</v>
      </c>
      <c r="L153" s="2" t="s">
        <v>589</v>
      </c>
    </row>
    <row r="154" spans="1:12" ht="30.75">
      <c r="A154" s="128"/>
      <c r="B154" s="128"/>
      <c r="C154" s="128"/>
      <c r="D154" s="124"/>
      <c r="E154" s="135"/>
      <c r="F154" s="2" t="s">
        <v>601</v>
      </c>
      <c r="G154" s="2" t="s">
        <v>95</v>
      </c>
      <c r="H154" s="133"/>
      <c r="I154" s="130"/>
      <c r="J154" s="2" t="s">
        <v>95</v>
      </c>
      <c r="K154" s="2" t="s">
        <v>233</v>
      </c>
      <c r="L154" s="2" t="s">
        <v>375</v>
      </c>
    </row>
    <row r="155" spans="1:12" ht="43.15">
      <c r="A155" s="2">
        <v>73</v>
      </c>
      <c r="B155" s="2"/>
      <c r="C155" s="2"/>
      <c r="D155" s="77" t="s">
        <v>585</v>
      </c>
      <c r="E155" s="81" t="s">
        <v>602</v>
      </c>
      <c r="F155" s="2"/>
      <c r="G155" s="2"/>
      <c r="H155" s="105"/>
      <c r="I155" s="86"/>
      <c r="J155" s="2"/>
      <c r="K155" s="2"/>
      <c r="L155" s="2"/>
    </row>
    <row r="156" spans="1:12" ht="72">
      <c r="A156" s="128">
        <v>74</v>
      </c>
      <c r="B156" s="128">
        <v>8</v>
      </c>
      <c r="C156" s="128" t="s">
        <v>603</v>
      </c>
      <c r="D156" s="122" t="s">
        <v>604</v>
      </c>
      <c r="E156" s="135" t="s">
        <v>605</v>
      </c>
      <c r="F156" s="3" t="s">
        <v>606</v>
      </c>
      <c r="G156" s="2" t="s">
        <v>95</v>
      </c>
      <c r="H156" s="128">
        <v>4</v>
      </c>
      <c r="I156" s="129">
        <v>0.8</v>
      </c>
      <c r="J156" s="2" t="s">
        <v>95</v>
      </c>
      <c r="K156" s="77" t="s">
        <v>607</v>
      </c>
      <c r="L156" s="2" t="s">
        <v>608</v>
      </c>
    </row>
    <row r="157" spans="1:12" ht="45.75">
      <c r="A157" s="128"/>
      <c r="B157" s="128"/>
      <c r="C157" s="128"/>
      <c r="D157" s="124"/>
      <c r="E157" s="135"/>
      <c r="F157" s="3" t="s">
        <v>609</v>
      </c>
      <c r="G157" s="2" t="s">
        <v>95</v>
      </c>
      <c r="H157" s="128"/>
      <c r="I157" s="130"/>
      <c r="J157" s="2" t="s">
        <v>95</v>
      </c>
      <c r="K157" s="2" t="s">
        <v>610</v>
      </c>
      <c r="L157" s="2" t="s">
        <v>387</v>
      </c>
    </row>
    <row r="158" spans="1:12" ht="43.15">
      <c r="A158" s="128">
        <v>75</v>
      </c>
      <c r="B158" s="128">
        <v>4</v>
      </c>
      <c r="C158" s="128" t="s">
        <v>611</v>
      </c>
      <c r="D158" s="122" t="s">
        <v>345</v>
      </c>
      <c r="E158" s="135" t="s">
        <v>612</v>
      </c>
      <c r="F158" s="3" t="s">
        <v>613</v>
      </c>
      <c r="G158" s="2" t="s">
        <v>95</v>
      </c>
      <c r="H158" s="132">
        <v>3</v>
      </c>
      <c r="I158" s="129">
        <v>0.7</v>
      </c>
      <c r="J158" s="2" t="s">
        <v>95</v>
      </c>
      <c r="K158" s="2" t="s">
        <v>614</v>
      </c>
      <c r="L158" s="2" t="s">
        <v>615</v>
      </c>
    </row>
    <row r="159" spans="1:12" ht="28.9">
      <c r="A159" s="128"/>
      <c r="B159" s="128"/>
      <c r="C159" s="128"/>
      <c r="D159" s="123"/>
      <c r="E159" s="135"/>
      <c r="F159" s="3" t="s">
        <v>616</v>
      </c>
      <c r="G159" s="2" t="s">
        <v>240</v>
      </c>
      <c r="H159" s="132"/>
      <c r="I159" s="131"/>
      <c r="J159" s="2" t="s">
        <v>240</v>
      </c>
      <c r="K159" s="2" t="s">
        <v>233</v>
      </c>
      <c r="L159" s="2" t="s">
        <v>233</v>
      </c>
    </row>
    <row r="160" spans="1:12" ht="43.15">
      <c r="A160" s="128"/>
      <c r="B160" s="128"/>
      <c r="C160" s="128"/>
      <c r="D160" s="124"/>
      <c r="E160" s="135"/>
      <c r="F160" s="3" t="s">
        <v>617</v>
      </c>
      <c r="G160" s="74" t="s">
        <v>240</v>
      </c>
      <c r="H160" s="132"/>
      <c r="I160" s="130"/>
      <c r="J160" s="2" t="s">
        <v>240</v>
      </c>
      <c r="K160" s="2" t="s">
        <v>233</v>
      </c>
      <c r="L160" s="2" t="s">
        <v>233</v>
      </c>
    </row>
    <row r="161" spans="1:12" ht="28.9">
      <c r="A161" s="2">
        <v>76</v>
      </c>
      <c r="B161" s="2">
        <v>14</v>
      </c>
      <c r="C161" s="2" t="s">
        <v>618</v>
      </c>
      <c r="D161" s="2" t="s">
        <v>345</v>
      </c>
      <c r="E161" s="75" t="s">
        <v>619</v>
      </c>
      <c r="F161" s="2" t="s">
        <v>620</v>
      </c>
      <c r="G161" s="2" t="s">
        <v>95</v>
      </c>
      <c r="H161" s="2">
        <v>4</v>
      </c>
      <c r="I161" s="86">
        <v>0.8</v>
      </c>
      <c r="J161" s="2" t="s">
        <v>95</v>
      </c>
      <c r="K161" s="2" t="s">
        <v>621</v>
      </c>
      <c r="L161" s="2" t="s">
        <v>622</v>
      </c>
    </row>
    <row r="162" spans="1:12" ht="86.45">
      <c r="A162" s="128">
        <v>77</v>
      </c>
      <c r="B162" s="128">
        <v>8</v>
      </c>
      <c r="C162" s="128" t="s">
        <v>623</v>
      </c>
      <c r="D162" s="122" t="s">
        <v>186</v>
      </c>
      <c r="E162" s="135" t="s">
        <v>624</v>
      </c>
      <c r="F162" s="3" t="s">
        <v>625</v>
      </c>
      <c r="G162" s="90" t="s">
        <v>95</v>
      </c>
      <c r="H162" s="128">
        <v>3</v>
      </c>
      <c r="I162" s="129">
        <v>0.7</v>
      </c>
      <c r="J162" s="2" t="s">
        <v>95</v>
      </c>
      <c r="K162" s="2" t="s">
        <v>626</v>
      </c>
      <c r="L162" s="2" t="s">
        <v>627</v>
      </c>
    </row>
    <row r="163" spans="1:12" ht="14.45">
      <c r="A163" s="128"/>
      <c r="B163" s="128"/>
      <c r="C163" s="128"/>
      <c r="D163" s="124"/>
      <c r="E163" s="135"/>
      <c r="F163" s="3" t="s">
        <v>628</v>
      </c>
      <c r="G163" s="90" t="s">
        <v>240</v>
      </c>
      <c r="H163" s="128"/>
      <c r="I163" s="130"/>
      <c r="J163" s="2" t="s">
        <v>240</v>
      </c>
      <c r="K163" s="2" t="s">
        <v>233</v>
      </c>
      <c r="L163" s="2" t="s">
        <v>233</v>
      </c>
    </row>
    <row r="164" spans="1:12" ht="28.9">
      <c r="A164" s="128">
        <v>78</v>
      </c>
      <c r="B164" s="128">
        <v>8</v>
      </c>
      <c r="C164" s="128" t="s">
        <v>629</v>
      </c>
      <c r="D164" s="122" t="s">
        <v>332</v>
      </c>
      <c r="E164" s="135" t="s">
        <v>630</v>
      </c>
      <c r="F164" s="2" t="s">
        <v>631</v>
      </c>
      <c r="G164" s="2" t="s">
        <v>95</v>
      </c>
      <c r="H164" s="132">
        <v>4</v>
      </c>
      <c r="I164" s="129">
        <v>0.8</v>
      </c>
      <c r="J164" s="2" t="s">
        <v>95</v>
      </c>
      <c r="K164" s="2" t="s">
        <v>632</v>
      </c>
      <c r="L164" s="2" t="s">
        <v>633</v>
      </c>
    </row>
    <row r="165" spans="1:12" ht="28.9">
      <c r="A165" s="128"/>
      <c r="B165" s="128"/>
      <c r="C165" s="128"/>
      <c r="D165" s="124"/>
      <c r="E165" s="135"/>
      <c r="F165" s="3" t="s">
        <v>634</v>
      </c>
      <c r="G165" s="2" t="s">
        <v>95</v>
      </c>
      <c r="H165" s="132"/>
      <c r="I165" s="130"/>
      <c r="J165" s="2" t="s">
        <v>95</v>
      </c>
      <c r="K165" s="2" t="s">
        <v>635</v>
      </c>
      <c r="L165" s="2" t="s">
        <v>636</v>
      </c>
    </row>
    <row r="166" spans="1:12" ht="43.15">
      <c r="A166" s="128">
        <v>79</v>
      </c>
      <c r="B166" s="128">
        <v>13</v>
      </c>
      <c r="C166" s="128" t="s">
        <v>637</v>
      </c>
      <c r="D166" s="122" t="s">
        <v>332</v>
      </c>
      <c r="E166" s="135" t="s">
        <v>638</v>
      </c>
      <c r="F166" s="2" t="s">
        <v>639</v>
      </c>
      <c r="G166" s="2" t="s">
        <v>95</v>
      </c>
      <c r="H166" s="128">
        <v>3</v>
      </c>
      <c r="I166" s="129">
        <v>0.7</v>
      </c>
      <c r="J166" s="2" t="s">
        <v>95</v>
      </c>
      <c r="K166" s="2" t="s">
        <v>640</v>
      </c>
      <c r="L166" s="2" t="s">
        <v>641</v>
      </c>
    </row>
    <row r="167" spans="1:12" ht="43.15">
      <c r="A167" s="128"/>
      <c r="B167" s="128"/>
      <c r="C167" s="128"/>
      <c r="D167" s="123"/>
      <c r="E167" s="135"/>
      <c r="F167" s="2" t="s">
        <v>642</v>
      </c>
      <c r="G167" s="2" t="s">
        <v>240</v>
      </c>
      <c r="H167" s="128"/>
      <c r="I167" s="131"/>
      <c r="J167" s="2" t="s">
        <v>240</v>
      </c>
      <c r="K167" s="2" t="s">
        <v>233</v>
      </c>
      <c r="L167" s="2" t="s">
        <v>233</v>
      </c>
    </row>
    <row r="168" spans="1:12" ht="28.9">
      <c r="A168" s="128"/>
      <c r="B168" s="128"/>
      <c r="C168" s="128"/>
      <c r="D168" s="124"/>
      <c r="E168" s="135"/>
      <c r="F168" s="2" t="s">
        <v>643</v>
      </c>
      <c r="G168" s="2" t="s">
        <v>240</v>
      </c>
      <c r="H168" s="128"/>
      <c r="I168" s="130"/>
      <c r="J168" s="2" t="s">
        <v>240</v>
      </c>
      <c r="K168" s="2" t="s">
        <v>233</v>
      </c>
      <c r="L168" s="2" t="s">
        <v>233</v>
      </c>
    </row>
    <row r="169" spans="1:12" ht="28.9">
      <c r="A169" s="128">
        <v>80</v>
      </c>
      <c r="B169" s="128">
        <v>8</v>
      </c>
      <c r="C169" s="128" t="s">
        <v>644</v>
      </c>
      <c r="D169" s="122" t="s">
        <v>304</v>
      </c>
      <c r="E169" s="135" t="s">
        <v>645</v>
      </c>
      <c r="F169" s="3" t="s">
        <v>646</v>
      </c>
      <c r="G169" s="2" t="s">
        <v>647</v>
      </c>
      <c r="H169" s="128">
        <v>2</v>
      </c>
      <c r="I169" s="129">
        <v>0.6</v>
      </c>
      <c r="J169" s="2" t="s">
        <v>240</v>
      </c>
      <c r="K169" s="2" t="s">
        <v>233</v>
      </c>
      <c r="L169" s="2" t="s">
        <v>233</v>
      </c>
    </row>
    <row r="170" spans="1:12" ht="14.45">
      <c r="A170" s="128"/>
      <c r="B170" s="128"/>
      <c r="C170" s="128"/>
      <c r="D170" s="124"/>
      <c r="E170" s="135"/>
      <c r="F170" s="2" t="s">
        <v>648</v>
      </c>
      <c r="G170" s="2" t="s">
        <v>647</v>
      </c>
      <c r="H170" s="128"/>
      <c r="I170" s="130"/>
      <c r="J170" s="2" t="s">
        <v>240</v>
      </c>
      <c r="K170" s="2" t="s">
        <v>233</v>
      </c>
      <c r="L170" s="2" t="s">
        <v>233</v>
      </c>
    </row>
    <row r="171" spans="1:12" ht="43.15">
      <c r="A171" s="2">
        <v>81</v>
      </c>
      <c r="B171" s="2">
        <v>8</v>
      </c>
      <c r="C171" s="2" t="s">
        <v>649</v>
      </c>
      <c r="D171" s="2" t="s">
        <v>304</v>
      </c>
      <c r="E171" s="75" t="s">
        <v>650</v>
      </c>
      <c r="F171" s="3" t="s">
        <v>651</v>
      </c>
      <c r="G171" s="2" t="s">
        <v>95</v>
      </c>
      <c r="H171" s="2">
        <v>4</v>
      </c>
      <c r="I171" s="86">
        <v>0.8</v>
      </c>
      <c r="J171" s="2" t="s">
        <v>95</v>
      </c>
      <c r="K171" s="2" t="s">
        <v>233</v>
      </c>
      <c r="L171" s="2" t="s">
        <v>652</v>
      </c>
    </row>
    <row r="172" spans="1:12" ht="43.15">
      <c r="A172" s="2">
        <v>82</v>
      </c>
      <c r="B172" s="2">
        <v>8</v>
      </c>
      <c r="C172" s="2" t="s">
        <v>653</v>
      </c>
      <c r="D172" s="2" t="s">
        <v>304</v>
      </c>
      <c r="E172" s="75" t="s">
        <v>654</v>
      </c>
      <c r="F172" s="2" t="s">
        <v>655</v>
      </c>
      <c r="G172" s="2" t="s">
        <v>95</v>
      </c>
      <c r="H172" s="2">
        <v>4</v>
      </c>
      <c r="I172" s="86">
        <v>0.8</v>
      </c>
      <c r="J172" s="2" t="s">
        <v>95</v>
      </c>
      <c r="K172" s="2" t="s">
        <v>656</v>
      </c>
      <c r="L172" s="2" t="s">
        <v>657</v>
      </c>
    </row>
    <row r="173" spans="1:12" ht="72">
      <c r="A173" s="2">
        <v>83</v>
      </c>
      <c r="B173" s="2">
        <v>5</v>
      </c>
      <c r="C173" s="2" t="s">
        <v>658</v>
      </c>
      <c r="D173" s="2" t="s">
        <v>604</v>
      </c>
      <c r="E173" s="75" t="s">
        <v>659</v>
      </c>
      <c r="F173" s="2" t="s">
        <v>660</v>
      </c>
      <c r="G173" s="2" t="s">
        <v>95</v>
      </c>
      <c r="H173" s="2">
        <v>4</v>
      </c>
      <c r="I173" s="86">
        <v>0.8</v>
      </c>
      <c r="J173" s="2" t="s">
        <v>95</v>
      </c>
      <c r="K173" s="2" t="s">
        <v>661</v>
      </c>
      <c r="L173" s="2" t="s">
        <v>662</v>
      </c>
    </row>
    <row r="174" spans="1:12" ht="43.15">
      <c r="A174" s="2">
        <v>84</v>
      </c>
      <c r="B174" s="2">
        <v>8</v>
      </c>
      <c r="C174" s="2" t="s">
        <v>663</v>
      </c>
      <c r="D174" s="2" t="s">
        <v>604</v>
      </c>
      <c r="E174" s="75" t="s">
        <v>664</v>
      </c>
      <c r="F174" s="2" t="s">
        <v>665</v>
      </c>
      <c r="G174" s="2" t="s">
        <v>95</v>
      </c>
      <c r="H174" s="2">
        <v>4</v>
      </c>
      <c r="I174" s="86">
        <v>0.8</v>
      </c>
      <c r="J174" s="2" t="s">
        <v>95</v>
      </c>
      <c r="K174" s="2" t="s">
        <v>666</v>
      </c>
      <c r="L174" s="2" t="s">
        <v>667</v>
      </c>
    </row>
    <row r="175" spans="1:12" ht="28.9">
      <c r="A175" s="128">
        <v>85</v>
      </c>
      <c r="B175" s="128">
        <v>9</v>
      </c>
      <c r="C175" s="128" t="s">
        <v>668</v>
      </c>
      <c r="D175" s="122" t="s">
        <v>430</v>
      </c>
      <c r="E175" s="135" t="s">
        <v>669</v>
      </c>
      <c r="F175" s="2" t="s">
        <v>670</v>
      </c>
      <c r="G175" s="2" t="s">
        <v>95</v>
      </c>
      <c r="H175" s="128">
        <v>4</v>
      </c>
      <c r="I175" s="129">
        <v>0.8</v>
      </c>
      <c r="J175" s="2" t="s">
        <v>95</v>
      </c>
      <c r="K175" s="2" t="s">
        <v>671</v>
      </c>
      <c r="L175" s="2" t="s">
        <v>672</v>
      </c>
    </row>
    <row r="176" spans="1:12" ht="28.9">
      <c r="A176" s="128"/>
      <c r="B176" s="128"/>
      <c r="C176" s="128"/>
      <c r="D176" s="124"/>
      <c r="E176" s="135"/>
      <c r="F176" s="2" t="s">
        <v>673</v>
      </c>
      <c r="G176" s="2" t="s">
        <v>95</v>
      </c>
      <c r="H176" s="128"/>
      <c r="I176" s="130"/>
      <c r="J176" s="2" t="s">
        <v>95</v>
      </c>
      <c r="K176" s="2" t="s">
        <v>674</v>
      </c>
      <c r="L176" s="2" t="s">
        <v>233</v>
      </c>
    </row>
    <row r="177" spans="1:12" ht="57.6">
      <c r="A177" s="2">
        <v>86</v>
      </c>
      <c r="B177" s="2">
        <v>10</v>
      </c>
      <c r="C177" s="2" t="s">
        <v>675</v>
      </c>
      <c r="D177" s="2" t="s">
        <v>430</v>
      </c>
      <c r="E177" s="75" t="s">
        <v>676</v>
      </c>
      <c r="F177" s="3" t="s">
        <v>677</v>
      </c>
      <c r="G177" s="2" t="s">
        <v>95</v>
      </c>
      <c r="H177" s="2">
        <v>4</v>
      </c>
      <c r="I177" s="86">
        <v>0.8</v>
      </c>
      <c r="J177" s="2" t="s">
        <v>95</v>
      </c>
      <c r="K177" s="2" t="s">
        <v>233</v>
      </c>
      <c r="L177" s="2" t="s">
        <v>672</v>
      </c>
    </row>
    <row r="178" spans="1:12" ht="74.45" customHeight="1">
      <c r="A178" s="2">
        <v>87</v>
      </c>
      <c r="B178" s="2">
        <v>9</v>
      </c>
      <c r="C178" s="2" t="s">
        <v>678</v>
      </c>
      <c r="D178" s="2" t="s">
        <v>430</v>
      </c>
      <c r="E178" s="75" t="s">
        <v>679</v>
      </c>
      <c r="F178" s="2" t="s">
        <v>680</v>
      </c>
      <c r="G178" s="2" t="s">
        <v>95</v>
      </c>
      <c r="H178" s="2">
        <v>4</v>
      </c>
      <c r="I178" s="86">
        <v>0.8</v>
      </c>
      <c r="J178" s="2" t="s">
        <v>95</v>
      </c>
      <c r="K178" s="2" t="s">
        <v>233</v>
      </c>
      <c r="L178" s="2" t="s">
        <v>681</v>
      </c>
    </row>
    <row r="179" spans="1:12" ht="28.9">
      <c r="A179" s="2">
        <v>88</v>
      </c>
      <c r="B179" s="2">
        <v>14</v>
      </c>
      <c r="C179" s="2" t="s">
        <v>682</v>
      </c>
      <c r="D179" s="2" t="s">
        <v>430</v>
      </c>
      <c r="E179" s="75" t="s">
        <v>683</v>
      </c>
      <c r="F179" s="3" t="s">
        <v>684</v>
      </c>
      <c r="G179" s="2" t="s">
        <v>95</v>
      </c>
      <c r="H179" s="2">
        <v>4</v>
      </c>
      <c r="I179" s="86">
        <v>0.8</v>
      </c>
      <c r="J179" s="2" t="s">
        <v>95</v>
      </c>
      <c r="K179" s="2" t="s">
        <v>685</v>
      </c>
      <c r="L179" s="2" t="s">
        <v>686</v>
      </c>
    </row>
    <row r="180" spans="1:12" ht="43.15">
      <c r="A180" s="2">
        <v>89</v>
      </c>
      <c r="B180" s="2">
        <v>6</v>
      </c>
      <c r="C180" s="2" t="s">
        <v>687</v>
      </c>
      <c r="D180" s="2" t="s">
        <v>604</v>
      </c>
      <c r="E180" s="75" t="s">
        <v>688</v>
      </c>
      <c r="F180" s="2" t="s">
        <v>202</v>
      </c>
      <c r="G180" s="2" t="s">
        <v>95</v>
      </c>
      <c r="H180" s="2">
        <v>4</v>
      </c>
      <c r="I180" s="86">
        <v>0.8</v>
      </c>
      <c r="J180" s="2" t="s">
        <v>95</v>
      </c>
      <c r="K180" s="2" t="s">
        <v>689</v>
      </c>
      <c r="L180" s="2" t="s">
        <v>690</v>
      </c>
    </row>
    <row r="181" spans="1:12" ht="43.15">
      <c r="A181" s="2">
        <v>90</v>
      </c>
      <c r="B181" s="2">
        <v>10</v>
      </c>
      <c r="C181" s="2" t="s">
        <v>691</v>
      </c>
      <c r="D181" s="2" t="s">
        <v>554</v>
      </c>
      <c r="E181" s="75" t="s">
        <v>692</v>
      </c>
      <c r="F181" s="3" t="s">
        <v>693</v>
      </c>
      <c r="G181" s="2" t="s">
        <v>95</v>
      </c>
      <c r="H181" s="2">
        <v>4</v>
      </c>
      <c r="I181" s="86">
        <v>0.8</v>
      </c>
      <c r="J181" s="2" t="s">
        <v>95</v>
      </c>
      <c r="K181" s="2" t="s">
        <v>694</v>
      </c>
      <c r="L181" s="2" t="s">
        <v>695</v>
      </c>
    </row>
    <row r="182" spans="1:12" ht="43.15">
      <c r="A182" s="2">
        <v>91</v>
      </c>
      <c r="B182" s="2">
        <v>10</v>
      </c>
      <c r="C182" s="2" t="s">
        <v>696</v>
      </c>
      <c r="D182" s="2" t="s">
        <v>554</v>
      </c>
      <c r="E182" s="75" t="s">
        <v>697</v>
      </c>
      <c r="F182" s="2" t="s">
        <v>698</v>
      </c>
      <c r="G182" s="2" t="s">
        <v>95</v>
      </c>
      <c r="H182" s="2">
        <v>4</v>
      </c>
      <c r="I182" s="86">
        <v>0.8</v>
      </c>
      <c r="J182" s="2" t="s">
        <v>95</v>
      </c>
      <c r="K182" s="2" t="s">
        <v>699</v>
      </c>
      <c r="L182" s="2" t="s">
        <v>700</v>
      </c>
    </row>
    <row r="183" spans="1:12" ht="129.6">
      <c r="A183" s="128">
        <v>92</v>
      </c>
      <c r="B183" s="128">
        <v>10</v>
      </c>
      <c r="C183" s="128" t="s">
        <v>701</v>
      </c>
      <c r="D183" s="122" t="s">
        <v>554</v>
      </c>
      <c r="E183" s="135" t="s">
        <v>702</v>
      </c>
      <c r="F183" s="3" t="s">
        <v>703</v>
      </c>
      <c r="G183" s="2" t="s">
        <v>95</v>
      </c>
      <c r="H183" s="128">
        <v>4</v>
      </c>
      <c r="I183" s="129">
        <v>0.8</v>
      </c>
      <c r="J183" s="2" t="s">
        <v>95</v>
      </c>
      <c r="K183" s="2" t="s">
        <v>704</v>
      </c>
      <c r="L183" s="2" t="s">
        <v>705</v>
      </c>
    </row>
    <row r="184" spans="1:12" ht="129.6">
      <c r="A184" s="128"/>
      <c r="B184" s="128"/>
      <c r="C184" s="128"/>
      <c r="D184" s="123"/>
      <c r="E184" s="135"/>
      <c r="F184" s="3" t="s">
        <v>706</v>
      </c>
      <c r="G184" s="2" t="s">
        <v>95</v>
      </c>
      <c r="H184" s="128"/>
      <c r="I184" s="131"/>
      <c r="J184" s="2" t="s">
        <v>95</v>
      </c>
      <c r="K184" s="2"/>
      <c r="L184" s="2" t="s">
        <v>705</v>
      </c>
    </row>
    <row r="185" spans="1:12" ht="129.6">
      <c r="A185" s="128"/>
      <c r="B185" s="128"/>
      <c r="C185" s="128"/>
      <c r="D185" s="123"/>
      <c r="E185" s="135"/>
      <c r="F185" s="3" t="s">
        <v>707</v>
      </c>
      <c r="G185" s="2" t="s">
        <v>95</v>
      </c>
      <c r="H185" s="128"/>
      <c r="I185" s="131"/>
      <c r="J185" s="2" t="s">
        <v>95</v>
      </c>
      <c r="K185" s="2" t="s">
        <v>708</v>
      </c>
      <c r="L185" s="2" t="s">
        <v>705</v>
      </c>
    </row>
    <row r="186" spans="1:12" ht="129.6">
      <c r="A186" s="128"/>
      <c r="B186" s="128"/>
      <c r="C186" s="128"/>
      <c r="D186" s="124"/>
      <c r="E186" s="135"/>
      <c r="F186" s="3" t="s">
        <v>709</v>
      </c>
      <c r="G186" s="2" t="s">
        <v>95</v>
      </c>
      <c r="H186" s="128"/>
      <c r="I186" s="130"/>
      <c r="J186" s="2" t="s">
        <v>95</v>
      </c>
      <c r="K186" s="2"/>
      <c r="L186" s="2" t="s">
        <v>705</v>
      </c>
    </row>
    <row r="187" spans="1:12" ht="43.15">
      <c r="A187" s="2">
        <v>93</v>
      </c>
      <c r="B187" s="2">
        <v>10</v>
      </c>
      <c r="C187" s="2" t="s">
        <v>710</v>
      </c>
      <c r="D187" s="2" t="s">
        <v>554</v>
      </c>
      <c r="E187" s="75" t="s">
        <v>711</v>
      </c>
      <c r="F187" s="2" t="s">
        <v>712</v>
      </c>
      <c r="G187" s="2" t="s">
        <v>95</v>
      </c>
      <c r="H187" s="2">
        <v>4</v>
      </c>
      <c r="I187" s="86">
        <v>0.8</v>
      </c>
      <c r="J187" s="2" t="s">
        <v>95</v>
      </c>
      <c r="K187" s="2" t="s">
        <v>713</v>
      </c>
      <c r="L187" s="2" t="s">
        <v>714</v>
      </c>
    </row>
    <row r="188" spans="1:12" ht="43.15">
      <c r="A188" s="2">
        <v>94</v>
      </c>
      <c r="B188" s="2">
        <v>10</v>
      </c>
      <c r="C188" s="2" t="s">
        <v>715</v>
      </c>
      <c r="D188" s="2" t="s">
        <v>585</v>
      </c>
      <c r="E188" s="75" t="s">
        <v>716</v>
      </c>
      <c r="F188" s="3" t="s">
        <v>717</v>
      </c>
      <c r="G188" s="2" t="s">
        <v>95</v>
      </c>
      <c r="H188" s="2">
        <v>4</v>
      </c>
      <c r="I188" s="86">
        <v>0.8</v>
      </c>
      <c r="J188" s="2" t="s">
        <v>95</v>
      </c>
      <c r="K188" s="2" t="s">
        <v>718</v>
      </c>
      <c r="L188" s="2" t="s">
        <v>719</v>
      </c>
    </row>
    <row r="189" spans="1:12" ht="28.9">
      <c r="A189" s="2">
        <v>95</v>
      </c>
      <c r="B189" s="2"/>
      <c r="C189" s="2"/>
      <c r="D189" s="2" t="s">
        <v>368</v>
      </c>
      <c r="E189" s="80" t="s">
        <v>720</v>
      </c>
      <c r="F189" s="3"/>
      <c r="G189" s="2"/>
      <c r="H189" s="2"/>
      <c r="I189" s="86"/>
      <c r="J189" s="2"/>
      <c r="K189" s="2"/>
      <c r="L189" s="2"/>
    </row>
    <row r="190" spans="1:12" ht="28.9">
      <c r="A190" s="2">
        <v>96</v>
      </c>
      <c r="B190" s="2">
        <v>10</v>
      </c>
      <c r="C190" s="2" t="s">
        <v>721</v>
      </c>
      <c r="D190" s="2" t="s">
        <v>282</v>
      </c>
      <c r="E190" s="75" t="s">
        <v>722</v>
      </c>
      <c r="F190" s="2" t="s">
        <v>723</v>
      </c>
      <c r="G190" s="2" t="s">
        <v>95</v>
      </c>
      <c r="H190" s="2">
        <v>4</v>
      </c>
      <c r="I190" s="86">
        <v>0.8</v>
      </c>
      <c r="J190" s="2" t="s">
        <v>95</v>
      </c>
      <c r="K190" s="2" t="s">
        <v>233</v>
      </c>
      <c r="L190" s="2" t="s">
        <v>724</v>
      </c>
    </row>
    <row r="191" spans="1:12" ht="28.9">
      <c r="A191" s="2">
        <v>97</v>
      </c>
      <c r="B191" s="2">
        <v>8</v>
      </c>
      <c r="C191" s="2" t="s">
        <v>725</v>
      </c>
      <c r="D191" s="2" t="s">
        <v>430</v>
      </c>
      <c r="E191" s="75" t="s">
        <v>726</v>
      </c>
      <c r="F191" s="2" t="s">
        <v>403</v>
      </c>
      <c r="G191" s="2" t="s">
        <v>95</v>
      </c>
      <c r="H191" s="2">
        <v>4</v>
      </c>
      <c r="I191" s="86">
        <v>0.8</v>
      </c>
      <c r="J191" s="2" t="s">
        <v>95</v>
      </c>
      <c r="K191" s="2" t="s">
        <v>727</v>
      </c>
      <c r="L191" s="2" t="s">
        <v>719</v>
      </c>
    </row>
    <row r="192" spans="1:12" ht="28.9">
      <c r="A192" s="2">
        <v>98</v>
      </c>
      <c r="B192" s="2">
        <v>8</v>
      </c>
      <c r="C192" s="2" t="s">
        <v>728</v>
      </c>
      <c r="D192" s="2" t="s">
        <v>554</v>
      </c>
      <c r="E192" s="75" t="s">
        <v>729</v>
      </c>
      <c r="F192" s="2" t="s">
        <v>730</v>
      </c>
      <c r="G192" s="2" t="s">
        <v>95</v>
      </c>
      <c r="H192" s="2">
        <v>4</v>
      </c>
      <c r="I192" s="86">
        <v>0.8</v>
      </c>
      <c r="J192" s="2" t="s">
        <v>95</v>
      </c>
      <c r="K192" s="2" t="s">
        <v>731</v>
      </c>
      <c r="L192" s="2" t="s">
        <v>732</v>
      </c>
    </row>
    <row r="193" spans="1:12" ht="28.9">
      <c r="A193" s="2">
        <v>99</v>
      </c>
      <c r="B193" s="2">
        <v>10</v>
      </c>
      <c r="C193" s="2" t="s">
        <v>733</v>
      </c>
      <c r="D193" s="2" t="s">
        <v>186</v>
      </c>
      <c r="E193" s="75" t="s">
        <v>734</v>
      </c>
      <c r="F193" s="2" t="s">
        <v>735</v>
      </c>
      <c r="G193" s="2" t="s">
        <v>95</v>
      </c>
      <c r="H193" s="2">
        <v>4</v>
      </c>
      <c r="I193" s="86">
        <v>0.8</v>
      </c>
      <c r="J193" s="2" t="s">
        <v>95</v>
      </c>
      <c r="K193" s="2" t="s">
        <v>233</v>
      </c>
      <c r="L193" s="2" t="s">
        <v>736</v>
      </c>
    </row>
    <row r="194" spans="1:12" ht="57.6">
      <c r="A194" s="2">
        <v>100</v>
      </c>
      <c r="B194" s="2">
        <v>8</v>
      </c>
      <c r="C194" s="2" t="s">
        <v>737</v>
      </c>
      <c r="D194" s="2" t="s">
        <v>186</v>
      </c>
      <c r="E194" s="75" t="s">
        <v>738</v>
      </c>
      <c r="F194" s="2" t="s">
        <v>739</v>
      </c>
      <c r="G194" s="2" t="s">
        <v>95</v>
      </c>
      <c r="H194" s="2">
        <v>4</v>
      </c>
      <c r="I194" s="86">
        <v>0.8</v>
      </c>
      <c r="J194" s="2" t="s">
        <v>95</v>
      </c>
      <c r="K194" s="2" t="s">
        <v>272</v>
      </c>
      <c r="L194" s="2" t="s">
        <v>740</v>
      </c>
    </row>
    <row r="195" spans="1:12" ht="28.9">
      <c r="A195" s="2">
        <v>101</v>
      </c>
      <c r="B195" s="2"/>
      <c r="C195" s="2"/>
      <c r="D195" s="2" t="s">
        <v>430</v>
      </c>
      <c r="E195" s="80" t="s">
        <v>741</v>
      </c>
      <c r="F195" s="2"/>
      <c r="G195" s="2"/>
      <c r="H195" s="2"/>
      <c r="I195" s="86"/>
      <c r="J195" s="2"/>
      <c r="K195" s="2"/>
      <c r="L195" s="2"/>
    </row>
    <row r="196" spans="1:12" ht="14.45">
      <c r="H196" s="87">
        <f>SUM(H2:H195)/101</f>
        <v>3.5742574257425743</v>
      </c>
    </row>
    <row r="197" spans="1:12" ht="15" customHeight="1">
      <c r="H197" s="77">
        <f>AVERAGE(H103:H123)</f>
        <v>3.8571428571428572</v>
      </c>
    </row>
    <row r="198" spans="1:12" ht="15" customHeight="1">
      <c r="H198" s="87">
        <f>AVERAGE(H28:H194)</f>
        <v>3.835294117647059</v>
      </c>
    </row>
  </sheetData>
  <autoFilter ref="A1:L198" xr:uid="{9D06CCBC-267D-4240-8925-3CFBCDA4B42E}"/>
  <mergeCells count="267">
    <mergeCell ref="E78:E81"/>
    <mergeCell ref="E76:E77"/>
    <mergeCell ref="C64:C65"/>
    <mergeCell ref="E64:E65"/>
    <mergeCell ref="E72:E73"/>
    <mergeCell ref="C84:C85"/>
    <mergeCell ref="H76:H77"/>
    <mergeCell ref="H78:H81"/>
    <mergeCell ref="E164:E165"/>
    <mergeCell ref="E162:E163"/>
    <mergeCell ref="E158:E160"/>
    <mergeCell ref="E148:E154"/>
    <mergeCell ref="E143:E147"/>
    <mergeCell ref="E139:E141"/>
    <mergeCell ref="E84:E85"/>
    <mergeCell ref="E134:E136"/>
    <mergeCell ref="E125:E132"/>
    <mergeCell ref="E122:E123"/>
    <mergeCell ref="E119:E120"/>
    <mergeCell ref="E67:E68"/>
    <mergeCell ref="C67:C68"/>
    <mergeCell ref="H67:H68"/>
    <mergeCell ref="H82:H83"/>
    <mergeCell ref="C122:C123"/>
    <mergeCell ref="E183:E186"/>
    <mergeCell ref="C183:C186"/>
    <mergeCell ref="C166:C168"/>
    <mergeCell ref="E82:E83"/>
    <mergeCell ref="C43:C47"/>
    <mergeCell ref="E43:E47"/>
    <mergeCell ref="E137:E138"/>
    <mergeCell ref="E156:E157"/>
    <mergeCell ref="C169:C170"/>
    <mergeCell ref="C175:C176"/>
    <mergeCell ref="E175:E176"/>
    <mergeCell ref="E169:E170"/>
    <mergeCell ref="E166:E168"/>
    <mergeCell ref="C139:C141"/>
    <mergeCell ref="C143:C147"/>
    <mergeCell ref="C148:C154"/>
    <mergeCell ref="C158:C160"/>
    <mergeCell ref="C162:C163"/>
    <mergeCell ref="C164:C165"/>
    <mergeCell ref="C72:C73"/>
    <mergeCell ref="E113:E118"/>
    <mergeCell ref="E87:E92"/>
    <mergeCell ref="C113:C118"/>
    <mergeCell ref="C119:C120"/>
    <mergeCell ref="H183:H186"/>
    <mergeCell ref="H2:H5"/>
    <mergeCell ref="H8:H13"/>
    <mergeCell ref="H17:H20"/>
    <mergeCell ref="H21:H22"/>
    <mergeCell ref="H23:H27"/>
    <mergeCell ref="H28:H31"/>
    <mergeCell ref="C2:C5"/>
    <mergeCell ref="E2:E5"/>
    <mergeCell ref="C8:C13"/>
    <mergeCell ref="E8:E13"/>
    <mergeCell ref="C17:C20"/>
    <mergeCell ref="E17:E20"/>
    <mergeCell ref="E28:E31"/>
    <mergeCell ref="D2:D5"/>
    <mergeCell ref="D8:D13"/>
    <mergeCell ref="D17:D20"/>
    <mergeCell ref="D21:D22"/>
    <mergeCell ref="D23:D27"/>
    <mergeCell ref="D28:D31"/>
    <mergeCell ref="E39:E42"/>
    <mergeCell ref="H59:H63"/>
    <mergeCell ref="C21:C22"/>
    <mergeCell ref="E21:E22"/>
    <mergeCell ref="C23:C27"/>
    <mergeCell ref="E23:E27"/>
    <mergeCell ref="C28:C31"/>
    <mergeCell ref="H64:H65"/>
    <mergeCell ref="H72:H73"/>
    <mergeCell ref="E33:E34"/>
    <mergeCell ref="C33:C34"/>
    <mergeCell ref="C36:C37"/>
    <mergeCell ref="E36:E37"/>
    <mergeCell ref="C39:C42"/>
    <mergeCell ref="C48:C51"/>
    <mergeCell ref="E48:E51"/>
    <mergeCell ref="C52:C55"/>
    <mergeCell ref="E52:E55"/>
    <mergeCell ref="C59:C63"/>
    <mergeCell ref="E59:E63"/>
    <mergeCell ref="H33:H34"/>
    <mergeCell ref="H36:H37"/>
    <mergeCell ref="H39:H42"/>
    <mergeCell ref="H43:H47"/>
    <mergeCell ref="H48:H51"/>
    <mergeCell ref="H52:H55"/>
    <mergeCell ref="H166:H168"/>
    <mergeCell ref="H84:H85"/>
    <mergeCell ref="H156:H157"/>
    <mergeCell ref="H169:H170"/>
    <mergeCell ref="H175:H176"/>
    <mergeCell ref="H134:H136"/>
    <mergeCell ref="H137:H138"/>
    <mergeCell ref="H139:H141"/>
    <mergeCell ref="H143:H147"/>
    <mergeCell ref="H148:H154"/>
    <mergeCell ref="H158:H160"/>
    <mergeCell ref="H87:H92"/>
    <mergeCell ref="H113:H118"/>
    <mergeCell ref="H119:H120"/>
    <mergeCell ref="H122:H123"/>
    <mergeCell ref="H125:H132"/>
    <mergeCell ref="H162:H163"/>
    <mergeCell ref="H164:H165"/>
    <mergeCell ref="C137:C138"/>
    <mergeCell ref="C125:C132"/>
    <mergeCell ref="C134:C136"/>
    <mergeCell ref="C156:C157"/>
    <mergeCell ref="D125:D132"/>
    <mergeCell ref="D134:D136"/>
    <mergeCell ref="D137:D138"/>
    <mergeCell ref="D139:D141"/>
    <mergeCell ref="D143:D147"/>
    <mergeCell ref="D148:D154"/>
    <mergeCell ref="D156:D157"/>
    <mergeCell ref="C87:C92"/>
    <mergeCell ref="I2:I5"/>
    <mergeCell ref="I8:I13"/>
    <mergeCell ref="I17:I20"/>
    <mergeCell ref="I21:I22"/>
    <mergeCell ref="I23:I27"/>
    <mergeCell ref="I28:I31"/>
    <mergeCell ref="I33:I34"/>
    <mergeCell ref="I36:I37"/>
    <mergeCell ref="I39:I42"/>
    <mergeCell ref="I43:I47"/>
    <mergeCell ref="I48:I51"/>
    <mergeCell ref="I52:I55"/>
    <mergeCell ref="I59:I63"/>
    <mergeCell ref="I64:I65"/>
    <mergeCell ref="I67:I68"/>
    <mergeCell ref="I72:I73"/>
    <mergeCell ref="I76:I77"/>
    <mergeCell ref="I78:I81"/>
    <mergeCell ref="D64:D65"/>
    <mergeCell ref="D67:D68"/>
    <mergeCell ref="C76:C77"/>
    <mergeCell ref="C78:C81"/>
    <mergeCell ref="C82:C83"/>
    <mergeCell ref="I158:I160"/>
    <mergeCell ref="I162:I163"/>
    <mergeCell ref="I164:I165"/>
    <mergeCell ref="I166:I168"/>
    <mergeCell ref="I169:I170"/>
    <mergeCell ref="I82:I83"/>
    <mergeCell ref="I84:I85"/>
    <mergeCell ref="I87:I92"/>
    <mergeCell ref="I113:I118"/>
    <mergeCell ref="I119:I120"/>
    <mergeCell ref="I122:I123"/>
    <mergeCell ref="I125:I132"/>
    <mergeCell ref="I134:I136"/>
    <mergeCell ref="I137:I138"/>
    <mergeCell ref="B134:B136"/>
    <mergeCell ref="I175:I176"/>
    <mergeCell ref="I183:I186"/>
    <mergeCell ref="B2:B5"/>
    <mergeCell ref="B8:B13"/>
    <mergeCell ref="B17:B20"/>
    <mergeCell ref="B21:B22"/>
    <mergeCell ref="B23:B27"/>
    <mergeCell ref="B28:B31"/>
    <mergeCell ref="B33:B34"/>
    <mergeCell ref="B36:B37"/>
    <mergeCell ref="B39:B42"/>
    <mergeCell ref="B43:B47"/>
    <mergeCell ref="B48:B51"/>
    <mergeCell ref="B52:B55"/>
    <mergeCell ref="B59:B63"/>
    <mergeCell ref="B64:B65"/>
    <mergeCell ref="B67:B68"/>
    <mergeCell ref="B72:B73"/>
    <mergeCell ref="B76:B77"/>
    <mergeCell ref="I139:I141"/>
    <mergeCell ref="I143:I147"/>
    <mergeCell ref="I148:I154"/>
    <mergeCell ref="I156:I157"/>
    <mergeCell ref="B166:B168"/>
    <mergeCell ref="B169:B170"/>
    <mergeCell ref="B175:B176"/>
    <mergeCell ref="B183:B186"/>
    <mergeCell ref="B137:B138"/>
    <mergeCell ref="B139:B141"/>
    <mergeCell ref="B143:B147"/>
    <mergeCell ref="B148:B154"/>
    <mergeCell ref="B156:B157"/>
    <mergeCell ref="B158:B160"/>
    <mergeCell ref="B162:B163"/>
    <mergeCell ref="B164:B165"/>
    <mergeCell ref="A48:A51"/>
    <mergeCell ref="A52:A55"/>
    <mergeCell ref="A59:A63"/>
    <mergeCell ref="A64:A65"/>
    <mergeCell ref="A67:A68"/>
    <mergeCell ref="A72:A73"/>
    <mergeCell ref="A76:A77"/>
    <mergeCell ref="A78:A81"/>
    <mergeCell ref="A2:A5"/>
    <mergeCell ref="A8:A13"/>
    <mergeCell ref="A17:A20"/>
    <mergeCell ref="A21:A22"/>
    <mergeCell ref="A23:A27"/>
    <mergeCell ref="A28:A31"/>
    <mergeCell ref="A33:A34"/>
    <mergeCell ref="A36:A37"/>
    <mergeCell ref="A39:A42"/>
    <mergeCell ref="A43:A47"/>
    <mergeCell ref="A134:A136"/>
    <mergeCell ref="A137:A138"/>
    <mergeCell ref="A175:A176"/>
    <mergeCell ref="A183:A186"/>
    <mergeCell ref="A139:A141"/>
    <mergeCell ref="A143:A147"/>
    <mergeCell ref="A148:A154"/>
    <mergeCell ref="A156:A157"/>
    <mergeCell ref="A158:A160"/>
    <mergeCell ref="A162:A163"/>
    <mergeCell ref="A164:A165"/>
    <mergeCell ref="A166:A168"/>
    <mergeCell ref="A169:A170"/>
    <mergeCell ref="A82:A83"/>
    <mergeCell ref="A84:A85"/>
    <mergeCell ref="A87:A92"/>
    <mergeCell ref="A113:A118"/>
    <mergeCell ref="A119:A120"/>
    <mergeCell ref="A122:A123"/>
    <mergeCell ref="A125:A132"/>
    <mergeCell ref="B78:B81"/>
    <mergeCell ref="B82:B83"/>
    <mergeCell ref="B84:B85"/>
    <mergeCell ref="B87:B92"/>
    <mergeCell ref="B113:B118"/>
    <mergeCell ref="B119:B120"/>
    <mergeCell ref="B122:B123"/>
    <mergeCell ref="B125:B132"/>
    <mergeCell ref="J2:J5"/>
    <mergeCell ref="D158:D160"/>
    <mergeCell ref="D162:D163"/>
    <mergeCell ref="D164:D165"/>
    <mergeCell ref="D166:D168"/>
    <mergeCell ref="D169:D170"/>
    <mergeCell ref="D175:D176"/>
    <mergeCell ref="D183:D186"/>
    <mergeCell ref="D72:D73"/>
    <mergeCell ref="D76:D77"/>
    <mergeCell ref="D78:D81"/>
    <mergeCell ref="D82:D83"/>
    <mergeCell ref="D84:D85"/>
    <mergeCell ref="D87:D92"/>
    <mergeCell ref="D113:D118"/>
    <mergeCell ref="D119:D120"/>
    <mergeCell ref="D122:D123"/>
    <mergeCell ref="D33:D34"/>
    <mergeCell ref="D36:D37"/>
    <mergeCell ref="D39:D42"/>
    <mergeCell ref="D43:D47"/>
    <mergeCell ref="D48:D51"/>
    <mergeCell ref="D52:D55"/>
    <mergeCell ref="D59:D6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18CEBDC77C3C6949AA3FB0E15A68A940" ma:contentTypeVersion="11" ma:contentTypeDescription="Crear nuevo documento." ma:contentTypeScope="" ma:versionID="d52878cb2f0ba5d6c9be5b30d12bb653">
  <xsd:schema xmlns:xsd="http://www.w3.org/2001/XMLSchema" xmlns:xs="http://www.w3.org/2001/XMLSchema" xmlns:p="http://schemas.microsoft.com/office/2006/metadata/properties" xmlns:ns2="07f90502-01f0-4cae-a6a0-40862d65de8b" xmlns:ns3="14ea127c-854f-41fb-9adb-d090df6732b5" targetNamespace="http://schemas.microsoft.com/office/2006/metadata/properties" ma:root="true" ma:fieldsID="852a920799b63747c311159ce5be376e" ns2:_="" ns3:_="">
    <xsd:import namespace="07f90502-01f0-4cae-a6a0-40862d65de8b"/>
    <xsd:import namespace="14ea127c-854f-41fb-9adb-d090df6732b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f90502-01f0-4cae-a6a0-40862d65de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8364831f-9365-4731-affb-44e18c0c24f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ea127c-854f-41fb-9adb-d090df6732b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e18a258-aa6e-4edc-845a-317681361ecd}" ma:internalName="TaxCatchAll" ma:showField="CatchAllData" ma:web="14ea127c-854f-41fb-9adb-d090df6732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7f90502-01f0-4cae-a6a0-40862d65de8b">
      <Terms xmlns="http://schemas.microsoft.com/office/infopath/2007/PartnerControls"/>
    </lcf76f155ced4ddcb4097134ff3c332f>
    <TaxCatchAll xmlns="14ea127c-854f-41fb-9adb-d090df6732b5" xsi:nil="true"/>
  </documentManagement>
</p:properties>
</file>

<file path=customXml/itemProps1.xml><?xml version="1.0" encoding="utf-8"?>
<ds:datastoreItem xmlns:ds="http://schemas.openxmlformats.org/officeDocument/2006/customXml" ds:itemID="{E508A35E-A94C-4FE4-8F6E-0B985990D2B9}"/>
</file>

<file path=customXml/itemProps2.xml><?xml version="1.0" encoding="utf-8"?>
<ds:datastoreItem xmlns:ds="http://schemas.openxmlformats.org/officeDocument/2006/customXml" ds:itemID="{B40EF4AF-428F-4105-B7E5-9DD70C0D230A}"/>
</file>

<file path=customXml/itemProps3.xml><?xml version="1.0" encoding="utf-8"?>
<ds:datastoreItem xmlns:ds="http://schemas.openxmlformats.org/officeDocument/2006/customXml" ds:itemID="{78295E16-F6A0-485D-9C9B-9E77287427F9}"/>
</file>

<file path=docMetadata/LabelInfo.xml><?xml version="1.0" encoding="utf-8"?>
<clbl:labelList xmlns:clbl="http://schemas.microsoft.com/office/2020/mipLabelMetadata">
  <clbl:label id="{44424b81-6b81-4ffc-8157-700668e73416}" enabled="0" method="" siteId="{44424b81-6b81-4ffc-8157-700668e73416}"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Jaime De Castro</cp:lastModifiedBy>
  <cp:revision>1</cp:revision>
  <dcterms:created xsi:type="dcterms:W3CDTF">2024-09-30T18:12:33Z</dcterms:created>
  <dcterms:modified xsi:type="dcterms:W3CDTF">2025-04-22T13:28:49Z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0x01010018CEBDC77C3C6949AA3FB0E15A68A940</vt:lpwstr>
  </property>
  <property fmtid="{D5CDD505-2E9C-101B-9397-08002B2CF9AE}" pid="3" name="MediaServiceImageTags">
    <vt:lpwstr/>
  </property>
</Properties>
</file>