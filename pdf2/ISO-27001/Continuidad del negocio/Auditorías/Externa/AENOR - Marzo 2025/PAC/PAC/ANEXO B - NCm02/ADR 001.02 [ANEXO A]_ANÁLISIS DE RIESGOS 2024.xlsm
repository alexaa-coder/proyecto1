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23" codeName="{00000000-0000-0000-0000-000000000000}"/>
  <workbookPr filterPrivacy="1" showInkAnnotation="0" updateLinks="always" codeName="ThisWorkbook" hidePivotFieldList="1" defaultThemeVersion="124226"/>
  <xr:revisionPtr revIDLastSave="204" documentId="13_ncr:1_{853A8F61-3ECD-48B9-9D4B-11A32C534B42}" xr6:coauthVersionLast="47" xr6:coauthVersionMax="47" xr10:uidLastSave="{72C4B7AF-2B2B-401B-AE81-397E6A13E62A}"/>
  <bookViews>
    <workbookView xWindow="-108" yWindow="-108" windowWidth="23256" windowHeight="12456" tabRatio="932" firstSheet="2" xr2:uid="{00000000-000D-0000-FFFF-FFFF00000000}"/>
  </bookViews>
  <sheets>
    <sheet name="Control" sheetId="71" r:id="rId1"/>
    <sheet name="Datos_SPIKA" sheetId="18" r:id="rId2"/>
    <sheet name="Amenazas vs Taxonomías" sheetId="32" r:id="rId3"/>
    <sheet name="Amenazas vs Activos SPIKA" sheetId="19" r:id="rId4"/>
    <sheet name="Contoles vs Amenazas" sheetId="34" r:id="rId5"/>
    <sheet name="Riesgos" sheetId="69" r:id="rId6"/>
    <sheet name="Resultados" sheetId="70" r:id="rId7"/>
    <sheet name="Criterios" sheetId="39" r:id="rId8"/>
    <sheet name="Constantes" sheetId="31" r:id="rId9"/>
  </sheets>
  <definedNames>
    <definedName name="_xlnm._FilterDatabase" localSheetId="3" hidden="1">'Amenazas vs Activos SPIKA'!$A$1:$AD$30</definedName>
    <definedName name="_xlnm._FilterDatabase" localSheetId="5" hidden="1">Riesgos!$D$3:$M$200</definedName>
    <definedName name="_xlnm._FilterDatabase" localSheetId="1" hidden="1">Datos_SPIKA!$B$2:$F$2</definedName>
    <definedName name="_xlnm._FilterDatabase" localSheetId="2" hidden="1">'Amenazas vs Taxonomías'!$D$2:$E$2</definedName>
    <definedName name="Tabla_Madurez">#REF!</definedName>
  </definedNames>
  <calcPr calcId="191028"/>
  <pivotCaches>
    <pivotCache cacheId="4867"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01" i="69" l="1" a="1"/>
  <c r="H201" i="69"/>
  <c r="H202" i="69" a="1"/>
  <c r="H202" i="69"/>
  <c r="H203" i="69" a="1"/>
  <c r="H203" i="69"/>
  <c r="H204" i="69" a="1"/>
  <c r="H204" i="69"/>
  <c r="J201" i="69"/>
  <c r="K201" i="69"/>
  <c r="L201" i="69"/>
  <c r="M201" i="69" a="1"/>
  <c r="M201" i="69"/>
  <c r="J202" i="69"/>
  <c r="K202" i="69"/>
  <c r="L202" i="69"/>
  <c r="M202" i="69" a="1"/>
  <c r="M202" i="69"/>
  <c r="J203" i="69"/>
  <c r="K203" i="69"/>
  <c r="L203" i="69"/>
  <c r="M203" i="69" a="1"/>
  <c r="M203" i="69"/>
  <c r="J204" i="69"/>
  <c r="K204" i="69"/>
  <c r="L204" i="69"/>
  <c r="M204" i="69" a="1"/>
  <c r="M204" i="69"/>
  <c r="H11" i="69" a="1"/>
  <c r="H11" i="69"/>
  <c r="H33" i="69" a="1"/>
  <c r="H33" i="69"/>
  <c r="D4" i="34"/>
  <c r="F14" i="18"/>
  <c r="F23" i="18"/>
  <c r="D6" i="34"/>
  <c r="E5" i="34"/>
  <c r="C7" i="32"/>
  <c r="C6" i="32"/>
  <c r="C3" i="32"/>
  <c r="F3" i="18"/>
  <c r="L147" i="69"/>
  <c r="M147" i="69" s="1" a="1"/>
  <c r="M147" i="69" s="1"/>
  <c r="K147" i="69"/>
  <c r="J147" i="69"/>
  <c r="H147" i="69" a="1"/>
  <c r="H147" i="69" s="1"/>
  <c r="L146" i="69"/>
  <c r="M146" i="69" s="1" a="1"/>
  <c r="M146" i="69" s="1"/>
  <c r="K146" i="69"/>
  <c r="J146" i="69"/>
  <c r="H146" i="69" a="1"/>
  <c r="H146" i="69" s="1"/>
  <c r="L145" i="69"/>
  <c r="M145" i="69" s="1" a="1"/>
  <c r="M145" i="69" s="1"/>
  <c r="K145" i="69"/>
  <c r="J145" i="69"/>
  <c r="H145" i="69" a="1"/>
  <c r="H145" i="69" s="1"/>
  <c r="L144" i="69"/>
  <c r="M144" i="69" s="1" a="1"/>
  <c r="M144" i="69" s="1"/>
  <c r="K144" i="69"/>
  <c r="J144" i="69"/>
  <c r="H144" i="69" a="1"/>
  <c r="H144" i="69" s="1"/>
  <c r="L143" i="69"/>
  <c r="M143" i="69" s="1" a="1"/>
  <c r="M143" i="69" s="1"/>
  <c r="K143" i="69"/>
  <c r="J143" i="69"/>
  <c r="H143" i="69" a="1"/>
  <c r="H143" i="69" s="1"/>
  <c r="L142" i="69"/>
  <c r="M142" i="69" s="1" a="1"/>
  <c r="M142" i="69" s="1"/>
  <c r="K142" i="69"/>
  <c r="J142" i="69"/>
  <c r="H142" i="69" a="1"/>
  <c r="H142" i="69" s="1"/>
  <c r="L141" i="69"/>
  <c r="M141" i="69" s="1" a="1"/>
  <c r="M141" i="69" s="1"/>
  <c r="K141" i="69"/>
  <c r="J141" i="69"/>
  <c r="H141" i="69" a="1"/>
  <c r="H141" i="69" s="1"/>
  <c r="L140" i="69"/>
  <c r="M140" i="69" s="1" a="1"/>
  <c r="M140" i="69" s="1"/>
  <c r="K140" i="69"/>
  <c r="J140" i="69"/>
  <c r="H140" i="69" a="1"/>
  <c r="H140" i="69" s="1"/>
  <c r="L139" i="69"/>
  <c r="M139" i="69" s="1" a="1"/>
  <c r="M139" i="69" s="1"/>
  <c r="K139" i="69"/>
  <c r="J139" i="69"/>
  <c r="H139" i="69" a="1"/>
  <c r="H139" i="69" s="1"/>
  <c r="L138" i="69"/>
  <c r="M138" i="69" s="1" a="1"/>
  <c r="M138" i="69" s="1"/>
  <c r="K138" i="69"/>
  <c r="J138" i="69"/>
  <c r="H138" i="69" a="1"/>
  <c r="H138" i="69" s="1"/>
  <c r="L137" i="69"/>
  <c r="M137" i="69" s="1" a="1"/>
  <c r="M137" i="69" s="1"/>
  <c r="K137" i="69"/>
  <c r="J137" i="69"/>
  <c r="H137" i="69" a="1"/>
  <c r="H137" i="69" s="1"/>
  <c r="L136" i="69"/>
  <c r="M136" i="69" s="1" a="1"/>
  <c r="M136" i="69" s="1"/>
  <c r="K136" i="69"/>
  <c r="J136" i="69"/>
  <c r="H136" i="69" a="1"/>
  <c r="H136" i="69" s="1"/>
  <c r="L135" i="69"/>
  <c r="M135" i="69" s="1" a="1"/>
  <c r="M135" i="69" s="1"/>
  <c r="K135" i="69"/>
  <c r="J135" i="69"/>
  <c r="H135" i="69" a="1"/>
  <c r="H135" i="69" s="1"/>
  <c r="L134" i="69"/>
  <c r="M134" i="69" s="1" a="1"/>
  <c r="M134" i="69" s="1"/>
  <c r="K134" i="69"/>
  <c r="J134" i="69"/>
  <c r="H134" i="69" a="1"/>
  <c r="H134" i="69" s="1"/>
  <c r="L13" i="69"/>
  <c r="M13" i="69" s="1" a="1"/>
  <c r="M13" i="69" s="1"/>
  <c r="K13" i="69"/>
  <c r="J13" i="69"/>
  <c r="H13" i="69" a="1"/>
  <c r="H13" i="69" s="1"/>
  <c r="L12" i="69"/>
  <c r="M12" i="69" s="1" a="1"/>
  <c r="M12" i="69" s="1"/>
  <c r="K12" i="69"/>
  <c r="J12" i="69"/>
  <c r="H12" i="69" a="1"/>
  <c r="H12" i="69" s="1"/>
  <c r="L11" i="69"/>
  <c r="M11" i="69" s="1" a="1"/>
  <c r="M11" i="69" s="1"/>
  <c r="K11" i="69"/>
  <c r="J11" i="69"/>
  <c r="L10" i="69"/>
  <c r="M10" i="69" s="1" a="1"/>
  <c r="M10" i="69" s="1"/>
  <c r="K10" i="69"/>
  <c r="J10" i="69"/>
  <c r="H10" i="69" a="1"/>
  <c r="H10" i="69" s="1"/>
  <c r="L9" i="69"/>
  <c r="M9" i="69" s="1" a="1"/>
  <c r="M9" i="69" s="1"/>
  <c r="K9" i="69"/>
  <c r="J9" i="69"/>
  <c r="H9" i="69" a="1"/>
  <c r="H9" i="69" s="1"/>
  <c r="D5" i="34"/>
  <c r="F4" i="18"/>
  <c r="F6" i="18"/>
  <c r="L184" i="69"/>
  <c r="L4" i="69" l="1"/>
  <c r="L5" i="69"/>
  <c r="L6" i="69"/>
  <c r="L7" i="69"/>
  <c r="L8" i="69"/>
  <c r="L14" i="69"/>
  <c r="L15" i="69"/>
  <c r="L16" i="69"/>
  <c r="L17" i="69"/>
  <c r="L18" i="69"/>
  <c r="L19" i="69"/>
  <c r="L20" i="69"/>
  <c r="L21" i="69"/>
  <c r="L22" i="69"/>
  <c r="L23" i="69"/>
  <c r="L24" i="69"/>
  <c r="L25" i="69"/>
  <c r="L26" i="69"/>
  <c r="L27" i="69"/>
  <c r="L28" i="69"/>
  <c r="L29" i="69"/>
  <c r="L30" i="69"/>
  <c r="L31" i="69"/>
  <c r="L32" i="69"/>
  <c r="L33" i="69"/>
  <c r="L34" i="69"/>
  <c r="L35" i="69"/>
  <c r="L36" i="69"/>
  <c r="L37" i="69"/>
  <c r="L38" i="69"/>
  <c r="L39" i="69"/>
  <c r="L40" i="69"/>
  <c r="L41" i="69"/>
  <c r="L42" i="69"/>
  <c r="L43" i="69"/>
  <c r="L44" i="69"/>
  <c r="L45" i="69"/>
  <c r="L46" i="69"/>
  <c r="L47" i="69"/>
  <c r="L48" i="69"/>
  <c r="L49" i="69"/>
  <c r="L50" i="69"/>
  <c r="L51" i="69"/>
  <c r="L52" i="69"/>
  <c r="L53" i="69"/>
  <c r="L54" i="69"/>
  <c r="L55" i="69"/>
  <c r="L56" i="69"/>
  <c r="L57" i="69"/>
  <c r="L58" i="69"/>
  <c r="L59" i="69"/>
  <c r="L60" i="69"/>
  <c r="L61" i="69"/>
  <c r="L62" i="69"/>
  <c r="L63" i="69"/>
  <c r="L64" i="69"/>
  <c r="L65" i="69"/>
  <c r="L66" i="69"/>
  <c r="L67" i="69"/>
  <c r="L68" i="69"/>
  <c r="L69" i="69"/>
  <c r="L70" i="69"/>
  <c r="L71" i="69"/>
  <c r="L72" i="69"/>
  <c r="L73" i="69"/>
  <c r="L74" i="69"/>
  <c r="L75" i="69"/>
  <c r="L76" i="69"/>
  <c r="L77" i="69"/>
  <c r="L78" i="69"/>
  <c r="L79" i="69"/>
  <c r="L80" i="69"/>
  <c r="L81" i="69"/>
  <c r="L82" i="69"/>
  <c r="L83" i="69"/>
  <c r="L84" i="69"/>
  <c r="L85" i="69"/>
  <c r="L86" i="69"/>
  <c r="L87" i="69"/>
  <c r="L88" i="69"/>
  <c r="L89" i="69"/>
  <c r="L90" i="69"/>
  <c r="L91" i="69"/>
  <c r="L92" i="69"/>
  <c r="L93" i="69"/>
  <c r="L94" i="69"/>
  <c r="L95" i="69"/>
  <c r="L96" i="69"/>
  <c r="L97" i="69"/>
  <c r="L98" i="69"/>
  <c r="L99" i="69"/>
  <c r="L100" i="69"/>
  <c r="L101" i="69"/>
  <c r="L102" i="69"/>
  <c r="L103" i="69"/>
  <c r="L104" i="69"/>
  <c r="L105" i="69"/>
  <c r="L106" i="69"/>
  <c r="L107" i="69"/>
  <c r="L108" i="69"/>
  <c r="L109" i="69"/>
  <c r="L110" i="69"/>
  <c r="L111" i="69"/>
  <c r="L112" i="69"/>
  <c r="L113" i="69"/>
  <c r="L114" i="69"/>
  <c r="L115" i="69"/>
  <c r="L116" i="69"/>
  <c r="L117" i="69"/>
  <c r="L118" i="69"/>
  <c r="L119" i="69"/>
  <c r="L120" i="69"/>
  <c r="L121" i="69"/>
  <c r="L122" i="69"/>
  <c r="L123" i="69"/>
  <c r="L124" i="69"/>
  <c r="L125" i="69"/>
  <c r="L126" i="69"/>
  <c r="L127" i="69"/>
  <c r="L128" i="69"/>
  <c r="L129" i="69"/>
  <c r="L130" i="69"/>
  <c r="L131" i="69"/>
  <c r="L132" i="69"/>
  <c r="L133" i="69"/>
  <c r="L148" i="69"/>
  <c r="L149" i="69"/>
  <c r="L150" i="69"/>
  <c r="L151" i="69"/>
  <c r="L152" i="69"/>
  <c r="L153" i="69"/>
  <c r="L154" i="69"/>
  <c r="L155" i="69"/>
  <c r="L156" i="69"/>
  <c r="L157" i="69"/>
  <c r="L158" i="69"/>
  <c r="L159" i="69"/>
  <c r="L160" i="69"/>
  <c r="L161" i="69"/>
  <c r="L162" i="69"/>
  <c r="L163" i="69"/>
  <c r="L164" i="69"/>
  <c r="L165" i="69"/>
  <c r="L166" i="69"/>
  <c r="L167" i="69"/>
  <c r="L168" i="69"/>
  <c r="L169" i="69"/>
  <c r="L170" i="69"/>
  <c r="L171" i="69"/>
  <c r="L172" i="69"/>
  <c r="L173" i="69"/>
  <c r="L174" i="69"/>
  <c r="L175" i="69"/>
  <c r="L176" i="69"/>
  <c r="L177" i="69"/>
  <c r="L178" i="69"/>
  <c r="L179" i="69"/>
  <c r="L180" i="69"/>
  <c r="L181" i="69"/>
  <c r="L182" i="69"/>
  <c r="L183" i="69"/>
  <c r="L185" i="69"/>
  <c r="L186" i="69"/>
  <c r="L187" i="69"/>
  <c r="L188" i="69"/>
  <c r="L189" i="69"/>
  <c r="L190" i="69"/>
  <c r="L191" i="69"/>
  <c r="L192" i="69"/>
  <c r="L193" i="69"/>
  <c r="L194" i="69"/>
  <c r="L195" i="69"/>
  <c r="L196" i="69"/>
  <c r="L197" i="69"/>
  <c r="L198" i="69"/>
  <c r="L199" i="69"/>
  <c r="L200" i="69"/>
  <c r="J30" i="69"/>
  <c r="J5" i="69"/>
  <c r="K5" i="69"/>
  <c r="J6" i="69"/>
  <c r="K6" i="69"/>
  <c r="J7" i="69"/>
  <c r="K7" i="69"/>
  <c r="J8" i="69"/>
  <c r="K8" i="69"/>
  <c r="J14" i="69"/>
  <c r="K14" i="69"/>
  <c r="J15" i="69"/>
  <c r="K15" i="69"/>
  <c r="J16" i="69"/>
  <c r="K16" i="69"/>
  <c r="J17" i="69"/>
  <c r="K17" i="69"/>
  <c r="J18" i="69"/>
  <c r="K18" i="69"/>
  <c r="J19" i="69"/>
  <c r="K19" i="69"/>
  <c r="J20" i="69"/>
  <c r="K20" i="69"/>
  <c r="J21" i="69"/>
  <c r="K21" i="69"/>
  <c r="J22" i="69"/>
  <c r="K22" i="69"/>
  <c r="J23" i="69"/>
  <c r="K23" i="69"/>
  <c r="J24" i="69"/>
  <c r="K24" i="69"/>
  <c r="J25" i="69"/>
  <c r="K25" i="69"/>
  <c r="J26" i="69"/>
  <c r="K26" i="69"/>
  <c r="J27" i="69"/>
  <c r="K27" i="69"/>
  <c r="J28" i="69"/>
  <c r="K28" i="69"/>
  <c r="J29" i="69"/>
  <c r="K29" i="69"/>
  <c r="K30" i="69"/>
  <c r="J31" i="69"/>
  <c r="K31" i="69"/>
  <c r="J32" i="69"/>
  <c r="K32" i="69"/>
  <c r="J33" i="69"/>
  <c r="K33" i="69"/>
  <c r="J34" i="69"/>
  <c r="K34" i="69"/>
  <c r="J35" i="69"/>
  <c r="K35" i="69"/>
  <c r="J36" i="69"/>
  <c r="K36" i="69"/>
  <c r="J37" i="69"/>
  <c r="K37" i="69"/>
  <c r="J38" i="69"/>
  <c r="K38" i="69"/>
  <c r="J39" i="69"/>
  <c r="K39" i="69"/>
  <c r="J40" i="69"/>
  <c r="K40" i="69"/>
  <c r="J41" i="69"/>
  <c r="K41" i="69"/>
  <c r="J42" i="69"/>
  <c r="K42" i="69"/>
  <c r="J43" i="69"/>
  <c r="K43" i="69"/>
  <c r="J44" i="69"/>
  <c r="K44" i="69"/>
  <c r="J45" i="69"/>
  <c r="K45" i="69"/>
  <c r="J46" i="69"/>
  <c r="K46" i="69"/>
  <c r="J47" i="69"/>
  <c r="K47" i="69"/>
  <c r="J48" i="69"/>
  <c r="K48" i="69"/>
  <c r="J49" i="69"/>
  <c r="K49" i="69"/>
  <c r="J50" i="69"/>
  <c r="K50" i="69"/>
  <c r="J51" i="69"/>
  <c r="K51" i="69"/>
  <c r="J52" i="69"/>
  <c r="K52" i="69"/>
  <c r="J53" i="69"/>
  <c r="K53" i="69"/>
  <c r="J54" i="69"/>
  <c r="K54" i="69"/>
  <c r="J55" i="69"/>
  <c r="K55" i="69"/>
  <c r="J56" i="69"/>
  <c r="K56" i="69"/>
  <c r="J57" i="69"/>
  <c r="K57" i="69"/>
  <c r="J58" i="69"/>
  <c r="K58" i="69"/>
  <c r="J59" i="69"/>
  <c r="K59" i="69"/>
  <c r="J60" i="69"/>
  <c r="K60" i="69"/>
  <c r="J61" i="69"/>
  <c r="K61" i="69"/>
  <c r="J62" i="69"/>
  <c r="K62" i="69"/>
  <c r="J63" i="69"/>
  <c r="K63" i="69"/>
  <c r="J64" i="69"/>
  <c r="K64" i="69"/>
  <c r="J65" i="69"/>
  <c r="K65" i="69"/>
  <c r="J66" i="69"/>
  <c r="K66" i="69"/>
  <c r="J67" i="69"/>
  <c r="K67" i="69"/>
  <c r="J68" i="69"/>
  <c r="K68" i="69"/>
  <c r="J69" i="69"/>
  <c r="K69" i="69"/>
  <c r="J70" i="69"/>
  <c r="K70" i="69"/>
  <c r="J71" i="69"/>
  <c r="K71" i="69"/>
  <c r="J72" i="69"/>
  <c r="K72" i="69"/>
  <c r="J73" i="69"/>
  <c r="K73" i="69"/>
  <c r="J74" i="69"/>
  <c r="K74" i="69"/>
  <c r="J75" i="69"/>
  <c r="K75" i="69"/>
  <c r="J76" i="69"/>
  <c r="K76" i="69"/>
  <c r="J77" i="69"/>
  <c r="K77" i="69"/>
  <c r="J78" i="69"/>
  <c r="K78" i="69"/>
  <c r="J79" i="69"/>
  <c r="K79" i="69"/>
  <c r="J80" i="69"/>
  <c r="K80" i="69"/>
  <c r="J81" i="69"/>
  <c r="K81" i="69"/>
  <c r="J82" i="69"/>
  <c r="K82" i="69"/>
  <c r="J83" i="69"/>
  <c r="K83" i="69"/>
  <c r="J84" i="69"/>
  <c r="K84" i="69"/>
  <c r="J85" i="69"/>
  <c r="K85" i="69"/>
  <c r="J86" i="69"/>
  <c r="K86" i="69"/>
  <c r="J87" i="69"/>
  <c r="K87" i="69"/>
  <c r="J88" i="69"/>
  <c r="K88" i="69"/>
  <c r="J89" i="69"/>
  <c r="K89" i="69"/>
  <c r="J90" i="69"/>
  <c r="K90" i="69"/>
  <c r="J91" i="69"/>
  <c r="K91" i="69"/>
  <c r="J92" i="69"/>
  <c r="K92" i="69"/>
  <c r="J93" i="69"/>
  <c r="K93" i="69"/>
  <c r="J94" i="69"/>
  <c r="K94" i="69"/>
  <c r="J95" i="69"/>
  <c r="K95" i="69"/>
  <c r="J96" i="69"/>
  <c r="K96" i="69"/>
  <c r="J97" i="69"/>
  <c r="K97" i="69"/>
  <c r="J98" i="69"/>
  <c r="K98" i="69"/>
  <c r="J99" i="69"/>
  <c r="K99" i="69"/>
  <c r="J100" i="69"/>
  <c r="K100" i="69"/>
  <c r="J101" i="69"/>
  <c r="K101" i="69"/>
  <c r="J102" i="69"/>
  <c r="K102" i="69"/>
  <c r="J103" i="69"/>
  <c r="K103" i="69"/>
  <c r="J104" i="69"/>
  <c r="K104" i="69"/>
  <c r="J105" i="69"/>
  <c r="K105" i="69"/>
  <c r="J106" i="69"/>
  <c r="K106" i="69"/>
  <c r="J107" i="69"/>
  <c r="K107" i="69"/>
  <c r="J108" i="69"/>
  <c r="K108" i="69"/>
  <c r="J109" i="69"/>
  <c r="K109" i="69"/>
  <c r="J110" i="69"/>
  <c r="K110" i="69"/>
  <c r="J111" i="69"/>
  <c r="K111" i="69"/>
  <c r="J112" i="69"/>
  <c r="K112" i="69"/>
  <c r="J113" i="69"/>
  <c r="K113" i="69"/>
  <c r="J114" i="69"/>
  <c r="K114" i="69"/>
  <c r="J115" i="69"/>
  <c r="K115" i="69"/>
  <c r="J116" i="69"/>
  <c r="K116" i="69"/>
  <c r="J117" i="69"/>
  <c r="K117" i="69"/>
  <c r="J118" i="69"/>
  <c r="K118" i="69"/>
  <c r="J119" i="69"/>
  <c r="K119" i="69"/>
  <c r="J120" i="69"/>
  <c r="K120" i="69"/>
  <c r="J121" i="69"/>
  <c r="K121" i="69"/>
  <c r="J122" i="69"/>
  <c r="K122" i="69"/>
  <c r="J123" i="69"/>
  <c r="K123" i="69"/>
  <c r="J124" i="69"/>
  <c r="K124" i="69"/>
  <c r="J125" i="69"/>
  <c r="K125" i="69"/>
  <c r="J126" i="69"/>
  <c r="K126" i="69"/>
  <c r="J127" i="69"/>
  <c r="K127" i="69"/>
  <c r="J128" i="69"/>
  <c r="K128" i="69"/>
  <c r="J129" i="69"/>
  <c r="K129" i="69"/>
  <c r="J130" i="69"/>
  <c r="K130" i="69"/>
  <c r="J131" i="69"/>
  <c r="K131" i="69"/>
  <c r="J132" i="69"/>
  <c r="K132" i="69"/>
  <c r="J133" i="69"/>
  <c r="K133" i="69"/>
  <c r="J148" i="69"/>
  <c r="K148" i="69"/>
  <c r="J149" i="69"/>
  <c r="K149" i="69"/>
  <c r="J150" i="69"/>
  <c r="K150" i="69"/>
  <c r="J151" i="69"/>
  <c r="K151" i="69"/>
  <c r="J152" i="69"/>
  <c r="K152" i="69"/>
  <c r="J153" i="69"/>
  <c r="K153" i="69"/>
  <c r="J154" i="69"/>
  <c r="K154" i="69"/>
  <c r="J155" i="69"/>
  <c r="K155" i="69"/>
  <c r="J156" i="69"/>
  <c r="K156" i="69"/>
  <c r="J157" i="69"/>
  <c r="K157" i="69"/>
  <c r="J158" i="69"/>
  <c r="K158" i="69"/>
  <c r="J159" i="69"/>
  <c r="K159" i="69"/>
  <c r="J160" i="69"/>
  <c r="K160" i="69"/>
  <c r="J161" i="69"/>
  <c r="K161" i="69"/>
  <c r="J162" i="69"/>
  <c r="K162" i="69"/>
  <c r="J163" i="69"/>
  <c r="K163" i="69"/>
  <c r="J164" i="69"/>
  <c r="K164" i="69"/>
  <c r="J165" i="69"/>
  <c r="K165" i="69"/>
  <c r="J166" i="69"/>
  <c r="K166" i="69"/>
  <c r="J167" i="69"/>
  <c r="K167" i="69"/>
  <c r="J168" i="69"/>
  <c r="K168" i="69"/>
  <c r="J169" i="69"/>
  <c r="K169" i="69"/>
  <c r="J170" i="69"/>
  <c r="K170" i="69"/>
  <c r="J171" i="69"/>
  <c r="K171" i="69"/>
  <c r="J172" i="69"/>
  <c r="K172" i="69"/>
  <c r="J173" i="69"/>
  <c r="K173" i="69"/>
  <c r="J174" i="69"/>
  <c r="K174" i="69"/>
  <c r="J175" i="69"/>
  <c r="K175" i="69"/>
  <c r="J176" i="69"/>
  <c r="K176" i="69"/>
  <c r="J177" i="69"/>
  <c r="K177" i="69"/>
  <c r="J178" i="69"/>
  <c r="K178" i="69"/>
  <c r="J179" i="69"/>
  <c r="K179" i="69"/>
  <c r="J180" i="69"/>
  <c r="K180" i="69"/>
  <c r="J181" i="69"/>
  <c r="K181" i="69"/>
  <c r="J182" i="69"/>
  <c r="K182" i="69"/>
  <c r="J183" i="69"/>
  <c r="K183" i="69"/>
  <c r="J184" i="69"/>
  <c r="K184" i="69"/>
  <c r="J185" i="69"/>
  <c r="K185" i="69"/>
  <c r="J186" i="69"/>
  <c r="K186" i="69"/>
  <c r="J187" i="69"/>
  <c r="K187" i="69"/>
  <c r="J188" i="69"/>
  <c r="K188" i="69"/>
  <c r="J189" i="69"/>
  <c r="K189" i="69"/>
  <c r="J190" i="69"/>
  <c r="K190" i="69"/>
  <c r="J191" i="69"/>
  <c r="K191" i="69"/>
  <c r="J192" i="69"/>
  <c r="K192" i="69"/>
  <c r="J193" i="69"/>
  <c r="K193" i="69"/>
  <c r="J194" i="69"/>
  <c r="K194" i="69"/>
  <c r="J195" i="69"/>
  <c r="K195" i="69"/>
  <c r="J196" i="69"/>
  <c r="K196" i="69"/>
  <c r="J197" i="69"/>
  <c r="K197" i="69"/>
  <c r="J198" i="69"/>
  <c r="K198" i="69"/>
  <c r="J199" i="69"/>
  <c r="K199" i="69"/>
  <c r="J200" i="69"/>
  <c r="K200" i="69"/>
  <c r="H155" i="69" a="1"/>
  <c r="H155" i="69" s="1"/>
  <c r="H156" i="69" a="1"/>
  <c r="H156" i="69" s="1"/>
  <c r="H157" i="69" a="1"/>
  <c r="H157" i="69" s="1"/>
  <c r="H158" i="69" a="1"/>
  <c r="H158" i="69" s="1"/>
  <c r="H159" i="69" a="1"/>
  <c r="H159" i="69" s="1"/>
  <c r="H160" i="69" a="1"/>
  <c r="H160" i="69" s="1"/>
  <c r="H161" i="69" a="1"/>
  <c r="H161" i="69" s="1"/>
  <c r="H162" i="69" a="1"/>
  <c r="H162" i="69" s="1"/>
  <c r="H163" i="69" a="1"/>
  <c r="H163" i="69" s="1"/>
  <c r="H164" i="69" a="1"/>
  <c r="H164" i="69" s="1"/>
  <c r="H165" i="69" a="1"/>
  <c r="H165" i="69" s="1"/>
  <c r="H166" i="69" a="1"/>
  <c r="H166" i="69" s="1"/>
  <c r="H167" i="69" a="1"/>
  <c r="H167" i="69" s="1"/>
  <c r="H168" i="69" a="1"/>
  <c r="H168" i="69" s="1"/>
  <c r="H169" i="69" a="1"/>
  <c r="H169" i="69" s="1"/>
  <c r="H170" i="69" a="1"/>
  <c r="H170" i="69" s="1"/>
  <c r="H171" i="69" a="1"/>
  <c r="H171" i="69" s="1"/>
  <c r="H172" i="69" a="1"/>
  <c r="H172" i="69" s="1"/>
  <c r="H173" i="69" a="1"/>
  <c r="H173" i="69" s="1"/>
  <c r="H174" i="69" a="1"/>
  <c r="H174" i="69" s="1"/>
  <c r="H175" i="69" a="1"/>
  <c r="H175" i="69" s="1"/>
  <c r="H176" i="69" a="1"/>
  <c r="H176" i="69" s="1"/>
  <c r="H177" i="69" a="1"/>
  <c r="H177" i="69" s="1"/>
  <c r="H178" i="69" a="1"/>
  <c r="H178" i="69" s="1"/>
  <c r="H179" i="69" a="1"/>
  <c r="H179" i="69" s="1"/>
  <c r="H180" i="69" a="1"/>
  <c r="H180" i="69" s="1"/>
  <c r="H181" i="69" a="1"/>
  <c r="H181" i="69" s="1"/>
  <c r="H182" i="69" a="1"/>
  <c r="H182" i="69" s="1"/>
  <c r="H183" i="69" a="1"/>
  <c r="H183" i="69" s="1"/>
  <c r="H184" i="69" a="1"/>
  <c r="H184" i="69" s="1"/>
  <c r="H185" i="69" a="1"/>
  <c r="H185" i="69" s="1"/>
  <c r="H186" i="69" a="1"/>
  <c r="H186" i="69" s="1"/>
  <c r="H187" i="69" a="1"/>
  <c r="H187" i="69" s="1"/>
  <c r="H188" i="69" a="1"/>
  <c r="H188" i="69" s="1"/>
  <c r="H189" i="69" a="1"/>
  <c r="H189" i="69" s="1"/>
  <c r="H190" i="69" a="1"/>
  <c r="H190" i="69" s="1"/>
  <c r="H191" i="69" a="1"/>
  <c r="H191" i="69" s="1"/>
  <c r="H192" i="69" a="1"/>
  <c r="H192" i="69" s="1"/>
  <c r="H193" i="69" a="1"/>
  <c r="H193" i="69" s="1"/>
  <c r="H194" i="69" a="1"/>
  <c r="H194" i="69" s="1"/>
  <c r="H195" i="69" a="1"/>
  <c r="H195" i="69" s="1"/>
  <c r="H196" i="69" a="1"/>
  <c r="H196" i="69" s="1"/>
  <c r="H197" i="69" a="1"/>
  <c r="H197" i="69" s="1"/>
  <c r="H198" i="69" a="1"/>
  <c r="H198" i="69" s="1"/>
  <c r="H199" i="69" a="1"/>
  <c r="H199" i="69" s="1"/>
  <c r="H200" i="69" a="1"/>
  <c r="H200" i="69" s="1"/>
  <c r="C4" i="32"/>
  <c r="C5" i="32"/>
  <c r="C8" i="32"/>
  <c r="C9" i="32"/>
  <c r="C10" i="32"/>
  <c r="C11" i="32"/>
  <c r="C12" i="32"/>
  <c r="C13" i="32"/>
  <c r="C14" i="32"/>
  <c r="C15" i="32"/>
  <c r="C16" i="32"/>
  <c r="C17" i="32"/>
  <c r="C18" i="32"/>
  <c r="C19" i="32"/>
  <c r="C20" i="32"/>
  <c r="C21" i="32"/>
  <c r="C22" i="32"/>
  <c r="C23" i="32"/>
  <c r="C24" i="32"/>
  <c r="C25" i="32"/>
  <c r="C26" i="32"/>
  <c r="C27" i="32"/>
  <c r="E70" i="34"/>
  <c r="AB68" i="34"/>
  <c r="AA68" i="34"/>
  <c r="Z68" i="34"/>
  <c r="S68" i="34"/>
  <c r="P68" i="34"/>
  <c r="O68" i="34"/>
  <c r="H68" i="34"/>
  <c r="G68" i="34"/>
  <c r="F68" i="34"/>
  <c r="Z67" i="34"/>
  <c r="F67" i="34"/>
  <c r="AB67" i="34"/>
  <c r="AA67" i="34"/>
  <c r="S67" i="34"/>
  <c r="P67" i="34"/>
  <c r="O67" i="34"/>
  <c r="H67" i="34"/>
  <c r="G67" i="34"/>
  <c r="D66" i="34"/>
  <c r="F66" i="34"/>
  <c r="G66" i="34"/>
  <c r="H66" i="34"/>
  <c r="K66" i="34"/>
  <c r="M66" i="34"/>
  <c r="N66" i="34"/>
  <c r="O66" i="34"/>
  <c r="P66" i="34"/>
  <c r="Q66" i="34"/>
  <c r="S66" i="34"/>
  <c r="U66" i="34"/>
  <c r="AA66" i="34"/>
  <c r="AB66" i="34"/>
  <c r="U65" i="34"/>
  <c r="S65" i="34"/>
  <c r="N65" i="34"/>
  <c r="M65" i="34"/>
  <c r="K65" i="34"/>
  <c r="F65" i="34"/>
  <c r="G65" i="34"/>
  <c r="H65" i="34"/>
  <c r="D65" i="34"/>
  <c r="O65" i="34"/>
  <c r="P65" i="34"/>
  <c r="Q65" i="34"/>
  <c r="AA65" i="34"/>
  <c r="AB65" i="34"/>
  <c r="E64" i="34"/>
  <c r="I64" i="34"/>
  <c r="O64" i="34"/>
  <c r="P64" i="34"/>
  <c r="Q64" i="34"/>
  <c r="R64" i="34"/>
  <c r="V64" i="34"/>
  <c r="X64" i="34"/>
  <c r="Y64" i="34"/>
  <c r="AA64" i="34"/>
  <c r="AB64" i="34"/>
  <c r="E62" i="34"/>
  <c r="F62" i="34"/>
  <c r="G62" i="34"/>
  <c r="Y61" i="34"/>
  <c r="U58" i="34"/>
  <c r="T58" i="34"/>
  <c r="R58" i="34"/>
  <c r="N58" i="34"/>
  <c r="J58" i="34"/>
  <c r="Z58" i="34"/>
  <c r="Q58" i="34"/>
  <c r="M58" i="34"/>
  <c r="L58" i="34"/>
  <c r="Z61" i="34"/>
  <c r="S61" i="34"/>
  <c r="Q61" i="34"/>
  <c r="P61" i="34"/>
  <c r="O61" i="34"/>
  <c r="M61" i="34"/>
  <c r="L61" i="34"/>
  <c r="I61" i="34"/>
  <c r="H61" i="34"/>
  <c r="G61" i="34"/>
  <c r="F61" i="34"/>
  <c r="E61" i="34"/>
  <c r="Q59" i="34"/>
  <c r="AB59" i="34"/>
  <c r="AA59" i="34"/>
  <c r="Z59" i="34"/>
  <c r="Y59" i="34"/>
  <c r="S59" i="34"/>
  <c r="P59" i="34"/>
  <c r="O59" i="34"/>
  <c r="M59" i="34"/>
  <c r="L59" i="34"/>
  <c r="I59" i="34"/>
  <c r="H59" i="34"/>
  <c r="G59" i="34"/>
  <c r="F59" i="34"/>
  <c r="E59" i="34"/>
  <c r="L60" i="34"/>
  <c r="T18" i="34"/>
  <c r="AB57" i="34"/>
  <c r="AA57" i="34"/>
  <c r="Y57" i="34"/>
  <c r="X57" i="34"/>
  <c r="V57" i="34"/>
  <c r="S57" i="34"/>
  <c r="P57" i="34"/>
  <c r="O57" i="34"/>
  <c r="H57" i="34"/>
  <c r="G57" i="34"/>
  <c r="F57" i="34"/>
  <c r="O55" i="34"/>
  <c r="O56" i="34"/>
  <c r="Q56" i="34"/>
  <c r="AB56" i="34"/>
  <c r="AA56" i="34"/>
  <c r="Y56" i="34"/>
  <c r="X56" i="34"/>
  <c r="S56" i="34"/>
  <c r="P56" i="34"/>
  <c r="H56" i="34"/>
  <c r="G56" i="34"/>
  <c r="F56" i="34"/>
  <c r="AB55" i="34"/>
  <c r="AA55" i="34"/>
  <c r="Y55" i="34"/>
  <c r="X55" i="34"/>
  <c r="V55" i="34"/>
  <c r="S55" i="34"/>
  <c r="P55" i="34"/>
  <c r="H55" i="34"/>
  <c r="G55" i="34"/>
  <c r="F55" i="34"/>
  <c r="O15" i="34"/>
  <c r="AB15" i="34"/>
  <c r="AA15" i="34"/>
  <c r="Y15" i="34"/>
  <c r="X15" i="34"/>
  <c r="V15" i="34"/>
  <c r="S15" i="34"/>
  <c r="P15" i="34"/>
  <c r="H15" i="34"/>
  <c r="G15" i="34"/>
  <c r="F15" i="34"/>
  <c r="AA54" i="34"/>
  <c r="AB54" i="34"/>
  <c r="Y54" i="34"/>
  <c r="X54" i="34"/>
  <c r="V54" i="34"/>
  <c r="S54" i="34"/>
  <c r="P54" i="34"/>
  <c r="H54" i="34"/>
  <c r="G54" i="34"/>
  <c r="F54" i="34"/>
  <c r="Y53" i="34"/>
  <c r="X53" i="34"/>
  <c r="U53" i="34"/>
  <c r="N53" i="34"/>
  <c r="M53" i="34"/>
  <c r="L53" i="34"/>
  <c r="K53" i="34"/>
  <c r="J53" i="34"/>
  <c r="H53" i="34"/>
  <c r="D53" i="34"/>
  <c r="Y47" i="34"/>
  <c r="X47" i="34"/>
  <c r="U47" i="34"/>
  <c r="N47" i="34"/>
  <c r="M47" i="34"/>
  <c r="L47" i="34"/>
  <c r="K47" i="34"/>
  <c r="J47" i="34"/>
  <c r="H47" i="34"/>
  <c r="D47" i="34"/>
  <c r="Y52" i="34"/>
  <c r="X52" i="34"/>
  <c r="U52" i="34"/>
  <c r="N52" i="34"/>
  <c r="M52" i="34"/>
  <c r="L52" i="34"/>
  <c r="K52" i="34"/>
  <c r="J52" i="34"/>
  <c r="H52" i="34"/>
  <c r="D52" i="34"/>
  <c r="U51" i="34"/>
  <c r="Q51" i="34"/>
  <c r="N51" i="34"/>
  <c r="M51" i="34"/>
  <c r="L51" i="34"/>
  <c r="K51" i="34"/>
  <c r="J51" i="34"/>
  <c r="D51" i="34"/>
  <c r="Q50" i="34"/>
  <c r="M48" i="34"/>
  <c r="N48" i="34"/>
  <c r="N49" i="34"/>
  <c r="N50" i="34"/>
  <c r="U50" i="34"/>
  <c r="M50" i="34"/>
  <c r="L50" i="34"/>
  <c r="K50" i="34"/>
  <c r="J50" i="34"/>
  <c r="D50" i="34"/>
  <c r="Y49" i="34"/>
  <c r="X49" i="34"/>
  <c r="U49" i="34"/>
  <c r="M49" i="34"/>
  <c r="L49" i="34"/>
  <c r="K49" i="34"/>
  <c r="J49" i="34"/>
  <c r="H49" i="34"/>
  <c r="D49" i="34"/>
  <c r="Y48" i="34"/>
  <c r="X48" i="34"/>
  <c r="U48" i="34"/>
  <c r="L48" i="34"/>
  <c r="K48" i="34"/>
  <c r="J48" i="34"/>
  <c r="H48" i="34"/>
  <c r="D48" i="34"/>
  <c r="D46" i="34"/>
  <c r="U45" i="34"/>
  <c r="D45" i="34"/>
  <c r="H45" i="34"/>
  <c r="J45" i="34"/>
  <c r="K45" i="34"/>
  <c r="L45" i="34"/>
  <c r="M45" i="34"/>
  <c r="X45" i="34"/>
  <c r="Y45" i="34"/>
  <c r="E44" i="34"/>
  <c r="F44" i="34"/>
  <c r="G44" i="34"/>
  <c r="H44" i="34"/>
  <c r="I44" i="34"/>
  <c r="J44" i="34"/>
  <c r="K44" i="34"/>
  <c r="L44" i="34"/>
  <c r="M44" i="34"/>
  <c r="X44" i="34"/>
  <c r="Y44" i="34"/>
  <c r="E42" i="34"/>
  <c r="F42" i="34"/>
  <c r="G42" i="34"/>
  <c r="H42" i="34"/>
  <c r="I42" i="34"/>
  <c r="J42" i="34"/>
  <c r="K42" i="34"/>
  <c r="L42" i="34"/>
  <c r="M42" i="34"/>
  <c r="X42" i="34"/>
  <c r="Y42" i="34"/>
  <c r="E43" i="34"/>
  <c r="F43" i="34"/>
  <c r="G43" i="34"/>
  <c r="H43" i="34"/>
  <c r="I43" i="34"/>
  <c r="J43" i="34"/>
  <c r="K43" i="34"/>
  <c r="L43" i="34"/>
  <c r="M43" i="34"/>
  <c r="X43" i="34"/>
  <c r="Y43" i="34"/>
  <c r="F41" i="34"/>
  <c r="AB40" i="34"/>
  <c r="AA40" i="34"/>
  <c r="U40" i="34"/>
  <c r="Q40" i="34"/>
  <c r="P40" i="34"/>
  <c r="O40" i="34"/>
  <c r="I40" i="34"/>
  <c r="G40" i="34"/>
  <c r="F40" i="34"/>
  <c r="E40" i="34"/>
  <c r="E37" i="34"/>
  <c r="X37" i="34"/>
  <c r="W37" i="34"/>
  <c r="V37" i="34"/>
  <c r="S37" i="34"/>
  <c r="G37" i="34"/>
  <c r="F37" i="34"/>
  <c r="X36" i="34"/>
  <c r="W36" i="34"/>
  <c r="V36" i="34"/>
  <c r="S36" i="34"/>
  <c r="P36" i="34"/>
  <c r="O36" i="34"/>
  <c r="H36" i="34"/>
  <c r="G36" i="34"/>
  <c r="F36" i="34"/>
  <c r="X35" i="34"/>
  <c r="W35" i="34"/>
  <c r="V35" i="34"/>
  <c r="S35" i="34"/>
  <c r="P35" i="34"/>
  <c r="O35" i="34"/>
  <c r="H35" i="34"/>
  <c r="G35" i="34"/>
  <c r="F35" i="34"/>
  <c r="S34" i="34"/>
  <c r="AB32" i="34"/>
  <c r="AA32" i="34"/>
  <c r="X32" i="34"/>
  <c r="U32" i="34"/>
  <c r="R32" i="34"/>
  <c r="M32" i="34"/>
  <c r="L32" i="34"/>
  <c r="K32" i="34"/>
  <c r="I32" i="34"/>
  <c r="H32" i="34"/>
  <c r="G32" i="34"/>
  <c r="F32" i="34"/>
  <c r="E32" i="34"/>
  <c r="Z31" i="34"/>
  <c r="Y31" i="34"/>
  <c r="X31" i="34"/>
  <c r="T31" i="34"/>
  <c r="S31" i="34"/>
  <c r="R31" i="34"/>
  <c r="Q31" i="34"/>
  <c r="P31" i="34"/>
  <c r="O31" i="34"/>
  <c r="M31" i="34"/>
  <c r="L31" i="34"/>
  <c r="I31" i="34"/>
  <c r="H31" i="34"/>
  <c r="G31" i="34"/>
  <c r="F31" i="34"/>
  <c r="E31" i="34"/>
  <c r="AB30" i="34"/>
  <c r="AA30" i="34"/>
  <c r="Y30" i="34"/>
  <c r="X30" i="34"/>
  <c r="V30" i="34"/>
  <c r="I30" i="34"/>
  <c r="G30" i="34"/>
  <c r="E30" i="34"/>
  <c r="P29" i="34"/>
  <c r="O29" i="34"/>
  <c r="F29" i="34"/>
  <c r="G29" i="34"/>
  <c r="H29" i="34"/>
  <c r="E29" i="34"/>
  <c r="I29" i="34"/>
  <c r="V29" i="34"/>
  <c r="X29" i="34"/>
  <c r="Y29" i="34"/>
  <c r="AA29" i="34"/>
  <c r="AB29" i="34"/>
  <c r="F27" i="34"/>
  <c r="D25" i="34"/>
  <c r="Z26" i="34"/>
  <c r="Z25" i="34"/>
  <c r="E85" i="34"/>
  <c r="G85" i="34"/>
  <c r="H85" i="34"/>
  <c r="L85" i="34"/>
  <c r="M85" i="34"/>
  <c r="O85" i="34"/>
  <c r="Q85" i="34"/>
  <c r="S85" i="34"/>
  <c r="T85" i="34"/>
  <c r="Y85" i="34"/>
  <c r="E84" i="34"/>
  <c r="F84" i="34"/>
  <c r="G84" i="34"/>
  <c r="H84" i="34"/>
  <c r="I84" i="34"/>
  <c r="O84" i="34"/>
  <c r="P84" i="34"/>
  <c r="T84" i="34"/>
  <c r="X84" i="34"/>
  <c r="Y84" i="34"/>
  <c r="E83" i="34"/>
  <c r="F83" i="34"/>
  <c r="G83" i="34"/>
  <c r="H83" i="34"/>
  <c r="L83" i="34"/>
  <c r="M83" i="34"/>
  <c r="O83" i="34"/>
  <c r="P83" i="34"/>
  <c r="Q83" i="34"/>
  <c r="S83" i="34"/>
  <c r="U83" i="34"/>
  <c r="X83" i="34"/>
  <c r="E82" i="34"/>
  <c r="F82" i="34"/>
  <c r="G82" i="34"/>
  <c r="H82" i="34"/>
  <c r="L82" i="34"/>
  <c r="M82" i="34"/>
  <c r="O82" i="34"/>
  <c r="P82" i="34"/>
  <c r="Q82" i="34"/>
  <c r="S82" i="34"/>
  <c r="T82" i="34"/>
  <c r="X82" i="34"/>
  <c r="Y82" i="34"/>
  <c r="D81" i="34"/>
  <c r="E81" i="34"/>
  <c r="F81" i="34"/>
  <c r="G81" i="34"/>
  <c r="H81" i="34"/>
  <c r="I81" i="34"/>
  <c r="J81" i="34"/>
  <c r="K81" i="34"/>
  <c r="L81" i="34"/>
  <c r="M81" i="34"/>
  <c r="N81" i="34"/>
  <c r="O81" i="34"/>
  <c r="P81" i="34"/>
  <c r="Q81" i="34"/>
  <c r="R81" i="34"/>
  <c r="S81" i="34"/>
  <c r="T81" i="34"/>
  <c r="U81" i="34"/>
  <c r="V81" i="34"/>
  <c r="W81" i="34"/>
  <c r="X81" i="34"/>
  <c r="E80" i="34"/>
  <c r="F80" i="34"/>
  <c r="G80" i="34"/>
  <c r="H80" i="34"/>
  <c r="I80" i="34"/>
  <c r="L80" i="34"/>
  <c r="M80" i="34"/>
  <c r="N80" i="34"/>
  <c r="Q80" i="34"/>
  <c r="S80" i="34"/>
  <c r="X80" i="34"/>
  <c r="Y80" i="34"/>
  <c r="Z80" i="34"/>
  <c r="AA80" i="34"/>
  <c r="E79" i="34"/>
  <c r="F79" i="34"/>
  <c r="G79" i="34"/>
  <c r="H79" i="34"/>
  <c r="I79" i="34"/>
  <c r="M79" i="34"/>
  <c r="O79" i="34"/>
  <c r="P79" i="34"/>
  <c r="Q79" i="34"/>
  <c r="R79" i="34"/>
  <c r="S79" i="34"/>
  <c r="T79" i="34"/>
  <c r="V79" i="34"/>
  <c r="X79" i="34"/>
  <c r="Y79" i="34"/>
  <c r="Z79" i="34"/>
  <c r="AA79" i="34"/>
  <c r="AB79" i="34"/>
  <c r="D78" i="34"/>
  <c r="E78" i="34"/>
  <c r="F78" i="34"/>
  <c r="G78" i="34"/>
  <c r="H78" i="34"/>
  <c r="I78" i="34"/>
  <c r="J78" i="34"/>
  <c r="K78" i="34"/>
  <c r="L78" i="34"/>
  <c r="M78" i="34"/>
  <c r="N78" i="34"/>
  <c r="O78" i="34"/>
  <c r="P78" i="34"/>
  <c r="Q78" i="34"/>
  <c r="R78" i="34"/>
  <c r="S78" i="34"/>
  <c r="T78" i="34"/>
  <c r="U78" i="34"/>
  <c r="V78" i="34"/>
  <c r="W78" i="34"/>
  <c r="X78" i="34"/>
  <c r="Y78" i="34"/>
  <c r="Z78" i="34"/>
  <c r="AA78" i="34"/>
  <c r="AB78" i="34"/>
  <c r="E77" i="34"/>
  <c r="F77" i="34"/>
  <c r="G77" i="34"/>
  <c r="H77" i="34"/>
  <c r="I77" i="34"/>
  <c r="L77" i="34"/>
  <c r="M77" i="34"/>
  <c r="N77" i="34"/>
  <c r="O77" i="34"/>
  <c r="P77" i="34"/>
  <c r="Q77" i="34"/>
  <c r="S77" i="34"/>
  <c r="T77" i="34"/>
  <c r="U77" i="34"/>
  <c r="V77" i="34"/>
  <c r="X77" i="34"/>
  <c r="Y77" i="34"/>
  <c r="Z77" i="34"/>
  <c r="AA77" i="34"/>
  <c r="AB77" i="34"/>
  <c r="E76" i="34"/>
  <c r="F76" i="34"/>
  <c r="G76" i="34"/>
  <c r="H76" i="34"/>
  <c r="I76" i="34"/>
  <c r="O76" i="34"/>
  <c r="P76" i="34"/>
  <c r="Q76" i="34"/>
  <c r="S76" i="34"/>
  <c r="T76" i="34"/>
  <c r="U76" i="34"/>
  <c r="X76" i="34"/>
  <c r="Y76" i="34"/>
  <c r="Z76" i="34"/>
  <c r="AA76" i="34"/>
  <c r="AB76" i="34"/>
  <c r="E75" i="34"/>
  <c r="F75" i="34"/>
  <c r="G75" i="34"/>
  <c r="H75" i="34"/>
  <c r="I75" i="34"/>
  <c r="S75" i="34"/>
  <c r="V75" i="34"/>
  <c r="Y75" i="34"/>
  <c r="AA75" i="34"/>
  <c r="AB75" i="34"/>
  <c r="E74" i="34"/>
  <c r="F74" i="34"/>
  <c r="G74" i="34"/>
  <c r="H74" i="34"/>
  <c r="I74" i="34"/>
  <c r="L74" i="34"/>
  <c r="M74" i="34"/>
  <c r="Q74" i="34"/>
  <c r="S74" i="34"/>
  <c r="U74" i="34"/>
  <c r="Z74" i="34"/>
  <c r="AA74" i="34"/>
  <c r="AB74" i="34"/>
  <c r="E72" i="34"/>
  <c r="F72" i="34"/>
  <c r="G72" i="34"/>
  <c r="H72" i="34"/>
  <c r="I72" i="34"/>
  <c r="N72" i="34"/>
  <c r="O72" i="34"/>
  <c r="P72" i="34"/>
  <c r="Q72" i="34"/>
  <c r="S72" i="34"/>
  <c r="V72" i="34"/>
  <c r="X72" i="34"/>
  <c r="Y72" i="34"/>
  <c r="AA72" i="34"/>
  <c r="AB72" i="34"/>
  <c r="G71" i="34"/>
  <c r="H71" i="34"/>
  <c r="J71" i="34"/>
  <c r="L71" i="34"/>
  <c r="O71" i="34"/>
  <c r="P71" i="34"/>
  <c r="Q71" i="34"/>
  <c r="R71" i="34"/>
  <c r="S71" i="34"/>
  <c r="T71" i="34"/>
  <c r="U71" i="34"/>
  <c r="C21" i="34"/>
  <c r="D22" i="34"/>
  <c r="E22" i="34"/>
  <c r="F22" i="34"/>
  <c r="G22" i="34"/>
  <c r="H22" i="34"/>
  <c r="I22" i="34"/>
  <c r="J22" i="34"/>
  <c r="K22" i="34"/>
  <c r="S20" i="34"/>
  <c r="D18" i="34"/>
  <c r="D19" i="34"/>
  <c r="E17" i="34"/>
  <c r="AB17" i="34"/>
  <c r="AA17" i="34"/>
  <c r="Z17" i="34"/>
  <c r="Y17" i="34"/>
  <c r="X17" i="34"/>
  <c r="V17" i="34"/>
  <c r="S17" i="34"/>
  <c r="Q17" i="34"/>
  <c r="P17" i="34"/>
  <c r="O17" i="34"/>
  <c r="M17" i="34"/>
  <c r="I17" i="34"/>
  <c r="H17" i="34"/>
  <c r="G17" i="34"/>
  <c r="F17" i="34"/>
  <c r="R9" i="34"/>
  <c r="P10" i="34"/>
  <c r="O10" i="34"/>
  <c r="L9" i="34"/>
  <c r="D8" i="34"/>
  <c r="J8" i="34"/>
  <c r="S7" i="34"/>
  <c r="Y81" i="34"/>
  <c r="Z81" i="34"/>
  <c r="AA81" i="34"/>
  <c r="AB81" i="34"/>
  <c r="AB80" i="34"/>
  <c r="E63" i="34"/>
  <c r="E27" i="34"/>
  <c r="D13" i="34"/>
  <c r="E6" i="34"/>
  <c r="F6" i="34"/>
  <c r="G6" i="34"/>
  <c r="H6" i="34"/>
  <c r="I6" i="34"/>
  <c r="J6" i="34"/>
  <c r="K6" i="34"/>
  <c r="L6" i="34"/>
  <c r="M6" i="34"/>
  <c r="N6" i="34"/>
  <c r="O6" i="34"/>
  <c r="P6" i="34"/>
  <c r="Q6" i="34"/>
  <c r="R6" i="34"/>
  <c r="S6" i="34"/>
  <c r="T6" i="34"/>
  <c r="U6" i="34"/>
  <c r="V6" i="34"/>
  <c r="W6" i="34"/>
  <c r="X6" i="34"/>
  <c r="Y6" i="34"/>
  <c r="Z6" i="34"/>
  <c r="AA6" i="34"/>
  <c r="AB6" i="34"/>
  <c r="D7" i="34"/>
  <c r="E7" i="34"/>
  <c r="F7" i="34"/>
  <c r="G7" i="34"/>
  <c r="H7" i="34"/>
  <c r="J7" i="34"/>
  <c r="L7" i="34"/>
  <c r="M7" i="34"/>
  <c r="N7" i="34"/>
  <c r="U7" i="34"/>
  <c r="V7" i="34"/>
  <c r="W7" i="34"/>
  <c r="Z7" i="34"/>
  <c r="AA7" i="34"/>
  <c r="AB7" i="34"/>
  <c r="E8" i="34"/>
  <c r="F8" i="34"/>
  <c r="G8" i="34"/>
  <c r="H8" i="34"/>
  <c r="I8" i="34"/>
  <c r="K8" i="34"/>
  <c r="L8" i="34"/>
  <c r="M8" i="34"/>
  <c r="N8" i="34"/>
  <c r="O8" i="34"/>
  <c r="P8" i="34"/>
  <c r="Q8" i="34"/>
  <c r="R8" i="34"/>
  <c r="S8" i="34"/>
  <c r="T8" i="34"/>
  <c r="U8" i="34"/>
  <c r="V8" i="34"/>
  <c r="W8" i="34"/>
  <c r="X8" i="34"/>
  <c r="Y8" i="34"/>
  <c r="Z8" i="34"/>
  <c r="AA8" i="34"/>
  <c r="AB8" i="34"/>
  <c r="E9" i="34"/>
  <c r="F9" i="34"/>
  <c r="G9" i="34"/>
  <c r="H9" i="34"/>
  <c r="I9" i="34"/>
  <c r="M9" i="34"/>
  <c r="O9" i="34"/>
  <c r="P9" i="34"/>
  <c r="Q9" i="34"/>
  <c r="S9" i="34"/>
  <c r="T9" i="34"/>
  <c r="X9" i="34"/>
  <c r="Y9" i="34"/>
  <c r="Z9" i="34"/>
  <c r="D10" i="34"/>
  <c r="F10" i="34"/>
  <c r="G10" i="34"/>
  <c r="H10" i="34"/>
  <c r="N10" i="34"/>
  <c r="Q10" i="34"/>
  <c r="T10" i="34"/>
  <c r="U10" i="34"/>
  <c r="V10" i="34"/>
  <c r="W10" i="34"/>
  <c r="E11" i="34"/>
  <c r="G11" i="34"/>
  <c r="I11" i="34"/>
  <c r="J11" i="34"/>
  <c r="K11" i="34"/>
  <c r="O11" i="34"/>
  <c r="P11" i="34"/>
  <c r="Q11" i="34"/>
  <c r="R11" i="34"/>
  <c r="S11" i="34"/>
  <c r="T11" i="34"/>
  <c r="U11" i="34"/>
  <c r="V11" i="34"/>
  <c r="X11" i="34"/>
  <c r="Y11" i="34"/>
  <c r="AA11" i="34"/>
  <c r="AB11" i="34"/>
  <c r="E12" i="34"/>
  <c r="F12" i="34"/>
  <c r="G12" i="34"/>
  <c r="H12" i="34"/>
  <c r="S12" i="34"/>
  <c r="V12" i="34"/>
  <c r="X12" i="34"/>
  <c r="Y12" i="34"/>
  <c r="AA12" i="34"/>
  <c r="E13" i="34"/>
  <c r="F13" i="34"/>
  <c r="G13" i="34"/>
  <c r="H13" i="34"/>
  <c r="N13" i="34"/>
  <c r="O13" i="34"/>
  <c r="P13" i="34"/>
  <c r="T13" i="34"/>
  <c r="X13" i="34"/>
  <c r="Y13" i="34"/>
  <c r="AA13" i="34"/>
  <c r="AB13" i="34"/>
  <c r="E14" i="34"/>
  <c r="F14" i="34"/>
  <c r="G14" i="34"/>
  <c r="I14" i="34"/>
  <c r="O14" i="34"/>
  <c r="P14" i="34"/>
  <c r="Q14" i="34"/>
  <c r="U14" i="34"/>
  <c r="AA14" i="34"/>
  <c r="AB14" i="34"/>
  <c r="E16" i="34"/>
  <c r="I16" i="34"/>
  <c r="N16" i="34"/>
  <c r="Q16" i="34"/>
  <c r="S16" i="34"/>
  <c r="Y16" i="34"/>
  <c r="AA16" i="34"/>
  <c r="AB16" i="34"/>
  <c r="E18" i="34"/>
  <c r="F18" i="34"/>
  <c r="G18" i="34"/>
  <c r="H18" i="34"/>
  <c r="I18" i="34"/>
  <c r="J18" i="34"/>
  <c r="K18" i="34"/>
  <c r="L18" i="34"/>
  <c r="M18" i="34"/>
  <c r="N18" i="34"/>
  <c r="O18" i="34"/>
  <c r="P18" i="34"/>
  <c r="Q18" i="34"/>
  <c r="R18" i="34"/>
  <c r="S18" i="34"/>
  <c r="U18" i="34"/>
  <c r="V18" i="34"/>
  <c r="W18" i="34"/>
  <c r="X18" i="34"/>
  <c r="Y18" i="34"/>
  <c r="Z18" i="34"/>
  <c r="AA18" i="34"/>
  <c r="AB18" i="34"/>
  <c r="E19" i="34"/>
  <c r="F19" i="34"/>
  <c r="G19" i="34"/>
  <c r="H19" i="34"/>
  <c r="I19" i="34"/>
  <c r="J19" i="34"/>
  <c r="K19" i="34"/>
  <c r="L19" i="34"/>
  <c r="M19" i="34"/>
  <c r="N19" i="34"/>
  <c r="O19" i="34"/>
  <c r="P19" i="34"/>
  <c r="Q19" i="34"/>
  <c r="R19" i="34"/>
  <c r="S19" i="34"/>
  <c r="T19" i="34"/>
  <c r="U19" i="34"/>
  <c r="V19" i="34"/>
  <c r="W19" i="34"/>
  <c r="X19" i="34"/>
  <c r="Y19" i="34"/>
  <c r="Z19" i="34"/>
  <c r="AA19" i="34"/>
  <c r="AB19" i="34"/>
  <c r="E20" i="34"/>
  <c r="F20" i="34"/>
  <c r="G20" i="34"/>
  <c r="H20" i="34"/>
  <c r="I20" i="34"/>
  <c r="M20" i="34"/>
  <c r="O20" i="34"/>
  <c r="P20" i="34"/>
  <c r="Q20" i="34"/>
  <c r="R20" i="34"/>
  <c r="T20" i="34"/>
  <c r="X20" i="34"/>
  <c r="Y20" i="34"/>
  <c r="AA20" i="34"/>
  <c r="AB20" i="34"/>
  <c r="D21" i="34"/>
  <c r="E21" i="34"/>
  <c r="F21" i="34"/>
  <c r="G21" i="34"/>
  <c r="H21" i="34"/>
  <c r="I21" i="34"/>
  <c r="J21" i="34"/>
  <c r="K21" i="34"/>
  <c r="L21" i="34"/>
  <c r="M21" i="34"/>
  <c r="N21" i="34"/>
  <c r="O21" i="34"/>
  <c r="P21" i="34"/>
  <c r="Q21" i="34"/>
  <c r="R21" i="34"/>
  <c r="S21" i="34"/>
  <c r="T21" i="34"/>
  <c r="U21" i="34"/>
  <c r="V21" i="34"/>
  <c r="W21" i="34"/>
  <c r="X21" i="34"/>
  <c r="Y21" i="34"/>
  <c r="Z21" i="34"/>
  <c r="AA21" i="34"/>
  <c r="AB21" i="34"/>
  <c r="L22" i="34"/>
  <c r="M22" i="34"/>
  <c r="N22" i="34"/>
  <c r="O22" i="34"/>
  <c r="P22" i="34"/>
  <c r="Q22" i="34"/>
  <c r="R22" i="34"/>
  <c r="S22" i="34"/>
  <c r="T22" i="34"/>
  <c r="U22" i="34"/>
  <c r="V22" i="34"/>
  <c r="W22" i="34"/>
  <c r="X22" i="34"/>
  <c r="Y22" i="34"/>
  <c r="Z22" i="34"/>
  <c r="AA22" i="34"/>
  <c r="AB22" i="34"/>
  <c r="D23" i="34"/>
  <c r="E23" i="34"/>
  <c r="F23" i="34"/>
  <c r="G23" i="34"/>
  <c r="H23" i="34"/>
  <c r="I23" i="34"/>
  <c r="J23" i="34"/>
  <c r="K23" i="34"/>
  <c r="L23" i="34"/>
  <c r="M23" i="34"/>
  <c r="N23" i="34"/>
  <c r="O23" i="34"/>
  <c r="P23" i="34"/>
  <c r="Q23" i="34"/>
  <c r="R23" i="34"/>
  <c r="S23" i="34"/>
  <c r="T23" i="34"/>
  <c r="U23" i="34"/>
  <c r="V23" i="34"/>
  <c r="W23" i="34"/>
  <c r="X23" i="34"/>
  <c r="Y23" i="34"/>
  <c r="Z23" i="34"/>
  <c r="AA23" i="34"/>
  <c r="AB23" i="34"/>
  <c r="D24" i="34"/>
  <c r="E24" i="34"/>
  <c r="F24" i="34"/>
  <c r="G24" i="34"/>
  <c r="H24" i="34"/>
  <c r="I24" i="34"/>
  <c r="J24" i="34"/>
  <c r="K24" i="34"/>
  <c r="L24" i="34"/>
  <c r="M24" i="34"/>
  <c r="N24" i="34"/>
  <c r="O24" i="34"/>
  <c r="P24" i="34"/>
  <c r="Q24" i="34"/>
  <c r="R24" i="34"/>
  <c r="S24" i="34"/>
  <c r="T24" i="34"/>
  <c r="U24" i="34"/>
  <c r="V24" i="34"/>
  <c r="W24" i="34"/>
  <c r="X24" i="34"/>
  <c r="Y24" i="34"/>
  <c r="Z24" i="34"/>
  <c r="AA24" i="34"/>
  <c r="AB24" i="34"/>
  <c r="J25" i="34"/>
  <c r="K25" i="34"/>
  <c r="L25" i="34"/>
  <c r="M25" i="34"/>
  <c r="N25" i="34"/>
  <c r="S25" i="34"/>
  <c r="T25" i="34"/>
  <c r="U25" i="34"/>
  <c r="W25" i="34"/>
  <c r="AA25" i="34"/>
  <c r="AB25" i="34"/>
  <c r="D26" i="34"/>
  <c r="J26" i="34"/>
  <c r="K26" i="34"/>
  <c r="L26" i="34"/>
  <c r="M26" i="34"/>
  <c r="N26" i="34"/>
  <c r="T26" i="34"/>
  <c r="U26" i="34"/>
  <c r="V26" i="34"/>
  <c r="W26" i="34"/>
  <c r="G27" i="34"/>
  <c r="H27" i="34"/>
  <c r="I27" i="34"/>
  <c r="K27" i="34"/>
  <c r="L27" i="34"/>
  <c r="M27" i="34"/>
  <c r="R27" i="34"/>
  <c r="U27" i="34"/>
  <c r="X27" i="34"/>
  <c r="AA27" i="34"/>
  <c r="AB27" i="34"/>
  <c r="E28" i="34"/>
  <c r="G28" i="34"/>
  <c r="I28" i="34"/>
  <c r="V28" i="34"/>
  <c r="X28" i="34"/>
  <c r="Y28" i="34"/>
  <c r="AA28" i="34"/>
  <c r="AB28" i="34"/>
  <c r="E33" i="34"/>
  <c r="F33" i="34"/>
  <c r="G33" i="34"/>
  <c r="H33" i="34"/>
  <c r="I33" i="34"/>
  <c r="M33" i="34"/>
  <c r="O33" i="34"/>
  <c r="P33" i="34"/>
  <c r="Q33" i="34"/>
  <c r="R33" i="34"/>
  <c r="S33" i="34"/>
  <c r="T33" i="34"/>
  <c r="X33" i="34"/>
  <c r="Y33" i="34"/>
  <c r="F34" i="34"/>
  <c r="G34" i="34"/>
  <c r="H34" i="34"/>
  <c r="O34" i="34"/>
  <c r="P34" i="34"/>
  <c r="V34" i="34"/>
  <c r="W34" i="34"/>
  <c r="X34" i="34"/>
  <c r="E38" i="34"/>
  <c r="I38" i="34"/>
  <c r="O38" i="34"/>
  <c r="P38" i="34"/>
  <c r="Q38" i="34"/>
  <c r="V38" i="34"/>
  <c r="X38" i="34"/>
  <c r="Y38" i="34"/>
  <c r="AA38" i="34"/>
  <c r="AB38" i="34"/>
  <c r="E39" i="34"/>
  <c r="J39" i="34"/>
  <c r="K39" i="34"/>
  <c r="M39" i="34"/>
  <c r="N39" i="34"/>
  <c r="Q39" i="34"/>
  <c r="U39" i="34"/>
  <c r="X39" i="34"/>
  <c r="Y39" i="34"/>
  <c r="E41" i="34"/>
  <c r="G41" i="34"/>
  <c r="H41" i="34"/>
  <c r="I41" i="34"/>
  <c r="J41" i="34"/>
  <c r="K41" i="34"/>
  <c r="L41" i="34"/>
  <c r="M41" i="34"/>
  <c r="X41" i="34"/>
  <c r="Y41" i="34"/>
  <c r="I46" i="34"/>
  <c r="U46" i="34"/>
  <c r="Y46" i="34"/>
  <c r="E60" i="34"/>
  <c r="F60" i="34"/>
  <c r="G60" i="34"/>
  <c r="H60" i="34"/>
  <c r="I60" i="34"/>
  <c r="M60" i="34"/>
  <c r="O60" i="34"/>
  <c r="P60" i="34"/>
  <c r="Q60" i="34"/>
  <c r="S60" i="34"/>
  <c r="Y60" i="34"/>
  <c r="Z60" i="34"/>
  <c r="AA60" i="34"/>
  <c r="AB60" i="34"/>
  <c r="H62" i="34"/>
  <c r="I62" i="34"/>
  <c r="O62" i="34"/>
  <c r="P62" i="34"/>
  <c r="Q62" i="34"/>
  <c r="V62" i="34"/>
  <c r="Y62" i="34"/>
  <c r="I63" i="34"/>
  <c r="O63" i="34"/>
  <c r="P63" i="34"/>
  <c r="Q63" i="34"/>
  <c r="R63" i="34"/>
  <c r="V63" i="34"/>
  <c r="X63" i="34"/>
  <c r="Y63" i="34"/>
  <c r="AA63" i="34"/>
  <c r="AB63" i="34"/>
  <c r="F69" i="34"/>
  <c r="G69" i="34"/>
  <c r="H69" i="34"/>
  <c r="O69" i="34"/>
  <c r="P69" i="34"/>
  <c r="Q69" i="34"/>
  <c r="T69" i="34"/>
  <c r="Z69" i="34"/>
  <c r="AA69" i="34"/>
  <c r="AB69" i="34"/>
  <c r="F70" i="34"/>
  <c r="G70" i="34"/>
  <c r="H70" i="34"/>
  <c r="I70" i="34"/>
  <c r="O70" i="34"/>
  <c r="Q70" i="34"/>
  <c r="W70" i="34"/>
  <c r="X70" i="34"/>
  <c r="Y70" i="34"/>
  <c r="Z70" i="34"/>
  <c r="AA70" i="34"/>
  <c r="AB70" i="34"/>
  <c r="E73" i="34"/>
  <c r="F73" i="34"/>
  <c r="G73" i="34"/>
  <c r="H73" i="34"/>
  <c r="I73" i="34"/>
  <c r="N73" i="34"/>
  <c r="O73" i="34"/>
  <c r="P73" i="34"/>
  <c r="Q73" i="34"/>
  <c r="S73" i="34"/>
  <c r="V73" i="34"/>
  <c r="X73" i="34"/>
  <c r="Y73" i="34"/>
  <c r="AA73" i="34"/>
  <c r="AB73" i="34"/>
  <c r="F5" i="34"/>
  <c r="G5" i="34"/>
  <c r="H5" i="34"/>
  <c r="I5" i="34"/>
  <c r="J5" i="34"/>
  <c r="K5" i="34"/>
  <c r="L5" i="34"/>
  <c r="M5" i="34"/>
  <c r="N5" i="34"/>
  <c r="O5" i="34"/>
  <c r="P5" i="34"/>
  <c r="Q5" i="34"/>
  <c r="R5" i="34"/>
  <c r="S5" i="34"/>
  <c r="T5" i="34"/>
  <c r="U5" i="34"/>
  <c r="V5" i="34"/>
  <c r="W5" i="34"/>
  <c r="X5" i="34"/>
  <c r="Y5" i="34"/>
  <c r="Z5" i="34"/>
  <c r="AA5" i="34"/>
  <c r="AB5" i="34"/>
  <c r="J24" i="31"/>
  <c r="K24" i="31"/>
  <c r="J25" i="31"/>
  <c r="K25" i="31"/>
  <c r="J26" i="31"/>
  <c r="K26" i="31"/>
  <c r="J27" i="31"/>
  <c r="K27" i="31"/>
  <c r="J28" i="31"/>
  <c r="K28" i="31"/>
  <c r="J5" i="31"/>
  <c r="K5" i="31"/>
  <c r="J6" i="31"/>
  <c r="K6" i="31"/>
  <c r="J7" i="31"/>
  <c r="K7" i="31"/>
  <c r="J8" i="31"/>
  <c r="K8" i="31"/>
  <c r="J9" i="31"/>
  <c r="K9" i="31"/>
  <c r="J10" i="31"/>
  <c r="K10" i="31"/>
  <c r="J11" i="31"/>
  <c r="K11" i="31"/>
  <c r="J12" i="31"/>
  <c r="K12" i="31"/>
  <c r="J13" i="31"/>
  <c r="K13" i="31"/>
  <c r="J14" i="31"/>
  <c r="K14" i="31"/>
  <c r="J15" i="31"/>
  <c r="K15" i="31"/>
  <c r="J16" i="31"/>
  <c r="K16" i="31"/>
  <c r="J17" i="31"/>
  <c r="K17" i="31"/>
  <c r="J18" i="31"/>
  <c r="K18" i="31"/>
  <c r="J19" i="31"/>
  <c r="K19" i="31"/>
  <c r="J20" i="31"/>
  <c r="K20" i="31"/>
  <c r="J21" i="31"/>
  <c r="K21" i="31"/>
  <c r="J22" i="31"/>
  <c r="K22" i="31"/>
  <c r="J23" i="31"/>
  <c r="K23" i="31"/>
  <c r="K4" i="31"/>
  <c r="J4" i="31"/>
  <c r="J4" i="69"/>
  <c r="K4" i="69"/>
  <c r="H5" i="69" a="1"/>
  <c r="H5" i="69" s="1"/>
  <c r="H6" i="69" a="1"/>
  <c r="H6" i="69" s="1"/>
  <c r="H7" i="69" a="1"/>
  <c r="H7" i="69" s="1"/>
  <c r="H8" i="69" a="1"/>
  <c r="H8" i="69" s="1"/>
  <c r="H14" i="69" a="1"/>
  <c r="H14" i="69" s="1"/>
  <c r="H15" i="69" a="1"/>
  <c r="H15" i="69" s="1"/>
  <c r="H16" i="69" a="1"/>
  <c r="H16" i="69" s="1"/>
  <c r="H17" i="69" a="1"/>
  <c r="H17" i="69" s="1"/>
  <c r="H18" i="69" a="1"/>
  <c r="H18" i="69" s="1"/>
  <c r="H19" i="69" a="1"/>
  <c r="H19" i="69" s="1"/>
  <c r="H20" i="69" a="1"/>
  <c r="H20" i="69" s="1"/>
  <c r="H21" i="69" a="1"/>
  <c r="H21" i="69" s="1"/>
  <c r="H22" i="69" a="1"/>
  <c r="H22" i="69" s="1"/>
  <c r="H23" i="69" a="1"/>
  <c r="H23" i="69" s="1"/>
  <c r="H24" i="69" a="1"/>
  <c r="H24" i="69" s="1"/>
  <c r="H25" i="69" a="1"/>
  <c r="H25" i="69" s="1"/>
  <c r="H26" i="69" a="1"/>
  <c r="H26" i="69" s="1"/>
  <c r="H27" i="69" a="1"/>
  <c r="H27" i="69" s="1"/>
  <c r="H28" i="69" a="1"/>
  <c r="H28" i="69" s="1"/>
  <c r="H29" i="69" a="1"/>
  <c r="H29" i="69" s="1"/>
  <c r="H30" i="69" a="1"/>
  <c r="H30" i="69" s="1"/>
  <c r="H31" i="69" a="1"/>
  <c r="H31" i="69" s="1"/>
  <c r="H32" i="69" a="1"/>
  <c r="H32" i="69" s="1"/>
  <c r="H34" i="69" a="1"/>
  <c r="H34" i="69" s="1"/>
  <c r="H35" i="69" a="1"/>
  <c r="H35" i="69" s="1"/>
  <c r="H36" i="69" a="1"/>
  <c r="H36" i="69" s="1"/>
  <c r="H37" i="69" a="1"/>
  <c r="H37" i="69" s="1"/>
  <c r="H38" i="69" a="1"/>
  <c r="H38" i="69" s="1"/>
  <c r="H39" i="69" a="1"/>
  <c r="H39" i="69" s="1"/>
  <c r="H40" i="69" a="1"/>
  <c r="H40" i="69" s="1"/>
  <c r="H41" i="69" a="1"/>
  <c r="H41" i="69" s="1"/>
  <c r="H42" i="69" a="1"/>
  <c r="H42" i="69" s="1"/>
  <c r="H43" i="69" a="1"/>
  <c r="H43" i="69" s="1"/>
  <c r="H44" i="69" a="1"/>
  <c r="H44" i="69" s="1"/>
  <c r="H45" i="69" a="1"/>
  <c r="H45" i="69" s="1"/>
  <c r="H46" i="69" a="1"/>
  <c r="H46" i="69" s="1"/>
  <c r="H47" i="69" a="1"/>
  <c r="H47" i="69" s="1"/>
  <c r="H48" i="69" a="1"/>
  <c r="H48" i="69" s="1"/>
  <c r="H49" i="69" a="1"/>
  <c r="H49" i="69" s="1"/>
  <c r="H50" i="69" a="1"/>
  <c r="H50" i="69" s="1"/>
  <c r="H51" i="69" a="1"/>
  <c r="H51" i="69" s="1"/>
  <c r="H52" i="69" a="1"/>
  <c r="H52" i="69" s="1"/>
  <c r="H53" i="69" a="1"/>
  <c r="H53" i="69" s="1"/>
  <c r="H54" i="69" a="1"/>
  <c r="H54" i="69" s="1"/>
  <c r="H55" i="69" a="1"/>
  <c r="H55" i="69" s="1"/>
  <c r="H56" i="69" a="1"/>
  <c r="H56" i="69" s="1"/>
  <c r="H57" i="69" a="1"/>
  <c r="H57" i="69" s="1"/>
  <c r="H58" i="69" a="1"/>
  <c r="H58" i="69" s="1"/>
  <c r="H59" i="69" a="1"/>
  <c r="H59" i="69" s="1"/>
  <c r="H60" i="69" a="1"/>
  <c r="H60" i="69" s="1"/>
  <c r="H61" i="69" a="1"/>
  <c r="H61" i="69" s="1"/>
  <c r="H62" i="69" a="1"/>
  <c r="H62" i="69" s="1"/>
  <c r="H63" i="69" a="1"/>
  <c r="H63" i="69" s="1"/>
  <c r="H64" i="69" a="1"/>
  <c r="H64" i="69" s="1"/>
  <c r="H65" i="69" a="1"/>
  <c r="H65" i="69" s="1"/>
  <c r="H66" i="69" a="1"/>
  <c r="H66" i="69" s="1"/>
  <c r="H67" i="69" a="1"/>
  <c r="H67" i="69" s="1"/>
  <c r="H68" i="69" a="1"/>
  <c r="H68" i="69" s="1"/>
  <c r="H69" i="69" a="1"/>
  <c r="H69" i="69" s="1"/>
  <c r="H70" i="69" a="1"/>
  <c r="H70" i="69" s="1"/>
  <c r="H71" i="69" a="1"/>
  <c r="H71" i="69" s="1"/>
  <c r="H72" i="69" a="1"/>
  <c r="H72" i="69" s="1"/>
  <c r="H73" i="69" a="1"/>
  <c r="H73" i="69" s="1"/>
  <c r="H74" i="69" a="1"/>
  <c r="H74" i="69" s="1"/>
  <c r="H75" i="69" a="1"/>
  <c r="H75" i="69" s="1"/>
  <c r="H76" i="69" a="1"/>
  <c r="H76" i="69" s="1"/>
  <c r="H77" i="69" a="1"/>
  <c r="H77" i="69" s="1"/>
  <c r="H78" i="69" a="1"/>
  <c r="H78" i="69" s="1"/>
  <c r="H79" i="69" a="1"/>
  <c r="H79" i="69" s="1"/>
  <c r="H80" i="69" a="1"/>
  <c r="H80" i="69" s="1"/>
  <c r="H81" i="69" a="1"/>
  <c r="H81" i="69" s="1"/>
  <c r="H82" i="69" a="1"/>
  <c r="H82" i="69" s="1"/>
  <c r="H83" i="69" a="1"/>
  <c r="H83" i="69" s="1"/>
  <c r="H84" i="69" a="1"/>
  <c r="H84" i="69" s="1"/>
  <c r="H85" i="69" a="1"/>
  <c r="H85" i="69" s="1"/>
  <c r="H86" i="69" a="1"/>
  <c r="H86" i="69" s="1"/>
  <c r="H87" i="69" a="1"/>
  <c r="H87" i="69" s="1"/>
  <c r="H88" i="69" a="1"/>
  <c r="H88" i="69" s="1"/>
  <c r="H89" i="69" a="1"/>
  <c r="H89" i="69" s="1"/>
  <c r="H90" i="69" a="1"/>
  <c r="H90" i="69" s="1"/>
  <c r="H91" i="69" a="1"/>
  <c r="H91" i="69" s="1"/>
  <c r="H92" i="69" a="1"/>
  <c r="H92" i="69" s="1"/>
  <c r="H93" i="69" a="1"/>
  <c r="H93" i="69" s="1"/>
  <c r="H94" i="69" a="1"/>
  <c r="H94" i="69" s="1"/>
  <c r="H95" i="69" a="1"/>
  <c r="H95" i="69" s="1"/>
  <c r="H96" i="69" a="1"/>
  <c r="H96" i="69" s="1"/>
  <c r="H97" i="69" a="1"/>
  <c r="H97" i="69" s="1"/>
  <c r="H98" i="69" a="1"/>
  <c r="H98" i="69" s="1"/>
  <c r="H99" i="69" a="1"/>
  <c r="H99" i="69" s="1"/>
  <c r="H100" i="69" a="1"/>
  <c r="H100" i="69" s="1"/>
  <c r="H101" i="69" a="1"/>
  <c r="H101" i="69" s="1"/>
  <c r="H102" i="69" a="1"/>
  <c r="H102" i="69" s="1"/>
  <c r="H103" i="69" a="1"/>
  <c r="H103" i="69" s="1"/>
  <c r="H104" i="69" a="1"/>
  <c r="H104" i="69" s="1"/>
  <c r="H105" i="69" a="1"/>
  <c r="H105" i="69" s="1"/>
  <c r="H106" i="69" a="1"/>
  <c r="H106" i="69" s="1"/>
  <c r="H107" i="69" a="1"/>
  <c r="H107" i="69" s="1"/>
  <c r="H108" i="69" a="1"/>
  <c r="H108" i="69" s="1"/>
  <c r="H109" i="69" a="1"/>
  <c r="H109" i="69" s="1"/>
  <c r="H110" i="69" a="1"/>
  <c r="H110" i="69" s="1"/>
  <c r="H111" i="69" a="1"/>
  <c r="H111" i="69" s="1"/>
  <c r="H112" i="69" a="1"/>
  <c r="H112" i="69" s="1"/>
  <c r="H113" i="69" a="1"/>
  <c r="H113" i="69" s="1"/>
  <c r="H114" i="69" a="1"/>
  <c r="H114" i="69" s="1"/>
  <c r="H115" i="69" a="1"/>
  <c r="H115" i="69" s="1"/>
  <c r="H116" i="69" a="1"/>
  <c r="H116" i="69" s="1"/>
  <c r="H117" i="69" a="1"/>
  <c r="H117" i="69" s="1"/>
  <c r="H118" i="69" a="1"/>
  <c r="H118" i="69" s="1"/>
  <c r="H119" i="69" a="1"/>
  <c r="H119" i="69" s="1"/>
  <c r="H120" i="69" a="1"/>
  <c r="H120" i="69" s="1"/>
  <c r="H121" i="69" a="1"/>
  <c r="H121" i="69" s="1"/>
  <c r="H122" i="69" a="1"/>
  <c r="H122" i="69" s="1"/>
  <c r="H123" i="69" a="1"/>
  <c r="H123" i="69" s="1"/>
  <c r="H124" i="69" a="1"/>
  <c r="H124" i="69" s="1"/>
  <c r="H125" i="69" a="1"/>
  <c r="H125" i="69" s="1"/>
  <c r="H126" i="69" a="1"/>
  <c r="H126" i="69" s="1"/>
  <c r="H127" i="69" a="1"/>
  <c r="H127" i="69" s="1"/>
  <c r="H128" i="69" a="1"/>
  <c r="H128" i="69" s="1"/>
  <c r="H129" i="69" a="1"/>
  <c r="H129" i="69" s="1"/>
  <c r="H130" i="69" a="1"/>
  <c r="H130" i="69" s="1"/>
  <c r="H131" i="69" a="1"/>
  <c r="H131" i="69" s="1"/>
  <c r="H132" i="69" a="1"/>
  <c r="H132" i="69" s="1"/>
  <c r="H133" i="69" a="1"/>
  <c r="H133" i="69" s="1"/>
  <c r="H148" i="69" a="1"/>
  <c r="H148" i="69" s="1"/>
  <c r="H149" i="69" a="1"/>
  <c r="H149" i="69" s="1"/>
  <c r="H150" i="69" a="1"/>
  <c r="H150" i="69" s="1"/>
  <c r="H151" i="69" a="1"/>
  <c r="H151" i="69" s="1"/>
  <c r="H152" i="69" a="1"/>
  <c r="H152" i="69" s="1"/>
  <c r="H153" i="69" a="1"/>
  <c r="H153" i="69" s="1"/>
  <c r="H154" i="69" a="1"/>
  <c r="H154" i="69" s="1"/>
  <c r="H4" i="69" a="1"/>
  <c r="H4" i="69" s="1"/>
  <c r="D16" i="31"/>
  <c r="F5" i="18"/>
  <c r="F7" i="18"/>
  <c r="F8" i="18"/>
  <c r="F9" i="18"/>
  <c r="F10" i="18"/>
  <c r="F11" i="18"/>
  <c r="F12" i="18"/>
  <c r="F13" i="18"/>
  <c r="F15" i="18"/>
  <c r="F16" i="18"/>
  <c r="F17" i="18"/>
  <c r="F18" i="18"/>
  <c r="F19" i="18"/>
  <c r="F20" i="18"/>
  <c r="F22" i="18"/>
  <c r="F24" i="18"/>
  <c r="F25" i="18"/>
  <c r="F26" i="18"/>
  <c r="F27" i="18"/>
  <c r="F28" i="18"/>
  <c r="F29" i="18"/>
  <c r="F30" i="18"/>
  <c r="Q11" i="69" l="1"/>
  <c r="Q13" i="69"/>
  <c r="Q12" i="69"/>
  <c r="Q10" i="69"/>
  <c r="E4" i="34"/>
  <c r="A4" i="34" s="1"/>
  <c r="Y86" i="34"/>
  <c r="I86" i="34"/>
  <c r="Q86" i="34"/>
  <c r="X86" i="34"/>
  <c r="Q4" i="34"/>
  <c r="M86" i="34"/>
  <c r="T86" i="34"/>
  <c r="Y4" i="34"/>
  <c r="N86" i="34"/>
  <c r="F86" i="34"/>
  <c r="AB86" i="34"/>
  <c r="X4" i="34"/>
  <c r="AB4" i="34"/>
  <c r="T4" i="34"/>
  <c r="L4" i="34"/>
  <c r="U86" i="34"/>
  <c r="E86" i="34"/>
  <c r="I4" i="34"/>
  <c r="V86" i="34"/>
  <c r="AA4" i="34"/>
  <c r="S4" i="34"/>
  <c r="K4" i="34"/>
  <c r="P86" i="34"/>
  <c r="H86" i="34"/>
  <c r="W86" i="34"/>
  <c r="O86" i="34"/>
  <c r="G86" i="34"/>
  <c r="P4" i="34"/>
  <c r="H4" i="34"/>
  <c r="L86" i="34"/>
  <c r="D86" i="34"/>
  <c r="U4" i="34"/>
  <c r="M4" i="34"/>
  <c r="Z4" i="34"/>
  <c r="R4" i="34"/>
  <c r="J4" i="34"/>
  <c r="W4" i="34"/>
  <c r="O4" i="34"/>
  <c r="G4" i="34"/>
  <c r="AA86" i="34"/>
  <c r="S86" i="34"/>
  <c r="K86" i="34"/>
  <c r="V4" i="34"/>
  <c r="N4" i="34"/>
  <c r="F4" i="34"/>
  <c r="Z86" i="34"/>
  <c r="R86" i="34"/>
  <c r="J86" i="34"/>
  <c r="M196" i="69" a="1"/>
  <c r="M196" i="69" s="1"/>
  <c r="M193" i="69" a="1"/>
  <c r="M193" i="69" s="1"/>
  <c r="M188" i="69" a="1"/>
  <c r="M188" i="69" s="1"/>
  <c r="M184" i="69" a="1"/>
  <c r="M184" i="69" s="1"/>
  <c r="M180" i="69" a="1"/>
  <c r="M180" i="69" s="1"/>
  <c r="M172" i="69" a="1"/>
  <c r="M172" i="69" s="1"/>
  <c r="M164" i="69" a="1"/>
  <c r="M164" i="69" s="1"/>
  <c r="M200" i="69" a="1"/>
  <c r="M200" i="69" s="1"/>
  <c r="M199" i="69" a="1"/>
  <c r="M199" i="69" s="1"/>
  <c r="M198" i="69" a="1"/>
  <c r="M198" i="69" s="1"/>
  <c r="M197" i="69" a="1"/>
  <c r="M197" i="69" s="1"/>
  <c r="M195" i="69" a="1"/>
  <c r="M195" i="69" s="1"/>
  <c r="M194" i="69" a="1"/>
  <c r="M194" i="69" s="1"/>
  <c r="M192" i="69" a="1"/>
  <c r="M192" i="69" s="1"/>
  <c r="M191" i="69" a="1"/>
  <c r="M191" i="69" s="1"/>
  <c r="M190" i="69" a="1"/>
  <c r="M190" i="69" s="1"/>
  <c r="M189" i="69" a="1"/>
  <c r="M189" i="69" s="1"/>
  <c r="M187" i="69" a="1"/>
  <c r="M187" i="69" s="1"/>
  <c r="M186" i="69" a="1"/>
  <c r="M186" i="69" s="1"/>
  <c r="M185" i="69" a="1"/>
  <c r="M185" i="69" s="1"/>
  <c r="M183" i="69" a="1"/>
  <c r="M183" i="69" s="1"/>
  <c r="M182" i="69" a="1"/>
  <c r="M182" i="69" s="1"/>
  <c r="M181" i="69" a="1"/>
  <c r="M181" i="69" s="1"/>
  <c r="M179" i="69" a="1"/>
  <c r="M179" i="69" s="1"/>
  <c r="M178" i="69" a="1"/>
  <c r="M178" i="69" s="1"/>
  <c r="M177" i="69" a="1"/>
  <c r="M177" i="69" s="1"/>
  <c r="M176" i="69" a="1"/>
  <c r="M176" i="69" s="1"/>
  <c r="M175" i="69" a="1"/>
  <c r="M175" i="69" s="1"/>
  <c r="M174" i="69" a="1"/>
  <c r="M174" i="69" s="1"/>
  <c r="M173" i="69" a="1"/>
  <c r="M173" i="69" s="1"/>
  <c r="M171" i="69" a="1"/>
  <c r="M171" i="69" s="1"/>
  <c r="M170" i="69" a="1"/>
  <c r="M170" i="69" s="1"/>
  <c r="M169" i="69" a="1"/>
  <c r="M169" i="69" s="1"/>
  <c r="M168" i="69" a="1"/>
  <c r="M168" i="69" s="1"/>
  <c r="M167" i="69" a="1"/>
  <c r="M167" i="69" s="1"/>
  <c r="M166" i="69" a="1"/>
  <c r="M166" i="69" s="1"/>
  <c r="M165" i="69" a="1"/>
  <c r="M165" i="69" s="1"/>
  <c r="M163" i="69" a="1"/>
  <c r="M163" i="69" s="1"/>
  <c r="M162" i="69" a="1"/>
  <c r="M162" i="69" s="1"/>
  <c r="M161" i="69" a="1"/>
  <c r="M161" i="69" s="1"/>
  <c r="M160" i="69" a="1"/>
  <c r="M160" i="69" s="1"/>
  <c r="M159" i="69" a="1"/>
  <c r="M159" i="69" s="1"/>
  <c r="M158" i="69" a="1"/>
  <c r="M158" i="69" s="1"/>
  <c r="M157" i="69" a="1"/>
  <c r="M157" i="69" s="1"/>
  <c r="M156" i="69" a="1"/>
  <c r="M156" i="69" s="1"/>
  <c r="M155" i="69" a="1"/>
  <c r="M155" i="69" s="1"/>
  <c r="Q7" i="69"/>
  <c r="Q6" i="69"/>
  <c r="Q8" i="69"/>
  <c r="Q5" i="69"/>
  <c r="Q14" i="69" l="1"/>
  <c r="R5" i="69" l="1"/>
  <c r="R10" i="69"/>
  <c r="R12" i="69"/>
  <c r="R13" i="69"/>
  <c r="R11" i="69"/>
  <c r="R8" i="69"/>
  <c r="R14" i="69"/>
  <c r="R6" i="69"/>
  <c r="R7" i="69"/>
  <c r="M153" i="69" l="1" a="1"/>
  <c r="M153" i="69" s="1"/>
  <c r="M132" i="69" a="1"/>
  <c r="M132" i="69" s="1"/>
  <c r="M128" i="69" a="1"/>
  <c r="M128" i="69" s="1"/>
  <c r="M114" i="69" a="1"/>
  <c r="M114" i="69" s="1"/>
  <c r="M45" i="69" a="1"/>
  <c r="M45" i="69" s="1"/>
  <c r="M4" i="69" a="1"/>
  <c r="M4" i="69" s="1"/>
  <c r="M148" i="69" a="1"/>
  <c r="M148" i="69" s="1"/>
  <c r="M14" i="69" a="1"/>
  <c r="M14" i="69" s="1"/>
  <c r="M119" i="69" a="1"/>
  <c r="M119" i="69" s="1"/>
  <c r="M72" i="69" a="1"/>
  <c r="M72" i="69" s="1"/>
  <c r="M130" i="69" a="1"/>
  <c r="M130" i="69" s="1"/>
  <c r="M125" i="69" a="1"/>
  <c r="M125" i="69" s="1"/>
  <c r="M116" i="69" a="1"/>
  <c r="M116" i="69" s="1"/>
  <c r="M36" i="69" a="1"/>
  <c r="M36" i="69" s="1"/>
  <c r="M60" i="69" a="1"/>
  <c r="M60" i="69" s="1"/>
  <c r="M55" i="69" a="1"/>
  <c r="M55" i="69" s="1"/>
  <c r="M51" i="69" a="1"/>
  <c r="M51" i="69" s="1"/>
  <c r="M8" i="69" a="1"/>
  <c r="M8" i="69" s="1"/>
  <c r="M7" i="69" a="1"/>
  <c r="M7" i="69" s="1"/>
  <c r="M109" i="69" a="1"/>
  <c r="M109" i="69" s="1"/>
  <c r="M101" i="69" a="1"/>
  <c r="M101" i="69" s="1"/>
  <c r="M23" i="69" a="1"/>
  <c r="M23" i="69" s="1"/>
  <c r="M19" i="69" a="1"/>
  <c r="M19" i="69" s="1"/>
  <c r="M133" i="69" a="1"/>
  <c r="M133" i="69" s="1"/>
  <c r="M43" i="69" a="1"/>
  <c r="M43" i="69" s="1"/>
  <c r="M107" i="69" a="1"/>
  <c r="M107" i="69" s="1"/>
  <c r="M99" i="69" a="1"/>
  <c r="M99" i="69" s="1"/>
  <c r="M95" i="69" a="1"/>
  <c r="M95" i="69" s="1"/>
  <c r="M87" i="69" a="1"/>
  <c r="M87" i="69" s="1"/>
  <c r="M15" i="69" a="1"/>
  <c r="M15" i="69" s="1"/>
  <c r="M110" i="69" a="1"/>
  <c r="M110" i="69" s="1"/>
  <c r="M106" i="69" a="1"/>
  <c r="M106" i="69" s="1"/>
  <c r="M98" i="69" a="1"/>
  <c r="M98" i="69" s="1"/>
  <c r="M94" i="69" a="1"/>
  <c r="M94" i="69" s="1"/>
  <c r="M78" i="69" a="1"/>
  <c r="M78" i="69" s="1"/>
  <c r="M74" i="69" a="1"/>
  <c r="M74" i="69" s="1"/>
  <c r="M62" i="69" a="1"/>
  <c r="M62" i="69" s="1"/>
  <c r="M34" i="69" a="1"/>
  <c r="M34" i="69" s="1"/>
  <c r="M30" i="69" a="1"/>
  <c r="M30" i="69" s="1"/>
  <c r="M149" i="69" a="1"/>
  <c r="M149" i="69" s="1"/>
  <c r="M131" i="69" a="1"/>
  <c r="M131" i="69" s="1"/>
  <c r="M127" i="69" a="1"/>
  <c r="M127" i="69" s="1"/>
  <c r="M18" i="69" a="1"/>
  <c r="M18" i="69" s="1"/>
  <c r="M123" i="69" a="1"/>
  <c r="M123" i="69" s="1"/>
  <c r="M118" i="69" a="1"/>
  <c r="M118" i="69" s="1"/>
  <c r="M56" i="69" a="1"/>
  <c r="M56" i="69" s="1"/>
  <c r="M33" i="69" a="1"/>
  <c r="M33" i="69" s="1"/>
  <c r="M21" i="69" a="1"/>
  <c r="M21" i="69" s="1"/>
  <c r="M126" i="69" a="1"/>
  <c r="M126" i="69" s="1"/>
  <c r="M32" i="69" a="1"/>
  <c r="M32" i="69" s="1"/>
  <c r="M28" i="69" a="1"/>
  <c r="M28" i="69" s="1"/>
  <c r="M115" i="69" a="1"/>
  <c r="M115" i="69" s="1"/>
  <c r="M71" i="69" a="1"/>
  <c r="M71" i="69" s="1"/>
  <c r="M67" i="69" a="1"/>
  <c r="M67" i="69" s="1"/>
  <c r="M59" i="69" a="1"/>
  <c r="M59" i="69" s="1"/>
  <c r="M44" i="69" a="1"/>
  <c r="M44" i="69" s="1"/>
  <c r="M40" i="69" a="1"/>
  <c r="M40" i="69" s="1"/>
  <c r="M58" i="69" a="1"/>
  <c r="M58" i="69" s="1"/>
  <c r="M6" i="69" a="1"/>
  <c r="M6" i="69" s="1"/>
  <c r="M151" i="69" a="1"/>
  <c r="M151" i="69" s="1"/>
  <c r="M129" i="69" a="1"/>
  <c r="M129" i="69" s="1"/>
  <c r="M117" i="69" a="1"/>
  <c r="M117" i="69" s="1"/>
  <c r="M105" i="69" a="1"/>
  <c r="M105" i="69" s="1"/>
  <c r="M93" i="69" a="1"/>
  <c r="M93" i="69" s="1"/>
  <c r="M89" i="69" a="1"/>
  <c r="M89" i="69" s="1"/>
  <c r="M85" i="69" a="1"/>
  <c r="M85" i="69" s="1"/>
  <c r="M81" i="69" a="1"/>
  <c r="M81" i="69" s="1"/>
  <c r="M49" i="69" a="1"/>
  <c r="M49" i="69" s="1"/>
  <c r="M35" i="69" a="1"/>
  <c r="M35" i="69" s="1"/>
  <c r="M17" i="69" a="1"/>
  <c r="M17" i="69" s="1"/>
  <c r="M154" i="69" a="1"/>
  <c r="M154" i="69" s="1"/>
  <c r="M112" i="69" a="1"/>
  <c r="M112" i="69" s="1"/>
  <c r="M65" i="69" a="1"/>
  <c r="M65" i="69" s="1"/>
  <c r="M61" i="69" a="1"/>
  <c r="M61" i="69" s="1"/>
  <c r="M42" i="69" a="1"/>
  <c r="M42" i="69" s="1"/>
  <c r="M5" i="69" a="1"/>
  <c r="M5" i="69" s="1"/>
  <c r="M121" i="69" a="1"/>
  <c r="M121" i="69" s="1"/>
  <c r="M104" i="69" a="1"/>
  <c r="M104" i="69" s="1"/>
  <c r="M100" i="69" a="1"/>
  <c r="M100" i="69" s="1"/>
  <c r="M96" i="69" a="1"/>
  <c r="M96" i="69" s="1"/>
  <c r="M48" i="69" a="1"/>
  <c r="M48" i="69" s="1"/>
  <c r="M27" i="69" a="1"/>
  <c r="M27" i="69" s="1"/>
  <c r="M16" i="69" a="1"/>
  <c r="M16" i="69" s="1"/>
  <c r="M124" i="69" a="1"/>
  <c r="M124" i="69" s="1"/>
  <c r="M103" i="69" a="1"/>
  <c r="M103" i="69" s="1"/>
  <c r="M83" i="69" a="1"/>
  <c r="M83" i="69" s="1"/>
  <c r="M150" i="69" a="1"/>
  <c r="M150" i="69" s="1"/>
  <c r="M120" i="69" a="1"/>
  <c r="M120" i="69" s="1"/>
  <c r="M108" i="69" a="1"/>
  <c r="M108" i="69" s="1"/>
  <c r="M102" i="69" a="1"/>
  <c r="M102" i="69" s="1"/>
  <c r="M88" i="69" a="1"/>
  <c r="M88" i="69" s="1"/>
  <c r="M63" i="69" a="1"/>
  <c r="M63" i="69" s="1"/>
  <c r="M54" i="69" a="1"/>
  <c r="M54" i="69" s="1"/>
  <c r="M37" i="69" a="1"/>
  <c r="M37" i="69" s="1"/>
  <c r="M111" i="69" a="1"/>
  <c r="M111" i="69" s="1"/>
  <c r="M91" i="69" a="1"/>
  <c r="M91" i="69" s="1"/>
  <c r="M84" i="69" a="1"/>
  <c r="M84" i="69" s="1"/>
  <c r="M80" i="69" a="1"/>
  <c r="M80" i="69" s="1"/>
  <c r="M77" i="69" a="1"/>
  <c r="M77" i="69" s="1"/>
  <c r="M73" i="69" a="1"/>
  <c r="M73" i="69" s="1"/>
  <c r="M70" i="69" a="1"/>
  <c r="M70" i="69" s="1"/>
  <c r="M66" i="69" a="1"/>
  <c r="M66" i="69" s="1"/>
  <c r="M57" i="69" a="1"/>
  <c r="M57" i="69" s="1"/>
  <c r="M50" i="69" a="1"/>
  <c r="M50" i="69" s="1"/>
  <c r="M47" i="69" a="1"/>
  <c r="M47" i="69" s="1"/>
  <c r="M41" i="69" a="1"/>
  <c r="M41" i="69" s="1"/>
  <c r="M26" i="69" a="1"/>
  <c r="M26" i="69" s="1"/>
  <c r="M22" i="69" a="1"/>
  <c r="M22" i="69" s="1"/>
  <c r="M152" i="69" a="1"/>
  <c r="M152" i="69" s="1"/>
  <c r="M122" i="69" a="1"/>
  <c r="M122" i="69" s="1"/>
  <c r="M113" i="69" a="1"/>
  <c r="M113" i="69" s="1"/>
  <c r="M97" i="69" a="1"/>
  <c r="M97" i="69" s="1"/>
  <c r="M90" i="69" a="1"/>
  <c r="M90" i="69" s="1"/>
  <c r="M79" i="69" a="1"/>
  <c r="M79" i="69" s="1"/>
  <c r="M76" i="69" a="1"/>
  <c r="M76" i="69" s="1"/>
  <c r="M69" i="69" a="1"/>
  <c r="M69" i="69" s="1"/>
  <c r="M53" i="69" a="1"/>
  <c r="M53" i="69" s="1"/>
  <c r="M29" i="69" a="1"/>
  <c r="M29" i="69" s="1"/>
  <c r="M25" i="69" a="1"/>
  <c r="M25" i="69" s="1"/>
  <c r="M86" i="69" a="1"/>
  <c r="M86" i="69" s="1"/>
  <c r="M82" i="69" a="1"/>
  <c r="M82" i="69" s="1"/>
  <c r="M75" i="69" a="1"/>
  <c r="M75" i="69" s="1"/>
  <c r="M68" i="69" a="1"/>
  <c r="M68" i="69" s="1"/>
  <c r="M64" i="69" a="1"/>
  <c r="M64" i="69" s="1"/>
  <c r="M52" i="69" a="1"/>
  <c r="M52" i="69" s="1"/>
  <c r="M46" i="69" a="1"/>
  <c r="M46" i="69" s="1"/>
  <c r="M39" i="69" a="1"/>
  <c r="M39" i="69" s="1"/>
  <c r="M38" i="69" a="1"/>
  <c r="M38" i="69" s="1"/>
  <c r="M31" i="69" a="1"/>
  <c r="M31" i="69" s="1"/>
  <c r="M24" i="69" a="1"/>
  <c r="M24" i="69" s="1"/>
  <c r="M92" i="69" a="1"/>
  <c r="M92" i="69" s="1"/>
  <c r="M20" i="69" a="1"/>
  <c r="M20" i="69" s="1"/>
  <c r="C7" i="34"/>
  <c r="C6" i="34"/>
  <c r="C8" i="34"/>
  <c r="C9" i="34"/>
  <c r="C10" i="34"/>
  <c r="C11" i="34"/>
  <c r="C12" i="34"/>
  <c r="C13" i="34"/>
  <c r="C14" i="34"/>
  <c r="C15" i="34"/>
  <c r="C16" i="34"/>
  <c r="C17" i="34"/>
  <c r="C18" i="34"/>
  <c r="C19" i="34"/>
  <c r="C20" i="34"/>
  <c r="C22" i="34"/>
  <c r="C23" i="34"/>
  <c r="C24" i="34"/>
  <c r="C25" i="34"/>
  <c r="C26" i="34"/>
  <c r="C27" i="34"/>
  <c r="C28" i="34"/>
  <c r="C29" i="34"/>
  <c r="C30" i="34"/>
  <c r="C31" i="34"/>
  <c r="C32" i="34"/>
  <c r="C33" i="34"/>
  <c r="C34" i="34"/>
  <c r="C35" i="34"/>
  <c r="C36" i="34"/>
  <c r="C37" i="34"/>
  <c r="C38" i="34"/>
  <c r="C39" i="34"/>
  <c r="C40" i="34"/>
  <c r="C41" i="34"/>
  <c r="C42" i="34"/>
  <c r="C43" i="34"/>
  <c r="C44" i="34"/>
  <c r="C45" i="34"/>
  <c r="C46" i="34"/>
  <c r="C47" i="34"/>
  <c r="C48" i="34"/>
  <c r="C49" i="34"/>
  <c r="C50" i="34"/>
  <c r="C51" i="34"/>
  <c r="C52" i="34"/>
  <c r="C53" i="34"/>
  <c r="C54" i="34"/>
  <c r="C55" i="34"/>
  <c r="C56" i="34"/>
  <c r="C57" i="34"/>
  <c r="C58" i="34"/>
  <c r="C59" i="34"/>
  <c r="C60" i="34"/>
  <c r="C61" i="34"/>
  <c r="C62" i="34"/>
  <c r="C63" i="34"/>
  <c r="C64" i="34"/>
  <c r="C65" i="34"/>
  <c r="C66" i="34"/>
  <c r="C67" i="34"/>
  <c r="C68" i="34"/>
  <c r="C69" i="34"/>
  <c r="C70" i="34"/>
  <c r="C71" i="34"/>
  <c r="C72" i="34"/>
  <c r="C73" i="34"/>
  <c r="C74" i="34"/>
  <c r="C75" i="34"/>
  <c r="C76" i="34"/>
  <c r="C77" i="34"/>
  <c r="C78" i="34"/>
  <c r="C79" i="34"/>
  <c r="C80" i="34"/>
  <c r="C81" i="34"/>
  <c r="C82" i="34"/>
  <c r="C83" i="34"/>
  <c r="C84" i="34"/>
  <c r="C85" i="34"/>
  <c r="C5" i="34"/>
  <c r="D2" i="34" a="1"/>
  <c r="D2" i="34" s="1"/>
  <c r="AF3" i="19" a="1"/>
  <c r="AF3" i="19" s="1"/>
  <c r="D1" i="19" a="1"/>
  <c r="G2" i="32" a="1"/>
  <c r="G2" i="32" s="1"/>
  <c r="B5" i="19"/>
  <c r="N4" i="31"/>
  <c r="D6" i="19" l="1"/>
  <c r="E7" i="19"/>
  <c r="F8" i="19"/>
  <c r="G9" i="19"/>
  <c r="H10" i="19"/>
  <c r="I11" i="19"/>
  <c r="J12" i="19"/>
  <c r="D14" i="19"/>
  <c r="E15" i="19"/>
  <c r="F16" i="19"/>
  <c r="G17" i="19"/>
  <c r="H18" i="19"/>
  <c r="I19" i="19"/>
  <c r="J20" i="19"/>
  <c r="D22" i="19"/>
  <c r="E23" i="19"/>
  <c r="F24" i="19"/>
  <c r="G25" i="19"/>
  <c r="H26" i="19"/>
  <c r="I27" i="19"/>
  <c r="J28" i="19"/>
  <c r="E6" i="19"/>
  <c r="F7" i="19"/>
  <c r="G8" i="19"/>
  <c r="H9" i="19"/>
  <c r="I10" i="19"/>
  <c r="J11" i="19"/>
  <c r="D13" i="19"/>
  <c r="E14" i="19"/>
  <c r="F15" i="19"/>
  <c r="G16" i="19"/>
  <c r="H17" i="19"/>
  <c r="I18" i="19"/>
  <c r="J19" i="19"/>
  <c r="D21" i="19"/>
  <c r="E22" i="19"/>
  <c r="F23" i="19"/>
  <c r="G24" i="19"/>
  <c r="H25" i="19"/>
  <c r="I26" i="19"/>
  <c r="J27" i="19"/>
  <c r="D29" i="19"/>
  <c r="F12" i="19"/>
  <c r="E19" i="19"/>
  <c r="H22" i="19"/>
  <c r="D26" i="19"/>
  <c r="G29" i="19"/>
  <c r="E25" i="19"/>
  <c r="I29" i="19"/>
  <c r="F9" i="19"/>
  <c r="J13" i="19"/>
  <c r="G18" i="19"/>
  <c r="J21" i="19"/>
  <c r="F25" i="19"/>
  <c r="J29" i="19"/>
  <c r="F6" i="19"/>
  <c r="G7" i="19"/>
  <c r="H8" i="19"/>
  <c r="I9" i="19"/>
  <c r="J10" i="19"/>
  <c r="D12" i="19"/>
  <c r="E13" i="19"/>
  <c r="F14" i="19"/>
  <c r="G15" i="19"/>
  <c r="H16" i="19"/>
  <c r="I17" i="19"/>
  <c r="J18" i="19"/>
  <c r="D20" i="19"/>
  <c r="E21" i="19"/>
  <c r="F22" i="19"/>
  <c r="G23" i="19"/>
  <c r="H24" i="19"/>
  <c r="I25" i="19"/>
  <c r="J26" i="19"/>
  <c r="D28" i="19"/>
  <c r="E29" i="19"/>
  <c r="G6" i="19"/>
  <c r="H7" i="19"/>
  <c r="I8" i="19"/>
  <c r="J9" i="19"/>
  <c r="D11" i="19"/>
  <c r="F13" i="19"/>
  <c r="G14" i="19"/>
  <c r="H15" i="19"/>
  <c r="I16" i="19"/>
  <c r="J17" i="19"/>
  <c r="D19" i="19"/>
  <c r="E20" i="19"/>
  <c r="F21" i="19"/>
  <c r="G22" i="19"/>
  <c r="H23" i="19"/>
  <c r="I24" i="19"/>
  <c r="J25" i="19"/>
  <c r="D27" i="19"/>
  <c r="E28" i="19"/>
  <c r="F29" i="19"/>
  <c r="H6" i="19"/>
  <c r="I7" i="19"/>
  <c r="J8" i="19"/>
  <c r="D10" i="19"/>
  <c r="E11" i="19"/>
  <c r="G13" i="19"/>
  <c r="H14" i="19"/>
  <c r="I15" i="19"/>
  <c r="J16" i="19"/>
  <c r="D18" i="19"/>
  <c r="F20" i="19"/>
  <c r="G21" i="19"/>
  <c r="I23" i="19"/>
  <c r="J24" i="19"/>
  <c r="E27" i="19"/>
  <c r="F28" i="19"/>
  <c r="D24" i="19"/>
  <c r="H28" i="19"/>
  <c r="E12" i="19"/>
  <c r="F26" i="19"/>
  <c r="E8" i="19"/>
  <c r="I12" i="19"/>
  <c r="F17" i="19"/>
  <c r="D23" i="19"/>
  <c r="G26" i="19"/>
  <c r="I28" i="19"/>
  <c r="I6" i="19"/>
  <c r="J7" i="19"/>
  <c r="D9" i="19"/>
  <c r="E10" i="19"/>
  <c r="F11" i="19"/>
  <c r="G12" i="19"/>
  <c r="H13" i="19"/>
  <c r="I14" i="19"/>
  <c r="J15" i="19"/>
  <c r="D17" i="19"/>
  <c r="E18" i="19"/>
  <c r="F19" i="19"/>
  <c r="G20" i="19"/>
  <c r="H21" i="19"/>
  <c r="I22" i="19"/>
  <c r="J23" i="19"/>
  <c r="D25" i="19"/>
  <c r="E26" i="19"/>
  <c r="F27" i="19"/>
  <c r="G28" i="19"/>
  <c r="H29" i="19"/>
  <c r="J6" i="19"/>
  <c r="D8" i="19"/>
  <c r="E9" i="19"/>
  <c r="F10" i="19"/>
  <c r="G11" i="19"/>
  <c r="H12" i="19"/>
  <c r="I13" i="19"/>
  <c r="J14" i="19"/>
  <c r="D16" i="19"/>
  <c r="E17" i="19"/>
  <c r="F18" i="19"/>
  <c r="G19" i="19"/>
  <c r="H20" i="19"/>
  <c r="I21" i="19"/>
  <c r="J22" i="19"/>
  <c r="G27" i="19"/>
  <c r="D7" i="19"/>
  <c r="G10" i="19"/>
  <c r="H11" i="19"/>
  <c r="D15" i="19"/>
  <c r="E16" i="19"/>
  <c r="H19" i="19"/>
  <c r="I20" i="19"/>
  <c r="E24" i="19"/>
  <c r="H27" i="19"/>
  <c r="H5" i="19"/>
  <c r="K28" i="19"/>
  <c r="K20" i="19"/>
  <c r="K13" i="19"/>
  <c r="M5" i="19"/>
  <c r="K25" i="19"/>
  <c r="K5" i="19"/>
  <c r="K19" i="19"/>
  <c r="K21" i="19"/>
  <c r="K29" i="19"/>
  <c r="K6" i="19"/>
  <c r="E5" i="19"/>
  <c r="N5" i="19"/>
  <c r="G5" i="19"/>
  <c r="K24" i="19"/>
  <c r="K9" i="19"/>
  <c r="Q5" i="19"/>
  <c r="K10" i="19"/>
  <c r="R5" i="19"/>
  <c r="K18" i="19"/>
  <c r="D5" i="19"/>
  <c r="L5" i="19"/>
  <c r="K22" i="19"/>
  <c r="K14" i="19"/>
  <c r="K7" i="19"/>
  <c r="F5" i="19"/>
  <c r="O5" i="19"/>
  <c r="K8" i="19"/>
  <c r="K16" i="19"/>
  <c r="I5" i="19"/>
  <c r="J5" i="19"/>
  <c r="K26" i="19"/>
  <c r="K27" i="19"/>
  <c r="K23" i="19"/>
  <c r="K15" i="19"/>
  <c r="P5" i="19"/>
  <c r="K17" i="19"/>
  <c r="K11" i="19"/>
  <c r="K12" i="19"/>
  <c r="AE6" i="19"/>
  <c r="AE14" i="19"/>
  <c r="AE22" i="19"/>
  <c r="AE17" i="19"/>
  <c r="AE26" i="19"/>
  <c r="AE19" i="19"/>
  <c r="AE20" i="19"/>
  <c r="AE13" i="19"/>
  <c r="AE7" i="19"/>
  <c r="AE15" i="19"/>
  <c r="AE23" i="19"/>
  <c r="AE18" i="19"/>
  <c r="AE11" i="19"/>
  <c r="AE12" i="19"/>
  <c r="AE21" i="19"/>
  <c r="AE8" i="19"/>
  <c r="AE16" i="19"/>
  <c r="AE24" i="19"/>
  <c r="AE9" i="19"/>
  <c r="AE25" i="19"/>
  <c r="AE10" i="19"/>
  <c r="AE27" i="19"/>
  <c r="AE28" i="19"/>
  <c r="AE5" i="19"/>
  <c r="AE29" i="19"/>
  <c r="D1" i="19"/>
  <c r="Q6" i="19"/>
  <c r="Q9" i="19"/>
  <c r="Q14" i="19"/>
  <c r="Q17" i="19"/>
  <c r="Q27" i="19"/>
  <c r="Q7" i="19"/>
  <c r="Q15" i="19"/>
  <c r="Q26" i="19"/>
  <c r="Q8" i="19"/>
  <c r="Q16" i="19"/>
  <c r="Q25" i="19"/>
  <c r="Q24" i="19"/>
  <c r="Q10" i="19"/>
  <c r="Q18" i="19"/>
  <c r="Q23" i="19"/>
  <c r="Q11" i="19"/>
  <c r="Q19" i="19"/>
  <c r="Q22" i="19"/>
  <c r="Q12" i="19"/>
  <c r="Q29" i="19"/>
  <c r="Q21" i="19"/>
  <c r="Q13" i="19"/>
  <c r="Q28" i="19"/>
  <c r="Q20" i="19"/>
  <c r="AE30" i="19" l="1"/>
  <c r="H30" i="19"/>
  <c r="I30" i="19"/>
  <c r="K30" i="19"/>
  <c r="J30" i="19"/>
  <c r="B6" i="19"/>
  <c r="B7" i="19"/>
  <c r="B8" i="19"/>
  <c r="B9" i="19"/>
  <c r="B10" i="19"/>
  <c r="B11" i="19"/>
  <c r="B12" i="19"/>
  <c r="B13" i="19"/>
  <c r="B14" i="19"/>
  <c r="B15" i="19"/>
  <c r="B16" i="19"/>
  <c r="B17" i="19"/>
  <c r="B18" i="19"/>
  <c r="B19" i="19"/>
  <c r="B20" i="19"/>
  <c r="B21" i="19"/>
  <c r="B22" i="19"/>
  <c r="B23" i="19"/>
  <c r="B24" i="19"/>
  <c r="B25" i="19"/>
  <c r="B26" i="19"/>
  <c r="B27" i="19"/>
  <c r="B28" i="19"/>
  <c r="B29" i="19"/>
  <c r="C11" i="19" l="1"/>
  <c r="C26" i="19"/>
  <c r="C18" i="19"/>
  <c r="C10" i="19"/>
  <c r="C25" i="19"/>
  <c r="C9" i="19"/>
  <c r="C24" i="19"/>
  <c r="C16" i="19"/>
  <c r="C8" i="19"/>
  <c r="C15" i="19"/>
  <c r="C7" i="19"/>
  <c r="C22" i="19"/>
  <c r="C14" i="19"/>
  <c r="C6" i="19"/>
  <c r="C13" i="19"/>
  <c r="C20" i="19"/>
  <c r="C12" i="19"/>
  <c r="C23" i="19"/>
  <c r="C29" i="19"/>
  <c r="C21" i="19"/>
  <c r="C28" i="19"/>
  <c r="C27" i="19"/>
  <c r="C19" i="19"/>
  <c r="C17" i="19"/>
  <c r="T10" i="19" l="1"/>
  <c r="T18" i="19"/>
  <c r="T26" i="19"/>
  <c r="T11" i="19"/>
  <c r="T19" i="19"/>
  <c r="T27" i="19"/>
  <c r="T12" i="19"/>
  <c r="T20" i="19"/>
  <c r="T28" i="19"/>
  <c r="T13" i="19"/>
  <c r="T21" i="19"/>
  <c r="T29" i="19"/>
  <c r="T14" i="19"/>
  <c r="T7" i="19"/>
  <c r="T23" i="19"/>
  <c r="T16" i="19"/>
  <c r="T5" i="19"/>
  <c r="T9" i="19"/>
  <c r="T25" i="19"/>
  <c r="T6" i="19"/>
  <c r="T22" i="19"/>
  <c r="T15" i="19"/>
  <c r="T8" i="19"/>
  <c r="T24" i="19"/>
  <c r="T17" i="19"/>
  <c r="W7" i="19"/>
  <c r="W15" i="19"/>
  <c r="W23" i="19"/>
  <c r="W8" i="19"/>
  <c r="W16" i="19"/>
  <c r="W24" i="19"/>
  <c r="W9" i="19"/>
  <c r="W17" i="19"/>
  <c r="W25" i="19"/>
  <c r="W10" i="19"/>
  <c r="W18" i="19"/>
  <c r="W26" i="19"/>
  <c r="W19" i="19"/>
  <c r="W20" i="19"/>
  <c r="W12" i="19"/>
  <c r="W28" i="19"/>
  <c r="W21" i="19"/>
  <c r="W14" i="19"/>
  <c r="W11" i="19"/>
  <c r="W27" i="19"/>
  <c r="W13" i="19"/>
  <c r="W29" i="19"/>
  <c r="W6" i="19"/>
  <c r="W22" i="19"/>
  <c r="W5" i="19"/>
  <c r="R12" i="19"/>
  <c r="R20" i="19"/>
  <c r="R28" i="19"/>
  <c r="R13" i="19"/>
  <c r="R21" i="19"/>
  <c r="R29" i="19"/>
  <c r="R6" i="19"/>
  <c r="R14" i="19"/>
  <c r="R22" i="19"/>
  <c r="R7" i="19"/>
  <c r="R15" i="19"/>
  <c r="R23" i="19"/>
  <c r="R16" i="19"/>
  <c r="R9" i="19"/>
  <c r="R25" i="19"/>
  <c r="R18" i="19"/>
  <c r="R11" i="19"/>
  <c r="R27" i="19"/>
  <c r="R17" i="19"/>
  <c r="R8" i="19"/>
  <c r="R24" i="19"/>
  <c r="R10" i="19"/>
  <c r="R26" i="19"/>
  <c r="R19" i="19"/>
  <c r="S11" i="19"/>
  <c r="S19" i="19"/>
  <c r="S27" i="19"/>
  <c r="S12" i="19"/>
  <c r="S20" i="19"/>
  <c r="S28" i="19"/>
  <c r="S13" i="19"/>
  <c r="S21" i="19"/>
  <c r="S29" i="19"/>
  <c r="S6" i="19"/>
  <c r="S14" i="19"/>
  <c r="S22" i="19"/>
  <c r="S7" i="19"/>
  <c r="S23" i="19"/>
  <c r="S16" i="19"/>
  <c r="S5" i="19"/>
  <c r="S9" i="19"/>
  <c r="S25" i="19"/>
  <c r="S18" i="19"/>
  <c r="S15" i="19"/>
  <c r="S8" i="19"/>
  <c r="S24" i="19"/>
  <c r="S17" i="19"/>
  <c r="S10" i="19"/>
  <c r="S26" i="19"/>
  <c r="U9" i="19"/>
  <c r="U17" i="19"/>
  <c r="U25" i="19"/>
  <c r="U10" i="19"/>
  <c r="U18" i="19"/>
  <c r="U26" i="19"/>
  <c r="U11" i="19"/>
  <c r="U19" i="19"/>
  <c r="U27" i="19"/>
  <c r="U12" i="19"/>
  <c r="U20" i="19"/>
  <c r="U28" i="19"/>
  <c r="U21" i="19"/>
  <c r="U14" i="19"/>
  <c r="U22" i="19"/>
  <c r="U7" i="19"/>
  <c r="U23" i="19"/>
  <c r="U16" i="19"/>
  <c r="U5" i="19"/>
  <c r="U6" i="19"/>
  <c r="U13" i="19"/>
  <c r="U29" i="19"/>
  <c r="U15" i="19"/>
  <c r="U8" i="19"/>
  <c r="U24" i="19"/>
  <c r="V8" i="19"/>
  <c r="V16" i="19"/>
  <c r="V24" i="19"/>
  <c r="V9" i="19"/>
  <c r="V17" i="19"/>
  <c r="V25" i="19"/>
  <c r="V10" i="19"/>
  <c r="V18" i="19"/>
  <c r="V26" i="19"/>
  <c r="V11" i="19"/>
  <c r="V19" i="19"/>
  <c r="V27" i="19"/>
  <c r="V12" i="19"/>
  <c r="V28" i="19"/>
  <c r="V13" i="19"/>
  <c r="V21" i="19"/>
  <c r="V14" i="19"/>
  <c r="V7" i="19"/>
  <c r="V23" i="19"/>
  <c r="V29" i="19"/>
  <c r="V20" i="19"/>
  <c r="V5" i="19"/>
  <c r="V6" i="19"/>
  <c r="V22" i="19"/>
  <c r="V15" i="19"/>
  <c r="Z12" i="19"/>
  <c r="Z20" i="19"/>
  <c r="Z28" i="19"/>
  <c r="Z13" i="19"/>
  <c r="Z21" i="19"/>
  <c r="Z29" i="19"/>
  <c r="Z6" i="19"/>
  <c r="Z14" i="19"/>
  <c r="Z22" i="19"/>
  <c r="Z7" i="19"/>
  <c r="Z15" i="19"/>
  <c r="Z23" i="19"/>
  <c r="Z8" i="19"/>
  <c r="Z24" i="19"/>
  <c r="Z5" i="19"/>
  <c r="Z25" i="19"/>
  <c r="Z17" i="19"/>
  <c r="Z10" i="19"/>
  <c r="Z26" i="19"/>
  <c r="Z9" i="19"/>
  <c r="Z19" i="19"/>
  <c r="Z16" i="19"/>
  <c r="Z18" i="19"/>
  <c r="Z11" i="19"/>
  <c r="Z27" i="19"/>
  <c r="Y13" i="19"/>
  <c r="Y21" i="19"/>
  <c r="Y29" i="19"/>
  <c r="Y6" i="19"/>
  <c r="Y14" i="19"/>
  <c r="Y22" i="19"/>
  <c r="Y7" i="19"/>
  <c r="Y15" i="19"/>
  <c r="Y23" i="19"/>
  <c r="Y8" i="19"/>
  <c r="Y16" i="19"/>
  <c r="Y24" i="19"/>
  <c r="Y17" i="19"/>
  <c r="Y10" i="19"/>
  <c r="Y26" i="19"/>
  <c r="Y19" i="19"/>
  <c r="Y18" i="19"/>
  <c r="Y12" i="19"/>
  <c r="Y28" i="19"/>
  <c r="Y9" i="19"/>
  <c r="Y25" i="19"/>
  <c r="Y11" i="19"/>
  <c r="Y27" i="19"/>
  <c r="Y20" i="19"/>
  <c r="Y5" i="19"/>
  <c r="X6" i="19"/>
  <c r="X14" i="19"/>
  <c r="X22" i="19"/>
  <c r="X7" i="19"/>
  <c r="X15" i="19"/>
  <c r="X23" i="19"/>
  <c r="X8" i="19"/>
  <c r="X16" i="19"/>
  <c r="X24" i="19"/>
  <c r="X9" i="19"/>
  <c r="X17" i="19"/>
  <c r="X25" i="19"/>
  <c r="X10" i="19"/>
  <c r="X26" i="19"/>
  <c r="X19" i="19"/>
  <c r="X11" i="19"/>
  <c r="X12" i="19"/>
  <c r="X28" i="19"/>
  <c r="X27" i="19"/>
  <c r="X21" i="19"/>
  <c r="X18" i="19"/>
  <c r="X20" i="19"/>
  <c r="X5" i="19"/>
  <c r="X13" i="19"/>
  <c r="X29" i="19"/>
  <c r="Y30" i="19" l="1"/>
  <c r="U30" i="19"/>
  <c r="Z30" i="19"/>
  <c r="W30" i="19"/>
  <c r="T30" i="19"/>
  <c r="R30" i="19"/>
  <c r="V30" i="19"/>
  <c r="S30" i="19"/>
  <c r="X30" i="19"/>
  <c r="C13" i="31" l="1"/>
  <c r="D11" i="31"/>
  <c r="D10" i="31"/>
  <c r="D19" i="31" l="1"/>
  <c r="D18" i="31"/>
  <c r="D17" i="31"/>
  <c r="Q3" i="31"/>
  <c r="R3" i="31"/>
  <c r="P3" i="31" l="1"/>
  <c r="A6" i="34" l="1"/>
  <c r="A7" i="34"/>
  <c r="A8" i="34"/>
  <c r="A9" i="34"/>
  <c r="A10" i="34"/>
  <c r="A11" i="34"/>
  <c r="A12" i="34"/>
  <c r="A13" i="34"/>
  <c r="A14" i="34"/>
  <c r="A15" i="34"/>
  <c r="A16" i="34"/>
  <c r="A17" i="34"/>
  <c r="A18" i="34"/>
  <c r="A19" i="34"/>
  <c r="A20" i="34"/>
  <c r="A21" i="34"/>
  <c r="A22" i="34"/>
  <c r="A23" i="34"/>
  <c r="A24" i="34"/>
  <c r="A25" i="34"/>
  <c r="A26" i="34"/>
  <c r="A27" i="34"/>
  <c r="A28" i="34"/>
  <c r="A29" i="34"/>
  <c r="A30" i="34"/>
  <c r="A31" i="34"/>
  <c r="A32" i="34"/>
  <c r="A33" i="34"/>
  <c r="A34" i="34"/>
  <c r="A35" i="34"/>
  <c r="A36" i="34"/>
  <c r="A37" i="34"/>
  <c r="A38" i="34"/>
  <c r="A39" i="34"/>
  <c r="A40" i="34"/>
  <c r="A41" i="34"/>
  <c r="A42" i="34"/>
  <c r="A43" i="34"/>
  <c r="A44" i="34"/>
  <c r="A45" i="34"/>
  <c r="A46" i="34"/>
  <c r="A47" i="34"/>
  <c r="A48" i="34"/>
  <c r="A49" i="34"/>
  <c r="A50" i="34"/>
  <c r="A51" i="34"/>
  <c r="A52" i="34"/>
  <c r="A53" i="34"/>
  <c r="A54" i="34"/>
  <c r="A55" i="34"/>
  <c r="A56" i="34"/>
  <c r="A57" i="34"/>
  <c r="A58" i="34"/>
  <c r="A59" i="34"/>
  <c r="A60" i="34"/>
  <c r="A61" i="34"/>
  <c r="A62" i="34"/>
  <c r="A63" i="34"/>
  <c r="A64" i="34"/>
  <c r="A65" i="34"/>
  <c r="A66" i="34"/>
  <c r="A67" i="34"/>
  <c r="A68" i="34"/>
  <c r="A69" i="34"/>
  <c r="A70" i="34"/>
  <c r="A71" i="34"/>
  <c r="A72" i="34"/>
  <c r="A73" i="34"/>
  <c r="A74" i="34"/>
  <c r="A75" i="34"/>
  <c r="A76" i="34"/>
  <c r="A77" i="34"/>
  <c r="A78" i="34"/>
  <c r="A79" i="34"/>
  <c r="A80" i="34"/>
  <c r="A81" i="34"/>
  <c r="A82" i="34"/>
  <c r="A83" i="34"/>
  <c r="A84" i="34"/>
  <c r="A85" i="34"/>
  <c r="A5" i="34"/>
  <c r="C5" i="19" l="1"/>
  <c r="O6" i="19" l="1"/>
  <c r="O11" i="19"/>
  <c r="O17" i="19"/>
  <c r="O18" i="19"/>
  <c r="O16" i="19"/>
  <c r="O27" i="19"/>
  <c r="O13" i="19"/>
  <c r="O8" i="19"/>
  <c r="O14" i="19"/>
  <c r="O21" i="19"/>
  <c r="O26" i="19"/>
  <c r="O23" i="19"/>
  <c r="O20" i="19"/>
  <c r="O7" i="19"/>
  <c r="O19" i="19"/>
  <c r="O22" i="19"/>
  <c r="O29" i="19"/>
  <c r="O10" i="19"/>
  <c r="O12" i="19"/>
  <c r="O25" i="19"/>
  <c r="O24" i="19"/>
  <c r="O28" i="19"/>
  <c r="O9" i="19"/>
  <c r="O15" i="19"/>
  <c r="AC6" i="19"/>
  <c r="AC12" i="19"/>
  <c r="AC18" i="19"/>
  <c r="AC23" i="19"/>
  <c r="AC19" i="19"/>
  <c r="AC26" i="19"/>
  <c r="AC11" i="19"/>
  <c r="AC10" i="19"/>
  <c r="AC22" i="19"/>
  <c r="AC27" i="19"/>
  <c r="AC17" i="19"/>
  <c r="AC15" i="19"/>
  <c r="AC5" i="19"/>
  <c r="AC9" i="19"/>
  <c r="AC20" i="19"/>
  <c r="AC13" i="19"/>
  <c r="AC7" i="19"/>
  <c r="AC8" i="19"/>
  <c r="AC21" i="19"/>
  <c r="AC24" i="19"/>
  <c r="AC29" i="19"/>
  <c r="AC14" i="19"/>
  <c r="AC25" i="19"/>
  <c r="AC28" i="19"/>
  <c r="AC16" i="19"/>
  <c r="M18" i="19"/>
  <c r="M12" i="19"/>
  <c r="M23" i="19"/>
  <c r="M24" i="19"/>
  <c r="M8" i="19"/>
  <c r="M15" i="19"/>
  <c r="M10" i="19"/>
  <c r="M20" i="19"/>
  <c r="M27" i="19"/>
  <c r="M9" i="19"/>
  <c r="M13" i="19"/>
  <c r="M26" i="19"/>
  <c r="M29" i="19"/>
  <c r="M7" i="19"/>
  <c r="M17" i="19"/>
  <c r="M11" i="19"/>
  <c r="M28" i="19"/>
  <c r="M14" i="19"/>
  <c r="M6" i="19"/>
  <c r="M21" i="19"/>
  <c r="M19" i="19"/>
  <c r="M16" i="19"/>
  <c r="M22" i="19"/>
  <c r="M25" i="19"/>
  <c r="P16" i="19"/>
  <c r="P6" i="19"/>
  <c r="P14" i="19"/>
  <c r="P11" i="19"/>
  <c r="P29" i="19"/>
  <c r="P18" i="19"/>
  <c r="P20" i="19"/>
  <c r="P24" i="19"/>
  <c r="P13" i="19"/>
  <c r="P9" i="19"/>
  <c r="P21" i="19"/>
  <c r="P17" i="19"/>
  <c r="P19" i="19"/>
  <c r="P10" i="19"/>
  <c r="P22" i="19"/>
  <c r="P27" i="19"/>
  <c r="P12" i="19"/>
  <c r="P25" i="19"/>
  <c r="P23" i="19"/>
  <c r="P28" i="19"/>
  <c r="P26" i="19"/>
  <c r="P7" i="19"/>
  <c r="P8" i="19"/>
  <c r="P15" i="19"/>
  <c r="AA19" i="19"/>
  <c r="AA18" i="19"/>
  <c r="AA12" i="19"/>
  <c r="AA16" i="19"/>
  <c r="AA22" i="19"/>
  <c r="AA27" i="19"/>
  <c r="AA20" i="19"/>
  <c r="AA28" i="19"/>
  <c r="AA25" i="19"/>
  <c r="AA23" i="19"/>
  <c r="AA17" i="19"/>
  <c r="AA24" i="19"/>
  <c r="AA26" i="19"/>
  <c r="AA21" i="19"/>
  <c r="AA6" i="19"/>
  <c r="AA11" i="19"/>
  <c r="AA10" i="19"/>
  <c r="AA9" i="19"/>
  <c r="AA5" i="19"/>
  <c r="AA14" i="19"/>
  <c r="AA15" i="19"/>
  <c r="AA13" i="19"/>
  <c r="AA29" i="19"/>
  <c r="AA7" i="19"/>
  <c r="AA8" i="19"/>
  <c r="AD6" i="19"/>
  <c r="AD13" i="19"/>
  <c r="AD17" i="19"/>
  <c r="AD18" i="19"/>
  <c r="AD25" i="19"/>
  <c r="AD24" i="19"/>
  <c r="AD7" i="19"/>
  <c r="AD11" i="19"/>
  <c r="AD14" i="19"/>
  <c r="AD21" i="19"/>
  <c r="AD22" i="19"/>
  <c r="AD29" i="19"/>
  <c r="AD12" i="19"/>
  <c r="AD20" i="19"/>
  <c r="AD27" i="19"/>
  <c r="AD16" i="19"/>
  <c r="AD10" i="19"/>
  <c r="AD15" i="19"/>
  <c r="AD23" i="19"/>
  <c r="AD26" i="19"/>
  <c r="AD5" i="19"/>
  <c r="AD19" i="19"/>
  <c r="AD28" i="19"/>
  <c r="AD9" i="19"/>
  <c r="AD8" i="19"/>
  <c r="N13" i="19"/>
  <c r="N9" i="19"/>
  <c r="N15" i="19"/>
  <c r="N16" i="19"/>
  <c r="N23" i="19"/>
  <c r="N28" i="19"/>
  <c r="N26" i="19"/>
  <c r="N14" i="19"/>
  <c r="N10" i="19"/>
  <c r="N8" i="19"/>
  <c r="N19" i="19"/>
  <c r="N20" i="19"/>
  <c r="N27" i="19"/>
  <c r="N11" i="19"/>
  <c r="N18" i="19"/>
  <c r="N25" i="19"/>
  <c r="N21" i="19"/>
  <c r="N12" i="19"/>
  <c r="N22" i="19"/>
  <c r="N17" i="19"/>
  <c r="N24" i="19"/>
  <c r="N29" i="19"/>
  <c r="N7" i="19"/>
  <c r="N6" i="19"/>
  <c r="AB27" i="19"/>
  <c r="AB26" i="19"/>
  <c r="AB20" i="19"/>
  <c r="AB22" i="19"/>
  <c r="AB16" i="19"/>
  <c r="AB29" i="19"/>
  <c r="AB9" i="19"/>
  <c r="AB11" i="19"/>
  <c r="AB23" i="19"/>
  <c r="AB24" i="19"/>
  <c r="AB19" i="19"/>
  <c r="AB6" i="19"/>
  <c r="AB21" i="19"/>
  <c r="AB5" i="19"/>
  <c r="AB15" i="19"/>
  <c r="AB17" i="19"/>
  <c r="AB28" i="19"/>
  <c r="AB10" i="19"/>
  <c r="AB8" i="19"/>
  <c r="AB25" i="19"/>
  <c r="AB14" i="19"/>
  <c r="AB18" i="19"/>
  <c r="AB7" i="19"/>
  <c r="AB12" i="19"/>
  <c r="AB13" i="19"/>
  <c r="AH5" i="19" l="1"/>
  <c r="AF5" i="19"/>
  <c r="AA30" i="19"/>
  <c r="N30" i="19"/>
  <c r="P30" i="19"/>
  <c r="M30" i="19"/>
  <c r="AB30" i="19"/>
  <c r="Q30" i="19"/>
  <c r="AD30" i="19"/>
  <c r="E30" i="19"/>
  <c r="F30" i="19"/>
  <c r="AC30" i="19"/>
  <c r="O30" i="19"/>
  <c r="G30" i="19"/>
  <c r="D30" i="19"/>
  <c r="L19" i="19"/>
  <c r="L22" i="19"/>
  <c r="L15" i="19"/>
  <c r="AM15" i="19" s="1"/>
  <c r="L17" i="19"/>
  <c r="L11" i="19"/>
  <c r="L23" i="19"/>
  <c r="L6" i="19"/>
  <c r="AM6" i="19" s="1"/>
  <c r="L21" i="19"/>
  <c r="AH21" i="19" s="1"/>
  <c r="L8" i="19"/>
  <c r="L24" i="19"/>
  <c r="AL24" i="19" s="1"/>
  <c r="L9" i="19"/>
  <c r="AM9" i="19" s="1"/>
  <c r="L26" i="19"/>
  <c r="AG26" i="19" s="1"/>
  <c r="L20" i="19"/>
  <c r="L28" i="19"/>
  <c r="L13" i="19"/>
  <c r="L10" i="19"/>
  <c r="AH10" i="19" s="1"/>
  <c r="L25" i="19"/>
  <c r="L14" i="19"/>
  <c r="AM14" i="19" s="1"/>
  <c r="L12" i="19"/>
  <c r="AH12" i="19" s="1"/>
  <c r="L29" i="19"/>
  <c r="AK29" i="19" s="1"/>
  <c r="L7" i="19"/>
  <c r="L18" i="19"/>
  <c r="L27" i="19"/>
  <c r="L16" i="19"/>
  <c r="AH16" i="19" s="1"/>
  <c r="AF6" i="19" l="1"/>
  <c r="AI5" i="19"/>
  <c r="L30" i="19"/>
  <c r="AK6" i="19"/>
  <c r="AH6" i="19"/>
  <c r="AL12" i="19"/>
  <c r="AK12" i="19"/>
  <c r="AI12" i="19"/>
  <c r="AL10" i="19"/>
  <c r="AG10" i="19"/>
  <c r="AI10" i="19"/>
  <c r="AG16" i="19"/>
  <c r="AI16" i="19"/>
  <c r="AG21" i="19"/>
  <c r="AF21" i="19"/>
  <c r="AI21" i="19"/>
  <c r="AL5" i="19"/>
  <c r="AI24" i="19"/>
  <c r="AL15" i="19"/>
  <c r="AJ29" i="19"/>
  <c r="AG9" i="19"/>
  <c r="AI14" i="19"/>
  <c r="AF14" i="19"/>
  <c r="AJ14" i="19"/>
  <c r="AH14" i="19"/>
  <c r="AG14" i="19"/>
  <c r="AI27" i="19"/>
  <c r="AG27" i="19"/>
  <c r="AL27" i="19"/>
  <c r="AH27" i="19"/>
  <c r="AK27" i="19"/>
  <c r="AJ27" i="19"/>
  <c r="AM27" i="19"/>
  <c r="AF27" i="19"/>
  <c r="AM26" i="19"/>
  <c r="AJ26" i="19"/>
  <c r="AI26" i="19"/>
  <c r="AL26" i="19"/>
  <c r="AM5" i="19"/>
  <c r="AH23" i="19"/>
  <c r="AK23" i="19"/>
  <c r="AJ23" i="19"/>
  <c r="AM23" i="19"/>
  <c r="AF23" i="19"/>
  <c r="AI23" i="19"/>
  <c r="AG23" i="19"/>
  <c r="AL23" i="19"/>
  <c r="AH17" i="19"/>
  <c r="AJ17" i="19"/>
  <c r="AL17" i="19"/>
  <c r="AM17" i="19"/>
  <c r="AG17" i="19"/>
  <c r="AI17" i="19"/>
  <c r="AF17" i="19"/>
  <c r="AK17" i="19"/>
  <c r="AH22" i="19"/>
  <c r="AF22" i="19"/>
  <c r="AM22" i="19"/>
  <c r="AK22" i="19"/>
  <c r="AJ22" i="19"/>
  <c r="AI22" i="19"/>
  <c r="AG22" i="19"/>
  <c r="AL22" i="19"/>
  <c r="AG6" i="19"/>
  <c r="AI6" i="19"/>
  <c r="AG12" i="19"/>
  <c r="AM12" i="19"/>
  <c r="AJ10" i="19"/>
  <c r="AM10" i="19"/>
  <c r="AJ16" i="19"/>
  <c r="AM16" i="19"/>
  <c r="AK21" i="19"/>
  <c r="AG5" i="19"/>
  <c r="AF24" i="19"/>
  <c r="AF26" i="19"/>
  <c r="AH15" i="19"/>
  <c r="AL29" i="19"/>
  <c r="AK18" i="19"/>
  <c r="AH8" i="19"/>
  <c r="AF8" i="19"/>
  <c r="AJ8" i="19"/>
  <c r="AM8" i="19"/>
  <c r="AG8" i="19"/>
  <c r="AI8" i="19"/>
  <c r="AK8" i="19"/>
  <c r="AL8" i="19"/>
  <c r="AJ7" i="19"/>
  <c r="AI7" i="19"/>
  <c r="AF7" i="19"/>
  <c r="AH7" i="19"/>
  <c r="AG7" i="19"/>
  <c r="AL7" i="19"/>
  <c r="AM7" i="19"/>
  <c r="AK7" i="19"/>
  <c r="AH28" i="19"/>
  <c r="AK28" i="19"/>
  <c r="AL28" i="19"/>
  <c r="AF28" i="19"/>
  <c r="AM28" i="19"/>
  <c r="AJ28" i="19"/>
  <c r="AI28" i="19"/>
  <c r="AG28" i="19"/>
  <c r="AI9" i="19"/>
  <c r="AF9" i="19"/>
  <c r="AL9" i="19"/>
  <c r="AH9" i="19"/>
  <c r="AJ9" i="19"/>
  <c r="AJ11" i="19"/>
  <c r="AI11" i="19"/>
  <c r="AF11" i="19"/>
  <c r="AH11" i="19"/>
  <c r="AG11" i="19"/>
  <c r="AL11" i="19"/>
  <c r="AM11" i="19"/>
  <c r="AK11" i="19"/>
  <c r="AL6" i="19"/>
  <c r="AJ12" i="19"/>
  <c r="AF10" i="19"/>
  <c r="AF16" i="19"/>
  <c r="AL16" i="19"/>
  <c r="AM21" i="19"/>
  <c r="AJ5" i="19"/>
  <c r="AH26" i="19"/>
  <c r="AK15" i="19"/>
  <c r="AK14" i="19"/>
  <c r="AH25" i="19"/>
  <c r="AF25" i="19"/>
  <c r="AK25" i="19"/>
  <c r="AJ25" i="19"/>
  <c r="AM25" i="19"/>
  <c r="AI25" i="19"/>
  <c r="AG25" i="19"/>
  <c r="AL25" i="19"/>
  <c r="AL13" i="19"/>
  <c r="AJ13" i="19"/>
  <c r="AM13" i="19"/>
  <c r="AI13" i="19"/>
  <c r="AG13" i="19"/>
  <c r="AK13" i="19"/>
  <c r="AH13" i="19"/>
  <c r="AF13" i="19"/>
  <c r="AF20" i="19"/>
  <c r="AI20" i="19"/>
  <c r="AJ20" i="19"/>
  <c r="AG20" i="19"/>
  <c r="AM20" i="19"/>
  <c r="AK20" i="19"/>
  <c r="AH20" i="19"/>
  <c r="AL20" i="19"/>
  <c r="AI18" i="19"/>
  <c r="AJ18" i="19"/>
  <c r="AL18" i="19"/>
  <c r="AG18" i="19"/>
  <c r="AH18" i="19"/>
  <c r="AF18" i="19"/>
  <c r="AI29" i="19"/>
  <c r="AH29" i="19"/>
  <c r="AF29" i="19"/>
  <c r="AM24" i="19"/>
  <c r="AG24" i="19"/>
  <c r="AJ24" i="19"/>
  <c r="AH24" i="19"/>
  <c r="AK24" i="19"/>
  <c r="AJ15" i="19"/>
  <c r="AF15" i="19"/>
  <c r="AI15" i="19"/>
  <c r="AG15" i="19"/>
  <c r="AM19" i="19"/>
  <c r="AG19" i="19"/>
  <c r="AH19" i="19"/>
  <c r="AL19" i="19"/>
  <c r="AK19" i="19"/>
  <c r="AI19" i="19"/>
  <c r="AJ19" i="19"/>
  <c r="AF19" i="19"/>
  <c r="AJ6" i="19"/>
  <c r="AF12" i="19"/>
  <c r="AK10" i="19"/>
  <c r="AK16" i="19"/>
  <c r="AL21" i="19"/>
  <c r="AJ21" i="19"/>
  <c r="AK5" i="19"/>
  <c r="AK26" i="19"/>
  <c r="AG29" i="19"/>
  <c r="AM29" i="19"/>
  <c r="AM18" i="19"/>
  <c r="AK9" i="19"/>
  <c r="AL1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tc={82FB7656-FC26-470B-88A3-F46096F70D7F}</author>
    <author>tc={2AAB3D5E-3010-4266-96E8-FFC95DE1E0AE}</author>
    <author>tc={FE719273-2DB3-4CD3-811C-E2BE2C58608E}</author>
    <author>tc={14752237-785E-4F21-94E0-D038EFB1A805}</author>
    <author>tc={3277866B-C0D4-4755-9415-A507BB134E76}</author>
    <author>tc={C4916CC6-53F7-435B-B68C-C41C6B84DC5E}</author>
    <author>tc={5ED8F408-A1B5-4EED-A991-588E78800B46}</author>
  </authors>
  <commentList>
    <comment ref="E6" authorId="0" shapeId="0" xr:uid="{82FB7656-FC26-470B-88A3-F46096F70D7F}">
      <text>
        <t xml:space="preserve">[Threaded comment]
Your version of Excel allows you to read this threaded comment; however, any edits to it will get removed if the file is opened in a newer version of Excel. Learn more: https://go.microsoft.com/fwlink/?linkid=870924
Comment:
    Cambiar a 2, debido a que tenemos copias de seguridad y en el caso de los repositorios está todo el historial
Reply:
    Ok. </t>
      </text>
    </comment>
    <comment ref="D7" authorId="1" shapeId="0" xr:uid="{2AAB3D5E-3010-4266-96E8-FFC95DE1E0AE}">
      <text>
        <t xml:space="preserve">[Threaded comment]
Your version of Excel allows you to read this threaded comment; however, any edits to it will get removed if the file is opened in a newer version of Excel. Learn more: https://go.microsoft.com/fwlink/?linkid=870924
Comment:
    Cambiar a 3 o incluso 2, debido a que nunca ha pasado
Reply:
    Ok. </t>
      </text>
    </comment>
    <comment ref="E7" authorId="2" shapeId="0" xr:uid="{FE719273-2DB3-4CD3-811C-E2BE2C58608E}">
      <text>
        <t xml:space="preserve">[Threaded comment]
Your version of Excel allows you to read this threaded comment; however, any edits to it will get removed if the file is opened in a newer version of Excel. Learn more: https://go.microsoft.com/fwlink/?linkid=870924
Comment:
    Cambiar a 2, debido a que tenemos copias de seguridad y en el caso de los repositorios está todo el historial
Reply:
    Ok. </t>
      </text>
    </comment>
    <comment ref="E9" authorId="3" shapeId="0" xr:uid="{14752237-785E-4F21-94E0-D038EFB1A805}">
      <text>
        <t xml:space="preserve">[Threaded comment]
Your version of Excel allows you to read this threaded comment; however, any edits to it will get removed if the file is opened in a newer version of Excel. Learn more: https://go.microsoft.com/fwlink/?linkid=870924
Comment:
    Bajar a 2 o incluso 1, debido a que podemos tele trabajar y no tenemos servidores propios que afecten al funcionamiento de la empresa
Reply:
    Ok. </t>
      </text>
    </comment>
    <comment ref="E10" authorId="4" shapeId="0" xr:uid="{3277866B-C0D4-4755-9415-A507BB134E76}">
      <text>
        <t xml:space="preserve">[Threaded comment]
Your version of Excel allows you to read this threaded comment; however, any edits to it will get removed if the file is opened in a newer version of Excel. Learn more: https://go.microsoft.com/fwlink/?linkid=870924
Comment:
    Bajar a 2 o incluso 1, debido a que podemos tele trabajar y no tenemos servidores propios que afecten al funcionamiento de la empresa
Reply:
    Ok. </t>
      </text>
    </comment>
    <comment ref="D11" authorId="5" shapeId="0" xr:uid="{C4916CC6-53F7-435B-B68C-C41C6B84DC5E}">
      <text>
        <t>[Threaded comment]
Your version of Excel allows you to read this threaded comment; however, any edits to it will get removed if the file is opened in a newer version of Excel. Learn more: https://go.microsoft.com/fwlink/?linkid=870924
Comment:
    Bajar a 1, debido a que nunca ha pasado, y usamos servicios con buen respaldo como microsoft, por lo que debería volver rápido
Reply:
    Lo dejaría en 2, ya que no contáis con un proveedor backup en el caso de que falle y tampoco creo que en el contrato se recoja. 
Reply:
    Ok</t>
      </text>
    </comment>
    <comment ref="E11" authorId="6" shapeId="0" xr:uid="{5ED8F408-A1B5-4EED-A991-588E78800B46}">
      <text>
        <t xml:space="preserve">[Threaded comment]
Your version of Excel allows you to read this threaded comment; however, any edits to it will get removed if the file is opened in a newer version of Excel. Learn more: https://go.microsoft.com/fwlink/?linkid=870924
Comment:
    Bajar a 2, debido a que hay más de un medio de comunicación, por lo que no afectaría mucho
Reply:
    Ok.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<sst xmlns="http://schemas.openxmlformats.org/spreadsheetml/2006/main" count="2055" uniqueCount="448">
  <si>
    <t>RESPONSABLE DE MANTENIMIENTO</t>
  </si>
  <si>
    <t>FECHA DE REVISIÓN</t>
  </si>
  <si>
    <t>Responsable del SGSI</t>
  </si>
  <si>
    <t>ID</t>
  </si>
  <si>
    <t>Assets</t>
  </si>
  <si>
    <t>Asset Type</t>
  </si>
  <si>
    <t>Criticality</t>
  </si>
  <si>
    <t>Numeric Criticality</t>
  </si>
  <si>
    <t>Taxonomies</t>
  </si>
  <si>
    <t> </t>
  </si>
  <si>
    <t>Threats</t>
  </si>
  <si>
    <t>Controls</t>
  </si>
  <si>
    <t>Assessment Maturity 2024</t>
  </si>
  <si>
    <t>AS01</t>
  </si>
  <si>
    <t>Personal Directivo</t>
  </si>
  <si>
    <t>[P] Personal</t>
  </si>
  <si>
    <t>H</t>
  </si>
  <si>
    <t>TX1</t>
  </si>
  <si>
    <t>[D] Datos</t>
  </si>
  <si>
    <t>TH01</t>
  </si>
  <si>
    <t>[Desastre] Fuego, agua o desastres naturales</t>
  </si>
  <si>
    <t>C001</t>
  </si>
  <si>
    <t>Políticas de seguridad de la información</t>
  </si>
  <si>
    <t>AS02</t>
  </si>
  <si>
    <t>Usuario Final</t>
  </si>
  <si>
    <t>TX2</t>
  </si>
  <si>
    <t>[SW] Software</t>
  </si>
  <si>
    <t>TH02</t>
  </si>
  <si>
    <t>[Actividad malintencionada / abuso] Fuga de información</t>
  </si>
  <si>
    <t>C002</t>
  </si>
  <si>
    <t>Roles y segregación de responsabilidades</t>
  </si>
  <si>
    <t>AS03</t>
  </si>
  <si>
    <t>Usuarios administradores</t>
  </si>
  <si>
    <t>TX3</t>
  </si>
  <si>
    <t>[HW] Hardware</t>
  </si>
  <si>
    <t>TH03</t>
  </si>
  <si>
    <t>[Actividad malintencionada / abuso] Introducción de falsa información</t>
  </si>
  <si>
    <t>C003</t>
  </si>
  <si>
    <t>Contacto con las autoridades y grupos de interés</t>
  </si>
  <si>
    <t>AS04</t>
  </si>
  <si>
    <t>Usuarios Cloud</t>
  </si>
  <si>
    <t>M</t>
  </si>
  <si>
    <t>TX4</t>
  </si>
  <si>
    <t>[COM] Comunicaciones</t>
  </si>
  <si>
    <t>TH04</t>
  </si>
  <si>
    <t>[Actividad malintencionada / abuso] Alteración de la información</t>
  </si>
  <si>
    <t>C004</t>
  </si>
  <si>
    <t>Inteligencia de amenazas</t>
  </si>
  <si>
    <t>AS05</t>
  </si>
  <si>
    <t>Proveedores Desarrollo</t>
  </si>
  <si>
    <t>[PRV] Proveedores</t>
  </si>
  <si>
    <t>TX5</t>
  </si>
  <si>
    <t>[L] Ubicaciones</t>
  </si>
  <si>
    <t>TH05</t>
  </si>
  <si>
    <t>[Actividad malintencionada / abuso] Destrucción de información</t>
  </si>
  <si>
    <t>C005</t>
  </si>
  <si>
    <t>Seguridad de la información en la gestión de proyectos</t>
  </si>
  <si>
    <t>AS06</t>
  </si>
  <si>
    <t>Proveedores Infraestructura y Comunicaciones</t>
  </si>
  <si>
    <t>TX6</t>
  </si>
  <si>
    <t>TH06</t>
  </si>
  <si>
    <t>[Actividad malintencionada / abuso] Interceptación de información (escucha)</t>
  </si>
  <si>
    <t>C006</t>
  </si>
  <si>
    <t xml:space="preserve">Inventario de información y otros activos </t>
  </si>
  <si>
    <t>AS07</t>
  </si>
  <si>
    <t>Red inalámbrica</t>
  </si>
  <si>
    <t>L</t>
  </si>
  <si>
    <t>TX7</t>
  </si>
  <si>
    <t>TH07</t>
  </si>
  <si>
    <t>[Malfuncionamiento] Corte del suministro eléctrico</t>
  </si>
  <si>
    <t>C007</t>
  </si>
  <si>
    <t>Uso aceptable de la información y otros activos</t>
  </si>
  <si>
    <t>AS08</t>
  </si>
  <si>
    <t>Proxy CloudFare (VRcardio)</t>
  </si>
  <si>
    <t>[SE] Servicios Externos</t>
  </si>
  <si>
    <t>TX8</t>
  </si>
  <si>
    <t>TH08</t>
  </si>
  <si>
    <t>[Desastre] Condiciones inadecuadas de temperatura o humedad</t>
  </si>
  <si>
    <t>C008</t>
  </si>
  <si>
    <t>Devolución de activos</t>
  </si>
  <si>
    <t>AS09</t>
  </si>
  <si>
    <t>WAF</t>
  </si>
  <si>
    <t>TH09</t>
  </si>
  <si>
    <t>[Malfuncionamiento] Fallo de servicios de comunicaciones</t>
  </si>
  <si>
    <t>C009</t>
  </si>
  <si>
    <t>Clasificación y etiquetado de la información</t>
  </si>
  <si>
    <t>AS10</t>
  </si>
  <si>
    <t>Elementos de soporte de red (switch, modens, hubs, router, WAP)</t>
  </si>
  <si>
    <t>TH10</t>
  </si>
  <si>
    <t>[Indisponibilidad del recurso] Interrupción de servicios y suministros esenciales</t>
  </si>
  <si>
    <t>C010</t>
  </si>
  <si>
    <t>Transferencia de información</t>
  </si>
  <si>
    <t>AS11</t>
  </si>
  <si>
    <t>Maquina de Salto</t>
  </si>
  <si>
    <t>TH11</t>
  </si>
  <si>
    <t>[Desastre] Desastres industriales</t>
  </si>
  <si>
    <t>C011</t>
  </si>
  <si>
    <t>Gestión de identidades y control de acceso</t>
  </si>
  <si>
    <t>AS12</t>
  </si>
  <si>
    <t>Desktop</t>
  </si>
  <si>
    <t>TH12</t>
  </si>
  <si>
    <t>[Daños accidentales] Errores de los usuarios</t>
  </si>
  <si>
    <t>C012</t>
  </si>
  <si>
    <t>Información de autenticación</t>
  </si>
  <si>
    <t>AS13</t>
  </si>
  <si>
    <t>Laptop</t>
  </si>
  <si>
    <t>TH13</t>
  </si>
  <si>
    <t>[Daños accidentales] Errores del administrador</t>
  </si>
  <si>
    <t>C013</t>
  </si>
  <si>
    <t>Derechos de acceso</t>
  </si>
  <si>
    <t>AS14</t>
  </si>
  <si>
    <t>Mobile</t>
  </si>
  <si>
    <t>TH14</t>
  </si>
  <si>
    <t>[Daños accidentales] Errores de configuración</t>
  </si>
  <si>
    <t>C014</t>
  </si>
  <si>
    <t>Gestión de la seguridad de la información en relaciones con terceros</t>
  </si>
  <si>
    <t>AS15</t>
  </si>
  <si>
    <t xml:space="preserve">DNS </t>
  </si>
  <si>
    <t>TH15</t>
  </si>
  <si>
    <t>[Daños accidentales] Degradación de los soportes de almacenamiento de la información</t>
  </si>
  <si>
    <t>C015</t>
  </si>
  <si>
    <t>Monitorización, revisión y gestión del cambio de servicios de terceros</t>
  </si>
  <si>
    <t>AS16</t>
  </si>
  <si>
    <t>Aplicaciones de escritorio</t>
  </si>
  <si>
    <t>TH16</t>
  </si>
  <si>
    <t>[Actividad malintencionada / abuso] Instalación de software dañino</t>
  </si>
  <si>
    <t>C016</t>
  </si>
  <si>
    <t>Seguridad de la información para el uso de servicios en cloud</t>
  </si>
  <si>
    <t>AS17</t>
  </si>
  <si>
    <t>VR-CARDIO</t>
  </si>
  <si>
    <t>TH17</t>
  </si>
  <si>
    <t>[Daños accidentales] Errores de mantenimiento / actualización de programas (software)</t>
  </si>
  <si>
    <t>C017</t>
  </si>
  <si>
    <t>Planificación y respuesta para la gestión de incidentes</t>
  </si>
  <si>
    <t>AS18</t>
  </si>
  <si>
    <t>Visual Cardio</t>
  </si>
  <si>
    <t>TH18</t>
  </si>
  <si>
    <t>[Indisponibilidad del recurso] Caída del sistema por sobrecarga</t>
  </si>
  <si>
    <t>C018</t>
  </si>
  <si>
    <t>Evaluación y decisión de eventos de seguridad</t>
  </si>
  <si>
    <t>AS19</t>
  </si>
  <si>
    <t>Magallanes</t>
  </si>
  <si>
    <t>TH19</t>
  </si>
  <si>
    <t>[Daños accidentales] Pérdida de equipos</t>
  </si>
  <si>
    <t>C019</t>
  </si>
  <si>
    <t>Aprendizaje de los incidentes de seguridad</t>
  </si>
  <si>
    <t>AS20</t>
  </si>
  <si>
    <t>Plataforma comercial</t>
  </si>
  <si>
    <t>TH20</t>
  </si>
  <si>
    <t>[Indisponibilidad del recurso] Indisponibilidad del personal</t>
  </si>
  <si>
    <t>C020</t>
  </si>
  <si>
    <t>Recogida de evidencias</t>
  </si>
  <si>
    <t>AS21</t>
  </si>
  <si>
    <t>SFTP</t>
  </si>
  <si>
    <t>TH21</t>
  </si>
  <si>
    <t>[Actividad malintencionada / abuso] Abuso de privilegios de acceso</t>
  </si>
  <si>
    <t>C021</t>
  </si>
  <si>
    <t>Seguridad de la información durante una interrupción</t>
  </si>
  <si>
    <t>AS22</t>
  </si>
  <si>
    <t xml:space="preserve">Sedes </t>
  </si>
  <si>
    <t>TH22</t>
  </si>
  <si>
    <t>[Actividad malintencionada / abuso] Acceso no autorizado</t>
  </si>
  <si>
    <t>C022</t>
  </si>
  <si>
    <t>Preparación de IT para la continuidad del negocio</t>
  </si>
  <si>
    <t>AS23</t>
  </si>
  <si>
    <t>Salas técnicas</t>
  </si>
  <si>
    <t>TH23</t>
  </si>
  <si>
    <t>[Actividad malintencionada / abuso] Denegación de servicio</t>
  </si>
  <si>
    <t>C023</t>
  </si>
  <si>
    <t>Requerimientos contractuales legales y regulatorios - Identificar y documentar los requisitos pertinentes</t>
  </si>
  <si>
    <t>AS24</t>
  </si>
  <si>
    <t>Datos de negocio</t>
  </si>
  <si>
    <t>TH24</t>
  </si>
  <si>
    <t>[Actividad malintencionada / abuso] Extorsión</t>
  </si>
  <si>
    <t>C024</t>
  </si>
  <si>
    <t>Derechos de propiedad intelectual</t>
  </si>
  <si>
    <t>AS25</t>
  </si>
  <si>
    <t>Datos de gestión interna</t>
  </si>
  <si>
    <t>TH25</t>
  </si>
  <si>
    <t>[Actividad malintencionada / abuso] Ingeniería social</t>
  </si>
  <si>
    <t>C025</t>
  </si>
  <si>
    <t>Protección de registros</t>
  </si>
  <si>
    <t>AS26</t>
  </si>
  <si>
    <t>Datos de carácter personal</t>
  </si>
  <si>
    <t>TH26</t>
  </si>
  <si>
    <t>[Indisponibilidad de recursos] Suspensión de servicios Cloud</t>
  </si>
  <si>
    <t>C026</t>
  </si>
  <si>
    <t>Privacidad y protección de la información personal</t>
  </si>
  <si>
    <t>AS27</t>
  </si>
  <si>
    <t>Copias de seguridad</t>
  </si>
  <si>
    <t>C027</t>
  </si>
  <si>
    <t>Revisión independiente de la seguridad de la información</t>
  </si>
  <si>
    <t>AS28</t>
  </si>
  <si>
    <t>Registros de actividad (logs)</t>
  </si>
  <si>
    <t>C028</t>
  </si>
  <si>
    <t>Cumplimiento de políticas, normas, procesos operativos y estándares de seguridad</t>
  </si>
  <si>
    <t>C029</t>
  </si>
  <si>
    <t>Screening</t>
  </si>
  <si>
    <t>C030</t>
  </si>
  <si>
    <t xml:space="preserve">Términos y condiciones </t>
  </si>
  <si>
    <t>C031</t>
  </si>
  <si>
    <t>Concienciación y training sobre seguridad de la información</t>
  </si>
  <si>
    <t>C032</t>
  </si>
  <si>
    <t>Proceso disciplinario</t>
  </si>
  <si>
    <t>C033</t>
  </si>
  <si>
    <t>Responsabilidades a la finalización de la relación laboral</t>
  </si>
  <si>
    <t>C034</t>
  </si>
  <si>
    <t>Confidencialidad o NDAs</t>
  </si>
  <si>
    <t>C035</t>
  </si>
  <si>
    <t>Teletrabajo</t>
  </si>
  <si>
    <t>C036</t>
  </si>
  <si>
    <t>Reporting de eventos de seguridad - Notifiación por los canales adecuados</t>
  </si>
  <si>
    <t>C037</t>
  </si>
  <si>
    <t>Perímetros físicos de seguridad</t>
  </si>
  <si>
    <t>C038</t>
  </si>
  <si>
    <t>Entrada física</t>
  </si>
  <si>
    <t>C039</t>
  </si>
  <si>
    <t>Seguridad en oficinas e instalaciones.</t>
  </si>
  <si>
    <t>C040</t>
  </si>
  <si>
    <t>Monitoreo de seguridad física</t>
  </si>
  <si>
    <t>C041</t>
  </si>
  <si>
    <t>Protección ante amenazas físicas y medioambientales</t>
  </si>
  <si>
    <t>C042</t>
  </si>
  <si>
    <t>Mesas y escritorios limpios</t>
  </si>
  <si>
    <t>C043</t>
  </si>
  <si>
    <t>Protección del equipamiento</t>
  </si>
  <si>
    <t>C044</t>
  </si>
  <si>
    <t>Seguridad de los activos off-premises</t>
  </si>
  <si>
    <t>C045</t>
  </si>
  <si>
    <t>Dispositivos de almacenamiento</t>
  </si>
  <si>
    <t>C046</t>
  </si>
  <si>
    <t>Servicios de apoyo</t>
  </si>
  <si>
    <t>C047</t>
  </si>
  <si>
    <t>Seguridad en el cableado</t>
  </si>
  <si>
    <t>C048</t>
  </si>
  <si>
    <t>Mantenimiento de equipos</t>
  </si>
  <si>
    <t>C050</t>
  </si>
  <si>
    <t xml:space="preserve">Endpoints para usuarios </t>
  </si>
  <si>
    <t>C051</t>
  </si>
  <si>
    <t>Derechos de acceso privilegiados</t>
  </si>
  <si>
    <t>C052</t>
  </si>
  <si>
    <t>Restricción de acceso a la información</t>
  </si>
  <si>
    <t>C053</t>
  </si>
  <si>
    <t>Acceso al código fuente</t>
  </si>
  <si>
    <t>C054</t>
  </si>
  <si>
    <t>Autenticación segura</t>
  </si>
  <si>
    <t>C055</t>
  </si>
  <si>
    <t>Gestión de capacidades</t>
  </si>
  <si>
    <t>C056</t>
  </si>
  <si>
    <t>Protección contra el malware</t>
  </si>
  <si>
    <t>C057</t>
  </si>
  <si>
    <t>Gestión de vulerabilidades técnicas</t>
  </si>
  <si>
    <t>C058</t>
  </si>
  <si>
    <t>Gestión de configuración</t>
  </si>
  <si>
    <t>C059</t>
  </si>
  <si>
    <t>Borrado de información</t>
  </si>
  <si>
    <t>C060</t>
  </si>
  <si>
    <t>Data masking</t>
  </si>
  <si>
    <t>C061</t>
  </si>
  <si>
    <t>Prevención de exfiltración de datos</t>
  </si>
  <si>
    <t>C062</t>
  </si>
  <si>
    <t>Backups</t>
  </si>
  <si>
    <t>C063</t>
  </si>
  <si>
    <t>Redundancia de las instalaciones de procesamiento de la información</t>
  </si>
  <si>
    <t>C064</t>
  </si>
  <si>
    <t>Logging</t>
  </si>
  <si>
    <t>C065</t>
  </si>
  <si>
    <t>Actividades de monitorización</t>
  </si>
  <si>
    <t>C066</t>
  </si>
  <si>
    <t>Sincronización de reloj</t>
  </si>
  <si>
    <t>C067</t>
  </si>
  <si>
    <t>Uso de programas privilegiados</t>
  </si>
  <si>
    <t>C068</t>
  </si>
  <si>
    <t>Instalación de software en sistemas operativos - Procedimientos para la instalación de SW</t>
  </si>
  <si>
    <t>C069</t>
  </si>
  <si>
    <t>Seguridad en la red</t>
  </si>
  <si>
    <t>C070</t>
  </si>
  <si>
    <t>Segregación de redes</t>
  </si>
  <si>
    <t>C071</t>
  </si>
  <si>
    <t>Web filtering</t>
  </si>
  <si>
    <t>C072</t>
  </si>
  <si>
    <t>Uso de la criptografía</t>
  </si>
  <si>
    <t>C073</t>
  </si>
  <si>
    <t>Ciclo de vida del desarrollo seguro</t>
  </si>
  <si>
    <t>C074</t>
  </si>
  <si>
    <t>Requerimientos de seguridad en las aplicaciones</t>
  </si>
  <si>
    <t>C075</t>
  </si>
  <si>
    <t>Arquitectura de sistemas seguros y principios de ingeniería</t>
  </si>
  <si>
    <t>C076</t>
  </si>
  <si>
    <t>Secure coding</t>
  </si>
  <si>
    <t>C077</t>
  </si>
  <si>
    <t>Pruebas de seguridad en desarrollo y aceptación</t>
  </si>
  <si>
    <t>C078</t>
  </si>
  <si>
    <t>Desarrollo externalizado</t>
  </si>
  <si>
    <t>C079</t>
  </si>
  <si>
    <t>Separación de desarrollo, test y producción</t>
  </si>
  <si>
    <t>C080</t>
  </si>
  <si>
    <t>Gestión del cambio</t>
  </si>
  <si>
    <t>C081</t>
  </si>
  <si>
    <t>Test information</t>
  </si>
  <si>
    <t>C082</t>
  </si>
  <si>
    <t>Protección de los sistemas de información durante las auditorías</t>
  </si>
  <si>
    <t>Probabilidad</t>
  </si>
  <si>
    <t>Impacto</t>
  </si>
  <si>
    <t>x</t>
  </si>
  <si>
    <t>a</t>
  </si>
  <si>
    <t>Asset ID</t>
  </si>
  <si>
    <t>Asset</t>
  </si>
  <si>
    <t>Asset type</t>
  </si>
  <si>
    <t>Threat</t>
  </si>
  <si>
    <t>Control / Average Maturity Level Assessment 2024</t>
  </si>
  <si>
    <t>Average Maturity Level Assessment 2024 Rounded</t>
  </si>
  <si>
    <t>Inherent Risk</t>
  </si>
  <si>
    <t>Residual Risk</t>
  </si>
  <si>
    <t>Threat ID</t>
  </si>
  <si>
    <t>PROB</t>
  </si>
  <si>
    <t>IMP</t>
  </si>
  <si>
    <t>RISK</t>
  </si>
  <si>
    <t>LEVEL</t>
  </si>
  <si>
    <t>% NO MITIGADO</t>
  </si>
  <si>
    <t>Inherent</t>
  </si>
  <si>
    <t>Número</t>
  </si>
  <si>
    <t>Porcentaje</t>
  </si>
  <si>
    <t>CRITICAL</t>
  </si>
  <si>
    <t>MAJOR</t>
  </si>
  <si>
    <t>LIMITED</t>
  </si>
  <si>
    <t>MINOR</t>
  </si>
  <si>
    <t xml:space="preserve">Aplicaciones de escritorio </t>
  </si>
  <si>
    <t>[Actividad malintencionada / abuso Destrucción de información</t>
  </si>
  <si>
    <t>Risk level</t>
  </si>
  <si>
    <t>Affected assets</t>
  </si>
  <si>
    <t>[Daños accidentales] Destrucción de información</t>
  </si>
  <si>
    <t>Total general</t>
  </si>
  <si>
    <t>PLAN DE ACCIÓN RESUMEN PARA RIESGOS CRITICAL / MAJOR</t>
  </si>
  <si>
    <t>Segregación de funciones</t>
  </si>
  <si>
    <t>Se deberán identificar los puestos y tareas que requieran una segregación de funciones basándose en los requerimientos de la actual ley de protección de datos y los estándares de referencia en materia de seguridad de la información</t>
  </si>
  <si>
    <t>Sedeberán incorporar las medidas adecuadas para llevar a cabo una correcta segregación de funciones como no otorgar a un mismo usuario permisos de ambos entornos</t>
  </si>
  <si>
    <t>Autenticación multifactor</t>
  </si>
  <si>
    <t xml:space="preserve">Se deberá implementar la autenticación multifactor (MFA) para todas las aplicaciones de tal forma que el conocimiento de la contraseña mediante engaño por parte de un atacante, no sea suficiente para el acceso a la información. </t>
  </si>
  <si>
    <t xml:space="preserve">Se deberá implementar la autenticación multifactor (MFA) para todas las aplicaciones de tal forma que el robo de la contraseña por fuerza bruta por parte de un atacante, no sea suficiente para el acceso a la información. </t>
  </si>
  <si>
    <t>En un escenario donde un atacante ha comprometido una cuenta en una red, la autenticación multifactor (MFA) puede evitar que el atacante use las mismas credenciales para moverse lateralmente a otros sistemas dentro de la red.</t>
  </si>
  <si>
    <t>Filtros de correo electrónico</t>
  </si>
  <si>
    <t>Se deberá utilizar filtros avanzados para detectar y bloquear correos electrónicos de phishing y spam.</t>
  </si>
  <si>
    <t>Cifrado de datos</t>
  </si>
  <si>
    <t>Deberían cifrarse los datos en resposo de tal manera que incluso si un atacante utiliza técnicas de ingeniería social para obtener acceso a sistemas o redes, se asegure que los datos robados no sean legibles sin las claves de descifrado adecuadas y reduzca el impacto de supuestas filtraciones.</t>
  </si>
  <si>
    <t>Las técnicas de cifrado deberán incluir funciones de hash y firmas digitales que aseguren la integridad de los datos, permitiendo detectar cualquier alteración no autorizada.</t>
  </si>
  <si>
    <t>Simulación de ataques</t>
  </si>
  <si>
    <t xml:space="preserve">Se deberán realizar simulaciones de ataques spear phishing de tal forma que los empleados puedan identificar y responder adecuadamente a estos intentos, y la organización pueda evaluar y mejorar sus defensas contra tales ataques. </t>
  </si>
  <si>
    <t>Se deberán realizar simulaciones de ataques vishing de tal forma que los empleados aprendan a reconocer llamadas telefónicas sospechosas y la organización pueda evaluar y mejorar sus protocolos de respuesta ante estos intentos de fraude.</t>
  </si>
  <si>
    <t>Se deberán realizar simulaciones de ataques smishing de tal forma que los empleados puedan identificar y responder adecuadamente a mensajes de texto fraudulentos.</t>
  </si>
  <si>
    <t>Se deberán de realizar copias de seguridad de forma recurrente de tal forma que en caso de alteración de información se puedan comprobar la veracidad de los datos.</t>
  </si>
  <si>
    <t>Se deberán de realizar copias de seguridad de forma recurrente de tal forma que en caso de destrucción de información se pueda recuperar la misma con el menor impacto posible.</t>
  </si>
  <si>
    <t>Se deberán enmascarar los datos en entornos no productivos para asegurar la anonimización  de los datos en caso de acceso no autorizado</t>
  </si>
  <si>
    <t>Auditorias a proveedores</t>
  </si>
  <si>
    <t>Se deberán realizar auditorías a proveedores de forma recurrente para identificar diferentes brechas de seguridad como la detección de intentos no autorizados</t>
  </si>
  <si>
    <t>Se deberá realizar auditorías a proveedores de forma reccurrente para evaluar la concienciación de los empleados de terceros sobre ingeniería social.</t>
  </si>
  <si>
    <t xml:space="preserve">Se deberán establecer una serie de requisitos de seguridad mínimos a la hora de realizar contratos con proveedores IT. </t>
  </si>
  <si>
    <t>Se deberá realizar auditorías a proveedores de forma reccurrente para evaluar los controles de integridad de datos implementados por estos. Esto incluye la revisión de registros de cambios, copias de seguridad y procedimientos de recuperación.</t>
  </si>
  <si>
    <t>Conexión segura</t>
  </si>
  <si>
    <t xml:space="preserve">Se deberá emplear conexión VPN para los usuarios. </t>
  </si>
  <si>
    <t>IMPACTO</t>
  </si>
  <si>
    <t>PROBABILIDAD</t>
  </si>
  <si>
    <t>Niveles de criticidad</t>
  </si>
  <si>
    <t>Nivel</t>
  </si>
  <si>
    <t>Definición</t>
  </si>
  <si>
    <t>Estratégico</t>
  </si>
  <si>
    <t>Operativo</t>
  </si>
  <si>
    <t>Legal y regulatorio</t>
  </si>
  <si>
    <t>Reputacional</t>
  </si>
  <si>
    <t>Pérdidas financieras (%)</t>
  </si>
  <si>
    <t>Sostenibilidad</t>
  </si>
  <si>
    <t>Frecuencia</t>
  </si>
  <si>
    <t>Posibilidad</t>
  </si>
  <si>
    <t>Recursos</t>
  </si>
  <si>
    <t>Accidentalidad</t>
  </si>
  <si>
    <t>Confidencialidad +
Integridad +
Disponibilidad</t>
  </si>
  <si>
    <t>Máximo</t>
  </si>
  <si>
    <t xml:space="preserve">No se alcanzarán los objetivos estratégicos clave a largo plazo (por ejemplo, eficiencia, digitalización, objetivos de ingresos) y se perjudica la posibilidad de alcanzarlos a largo plazo. </t>
  </si>
  <si>
    <t>Funcionamiento de la empresa gravemente perjudicado, flujo de procesos que deja de funcionar y afecta al país o a todo el mundo, incidente(s) importante(s) con clientes y/o sistemas que dan servicio a clientes y/o consumidores.</t>
  </si>
  <si>
    <t>Incumplimiento sistemático de las leyes/reglamentos externos o de las normas internas obligatorias.  
Las normas o rutinas internas son inexistentes, no están documentadas o no se ajustan a las leyes/normas externas vigentes.  
Pueden estar en juego licencias, sanciones considerables, indemnizaciones o multas.</t>
  </si>
  <si>
    <t>Atención negativa de los medios de comunicación/medios sociales a nivel nacional o internacional. Pérdida de confianza generalizada o total. Vergüenza pública. Implicación de la junta directiva. Reputación gravemente dañada.</t>
  </si>
  <si>
    <t>Pérdidas potenciales &gt; 15%</t>
  </si>
  <si>
    <t xml:space="preserve">Impacto sustancial en la sociedad con importantes consideraciones económicas, medioambientales y/o sociales a nivel mundial provocadas por Spika Tech o por el entorno externo, una grave exposición al cambio climático, graves declaraciones erróneas de datos relacionados con la sostenibilidad, repetidos incumplimientos graves o deterioro considerable de los objetivos de sostenibilidad de Spika Tech, víctimas mortales debido a incumplimientos o mala conducta, valor social negativo generado. </t>
  </si>
  <si>
    <t>Casi seguro</t>
  </si>
  <si>
    <t>Frecuencia estimada una vez al mes o más</t>
  </si>
  <si>
    <t>La percepción de la amenaza es: "Pasa muchas veces”</t>
  </si>
  <si>
    <t>Explotar la vulnerabilidad en los activos de soporte parece ser extremadamente fácil.</t>
  </si>
  <si>
    <t>Es muy probable que ocurra accidentalmente.</t>
  </si>
  <si>
    <r>
      <t xml:space="preserve">El activo presenta una </t>
    </r>
    <r>
      <rPr>
        <u/>
        <sz val="8"/>
        <color theme="1"/>
        <rFont val="Arial"/>
        <family val="2"/>
      </rPr>
      <t>Baja</t>
    </r>
    <r>
      <rPr>
        <sz val="8"/>
        <color theme="1"/>
        <rFont val="Arial"/>
        <family val="2"/>
      </rPr>
      <t xml:space="preserve"> criticidad en base a las dimensiones de confidencialidad, integridad y disponibilidad</t>
    </r>
  </si>
  <si>
    <t>Significativo</t>
  </si>
  <si>
    <t>Los objetivos estratégicos clave a largo plazo (por ejemplo, eficiencia, digitalización, objetivos de ingresos) solo se alcanzarán parcialmente y afectarán a la consecución de los objetivos financieros a corto plazo. A largo plazo, ni los objetivos estratégicos ni los financieros se verán afectados.</t>
  </si>
  <si>
    <t xml:space="preserve">Incidente(s) grave(s) con clientes, gran número de clientes afectados. Funcionamiento/sistemas de la empresa interrumpidos pero capaces de seguir prestando servicios clave, acceso restringido a sistemas clave por parte de una unidad/función. </t>
  </si>
  <si>
    <t>Varias infracciones de leyes/reglamentos externos o de 
 normas y rutinas internas. 
Normas o rutinas internas parcialmente existentes o anticuadas, que no cubren totalmente las leyes/reglamentos externos vigentes.  
Sanciones, advertencias u observaciones.</t>
  </si>
  <si>
    <t>Atención negativa de los medios de comunicación/medios sociales o a nivel local/global, respuesta de la alta dirección local o global.</t>
  </si>
  <si>
    <t>Pérdidas potenciales 9% - 15%</t>
  </si>
  <si>
    <t>Impacto social considerable con consideraciones económicas, medioambientales y/o sociales a nivel global o de mercado provocado por Spika Tech o por el entorno externo, exposición considerable al cambio climático, comunicación sustancialmente errónea de datos relacionados con la sostenibilidad, incumplimiento significativo de los objetivos de Spika Tech relacionados con la sostenibilidad, peligro para la salud de empleados o clientes debido a incumplimientos o mala conducta, no se genera valor social.</t>
  </si>
  <si>
    <t>Posible</t>
  </si>
  <si>
    <t>Frecuencia estimada una vez al año o más</t>
  </si>
  <si>
    <t>La percepción de la amenaza es: "Ha pasado varias veces"</t>
  </si>
  <si>
    <t>Explotar la vulnerabilidad en los activos de soporte parece fácil.</t>
  </si>
  <si>
    <t>Es probable que ocurra accidentalmente.</t>
  </si>
  <si>
    <r>
      <t xml:space="preserve">El activo presenta una criticidad </t>
    </r>
    <r>
      <rPr>
        <u/>
        <sz val="8"/>
        <color theme="1"/>
        <rFont val="Arial"/>
        <family val="2"/>
      </rPr>
      <t>Media</t>
    </r>
    <r>
      <rPr>
        <sz val="8"/>
        <color theme="1"/>
        <rFont val="Arial"/>
        <family val="2"/>
      </rPr>
      <t xml:space="preserve"> en base a las dimensiones de confidencialidad, integridad y disponibilidad</t>
    </r>
  </si>
  <si>
    <t>Limitado</t>
  </si>
  <si>
    <t>Los objetivos estratégicos a corto plazo no se alcanzarán plenamente. Estos objetivos no repercuten directamente en los objetivos financieros.</t>
  </si>
  <si>
    <t>Sucesión de incidentes menores en operaciones/sistemas internos/externos que se ven perjudicados pero siguen funcionando, acceso restringido a sistemas de un Global limitado de personas.</t>
  </si>
  <si>
    <t xml:space="preserve">Varias infracciones leves de leyes/reglamentos externos o de 
 normas y rutinas internas.  
Existen rutinas/instrucciones pertinentes, pero no se aplican plenamente.  
Solicitud directa de información o investigación de mercado por parte de las autoridades. </t>
  </si>
  <si>
    <t>Quejas menores o críticas en los medios de comunicación locales/sociales sin implicación de la alta dirección local.</t>
  </si>
  <si>
    <t>Pérdidas potenciales 2,5% - 9%</t>
  </si>
  <si>
    <t>Impacto social moderado con consideraciones económicas, medioambientales y sociales limitadas a nivel de mercado provocadas por Spika Tech o por el entorno externo, exposición limitada al cambio climático, pequeños errores en la comunicación de datos relacionados con la sostenibilidad, incumplimiento de los objetivos de sostenibilidad de Spika Tech, afectación a la salud de un pequeño número de clientes o empleados debido a incumplimientos o mala conducta, generación insuficiente de valor social.</t>
  </si>
  <si>
    <t>Improbable</t>
  </si>
  <si>
    <t>Frecuencia estimada al menos una vez cada tres años</t>
  </si>
  <si>
    <t>La percepción de la amenaza es: "Creo que eso pasó en el pasado / puede pasar"</t>
  </si>
  <si>
    <t>Explotar la vulnerabilidad en los activos de soporte parece posible.</t>
  </si>
  <si>
    <t>Es posible que ocurra accidentalmente.</t>
  </si>
  <si>
    <r>
      <t xml:space="preserve">El activo presenta una </t>
    </r>
    <r>
      <rPr>
        <u/>
        <sz val="8"/>
        <color theme="1"/>
        <rFont val="Arial"/>
        <family val="2"/>
      </rPr>
      <t>Alta</t>
    </r>
    <r>
      <rPr>
        <sz val="8"/>
        <color theme="1"/>
        <rFont val="Arial"/>
        <family val="2"/>
      </rPr>
      <t xml:space="preserve"> criticidad en base a las dimensiones de confidencialidad, integridad y disponibilidad</t>
    </r>
  </si>
  <si>
    <t>Mínimo</t>
  </si>
  <si>
    <t xml:space="preserve">La consecución de los objetivos estratégicos a corto plazo se ve parcialmente afectada. Estos objetivos no repercuten directamente en los objetivos financieros. </t>
  </si>
  <si>
    <t>Pequeña interrupción/incidente en los servicios y sistemas operativos internos.</t>
  </si>
  <si>
    <t xml:space="preserve">Pequeñas infracciones esporádicas de leyes/reglamentos externos o de 
 normas y rutinas internas.  
Existen normas y rutinas internas pertinentes, pero no se aplican plenamente. </t>
  </si>
  <si>
    <t xml:space="preserve">Un único asunto relacionado con el cliente que no atraiga la atención de los medios de comunicación locales. </t>
  </si>
  <si>
    <t>Pérdidas potenciales &lt; 2,5%</t>
  </si>
  <si>
    <t>Un impacto social modesto con algunas consideraciones económicas, medioambientales y/o sociales a nivel de mercado desencadenadas por Spika Tech o por el entorno externo, una exposición insignificante al cambio climático, errores menores en la notificación de datos relacionados con la sostenibilidad, incumplimientos menores de los objetivos de sostenibilidad, problemas puntuales con la salud de empleados o clientes, generación limitada de valor social.</t>
  </si>
  <si>
    <t>Muy improbable</t>
  </si>
  <si>
    <t>Frecuencia estimada alrededor de una vez cada seis años</t>
  </si>
  <si>
    <t>La percepción de la amenaza es: "No creo que eso haya pasado en el pasado / es poco probable"</t>
  </si>
  <si>
    <t>Explotar la vulnerabilidad de los activos de apoyo parece difícil.</t>
  </si>
  <si>
    <t>Es improbable que ocurra accidentalmente.</t>
  </si>
  <si>
    <t>Criticality levels</t>
  </si>
  <si>
    <t>Maturity level of controls</t>
  </si>
  <si>
    <t>Probability</t>
  </si>
  <si>
    <t>Impact</t>
  </si>
  <si>
    <t>Low</t>
  </si>
  <si>
    <t>Medium</t>
  </si>
  <si>
    <t>High</t>
  </si>
  <si>
    <t>A</t>
  </si>
  <si>
    <t>Maximum</t>
  </si>
  <si>
    <t>Probability levels</t>
  </si>
  <si>
    <t>B</t>
  </si>
  <si>
    <t>Impact levels</t>
  </si>
  <si>
    <t>MB</t>
  </si>
  <si>
    <t>Maximum risk</t>
  </si>
  <si>
    <t>Risk levels</t>
  </si>
  <si>
    <t>Minor &lt;</t>
  </si>
  <si>
    <t>Limited &lt;</t>
  </si>
  <si>
    <t>Major &lt;</t>
  </si>
  <si>
    <t>Critical &lt;</t>
  </si>
  <si>
    <t>Manual</t>
  </si>
  <si>
    <t>Automatic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</si>
</sst>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C0A]General"/>
    <numFmt numFmtId="166" formatCode="#,##0.00&quot; &quot;[$€-C0A];[Red]&quot;-&quot;#,##0.00&quot; &quot;[$€-C0A]"/>
    <numFmt numFmtId="167" formatCode="0.000"/>
  </numFmts>
  <fonts count="40">
    <font>
      <sz val="11"/>
      <color theme="1"/>
      <name val="Calibri"/>
      <family val="2"/>
      <scheme val="minor"/>
    </font>
    <font>
      <sz val="11"/>
      <color theme="1"/>
      <name val="Calibri"/>
      <family val="2"/>
      <scheme val="minor"/>
    </font>
    <font>
      <sz val="11"/>
      <color theme="0"/>
      <name val="Calibri"/>
      <family val="2"/>
      <scheme val="minor"/>
    </font>
    <font>
      <sz val="10"/>
      <color indexed="8"/>
      <name val="Arial"/>
      <family val="2"/>
      <charset val="1"/>
    </font>
    <font>
      <sz val="12"/>
      <color theme="1"/>
      <name val="Calibri"/>
      <family val="2"/>
      <scheme val="minor"/>
    </font>
    <font>
      <sz val="8"/>
      <color theme="1"/>
      <name val="Arial"/>
      <family val="2"/>
    </font>
    <font>
      <sz val="10"/>
      <color theme="1"/>
      <name val="Calibri"/>
      <family val="2"/>
      <scheme val="minor"/>
    </font>
    <font>
      <sz val="8"/>
      <color theme="1"/>
      <name val="Calibri"/>
      <family val="2"/>
      <scheme val="minor"/>
    </font>
    <font>
      <sz val="10"/>
      <color theme="0" tint="-0.249977111117893"/>
      <name val="Calibri"/>
      <family val="2"/>
      <scheme val="minor"/>
    </font>
    <font>
      <sz val="8"/>
      <color theme="0" tint="-0.249977111117893"/>
      <name val="Calibri"/>
      <family val="2"/>
      <scheme val="minor"/>
    </font>
    <font>
      <sz val="10"/>
      <name val="Arial"/>
      <family val="2"/>
      <charset val="1"/>
    </font>
    <font>
      <sz val="8"/>
      <color indexed="8"/>
      <name val="Arial"/>
      <family val="2"/>
      <charset val="1"/>
    </font>
    <font>
      <b/>
      <sz val="8"/>
      <color theme="0"/>
      <name val="Calibri"/>
      <family val="2"/>
      <scheme val="minor"/>
    </font>
    <font>
      <sz val="8"/>
      <name val="Calibri"/>
      <family val="2"/>
      <scheme val="minor"/>
    </font>
    <font>
      <sz val="8"/>
      <color theme="0"/>
      <name val="Calibri"/>
      <family val="2"/>
      <scheme val="minor"/>
    </font>
    <font>
      <sz val="10"/>
      <color theme="1"/>
      <name val="Segoe UI"/>
      <family val="2"/>
    </font>
    <font>
      <sz val="8"/>
      <color theme="0" tint="-0.34998626667073579"/>
      <name val="Calibri"/>
      <family val="2"/>
      <scheme val="minor"/>
    </font>
    <font>
      <sz val="10"/>
      <color theme="1"/>
      <name val="Arial"/>
      <family val="2"/>
    </font>
    <font>
      <b/>
      <sz val="10"/>
      <color rgb="FFFFFFFF"/>
      <name val="Calibri"/>
      <family val="2"/>
    </font>
    <font>
      <sz val="10"/>
      <color rgb="FFFFFFFF"/>
      <name val="Calibri"/>
      <family val="2"/>
    </font>
    <font>
      <b/>
      <sz val="8"/>
      <color theme="1"/>
      <name val="Arial"/>
      <family val="2"/>
    </font>
    <font>
      <sz val="8"/>
      <color rgb="FF000000"/>
      <name val="Arial"/>
      <family val="2"/>
    </font>
    <font>
      <sz val="11"/>
      <color theme="1"/>
      <name val="Arial"/>
      <family val="2"/>
    </font>
    <font>
      <sz val="11"/>
      <color rgb="FFFFFFFF"/>
      <name val="Arial"/>
      <family val="2"/>
    </font>
    <font>
      <sz val="11"/>
      <color rgb="FF000000"/>
      <name val="Calibri"/>
      <family val="2"/>
    </font>
    <font>
      <b/>
      <i/>
      <sz val="16"/>
      <color theme="1"/>
      <name val="Arial"/>
      <family val="2"/>
    </font>
    <font>
      <b/>
      <i/>
      <u/>
      <sz val="11"/>
      <color theme="1"/>
      <name val="Arial"/>
      <family val="2"/>
    </font>
    <font>
      <b/>
      <i/>
      <sz val="9"/>
      <name val="Calibri"/>
      <family val="2"/>
      <scheme val="minor"/>
    </font>
    <font>
      <b/>
      <sz val="8"/>
      <name val="Calibri"/>
      <family val="2"/>
    </font>
    <font>
      <sz val="8"/>
      <color rgb="FF000000"/>
      <name val="Calibri"/>
      <family val="2"/>
    </font>
    <font>
      <sz val="8"/>
      <name val="Calibri"/>
      <family val="2"/>
    </font>
    <font>
      <u/>
      <sz val="8"/>
      <color theme="1"/>
      <name val="Arial"/>
      <family val="2"/>
    </font>
    <font>
      <sz val="11"/>
      <color rgb="FF000000"/>
      <name val="Times New Roman"/>
      <family val="1"/>
    </font>
    <font>
      <sz val="8"/>
      <color theme="0" tint="-0.34998626667073579"/>
      <name val="Calibri"/>
      <family val="2"/>
    </font>
    <font>
      <sz val="10"/>
      <name val="Calibri"/>
      <family val="2"/>
      <scheme val="minor"/>
    </font>
    <font>
      <sz val="8"/>
      <color theme="1" tint="0.499984740745262"/>
      <name val="Calibri"/>
      <family val="2"/>
      <scheme val="minor"/>
    </font>
    <font>
      <b/>
      <sz val="11"/>
      <color theme="1"/>
      <name val="Calibri"/>
      <family val="2"/>
      <scheme val="minor"/>
    </font>
    <font>
      <b/>
      <sz val="18"/>
      <color theme="1"/>
      <name val="Calibri"/>
      <family val="2"/>
      <scheme val="minor"/>
    </font>
    <font>
      <b/>
      <sz val="12"/>
      <color theme="0"/>
      <name val="Calibri"/>
      <family val="2"/>
      <scheme val="minor"/>
    </font>
    <font>
      <sz val="8"/>
      <color theme="1"/>
      <name val="Arial"/>
      <family val="2"/>
      <charset val="1"/>
    </font>
  </fonts>
  <fills count="34">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FF"/>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3" tint="0.39997558519241921"/>
        <bgColor indexed="64"/>
      </patternFill>
    </fill>
    <fill>
      <patternFill patternType="solid">
        <fgColor rgb="FF60497A"/>
        <bgColor indexed="64"/>
      </patternFill>
    </fill>
    <fill>
      <patternFill patternType="solid">
        <fgColor rgb="FFF8696B"/>
        <bgColor indexed="64"/>
      </patternFill>
    </fill>
    <fill>
      <patternFill patternType="solid">
        <fgColor rgb="FFFCAA78"/>
        <bgColor indexed="64"/>
      </patternFill>
    </fill>
    <fill>
      <patternFill patternType="solid">
        <fgColor rgb="FFFFEB84"/>
        <bgColor indexed="64"/>
      </patternFill>
    </fill>
    <fill>
      <patternFill patternType="solid">
        <fgColor rgb="FFB1D47F"/>
        <bgColor indexed="64"/>
      </patternFill>
    </fill>
    <fill>
      <patternFill patternType="solid">
        <fgColor rgb="FFE26B0A"/>
        <bgColor indexed="64"/>
      </patternFill>
    </fill>
    <fill>
      <patternFill patternType="solid">
        <fgColor rgb="FF00B050"/>
        <bgColor indexed="64"/>
      </patternFill>
    </fill>
    <fill>
      <patternFill patternType="solid">
        <fgColor rgb="FFFF0000"/>
        <bgColor rgb="FFFF0000"/>
      </patternFill>
    </fill>
    <fill>
      <patternFill patternType="solid">
        <fgColor theme="3" tint="0.59999389629810485"/>
        <bgColor indexed="64"/>
      </patternFill>
    </fill>
    <fill>
      <patternFill patternType="solid">
        <fgColor theme="3" tint="-0.249977111117893"/>
        <bgColor indexed="64"/>
      </patternFill>
    </fill>
    <fill>
      <patternFill patternType="solid">
        <fgColor rgb="FFFFFFFF"/>
        <bgColor rgb="FF000000"/>
      </patternFill>
    </fill>
    <fill>
      <patternFill patternType="solid">
        <fgColor rgb="FFFF9999"/>
        <bgColor rgb="FF000000"/>
      </patternFill>
    </fill>
    <fill>
      <patternFill patternType="solid">
        <fgColor rgb="FFFFFF99"/>
        <bgColor rgb="FF000000"/>
      </patternFill>
    </fill>
    <fill>
      <patternFill patternType="solid">
        <fgColor rgb="FFC4D79B"/>
        <bgColor rgb="FF000000"/>
      </patternFill>
    </fill>
    <fill>
      <patternFill patternType="solid">
        <fgColor theme="7" tint="0.79998168889431442"/>
        <bgColor indexed="64"/>
      </patternFill>
    </fill>
    <fill>
      <patternFill patternType="solid">
        <fgColor theme="3" tint="0.59999389629810485"/>
        <bgColor rgb="FF000000"/>
      </patternFill>
    </fill>
    <fill>
      <patternFill patternType="solid">
        <fgColor rgb="FFE4EDF8"/>
        <bgColor rgb="FF000000"/>
      </patternFill>
    </fill>
    <fill>
      <patternFill patternType="solid">
        <fgColor rgb="FFE4EDF8"/>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FF66"/>
        <bgColor indexed="64"/>
      </patternFill>
    </fill>
    <fill>
      <patternFill patternType="solid">
        <fgColor rgb="FFF0FFD1"/>
        <bgColor indexed="64"/>
      </patternFill>
    </fill>
    <fill>
      <patternFill patternType="solid">
        <fgColor theme="0" tint="-0.14999847407452621"/>
        <bgColor indexed="64"/>
      </patternFill>
    </fill>
    <fill>
      <patternFill patternType="solid">
        <fgColor rgb="FF5B7D7F"/>
        <bgColor indexed="64"/>
      </patternFill>
    </fill>
    <fill>
      <patternFill patternType="solid">
        <fgColor rgb="FFFF0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499984740745262"/>
      </left>
      <right style="thin">
        <color theme="1" tint="0.499984740745262"/>
      </right>
      <top style="thin">
        <color theme="1" tint="0.499984740745262"/>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style="thin">
        <color theme="1" tint="0.499984740745262"/>
      </top>
      <bottom style="thin">
        <color theme="1" tint="0.49998474074526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rgb="FFA6A6A6"/>
      </left>
      <right style="thin">
        <color rgb="FF808080"/>
      </right>
      <top style="thin">
        <color rgb="FF808080"/>
      </top>
      <bottom style="thin">
        <color theme="1" tint="0.499984740745262"/>
      </bottom>
      <diagonal/>
    </border>
    <border>
      <left style="thin">
        <color rgb="FFA6A6A6"/>
      </left>
      <right style="thin">
        <color rgb="FFA6A6A6"/>
      </right>
      <top style="thin">
        <color rgb="FFA6A6A6"/>
      </top>
      <bottom style="thin">
        <color rgb="FFA6A6A6"/>
      </bottom>
      <diagonal/>
    </border>
    <border>
      <left style="thin">
        <color rgb="FFA6A6A6"/>
      </left>
      <right/>
      <top/>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indexed="64"/>
      </left>
      <right/>
      <top/>
      <bottom style="thin">
        <color indexed="64"/>
      </bottom>
      <diagonal/>
    </border>
    <border>
      <left/>
      <right/>
      <top/>
      <bottom style="thin">
        <color indexed="64"/>
      </bottom>
      <diagonal/>
    </border>
    <border>
      <left style="medium">
        <color indexed="64"/>
      </left>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2" tint="-9.9978637043366805E-2"/>
      </left>
      <right style="thin">
        <color theme="2" tint="-9.9978637043366805E-2"/>
      </right>
      <top/>
      <bottom style="thin">
        <color theme="2" tint="-9.9978637043366805E-2"/>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theme="2" tint="-9.9978637043366805E-2"/>
      </left>
      <right style="thin">
        <color theme="2" tint="-9.9978637043366805E-2"/>
      </right>
      <top style="thin">
        <color theme="2" tint="-9.9978637043366805E-2"/>
      </top>
      <bottom/>
      <diagonal/>
    </border>
    <border>
      <left style="thin">
        <color rgb="FF000000"/>
      </left>
      <right/>
      <top style="thin">
        <color rgb="FF000000"/>
      </top>
      <bottom style="thin">
        <color rgb="FF000000"/>
      </bottom>
      <diagonal/>
    </border>
  </borders>
  <cellStyleXfs count="13">
    <xf numFmtId="0" fontId="0" fillId="0" borderId="0"/>
    <xf numFmtId="0" fontId="1" fillId="0" borderId="0"/>
    <xf numFmtId="0" fontId="3" fillId="0" borderId="0"/>
    <xf numFmtId="0" fontId="10" fillId="0" borderId="0"/>
    <xf numFmtId="9" fontId="1" fillId="0" borderId="0" applyFont="0" applyFill="0" applyBorder="0" applyAlignment="0" applyProtection="0"/>
    <xf numFmtId="0" fontId="22" fillId="0" borderId="0"/>
    <xf numFmtId="0" fontId="23" fillId="16" borderId="0"/>
    <xf numFmtId="165" fontId="24" fillId="0" borderId="0"/>
    <xf numFmtId="0" fontId="25" fillId="0" borderId="0">
      <alignment horizontal="center"/>
    </xf>
    <xf numFmtId="0" fontId="25" fillId="0" borderId="0">
      <alignment horizontal="center" textRotation="90"/>
    </xf>
    <xf numFmtId="0" fontId="26" fillId="0" borderId="0"/>
    <xf numFmtId="166" fontId="26" fillId="0" borderId="0"/>
    <xf numFmtId="43" fontId="1" fillId="0" borderId="0" applyFont="0" applyFill="0" applyBorder="0" applyAlignment="0" applyProtection="0"/>
  </cellStyleXfs>
  <cellXfs count="194">
    <xf numFmtId="0" fontId="0" fillId="0" borderId="0" xfId="0"/>
    <xf numFmtId="0" fontId="0" fillId="2" borderId="0" xfId="0" applyFill="1"/>
    <xf numFmtId="0" fontId="0" fillId="2" borderId="0" xfId="0" applyFill="1" applyAlignment="1">
      <alignment vertical="center"/>
    </xf>
    <xf numFmtId="0" fontId="2" fillId="2" borderId="0" xfId="0" applyFont="1" applyFill="1" applyAlignment="1">
      <alignment horizontal="center" textRotation="90"/>
    </xf>
    <xf numFmtId="0" fontId="7" fillId="2" borderId="0" xfId="0" applyFont="1" applyFill="1" applyAlignment="1">
      <alignment vertical="center"/>
    </xf>
    <xf numFmtId="0" fontId="7" fillId="2" borderId="0" xfId="0" applyFont="1" applyFill="1" applyAlignment="1">
      <alignment horizontal="left" vertical="center"/>
    </xf>
    <xf numFmtId="0" fontId="11" fillId="3" borderId="5" xfId="3" applyFont="1" applyFill="1" applyBorder="1" applyAlignment="1">
      <alignment horizontal="left" vertical="center" wrapText="1"/>
    </xf>
    <xf numFmtId="0" fontId="8" fillId="2" borderId="0" xfId="0" applyFont="1" applyFill="1" applyAlignment="1">
      <alignment horizontal="center"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0" fontId="0" fillId="2" borderId="0" xfId="0" applyFill="1" applyAlignment="1">
      <alignment horizontal="center" vertical="center"/>
    </xf>
    <xf numFmtId="0" fontId="7" fillId="2" borderId="0" xfId="0" applyFont="1" applyFill="1" applyAlignment="1">
      <alignment horizontal="center" vertical="center"/>
    </xf>
    <xf numFmtId="0" fontId="11" fillId="3" borderId="6" xfId="3" applyFont="1" applyFill="1" applyBorder="1" applyAlignment="1">
      <alignment horizontal="left" vertical="center" wrapText="1"/>
    </xf>
    <xf numFmtId="0" fontId="6" fillId="2" borderId="7" xfId="0" applyFont="1" applyFill="1" applyBorder="1" applyAlignment="1">
      <alignment horizontal="center" textRotation="90"/>
    </xf>
    <xf numFmtId="0" fontId="17" fillId="0" borderId="0" xfId="0" applyFont="1" applyAlignment="1">
      <alignment horizontal="justify" vertical="center" wrapText="1"/>
    </xf>
    <xf numFmtId="0" fontId="0" fillId="2" borderId="0" xfId="0" applyFill="1" applyAlignment="1">
      <alignment horizontal="center"/>
    </xf>
    <xf numFmtId="0" fontId="7" fillId="0" borderId="7" xfId="0" applyFont="1" applyBorder="1" applyAlignment="1">
      <alignment horizontal="center" textRotation="90"/>
    </xf>
    <xf numFmtId="0" fontId="16" fillId="2" borderId="0" xfId="0" applyFont="1" applyFill="1" applyAlignment="1">
      <alignment horizontal="center" vertical="center"/>
    </xf>
    <xf numFmtId="0" fontId="4" fillId="2" borderId="0" xfId="0" applyFont="1" applyFill="1" applyAlignment="1">
      <alignment vertical="center"/>
    </xf>
    <xf numFmtId="0" fontId="6" fillId="2" borderId="0" xfId="0" applyFont="1" applyFill="1" applyAlignment="1">
      <alignment vertical="center"/>
    </xf>
    <xf numFmtId="0" fontId="11" fillId="2" borderId="5" xfId="3" applyFont="1" applyFill="1" applyBorder="1" applyAlignment="1">
      <alignment horizontal="left" vertical="center" wrapText="1"/>
    </xf>
    <xf numFmtId="49" fontId="11" fillId="2" borderId="0" xfId="0" applyNumberFormat="1" applyFont="1" applyFill="1" applyAlignment="1">
      <alignment horizontal="left" vertical="center" wrapText="1"/>
    </xf>
    <xf numFmtId="0" fontId="19" fillId="14" borderId="1" xfId="0" applyFont="1" applyFill="1" applyBorder="1" applyAlignment="1">
      <alignment horizontal="center" vertical="center"/>
    </xf>
    <xf numFmtId="0" fontId="19" fillId="14" borderId="1" xfId="0" applyFont="1" applyFill="1" applyBorder="1" applyAlignment="1">
      <alignment horizontal="center" vertical="center" wrapText="1"/>
    </xf>
    <xf numFmtId="0" fontId="19" fillId="9" borderId="1" xfId="0" applyFont="1" applyFill="1" applyBorder="1" applyAlignment="1">
      <alignment horizontal="center" vertical="center"/>
    </xf>
    <xf numFmtId="0" fontId="20" fillId="10" borderId="1" xfId="0" applyFont="1" applyFill="1" applyBorder="1" applyAlignment="1">
      <alignment horizontal="center" vertical="center"/>
    </xf>
    <xf numFmtId="0" fontId="5" fillId="0" borderId="1" xfId="0" applyFont="1" applyBorder="1" applyAlignment="1">
      <alignment horizontal="center" vertical="center" wrapText="1"/>
    </xf>
    <xf numFmtId="0" fontId="21" fillId="4" borderId="1" xfId="0" applyFont="1" applyFill="1" applyBorder="1" applyAlignment="1">
      <alignment horizontal="center" vertical="center" wrapText="1"/>
    </xf>
    <xf numFmtId="0" fontId="20" fillId="11" borderId="1" xfId="0" applyFont="1" applyFill="1" applyBorder="1" applyAlignment="1">
      <alignment horizontal="center" vertical="center"/>
    </xf>
    <xf numFmtId="0" fontId="20" fillId="12" borderId="1" xfId="0" applyFont="1" applyFill="1" applyBorder="1" applyAlignment="1">
      <alignment horizontal="center" vertical="center"/>
    </xf>
    <xf numFmtId="0" fontId="20" fillId="13" borderId="1" xfId="0" applyFont="1" applyFill="1" applyBorder="1" applyAlignment="1">
      <alignment horizontal="center" vertical="center"/>
    </xf>
    <xf numFmtId="0" fontId="7" fillId="2" borderId="0" xfId="0" applyFont="1" applyFill="1"/>
    <xf numFmtId="0" fontId="0" fillId="2" borderId="0" xfId="0" applyFill="1" applyAlignment="1">
      <alignment horizontal="left" vertical="center" wrapText="1"/>
    </xf>
    <xf numFmtId="0" fontId="27" fillId="2" borderId="0" xfId="0" applyFont="1" applyFill="1" applyAlignment="1">
      <alignment horizontal="right" vertical="center"/>
    </xf>
    <xf numFmtId="0" fontId="27" fillId="2" borderId="0" xfId="0" applyFont="1" applyFill="1" applyAlignment="1">
      <alignment horizontal="right" vertical="center" wrapText="1"/>
    </xf>
    <xf numFmtId="0" fontId="9" fillId="0" borderId="7" xfId="0" applyFont="1" applyBorder="1" applyAlignment="1">
      <alignment horizontal="center" vertical="center" textRotation="90"/>
    </xf>
    <xf numFmtId="0" fontId="0" fillId="6" borderId="9" xfId="0" applyFill="1" applyBorder="1" applyAlignment="1">
      <alignment horizontal="center"/>
    </xf>
    <xf numFmtId="0" fontId="11" fillId="2" borderId="6" xfId="3" applyFont="1" applyFill="1" applyBorder="1" applyAlignment="1">
      <alignment horizontal="left" vertical="center" wrapText="1"/>
    </xf>
    <xf numFmtId="0" fontId="4" fillId="2" borderId="13" xfId="0" applyFont="1" applyFill="1" applyBorder="1" applyAlignment="1">
      <alignment horizontal="center" vertical="center"/>
    </xf>
    <xf numFmtId="0" fontId="6" fillId="0" borderId="13" xfId="0" applyFont="1" applyBorder="1" applyAlignment="1">
      <alignment horizontal="center" vertical="center"/>
    </xf>
    <xf numFmtId="0" fontId="14" fillId="15" borderId="12" xfId="0" applyFont="1" applyFill="1" applyBorder="1" applyAlignment="1">
      <alignment horizontal="center" vertical="center" textRotation="90" wrapText="1"/>
    </xf>
    <xf numFmtId="0" fontId="7" fillId="2" borderId="13" xfId="0" applyFont="1" applyFill="1" applyBorder="1" applyAlignment="1">
      <alignment horizontal="left" vertical="center"/>
    </xf>
    <xf numFmtId="0" fontId="4" fillId="2" borderId="13" xfId="0" applyFont="1" applyFill="1" applyBorder="1" applyAlignment="1" applyProtection="1">
      <alignment horizontal="center" vertical="center"/>
      <protection locked="0"/>
    </xf>
    <xf numFmtId="0" fontId="0" fillId="2" borderId="0" xfId="0" applyFill="1" applyAlignment="1">
      <alignment horizontal="right" vertical="center"/>
    </xf>
    <xf numFmtId="0" fontId="15" fillId="2" borderId="7" xfId="0" applyFont="1" applyFill="1" applyBorder="1" applyAlignment="1">
      <alignment vertical="center" wrapText="1"/>
    </xf>
    <xf numFmtId="0" fontId="15" fillId="2" borderId="0" xfId="0" applyFont="1" applyFill="1" applyAlignment="1">
      <alignment vertical="center" wrapText="1"/>
    </xf>
    <xf numFmtId="0" fontId="0" fillId="2" borderId="0" xfId="0" applyFill="1" applyAlignment="1">
      <alignment horizontal="left" vertical="center"/>
    </xf>
    <xf numFmtId="0" fontId="15" fillId="2" borderId="7" xfId="0" applyFont="1" applyFill="1" applyBorder="1" applyAlignment="1">
      <alignment vertical="center"/>
    </xf>
    <xf numFmtId="0" fontId="15" fillId="2" borderId="0" xfId="0" applyFont="1" applyFill="1" applyAlignment="1">
      <alignment vertical="center"/>
    </xf>
    <xf numFmtId="0" fontId="0" fillId="2" borderId="0" xfId="0" applyFill="1" applyAlignment="1">
      <alignment horizontal="right" vertical="top"/>
    </xf>
    <xf numFmtId="0" fontId="15" fillId="2" borderId="7" xfId="0" applyFont="1" applyFill="1" applyBorder="1" applyAlignment="1">
      <alignment horizontal="center" vertical="center" wrapText="1"/>
    </xf>
    <xf numFmtId="0" fontId="15" fillId="2" borderId="7" xfId="0" applyFont="1" applyFill="1" applyBorder="1" applyAlignment="1" applyProtection="1">
      <alignment horizontal="center" vertical="center" wrapText="1"/>
      <protection locked="0"/>
    </xf>
    <xf numFmtId="0" fontId="0" fillId="2" borderId="8" xfId="0" applyFill="1" applyBorder="1" applyAlignment="1">
      <alignment vertical="center"/>
    </xf>
    <xf numFmtId="0" fontId="15" fillId="2" borderId="14" xfId="0" applyFont="1" applyFill="1" applyBorder="1" applyAlignment="1">
      <alignment vertical="center" wrapText="1"/>
    </xf>
    <xf numFmtId="2" fontId="15" fillId="2" borderId="8" xfId="0" applyNumberFormat="1" applyFont="1" applyFill="1" applyBorder="1" applyAlignment="1">
      <alignment vertical="center"/>
    </xf>
    <xf numFmtId="167" fontId="7" fillId="2" borderId="0" xfId="0" applyNumberFormat="1" applyFont="1" applyFill="1" applyAlignment="1">
      <alignment horizontal="center" vertical="center"/>
    </xf>
    <xf numFmtId="0" fontId="19" fillId="8" borderId="1" xfId="0" applyFont="1" applyFill="1" applyBorder="1" applyAlignment="1">
      <alignment horizontal="center" vertical="center"/>
    </xf>
    <xf numFmtId="0" fontId="19" fillId="8" borderId="1" xfId="0" applyFont="1" applyFill="1" applyBorder="1" applyAlignment="1">
      <alignment horizontal="center" vertical="center" wrapText="1"/>
    </xf>
    <xf numFmtId="0" fontId="29" fillId="19" borderId="0" xfId="0" applyFont="1" applyFill="1"/>
    <xf numFmtId="0" fontId="24" fillId="19" borderId="0" xfId="0" applyFont="1" applyFill="1" applyAlignment="1">
      <alignment wrapText="1"/>
    </xf>
    <xf numFmtId="0" fontId="2" fillId="2" borderId="0" xfId="0" applyFont="1" applyFill="1" applyAlignment="1">
      <alignment horizontal="center" vertical="center"/>
    </xf>
    <xf numFmtId="164" fontId="11" fillId="2" borderId="6" xfId="3" applyNumberFormat="1" applyFont="1" applyFill="1" applyBorder="1" applyAlignment="1">
      <alignment horizontal="center" vertical="center" wrapText="1"/>
    </xf>
    <xf numFmtId="0" fontId="32" fillId="0" borderId="0" xfId="0" applyFont="1"/>
    <xf numFmtId="0" fontId="7" fillId="2" borderId="0" xfId="0" applyFont="1" applyFill="1" applyAlignment="1">
      <alignment vertical="center" wrapText="1"/>
    </xf>
    <xf numFmtId="0" fontId="28" fillId="24" borderId="16" xfId="0" applyFont="1" applyFill="1" applyBorder="1" applyAlignment="1">
      <alignment horizontal="center" vertical="center"/>
    </xf>
    <xf numFmtId="0" fontId="28" fillId="25" borderId="16" xfId="0" applyFont="1" applyFill="1" applyBorder="1" applyAlignment="1">
      <alignment horizontal="center" vertical="center"/>
    </xf>
    <xf numFmtId="0" fontId="28" fillId="24" borderId="17" xfId="0" applyFont="1" applyFill="1" applyBorder="1" applyAlignment="1">
      <alignment horizontal="left" vertical="center"/>
    </xf>
    <xf numFmtId="0" fontId="33" fillId="19" borderId="17" xfId="0" applyFont="1" applyFill="1" applyBorder="1"/>
    <xf numFmtId="0" fontId="29" fillId="0" borderId="17" xfId="0" applyFont="1" applyBorder="1"/>
    <xf numFmtId="0" fontId="29" fillId="0" borderId="17" xfId="0" applyFont="1" applyBorder="1" applyAlignment="1">
      <alignment horizontal="center" vertical="center" wrapText="1"/>
    </xf>
    <xf numFmtId="0" fontId="29" fillId="0" borderId="17" xfId="0" applyFont="1" applyBorder="1" applyAlignment="1">
      <alignment horizontal="center" vertical="center"/>
    </xf>
    <xf numFmtId="0" fontId="33" fillId="0" borderId="17" xfId="0" applyFont="1" applyBorder="1"/>
    <xf numFmtId="0" fontId="29" fillId="20" borderId="17" xfId="0" applyFont="1" applyFill="1" applyBorder="1"/>
    <xf numFmtId="0" fontId="29" fillId="21" borderId="17" xfId="0" applyFont="1" applyFill="1" applyBorder="1"/>
    <xf numFmtId="0" fontId="29" fillId="22" borderId="17" xfId="0" applyFont="1" applyFill="1" applyBorder="1"/>
    <xf numFmtId="0" fontId="29" fillId="0" borderId="17" xfId="0" applyFont="1" applyBorder="1" applyAlignment="1">
      <alignment wrapText="1"/>
    </xf>
    <xf numFmtId="0" fontId="30" fillId="19" borderId="17" xfId="0" applyFont="1" applyFill="1" applyBorder="1"/>
    <xf numFmtId="0" fontId="29" fillId="19" borderId="17" xfId="0" applyFont="1" applyFill="1" applyBorder="1"/>
    <xf numFmtId="0" fontId="30" fillId="0" borderId="17" xfId="0" applyFont="1" applyBorder="1"/>
    <xf numFmtId="0" fontId="30" fillId="19" borderId="17" xfId="0" applyFont="1" applyFill="1" applyBorder="1" applyAlignment="1">
      <alignment wrapText="1"/>
    </xf>
    <xf numFmtId="0" fontId="34" fillId="26" borderId="13" xfId="0" applyFont="1" applyFill="1" applyBorder="1" applyAlignment="1">
      <alignment horizontal="center" textRotation="90"/>
    </xf>
    <xf numFmtId="0" fontId="30" fillId="24" borderId="17" xfId="0" applyFont="1" applyFill="1" applyBorder="1" applyAlignment="1">
      <alignment horizontal="left" vertical="center"/>
    </xf>
    <xf numFmtId="0" fontId="12" fillId="17" borderId="12" xfId="0" applyFont="1" applyFill="1" applyBorder="1" applyAlignment="1">
      <alignment horizontal="center" textRotation="90"/>
    </xf>
    <xf numFmtId="0" fontId="5" fillId="13" borderId="1" xfId="0" applyFont="1" applyFill="1" applyBorder="1" applyAlignment="1">
      <alignment horizontal="center" vertical="center"/>
    </xf>
    <xf numFmtId="0" fontId="5" fillId="12" borderId="1" xfId="0" applyFont="1" applyFill="1" applyBorder="1" applyAlignment="1">
      <alignment horizontal="center" vertical="center"/>
    </xf>
    <xf numFmtId="0" fontId="5" fillId="10" borderId="1" xfId="0" applyFont="1" applyFill="1" applyBorder="1" applyAlignment="1">
      <alignment horizontal="center" vertical="center"/>
    </xf>
    <xf numFmtId="0" fontId="5" fillId="11" borderId="1" xfId="0" applyFont="1" applyFill="1" applyBorder="1" applyAlignment="1">
      <alignment horizontal="center" vertical="center"/>
    </xf>
    <xf numFmtId="0" fontId="35" fillId="0" borderId="0" xfId="0" applyFont="1" applyAlignment="1">
      <alignment horizontal="center" vertical="center"/>
    </xf>
    <xf numFmtId="0" fontId="35" fillId="2" borderId="0" xfId="0" applyFont="1" applyFill="1"/>
    <xf numFmtId="0" fontId="35" fillId="0" borderId="0" xfId="0" applyFont="1" applyAlignment="1">
      <alignment textRotation="90" wrapText="1"/>
    </xf>
    <xf numFmtId="0" fontId="7" fillId="0" borderId="0" xfId="0" applyFont="1"/>
    <xf numFmtId="0" fontId="7" fillId="2" borderId="0" xfId="0" applyFont="1" applyFill="1" applyAlignment="1">
      <alignment textRotation="90"/>
    </xf>
    <xf numFmtId="0" fontId="35" fillId="2" borderId="0" xfId="0" applyFont="1" applyFill="1" applyAlignment="1">
      <alignment textRotation="90"/>
    </xf>
    <xf numFmtId="0" fontId="35" fillId="0" borderId="0" xfId="0" applyFont="1" applyAlignment="1">
      <alignment horizontal="center" vertical="center" wrapText="1"/>
    </xf>
    <xf numFmtId="0" fontId="35" fillId="2" borderId="0" xfId="0" applyFont="1" applyFill="1" applyAlignment="1">
      <alignment horizontal="left" wrapText="1"/>
    </xf>
    <xf numFmtId="0" fontId="7" fillId="3" borderId="5" xfId="0" applyFont="1" applyFill="1" applyBorder="1" applyAlignment="1">
      <alignment horizontal="left" textRotation="90" wrapText="1"/>
    </xf>
    <xf numFmtId="0" fontId="7" fillId="2" borderId="0" xfId="0" applyFont="1" applyFill="1" applyAlignment="1">
      <alignment horizontal="left" textRotation="90" wrapText="1"/>
    </xf>
    <xf numFmtId="0" fontId="7" fillId="2" borderId="0" xfId="0" applyFont="1" applyFill="1" applyAlignment="1">
      <alignment horizontal="center" vertical="center" wrapText="1"/>
    </xf>
    <xf numFmtId="164" fontId="7" fillId="0" borderId="0" xfId="0" applyNumberFormat="1" applyFont="1"/>
    <xf numFmtId="0" fontId="12" fillId="28" borderId="11" xfId="0" applyFont="1" applyFill="1" applyBorder="1" applyAlignment="1">
      <alignment horizontal="center" vertical="center"/>
    </xf>
    <xf numFmtId="0" fontId="7" fillId="0" borderId="15" xfId="0" applyFont="1" applyBorder="1"/>
    <xf numFmtId="164" fontId="7" fillId="0" borderId="15" xfId="0" applyNumberFormat="1" applyFont="1" applyBorder="1"/>
    <xf numFmtId="9" fontId="7" fillId="0" borderId="15" xfId="0" applyNumberFormat="1" applyFont="1" applyBorder="1"/>
    <xf numFmtId="2" fontId="7" fillId="0" borderId="15" xfId="0" applyNumberFormat="1" applyFont="1" applyBorder="1"/>
    <xf numFmtId="0" fontId="7" fillId="10" borderId="10" xfId="0" applyFont="1" applyFill="1" applyBorder="1" applyAlignment="1">
      <alignment vertical="center"/>
    </xf>
    <xf numFmtId="0" fontId="7" fillId="0" borderId="10" xfId="0" applyFont="1" applyBorder="1" applyAlignment="1">
      <alignment horizontal="center" vertical="center"/>
    </xf>
    <xf numFmtId="9" fontId="7" fillId="2" borderId="10" xfId="4" applyFont="1" applyFill="1" applyBorder="1" applyAlignment="1">
      <alignment horizontal="center" vertical="center"/>
    </xf>
    <xf numFmtId="0" fontId="7" fillId="11" borderId="10" xfId="0" applyFont="1" applyFill="1" applyBorder="1" applyAlignment="1">
      <alignment vertical="center"/>
    </xf>
    <xf numFmtId="0" fontId="7" fillId="12" borderId="10" xfId="0" applyFont="1" applyFill="1" applyBorder="1" applyAlignment="1">
      <alignment vertical="center"/>
    </xf>
    <xf numFmtId="0" fontId="7" fillId="13" borderId="10" xfId="0" applyFont="1" applyFill="1" applyBorder="1" applyAlignment="1">
      <alignment vertical="center"/>
    </xf>
    <xf numFmtId="0" fontId="7" fillId="2" borderId="7" xfId="0" applyFont="1" applyFill="1" applyBorder="1" applyAlignment="1">
      <alignment horizontal="center" vertical="center"/>
    </xf>
    <xf numFmtId="2" fontId="30" fillId="24" borderId="17" xfId="0" applyNumberFormat="1" applyFont="1" applyFill="1" applyBorder="1" applyAlignment="1">
      <alignment horizontal="center" vertical="center"/>
    </xf>
    <xf numFmtId="164" fontId="30" fillId="24" borderId="17" xfId="0" applyNumberFormat="1" applyFont="1" applyFill="1" applyBorder="1" applyAlignment="1">
      <alignment horizontal="center" vertical="center"/>
    </xf>
    <xf numFmtId="2" fontId="7" fillId="0" borderId="0" xfId="0" applyNumberFormat="1" applyFont="1"/>
    <xf numFmtId="0" fontId="7" fillId="0" borderId="24" xfId="0" applyFont="1" applyBorder="1"/>
    <xf numFmtId="0" fontId="7" fillId="0" borderId="30" xfId="0" applyFont="1" applyBorder="1"/>
    <xf numFmtId="0" fontId="7" fillId="0" borderId="28" xfId="0" applyFont="1" applyBorder="1"/>
    <xf numFmtId="0" fontId="7" fillId="0" borderId="39" xfId="0" applyFont="1" applyBorder="1"/>
    <xf numFmtId="0" fontId="7" fillId="0" borderId="29" xfId="0" applyFont="1" applyBorder="1"/>
    <xf numFmtId="0" fontId="0" fillId="0" borderId="26" xfId="0" applyBorder="1"/>
    <xf numFmtId="0" fontId="7" fillId="0" borderId="44" xfId="0" applyFont="1" applyBorder="1"/>
    <xf numFmtId="164" fontId="7" fillId="0" borderId="44" xfId="0" applyNumberFormat="1" applyFont="1" applyBorder="1"/>
    <xf numFmtId="9" fontId="7" fillId="0" borderId="44" xfId="0" applyNumberFormat="1" applyFont="1" applyBorder="1"/>
    <xf numFmtId="2" fontId="7" fillId="0" borderId="44" xfId="0" applyNumberFormat="1" applyFont="1" applyBorder="1"/>
    <xf numFmtId="0" fontId="30" fillId="24" borderId="31" xfId="0" applyFont="1" applyFill="1" applyBorder="1" applyAlignment="1">
      <alignment horizontal="left" vertical="center"/>
    </xf>
    <xf numFmtId="0" fontId="30" fillId="24" borderId="45" xfId="0" applyFont="1" applyFill="1" applyBorder="1" applyAlignment="1">
      <alignment horizontal="left" vertical="center"/>
    </xf>
    <xf numFmtId="0" fontId="7" fillId="23" borderId="45" xfId="0" applyFont="1" applyFill="1" applyBorder="1" applyAlignment="1">
      <alignment horizontal="center" vertical="center"/>
    </xf>
    <xf numFmtId="0" fontId="7" fillId="7" borderId="45" xfId="0" applyFont="1" applyFill="1" applyBorder="1" applyAlignment="1">
      <alignment horizontal="center" vertical="center"/>
    </xf>
    <xf numFmtId="0" fontId="7" fillId="7" borderId="32" xfId="0" applyFont="1" applyFill="1" applyBorder="1" applyAlignment="1">
      <alignment horizontal="center" vertical="center"/>
    </xf>
    <xf numFmtId="0" fontId="38" fillId="32" borderId="1" xfId="0" applyFont="1" applyFill="1" applyBorder="1" applyAlignment="1">
      <alignment horizontal="center"/>
    </xf>
    <xf numFmtId="0" fontId="36" fillId="0" borderId="1" xfId="0" applyFont="1" applyBorder="1"/>
    <xf numFmtId="0" fontId="36" fillId="2" borderId="1" xfId="0" applyFont="1" applyFill="1" applyBorder="1"/>
    <xf numFmtId="2" fontId="35" fillId="0" borderId="0" xfId="0" applyNumberFormat="1" applyFont="1" applyAlignment="1">
      <alignment horizontal="center" vertical="center" wrapText="1"/>
    </xf>
    <xf numFmtId="164" fontId="11" fillId="33" borderId="6" xfId="3" applyNumberFormat="1" applyFont="1" applyFill="1" applyBorder="1" applyAlignment="1">
      <alignment horizontal="center" vertical="center" wrapText="1"/>
    </xf>
    <xf numFmtId="164" fontId="39" fillId="2" borderId="6" xfId="3" applyNumberFormat="1" applyFont="1" applyFill="1" applyBorder="1" applyAlignment="1">
      <alignment horizontal="center" vertical="center" wrapText="1"/>
    </xf>
    <xf numFmtId="0" fontId="0" fillId="0" borderId="42" xfId="0" pivotButton="1" applyBorder="1"/>
    <xf numFmtId="0" fontId="0" fillId="0" borderId="43" xfId="0" applyBorder="1"/>
    <xf numFmtId="0" fontId="0" fillId="0" borderId="46" xfId="0" applyBorder="1"/>
    <xf numFmtId="0" fontId="0" fillId="0" borderId="47" xfId="0" applyBorder="1"/>
    <xf numFmtId="0" fontId="0" fillId="0" borderId="48" xfId="0" applyBorder="1"/>
    <xf numFmtId="0" fontId="0" fillId="0" borderId="46" xfId="0" applyBorder="1" applyAlignment="1">
      <alignment horizontal="left"/>
    </xf>
    <xf numFmtId="0" fontId="0" fillId="0" borderId="47" xfId="0" applyBorder="1" applyAlignment="1">
      <alignment horizontal="left"/>
    </xf>
    <xf numFmtId="0" fontId="0" fillId="0" borderId="48" xfId="0" applyBorder="1" applyAlignment="1">
      <alignment horizontal="left"/>
    </xf>
    <xf numFmtId="0" fontId="0" fillId="0" borderId="49" xfId="0" applyBorder="1" applyAlignment="1">
      <alignment horizontal="left"/>
    </xf>
    <xf numFmtId="0" fontId="0" fillId="0" borderId="49" xfId="0" applyBorder="1"/>
    <xf numFmtId="14" fontId="36" fillId="2" borderId="1" xfId="0" applyNumberFormat="1" applyFont="1" applyFill="1" applyBorder="1"/>
    <xf numFmtId="0" fontId="28" fillId="24" borderId="18" xfId="0" applyFont="1" applyFill="1" applyBorder="1" applyAlignment="1">
      <alignment horizontal="left" vertical="center"/>
    </xf>
    <xf numFmtId="0" fontId="28" fillId="24" borderId="0" xfId="0" applyFont="1" applyFill="1" applyAlignment="1">
      <alignment horizontal="left" vertical="center"/>
    </xf>
    <xf numFmtId="0" fontId="28" fillId="24" borderId="19" xfId="0" applyFont="1" applyFill="1" applyBorder="1" applyAlignment="1">
      <alignment horizontal="center" vertical="center"/>
    </xf>
    <xf numFmtId="0" fontId="28" fillId="24" borderId="20" xfId="0" applyFont="1" applyFill="1" applyBorder="1" applyAlignment="1">
      <alignment horizontal="center" vertical="center"/>
    </xf>
    <xf numFmtId="0" fontId="28" fillId="24" borderId="21" xfId="0" applyFont="1" applyFill="1" applyBorder="1" applyAlignment="1">
      <alignment horizontal="center" vertical="center"/>
    </xf>
    <xf numFmtId="0" fontId="7" fillId="5" borderId="26" xfId="0" applyFont="1" applyFill="1" applyBorder="1" applyAlignment="1">
      <alignment horizontal="center" vertical="center"/>
    </xf>
    <xf numFmtId="0" fontId="7" fillId="5" borderId="25" xfId="0" applyFont="1" applyFill="1" applyBorder="1" applyAlignment="1">
      <alignment horizontal="center" vertical="center"/>
    </xf>
    <xf numFmtId="0" fontId="7" fillId="5" borderId="27" xfId="0" applyFont="1" applyFill="1" applyBorder="1" applyAlignment="1">
      <alignment horizontal="center" vertical="center"/>
    </xf>
    <xf numFmtId="0" fontId="7" fillId="27" borderId="26" xfId="0" applyFont="1" applyFill="1" applyBorder="1" applyAlignment="1">
      <alignment horizontal="center" vertical="center" wrapText="1"/>
    </xf>
    <xf numFmtId="0" fontId="7" fillId="27" borderId="25" xfId="0" applyFont="1" applyFill="1" applyBorder="1" applyAlignment="1">
      <alignment horizontal="center" vertical="center" wrapText="1"/>
    </xf>
    <xf numFmtId="0" fontId="7" fillId="27" borderId="27" xfId="0" applyFont="1" applyFill="1" applyBorder="1" applyAlignment="1">
      <alignment horizontal="center" vertical="center" wrapText="1"/>
    </xf>
    <xf numFmtId="0" fontId="37" fillId="0" borderId="26" xfId="0" applyFont="1" applyBorder="1" applyAlignment="1">
      <alignment horizontal="center" vertical="center"/>
    </xf>
    <xf numFmtId="0" fontId="37" fillId="0" borderId="25" xfId="0" applyFont="1" applyBorder="1" applyAlignment="1">
      <alignment horizontal="center" vertical="center"/>
    </xf>
    <xf numFmtId="0" fontId="37" fillId="0" borderId="27" xfId="0" applyFont="1" applyBorder="1" applyAlignment="1">
      <alignment horizontal="center" vertical="center"/>
    </xf>
    <xf numFmtId="0" fontId="37" fillId="0" borderId="24" xfId="0" applyFont="1" applyBorder="1" applyAlignment="1">
      <alignment horizontal="center" vertical="center"/>
    </xf>
    <xf numFmtId="0" fontId="37" fillId="0" borderId="0" xfId="0" applyFont="1" applyAlignment="1">
      <alignment horizontal="center" vertical="center"/>
    </xf>
    <xf numFmtId="0" fontId="37" fillId="0" borderId="30" xfId="0" applyFont="1" applyBorder="1" applyAlignment="1">
      <alignment horizontal="center" vertical="center"/>
    </xf>
    <xf numFmtId="0" fontId="36" fillId="29" borderId="31" xfId="0" applyFont="1" applyFill="1" applyBorder="1" applyAlignment="1">
      <alignment horizontal="left" vertical="center"/>
    </xf>
    <xf numFmtId="0" fontId="36" fillId="29" borderId="32" xfId="0" applyFont="1" applyFill="1" applyBorder="1" applyAlignment="1">
      <alignment horizontal="left" vertical="center"/>
    </xf>
    <xf numFmtId="0" fontId="6" fillId="30" borderId="37" xfId="0" applyFont="1" applyFill="1" applyBorder="1" applyAlignment="1">
      <alignment horizontal="left" vertical="center" wrapText="1"/>
    </xf>
    <xf numFmtId="0" fontId="6" fillId="30" borderId="38" xfId="0" applyFont="1" applyFill="1" applyBorder="1" applyAlignment="1">
      <alignment horizontal="left" vertical="center" wrapText="1"/>
    </xf>
    <xf numFmtId="0" fontId="6" fillId="30" borderId="35" xfId="0" applyFont="1" applyFill="1" applyBorder="1" applyAlignment="1">
      <alignment horizontal="left" vertical="center" wrapText="1"/>
    </xf>
    <xf numFmtId="0" fontId="6" fillId="30" borderId="36" xfId="0" applyFont="1" applyFill="1" applyBorder="1" applyAlignment="1">
      <alignment horizontal="left" vertical="center" wrapText="1"/>
    </xf>
    <xf numFmtId="0" fontId="6" fillId="30" borderId="33" xfId="0" applyFont="1" applyFill="1" applyBorder="1" applyAlignment="1">
      <alignment horizontal="left" vertical="center" wrapText="1"/>
    </xf>
    <xf numFmtId="0" fontId="6" fillId="30" borderId="34" xfId="0" applyFont="1" applyFill="1" applyBorder="1" applyAlignment="1">
      <alignment horizontal="left" vertical="center" wrapText="1"/>
    </xf>
    <xf numFmtId="0" fontId="6" fillId="30" borderId="31" xfId="0" applyFont="1" applyFill="1" applyBorder="1" applyAlignment="1">
      <alignment horizontal="left" vertical="center" wrapText="1"/>
    </xf>
    <xf numFmtId="0" fontId="6" fillId="30" borderId="32" xfId="0" applyFont="1" applyFill="1" applyBorder="1" applyAlignment="1">
      <alignment horizontal="left" vertical="center" wrapText="1"/>
    </xf>
    <xf numFmtId="0" fontId="36" fillId="31" borderId="42" xfId="0" applyFont="1" applyFill="1" applyBorder="1" applyAlignment="1">
      <alignment horizontal="center"/>
    </xf>
    <xf numFmtId="0" fontId="36" fillId="31" borderId="43" xfId="0" applyFont="1" applyFill="1" applyBorder="1" applyAlignment="1">
      <alignment horizontal="center"/>
    </xf>
    <xf numFmtId="0" fontId="6" fillId="30" borderId="40" xfId="0" applyFont="1" applyFill="1" applyBorder="1" applyAlignment="1">
      <alignment horizontal="left" vertical="center" wrapText="1"/>
    </xf>
    <xf numFmtId="0" fontId="6" fillId="30" borderId="41" xfId="0" applyFont="1" applyFill="1" applyBorder="1" applyAlignment="1">
      <alignment horizontal="left" vertical="center" wrapText="1"/>
    </xf>
    <xf numFmtId="0" fontId="18" fillId="9" borderId="1" xfId="0" applyFont="1" applyFill="1" applyBorder="1" applyAlignment="1">
      <alignment horizontal="center" vertical="center" wrapText="1"/>
    </xf>
    <xf numFmtId="0" fontId="18" fillId="18" borderId="2" xfId="0" applyFont="1" applyFill="1" applyBorder="1" applyAlignment="1">
      <alignment horizontal="center" vertical="center" wrapText="1"/>
    </xf>
    <xf numFmtId="0" fontId="18" fillId="18" borderId="3" xfId="0" applyFont="1" applyFill="1" applyBorder="1" applyAlignment="1">
      <alignment horizontal="center" vertical="center" wrapText="1"/>
    </xf>
    <xf numFmtId="0" fontId="18" fillId="18" borderId="4" xfId="0" applyFont="1" applyFill="1" applyBorder="1" applyAlignment="1">
      <alignment horizontal="center" vertical="center" wrapText="1"/>
    </xf>
    <xf numFmtId="0" fontId="18" fillId="14" borderId="22" xfId="0" applyFont="1" applyFill="1" applyBorder="1" applyAlignment="1">
      <alignment horizontal="center" vertical="center"/>
    </xf>
    <xf numFmtId="0" fontId="18" fillId="14" borderId="23" xfId="0" applyFont="1" applyFill="1" applyBorder="1" applyAlignment="1">
      <alignment horizontal="center" vertical="center"/>
    </xf>
    <xf numFmtId="0" fontId="7" fillId="0" borderId="50" xfId="0" applyFont="1" applyBorder="1"/>
    <xf numFmtId="0" fontId="29" fillId="0" borderId="50" xfId="0" applyFont="1" applyBorder="1"/>
    <xf numFmtId="0" fontId="7" fillId="0" borderId="51" xfId="0" applyFont="1" applyBorder="1"/>
    <xf numFmtId="164" fontId="7" fillId="0" borderId="50" xfId="0" applyNumberFormat="1" applyFont="1" applyBorder="1"/>
    <xf numFmtId="9" fontId="7" fillId="0" borderId="50" xfId="0" applyNumberFormat="1" applyFont="1" applyBorder="1"/>
    <xf numFmtId="2" fontId="7" fillId="0" borderId="50" xfId="0" applyNumberFormat="1" applyFont="1" applyBorder="1"/>
    <xf numFmtId="0" fontId="29" fillId="0" borderId="52" xfId="0" applyFont="1" applyBorder="1"/>
    <xf numFmtId="0" fontId="30" fillId="19" borderId="52" xfId="0" applyFont="1" applyFill="1" applyBorder="1" applyAlignment="1">
      <alignment wrapText="1"/>
    </xf>
    <xf numFmtId="164" fontId="7" fillId="0" borderId="51" xfId="0" applyNumberFormat="1" applyFont="1" applyBorder="1"/>
    <xf numFmtId="9" fontId="7" fillId="0" borderId="51" xfId="0" applyNumberFormat="1" applyFont="1" applyBorder="1"/>
    <xf numFmtId="2" fontId="7" fillId="0" borderId="51" xfId="0" applyNumberFormat="1" applyFont="1" applyBorder="1"/>
  </cellXfs>
  <cellStyles count="13">
    <cellStyle name="ConditionalStyle_1" xfId="6" xr:uid="{00000000-0005-0000-0000-000000000000}"/>
    <cellStyle name="Excel Built-in Normal" xfId="7" xr:uid="{00000000-0005-0000-0000-000002000000}"/>
    <cellStyle name="Heading" xfId="8" xr:uid="{00000000-0005-0000-0000-000003000000}"/>
    <cellStyle name="Heading1" xfId="9" xr:uid="{00000000-0005-0000-0000-000004000000}"/>
    <cellStyle name="Millares 2" xfId="12" xr:uid="{3BF6D34E-8FD0-473E-80A7-A3E6FCC0D5C2}"/>
    <cellStyle name="Normal" xfId="0" builtinId="0"/>
    <cellStyle name="Normal 105 2" xfId="1" xr:uid="{00000000-0005-0000-0000-000007000000}"/>
    <cellStyle name="Normal 2" xfId="2" xr:uid="{00000000-0005-0000-0000-000008000000}"/>
    <cellStyle name="Normal 3" xfId="5" xr:uid="{00000000-0005-0000-0000-000009000000}"/>
    <cellStyle name="Porcentaje" xfId="4" builtinId="5"/>
    <cellStyle name="Result" xfId="10" xr:uid="{00000000-0005-0000-0000-00000B000000}"/>
    <cellStyle name="Result2" xfId="11" xr:uid="{00000000-0005-0000-0000-00000C000000}"/>
    <cellStyle name="TableStyleLight1" xfId="3" xr:uid="{00000000-0005-0000-0000-00000D000000}"/>
  </cellStyles>
  <dxfs count="37">
    <dxf>
      <fill>
        <patternFill>
          <bgColor rgb="FFB1D47F"/>
        </patternFill>
      </fill>
    </dxf>
    <dxf>
      <fill>
        <patternFill>
          <bgColor rgb="FFFFEB84"/>
        </patternFill>
      </fill>
    </dxf>
    <dxf>
      <fill>
        <patternFill>
          <bgColor rgb="FFFCAA78"/>
        </patternFill>
      </fill>
    </dxf>
    <dxf>
      <fill>
        <patternFill>
          <bgColor rgb="FFF8696B"/>
        </patternFill>
      </fill>
    </dxf>
    <dxf>
      <fill>
        <patternFill>
          <bgColor rgb="FF00B050"/>
        </patternFill>
      </fill>
    </dxf>
    <dxf>
      <fill>
        <patternFill>
          <bgColor theme="0" tint="-0.14996795556505021"/>
        </patternFill>
      </fill>
    </dxf>
    <dxf>
      <fill>
        <patternFill>
          <bgColor theme="0" tint="-0.14996795556505021"/>
        </patternFill>
      </fill>
    </dxf>
    <dxf>
      <font>
        <color theme="0" tint="-0.24994659260841701"/>
      </font>
      <fill>
        <patternFill>
          <bgColor theme="0" tint="-0.24994659260841701"/>
        </patternFill>
      </fill>
    </dxf>
    <dxf>
      <fill>
        <patternFill>
          <bgColor theme="0" tint="-0.14996795556505021"/>
        </patternFill>
      </fill>
    </dxf>
    <dxf>
      <fill>
        <patternFill>
          <bgColor theme="4" tint="0.79998168889431442"/>
        </patternFill>
      </fill>
    </dxf>
    <dxf>
      <fill>
        <patternFill>
          <bgColor theme="9" tint="0.79998168889431442"/>
        </patternFill>
      </fill>
    </dxf>
    <dxf>
      <fill>
        <patternFill>
          <bgColor theme="6" tint="0.79998168889431442"/>
        </patternFill>
      </fill>
    </dxf>
    <dxf>
      <fill>
        <patternFill>
          <bgColor theme="0" tint="-4.9989318521683403E-2"/>
        </patternFill>
      </fill>
    </dxf>
    <dxf>
      <fill>
        <patternFill>
          <bgColor theme="7" tint="0.79998168889431442"/>
        </patternFill>
      </fill>
    </dxf>
    <dxf>
      <fill>
        <patternFill>
          <bgColor rgb="FFFFFFCC"/>
        </patternFill>
      </fill>
    </dxf>
    <dxf>
      <fill>
        <patternFill>
          <bgColor theme="4" tint="0.79998168889431442"/>
        </patternFill>
      </fill>
    </dxf>
    <dxf>
      <fill>
        <patternFill>
          <bgColor theme="9" tint="0.79998168889431442"/>
        </patternFill>
      </fill>
    </dxf>
    <dxf>
      <fill>
        <patternFill>
          <bgColor theme="6" tint="0.79998168889431442"/>
        </patternFill>
      </fill>
    </dxf>
    <dxf>
      <fill>
        <patternFill>
          <bgColor theme="0" tint="-4.9989318521683403E-2"/>
        </patternFill>
      </fill>
    </dxf>
    <dxf>
      <fill>
        <patternFill>
          <bgColor theme="7" tint="0.79998168889431442"/>
        </patternFill>
      </fill>
    </dxf>
    <dxf>
      <fill>
        <patternFill>
          <bgColor rgb="FFFFFFCC"/>
        </patternFill>
      </fill>
    </dxf>
    <dxf>
      <fill>
        <patternFill>
          <bgColor theme="4" tint="0.59996337778862885"/>
        </patternFill>
      </fill>
    </dxf>
    <dxf>
      <fill>
        <patternFill>
          <bgColor theme="8" tint="0.59996337778862885"/>
        </patternFill>
      </fill>
    </dxf>
    <dxf>
      <font>
        <color theme="0"/>
      </font>
      <fill>
        <patternFill>
          <bgColor theme="9" tint="-0.24994659260841701"/>
        </patternFill>
      </fill>
    </dxf>
    <dxf>
      <font>
        <color theme="0"/>
      </font>
      <fill>
        <patternFill>
          <bgColor theme="1" tint="0.499984740745262"/>
        </patternFill>
      </fill>
    </dxf>
    <dxf>
      <font>
        <color theme="0"/>
      </font>
      <fill>
        <patternFill>
          <bgColor theme="5" tint="-0.24994659260841701"/>
        </patternFill>
      </fill>
    </dxf>
    <dxf>
      <font>
        <color theme="0"/>
      </font>
      <fill>
        <patternFill>
          <bgColor theme="6" tint="-0.24994659260841701"/>
        </patternFill>
      </fill>
    </dxf>
    <dxf>
      <font>
        <color theme="0"/>
      </font>
      <fill>
        <patternFill>
          <bgColor theme="7" tint="-0.24994659260841701"/>
        </patternFill>
      </fill>
    </dxf>
    <dxf>
      <font>
        <color theme="0"/>
      </font>
      <fill>
        <patternFill>
          <bgColor rgb="FF00B0F0"/>
        </patternFill>
      </fill>
    </dxf>
    <dxf>
      <font>
        <color theme="0"/>
      </font>
      <fill>
        <patternFill patternType="gray0625">
          <fgColor theme="0" tint="-4.9989318521683403E-2"/>
          <bgColor theme="0" tint="-0.14996795556505021"/>
        </patternFill>
      </fill>
    </dxf>
    <dxf>
      <font>
        <color theme="0" tint="-0.24994659260841701"/>
      </font>
      <fill>
        <patternFill>
          <bgColor theme="0" tint="-0.24994659260841701"/>
        </patternFill>
      </fill>
    </dxf>
    <dxf>
      <fill>
        <patternFill>
          <bgColor theme="0" tint="-0.24994659260841701"/>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s>
  <tableStyles count="0" defaultTableStyle="TableStyleMedium2" defaultPivotStyle="PivotStyleMedium9"/>
  <colors>
    <mruColors>
      <color rgb="FFF57E1B"/>
      <color rgb="FFB1D47F"/>
      <color rgb="FFFFEB84"/>
      <color rgb="FFFCAA78"/>
      <color rgb="FFF6B18A"/>
      <color rgb="FFF5A77B"/>
      <color rgb="FFF49D6C"/>
      <color rgb="FFF28660"/>
      <color rgb="FFF8B742"/>
      <color rgb="FFFFE4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08762497018801"/>
          <c:y val="3.2376747608535691E-2"/>
          <c:w val="0.8571836216602966"/>
          <c:h val="0.81033274066548133"/>
        </c:manualLayout>
      </c:layout>
      <c:scatterChart>
        <c:scatterStyle val="lineMarker"/>
        <c:varyColors val="0"/>
        <c:ser>
          <c:idx val="1"/>
          <c:order val="0"/>
          <c:tx>
            <c:strRef>
              <c:f>Riesgos!$F$3</c:f>
              <c:strCache>
                <c:ptCount val="1"/>
                <c:pt idx="0">
                  <c:v>IMP</c:v>
                </c:pt>
              </c:strCache>
            </c:strRef>
          </c:tx>
          <c:spPr>
            <a:ln w="25400" cap="rnd">
              <a:noFill/>
              <a:round/>
            </a:ln>
            <a:effectLst/>
          </c:spPr>
          <c:marker>
            <c:symbol val="square"/>
            <c:size val="6"/>
            <c:spPr>
              <a:solidFill>
                <a:schemeClr val="accent2"/>
              </a:solidFill>
              <a:ln w="9525">
                <a:solidFill>
                  <a:schemeClr val="accent2"/>
                </a:solidFill>
                <a:round/>
              </a:ln>
              <a:effectLst/>
            </c:spPr>
          </c:marker>
          <c:xVal>
            <c:numRef>
              <c:f>Riesgos!$E$4:$E$200</c:f>
              <c:numCache>
                <c:formatCode>0.0</c:formatCode>
                <c:ptCount val="197"/>
                <c:pt idx="0">
                  <c:v>2</c:v>
                </c:pt>
                <c:pt idx="1">
                  <c:v>1</c:v>
                </c:pt>
                <c:pt idx="2">
                  <c:v>1</c:v>
                </c:pt>
                <c:pt idx="3">
                  <c:v>2</c:v>
                </c:pt>
                <c:pt idx="4">
                  <c:v>4</c:v>
                </c:pt>
                <c:pt idx="5">
                  <c:v>2</c:v>
                </c:pt>
                <c:pt idx="6">
                  <c:v>1</c:v>
                </c:pt>
                <c:pt idx="7">
                  <c:v>1</c:v>
                </c:pt>
                <c:pt idx="8">
                  <c:v>2</c:v>
                </c:pt>
                <c:pt idx="9">
                  <c:v>4</c:v>
                </c:pt>
                <c:pt idx="10">
                  <c:v>2</c:v>
                </c:pt>
                <c:pt idx="11">
                  <c:v>1</c:v>
                </c:pt>
                <c:pt idx="12">
                  <c:v>1</c:v>
                </c:pt>
                <c:pt idx="13">
                  <c:v>2</c:v>
                </c:pt>
                <c:pt idx="14">
                  <c:v>4</c:v>
                </c:pt>
                <c:pt idx="15">
                  <c:v>1.25</c:v>
                </c:pt>
                <c:pt idx="16">
                  <c:v>0.625</c:v>
                </c:pt>
                <c:pt idx="17">
                  <c:v>0.625</c:v>
                </c:pt>
                <c:pt idx="18">
                  <c:v>1.25</c:v>
                </c:pt>
                <c:pt idx="19">
                  <c:v>2.5</c:v>
                </c:pt>
                <c:pt idx="20">
                  <c:v>2.5</c:v>
                </c:pt>
                <c:pt idx="21">
                  <c:v>1.25</c:v>
                </c:pt>
                <c:pt idx="22">
                  <c:v>1.875</c:v>
                </c:pt>
                <c:pt idx="23">
                  <c:v>2.5</c:v>
                </c:pt>
                <c:pt idx="24">
                  <c:v>1.875</c:v>
                </c:pt>
                <c:pt idx="25">
                  <c:v>3</c:v>
                </c:pt>
                <c:pt idx="26">
                  <c:v>4</c:v>
                </c:pt>
                <c:pt idx="27">
                  <c:v>2</c:v>
                </c:pt>
                <c:pt idx="28">
                  <c:v>3</c:v>
                </c:pt>
                <c:pt idx="29">
                  <c:v>4</c:v>
                </c:pt>
                <c:pt idx="30">
                  <c:v>3</c:v>
                </c:pt>
                <c:pt idx="31">
                  <c:v>0.5</c:v>
                </c:pt>
                <c:pt idx="32">
                  <c:v>0.75</c:v>
                </c:pt>
                <c:pt idx="33">
                  <c:v>1</c:v>
                </c:pt>
                <c:pt idx="34">
                  <c:v>0.75</c:v>
                </c:pt>
                <c:pt idx="35">
                  <c:v>2</c:v>
                </c:pt>
                <c:pt idx="36">
                  <c:v>1</c:v>
                </c:pt>
                <c:pt idx="37">
                  <c:v>2</c:v>
                </c:pt>
                <c:pt idx="38">
                  <c:v>4</c:v>
                </c:pt>
                <c:pt idx="39">
                  <c:v>2</c:v>
                </c:pt>
                <c:pt idx="40">
                  <c:v>1</c:v>
                </c:pt>
                <c:pt idx="41">
                  <c:v>2</c:v>
                </c:pt>
                <c:pt idx="42">
                  <c:v>4</c:v>
                </c:pt>
                <c:pt idx="43">
                  <c:v>0.625</c:v>
                </c:pt>
                <c:pt idx="44">
                  <c:v>0.625</c:v>
                </c:pt>
                <c:pt idx="45">
                  <c:v>0.625</c:v>
                </c:pt>
                <c:pt idx="46">
                  <c:v>1.875</c:v>
                </c:pt>
                <c:pt idx="47">
                  <c:v>0.625</c:v>
                </c:pt>
                <c:pt idx="48">
                  <c:v>1.25</c:v>
                </c:pt>
                <c:pt idx="49">
                  <c:v>1.25</c:v>
                </c:pt>
                <c:pt idx="50">
                  <c:v>0.625</c:v>
                </c:pt>
                <c:pt idx="51">
                  <c:v>1.25</c:v>
                </c:pt>
                <c:pt idx="52">
                  <c:v>2.5</c:v>
                </c:pt>
                <c:pt idx="53">
                  <c:v>1.875</c:v>
                </c:pt>
                <c:pt idx="54">
                  <c:v>0.625</c:v>
                </c:pt>
                <c:pt idx="55">
                  <c:v>0.625</c:v>
                </c:pt>
                <c:pt idx="56">
                  <c:v>0.625</c:v>
                </c:pt>
                <c:pt idx="57">
                  <c:v>1.875</c:v>
                </c:pt>
                <c:pt idx="58">
                  <c:v>0.625</c:v>
                </c:pt>
                <c:pt idx="59">
                  <c:v>1.25</c:v>
                </c:pt>
                <c:pt idx="60">
                  <c:v>1.25</c:v>
                </c:pt>
                <c:pt idx="61">
                  <c:v>0.625</c:v>
                </c:pt>
                <c:pt idx="62">
                  <c:v>1.25</c:v>
                </c:pt>
                <c:pt idx="63">
                  <c:v>2.5</c:v>
                </c:pt>
                <c:pt idx="64">
                  <c:v>1.875</c:v>
                </c:pt>
                <c:pt idx="65">
                  <c:v>0.625</c:v>
                </c:pt>
                <c:pt idx="66">
                  <c:v>0.625</c:v>
                </c:pt>
                <c:pt idx="67">
                  <c:v>0.625</c:v>
                </c:pt>
                <c:pt idx="68">
                  <c:v>1.875</c:v>
                </c:pt>
                <c:pt idx="69">
                  <c:v>0.625</c:v>
                </c:pt>
                <c:pt idx="70">
                  <c:v>1.25</c:v>
                </c:pt>
                <c:pt idx="71">
                  <c:v>1.25</c:v>
                </c:pt>
                <c:pt idx="72">
                  <c:v>0.625</c:v>
                </c:pt>
                <c:pt idx="73">
                  <c:v>1.25</c:v>
                </c:pt>
                <c:pt idx="74">
                  <c:v>2.5</c:v>
                </c:pt>
                <c:pt idx="75">
                  <c:v>1.875</c:v>
                </c:pt>
                <c:pt idx="76">
                  <c:v>1</c:v>
                </c:pt>
                <c:pt idx="77">
                  <c:v>1</c:v>
                </c:pt>
                <c:pt idx="78">
                  <c:v>1</c:v>
                </c:pt>
                <c:pt idx="79">
                  <c:v>3</c:v>
                </c:pt>
                <c:pt idx="80">
                  <c:v>1</c:v>
                </c:pt>
                <c:pt idx="81">
                  <c:v>2</c:v>
                </c:pt>
                <c:pt idx="82">
                  <c:v>2</c:v>
                </c:pt>
                <c:pt idx="83">
                  <c:v>1</c:v>
                </c:pt>
                <c:pt idx="84">
                  <c:v>2</c:v>
                </c:pt>
                <c:pt idx="85">
                  <c:v>4</c:v>
                </c:pt>
                <c:pt idx="86">
                  <c:v>3</c:v>
                </c:pt>
                <c:pt idx="87">
                  <c:v>1</c:v>
                </c:pt>
                <c:pt idx="88">
                  <c:v>1</c:v>
                </c:pt>
                <c:pt idx="89">
                  <c:v>1</c:v>
                </c:pt>
                <c:pt idx="90">
                  <c:v>3</c:v>
                </c:pt>
                <c:pt idx="91">
                  <c:v>1</c:v>
                </c:pt>
                <c:pt idx="92">
                  <c:v>2</c:v>
                </c:pt>
                <c:pt idx="93">
                  <c:v>2</c:v>
                </c:pt>
                <c:pt idx="94">
                  <c:v>1</c:v>
                </c:pt>
                <c:pt idx="95">
                  <c:v>2</c:v>
                </c:pt>
                <c:pt idx="96">
                  <c:v>4</c:v>
                </c:pt>
                <c:pt idx="97">
                  <c:v>3</c:v>
                </c:pt>
                <c:pt idx="98">
                  <c:v>0.25</c:v>
                </c:pt>
                <c:pt idx="99">
                  <c:v>0.25</c:v>
                </c:pt>
                <c:pt idx="100">
                  <c:v>0.25</c:v>
                </c:pt>
                <c:pt idx="101">
                  <c:v>0.75</c:v>
                </c:pt>
                <c:pt idx="102">
                  <c:v>0.25</c:v>
                </c:pt>
                <c:pt idx="103">
                  <c:v>0.5</c:v>
                </c:pt>
                <c:pt idx="104">
                  <c:v>0.5</c:v>
                </c:pt>
                <c:pt idx="105">
                  <c:v>0.25</c:v>
                </c:pt>
                <c:pt idx="106">
                  <c:v>0.5</c:v>
                </c:pt>
                <c:pt idx="107">
                  <c:v>1</c:v>
                </c:pt>
                <c:pt idx="108">
                  <c:v>0.75</c:v>
                </c:pt>
                <c:pt idx="109">
                  <c:v>1.875</c:v>
                </c:pt>
                <c:pt idx="110">
                  <c:v>1.25</c:v>
                </c:pt>
                <c:pt idx="111">
                  <c:v>2.5</c:v>
                </c:pt>
                <c:pt idx="112">
                  <c:v>1.25</c:v>
                </c:pt>
                <c:pt idx="113">
                  <c:v>1.875</c:v>
                </c:pt>
                <c:pt idx="114">
                  <c:v>2.5</c:v>
                </c:pt>
                <c:pt idx="115">
                  <c:v>1.875</c:v>
                </c:pt>
                <c:pt idx="116">
                  <c:v>1.875</c:v>
                </c:pt>
                <c:pt idx="117">
                  <c:v>1.25</c:v>
                </c:pt>
                <c:pt idx="118">
                  <c:v>2.5</c:v>
                </c:pt>
                <c:pt idx="119">
                  <c:v>1.25</c:v>
                </c:pt>
                <c:pt idx="120">
                  <c:v>1.875</c:v>
                </c:pt>
                <c:pt idx="121">
                  <c:v>2.5</c:v>
                </c:pt>
                <c:pt idx="122">
                  <c:v>1.875</c:v>
                </c:pt>
                <c:pt idx="123">
                  <c:v>3</c:v>
                </c:pt>
                <c:pt idx="124">
                  <c:v>2</c:v>
                </c:pt>
                <c:pt idx="125">
                  <c:v>4</c:v>
                </c:pt>
                <c:pt idx="126">
                  <c:v>2</c:v>
                </c:pt>
                <c:pt idx="127">
                  <c:v>3</c:v>
                </c:pt>
                <c:pt idx="128">
                  <c:v>4</c:v>
                </c:pt>
                <c:pt idx="129">
                  <c:v>3</c:v>
                </c:pt>
                <c:pt idx="130">
                  <c:v>3</c:v>
                </c:pt>
                <c:pt idx="131">
                  <c:v>2</c:v>
                </c:pt>
                <c:pt idx="132">
                  <c:v>4</c:v>
                </c:pt>
                <c:pt idx="133">
                  <c:v>2</c:v>
                </c:pt>
                <c:pt idx="134">
                  <c:v>3</c:v>
                </c:pt>
                <c:pt idx="135">
                  <c:v>4</c:v>
                </c:pt>
                <c:pt idx="136">
                  <c:v>3</c:v>
                </c:pt>
                <c:pt idx="137">
                  <c:v>3</c:v>
                </c:pt>
                <c:pt idx="138">
                  <c:v>2</c:v>
                </c:pt>
                <c:pt idx="139">
                  <c:v>4</c:v>
                </c:pt>
                <c:pt idx="140">
                  <c:v>2</c:v>
                </c:pt>
                <c:pt idx="141">
                  <c:v>3</c:v>
                </c:pt>
                <c:pt idx="142">
                  <c:v>4</c:v>
                </c:pt>
                <c:pt idx="143">
                  <c:v>3</c:v>
                </c:pt>
                <c:pt idx="144">
                  <c:v>3</c:v>
                </c:pt>
                <c:pt idx="145">
                  <c:v>2</c:v>
                </c:pt>
                <c:pt idx="146">
                  <c:v>4</c:v>
                </c:pt>
                <c:pt idx="147">
                  <c:v>2</c:v>
                </c:pt>
                <c:pt idx="148">
                  <c:v>3</c:v>
                </c:pt>
                <c:pt idx="149">
                  <c:v>4</c:v>
                </c:pt>
                <c:pt idx="150">
                  <c:v>3</c:v>
                </c:pt>
                <c:pt idx="151">
                  <c:v>1.875</c:v>
                </c:pt>
                <c:pt idx="152">
                  <c:v>1.25</c:v>
                </c:pt>
                <c:pt idx="153">
                  <c:v>2.5</c:v>
                </c:pt>
                <c:pt idx="154">
                  <c:v>1.25</c:v>
                </c:pt>
                <c:pt idx="155">
                  <c:v>1.875</c:v>
                </c:pt>
                <c:pt idx="156">
                  <c:v>2.5</c:v>
                </c:pt>
                <c:pt idx="157">
                  <c:v>0.625</c:v>
                </c:pt>
                <c:pt idx="158">
                  <c:v>0.625</c:v>
                </c:pt>
                <c:pt idx="159">
                  <c:v>0.625</c:v>
                </c:pt>
                <c:pt idx="160">
                  <c:v>1.875</c:v>
                </c:pt>
                <c:pt idx="161">
                  <c:v>2.5</c:v>
                </c:pt>
                <c:pt idx="162">
                  <c:v>1</c:v>
                </c:pt>
                <c:pt idx="163">
                  <c:v>1</c:v>
                </c:pt>
                <c:pt idx="164">
                  <c:v>1</c:v>
                </c:pt>
                <c:pt idx="165">
                  <c:v>3</c:v>
                </c:pt>
                <c:pt idx="166">
                  <c:v>4</c:v>
                </c:pt>
                <c:pt idx="167">
                  <c:v>3</c:v>
                </c:pt>
                <c:pt idx="168">
                  <c:v>2</c:v>
                </c:pt>
                <c:pt idx="169">
                  <c:v>4</c:v>
                </c:pt>
                <c:pt idx="170">
                  <c:v>4</c:v>
                </c:pt>
                <c:pt idx="171">
                  <c:v>3</c:v>
                </c:pt>
                <c:pt idx="172">
                  <c:v>2</c:v>
                </c:pt>
                <c:pt idx="173">
                  <c:v>0.75</c:v>
                </c:pt>
                <c:pt idx="174">
                  <c:v>0.5</c:v>
                </c:pt>
                <c:pt idx="175">
                  <c:v>1</c:v>
                </c:pt>
                <c:pt idx="176">
                  <c:v>1</c:v>
                </c:pt>
                <c:pt idx="177">
                  <c:v>0.75</c:v>
                </c:pt>
                <c:pt idx="178">
                  <c:v>0.5</c:v>
                </c:pt>
                <c:pt idx="179">
                  <c:v>3</c:v>
                </c:pt>
                <c:pt idx="180">
                  <c:v>2</c:v>
                </c:pt>
                <c:pt idx="181">
                  <c:v>4</c:v>
                </c:pt>
                <c:pt idx="182">
                  <c:v>4</c:v>
                </c:pt>
                <c:pt idx="183">
                  <c:v>3</c:v>
                </c:pt>
                <c:pt idx="184">
                  <c:v>2</c:v>
                </c:pt>
                <c:pt idx="185">
                  <c:v>3</c:v>
                </c:pt>
                <c:pt idx="186">
                  <c:v>2</c:v>
                </c:pt>
                <c:pt idx="187">
                  <c:v>4</c:v>
                </c:pt>
                <c:pt idx="188">
                  <c:v>4</c:v>
                </c:pt>
                <c:pt idx="189">
                  <c:v>3</c:v>
                </c:pt>
                <c:pt idx="190">
                  <c:v>2</c:v>
                </c:pt>
                <c:pt idx="191">
                  <c:v>1.875</c:v>
                </c:pt>
                <c:pt idx="192">
                  <c:v>1.25</c:v>
                </c:pt>
                <c:pt idx="193">
                  <c:v>2.5</c:v>
                </c:pt>
                <c:pt idx="194">
                  <c:v>2.5</c:v>
                </c:pt>
                <c:pt idx="195">
                  <c:v>1.875</c:v>
                </c:pt>
                <c:pt idx="196">
                  <c:v>1.25</c:v>
                </c:pt>
              </c:numCache>
            </c:numRef>
          </c:xVal>
          <c:yVal>
            <c:numRef>
              <c:f>Riesgos!$F$4:$F$200</c:f>
              <c:numCache>
                <c:formatCode>0.0</c:formatCode>
                <c:ptCount val="197"/>
                <c:pt idx="0">
                  <c:v>2</c:v>
                </c:pt>
                <c:pt idx="1">
                  <c:v>4</c:v>
                </c:pt>
                <c:pt idx="2">
                  <c:v>2</c:v>
                </c:pt>
                <c:pt idx="3">
                  <c:v>3</c:v>
                </c:pt>
                <c:pt idx="4">
                  <c:v>4</c:v>
                </c:pt>
                <c:pt idx="5">
                  <c:v>2</c:v>
                </c:pt>
                <c:pt idx="6">
                  <c:v>4</c:v>
                </c:pt>
                <c:pt idx="7">
                  <c:v>2</c:v>
                </c:pt>
                <c:pt idx="8">
                  <c:v>3</c:v>
                </c:pt>
                <c:pt idx="9">
                  <c:v>4</c:v>
                </c:pt>
                <c:pt idx="10">
                  <c:v>2</c:v>
                </c:pt>
                <c:pt idx="11">
                  <c:v>4</c:v>
                </c:pt>
                <c:pt idx="12">
                  <c:v>2</c:v>
                </c:pt>
                <c:pt idx="13">
                  <c:v>3</c:v>
                </c:pt>
                <c:pt idx="14">
                  <c:v>4</c:v>
                </c:pt>
                <c:pt idx="15">
                  <c:v>1.25</c:v>
                </c:pt>
                <c:pt idx="16">
                  <c:v>2.5</c:v>
                </c:pt>
                <c:pt idx="17">
                  <c:v>1.25</c:v>
                </c:pt>
                <c:pt idx="18">
                  <c:v>1.875</c:v>
                </c:pt>
                <c:pt idx="19">
                  <c:v>2.5</c:v>
                </c:pt>
                <c:pt idx="20">
                  <c:v>1.875</c:v>
                </c:pt>
                <c:pt idx="21">
                  <c:v>1.875</c:v>
                </c:pt>
                <c:pt idx="22">
                  <c:v>2.5</c:v>
                </c:pt>
                <c:pt idx="23">
                  <c:v>2.5</c:v>
                </c:pt>
                <c:pt idx="24">
                  <c:v>1.875</c:v>
                </c:pt>
                <c:pt idx="25">
                  <c:v>4</c:v>
                </c:pt>
                <c:pt idx="26">
                  <c:v>3</c:v>
                </c:pt>
                <c:pt idx="27">
                  <c:v>3</c:v>
                </c:pt>
                <c:pt idx="28">
                  <c:v>4</c:v>
                </c:pt>
                <c:pt idx="29">
                  <c:v>4</c:v>
                </c:pt>
                <c:pt idx="30">
                  <c:v>3</c:v>
                </c:pt>
                <c:pt idx="31">
                  <c:v>0.75</c:v>
                </c:pt>
                <c:pt idx="32">
                  <c:v>0.75</c:v>
                </c:pt>
                <c:pt idx="33">
                  <c:v>1</c:v>
                </c:pt>
                <c:pt idx="34">
                  <c:v>0.75</c:v>
                </c:pt>
                <c:pt idx="35">
                  <c:v>3</c:v>
                </c:pt>
                <c:pt idx="36">
                  <c:v>2</c:v>
                </c:pt>
                <c:pt idx="37">
                  <c:v>3</c:v>
                </c:pt>
                <c:pt idx="38">
                  <c:v>4</c:v>
                </c:pt>
                <c:pt idx="39">
                  <c:v>3</c:v>
                </c:pt>
                <c:pt idx="40">
                  <c:v>2</c:v>
                </c:pt>
                <c:pt idx="41">
                  <c:v>3</c:v>
                </c:pt>
                <c:pt idx="42">
                  <c:v>4</c:v>
                </c:pt>
                <c:pt idx="43">
                  <c:v>2.5</c:v>
                </c:pt>
                <c:pt idx="44">
                  <c:v>1.875</c:v>
                </c:pt>
                <c:pt idx="45">
                  <c:v>1.875</c:v>
                </c:pt>
                <c:pt idx="46">
                  <c:v>1.875</c:v>
                </c:pt>
                <c:pt idx="47">
                  <c:v>2.5</c:v>
                </c:pt>
                <c:pt idx="48">
                  <c:v>1.875</c:v>
                </c:pt>
                <c:pt idx="49">
                  <c:v>1.875</c:v>
                </c:pt>
                <c:pt idx="50">
                  <c:v>2.5</c:v>
                </c:pt>
                <c:pt idx="51">
                  <c:v>2.5</c:v>
                </c:pt>
                <c:pt idx="52">
                  <c:v>2.5</c:v>
                </c:pt>
                <c:pt idx="53">
                  <c:v>1.875</c:v>
                </c:pt>
                <c:pt idx="54">
                  <c:v>2.5</c:v>
                </c:pt>
                <c:pt idx="55">
                  <c:v>1.875</c:v>
                </c:pt>
                <c:pt idx="56">
                  <c:v>1.875</c:v>
                </c:pt>
                <c:pt idx="57">
                  <c:v>1.875</c:v>
                </c:pt>
                <c:pt idx="58">
                  <c:v>2.5</c:v>
                </c:pt>
                <c:pt idx="59">
                  <c:v>1.875</c:v>
                </c:pt>
                <c:pt idx="60">
                  <c:v>1.875</c:v>
                </c:pt>
                <c:pt idx="61">
                  <c:v>2.5</c:v>
                </c:pt>
                <c:pt idx="62">
                  <c:v>2.5</c:v>
                </c:pt>
                <c:pt idx="63">
                  <c:v>2.5</c:v>
                </c:pt>
                <c:pt idx="64">
                  <c:v>1.875</c:v>
                </c:pt>
                <c:pt idx="65">
                  <c:v>2.5</c:v>
                </c:pt>
                <c:pt idx="66">
                  <c:v>1.875</c:v>
                </c:pt>
                <c:pt idx="67">
                  <c:v>1.875</c:v>
                </c:pt>
                <c:pt idx="68">
                  <c:v>1.875</c:v>
                </c:pt>
                <c:pt idx="69">
                  <c:v>2.5</c:v>
                </c:pt>
                <c:pt idx="70">
                  <c:v>1.875</c:v>
                </c:pt>
                <c:pt idx="71">
                  <c:v>1.875</c:v>
                </c:pt>
                <c:pt idx="72">
                  <c:v>2.5</c:v>
                </c:pt>
                <c:pt idx="73">
                  <c:v>2.5</c:v>
                </c:pt>
                <c:pt idx="74">
                  <c:v>2.5</c:v>
                </c:pt>
                <c:pt idx="75">
                  <c:v>1.875</c:v>
                </c:pt>
                <c:pt idx="76">
                  <c:v>4</c:v>
                </c:pt>
                <c:pt idx="77">
                  <c:v>3</c:v>
                </c:pt>
                <c:pt idx="78">
                  <c:v>3</c:v>
                </c:pt>
                <c:pt idx="79">
                  <c:v>3</c:v>
                </c:pt>
                <c:pt idx="80">
                  <c:v>4</c:v>
                </c:pt>
                <c:pt idx="81">
                  <c:v>3</c:v>
                </c:pt>
                <c:pt idx="82">
                  <c:v>3</c:v>
                </c:pt>
                <c:pt idx="83">
                  <c:v>4</c:v>
                </c:pt>
                <c:pt idx="84">
                  <c:v>4</c:v>
                </c:pt>
                <c:pt idx="85">
                  <c:v>4</c:v>
                </c:pt>
                <c:pt idx="86">
                  <c:v>3</c:v>
                </c:pt>
                <c:pt idx="87">
                  <c:v>4</c:v>
                </c:pt>
                <c:pt idx="88">
                  <c:v>3</c:v>
                </c:pt>
                <c:pt idx="89">
                  <c:v>3</c:v>
                </c:pt>
                <c:pt idx="90">
                  <c:v>3</c:v>
                </c:pt>
                <c:pt idx="91">
                  <c:v>4</c:v>
                </c:pt>
                <c:pt idx="92">
                  <c:v>3</c:v>
                </c:pt>
                <c:pt idx="93">
                  <c:v>3</c:v>
                </c:pt>
                <c:pt idx="94">
                  <c:v>4</c:v>
                </c:pt>
                <c:pt idx="95">
                  <c:v>4</c:v>
                </c:pt>
                <c:pt idx="96">
                  <c:v>4</c:v>
                </c:pt>
                <c:pt idx="97">
                  <c:v>3</c:v>
                </c:pt>
                <c:pt idx="98">
                  <c:v>1</c:v>
                </c:pt>
                <c:pt idx="99">
                  <c:v>0.75</c:v>
                </c:pt>
                <c:pt idx="100">
                  <c:v>0.75</c:v>
                </c:pt>
                <c:pt idx="101">
                  <c:v>0.75</c:v>
                </c:pt>
                <c:pt idx="102">
                  <c:v>1</c:v>
                </c:pt>
                <c:pt idx="103">
                  <c:v>0.75</c:v>
                </c:pt>
                <c:pt idx="104">
                  <c:v>0.75</c:v>
                </c:pt>
                <c:pt idx="105">
                  <c:v>1</c:v>
                </c:pt>
                <c:pt idx="106">
                  <c:v>1</c:v>
                </c:pt>
                <c:pt idx="107">
                  <c:v>1</c:v>
                </c:pt>
                <c:pt idx="108">
                  <c:v>0.75</c:v>
                </c:pt>
                <c:pt idx="109">
                  <c:v>1.875</c:v>
                </c:pt>
                <c:pt idx="110">
                  <c:v>1.875</c:v>
                </c:pt>
                <c:pt idx="111">
                  <c:v>1.875</c:v>
                </c:pt>
                <c:pt idx="112">
                  <c:v>1.875</c:v>
                </c:pt>
                <c:pt idx="113">
                  <c:v>2.5</c:v>
                </c:pt>
                <c:pt idx="114">
                  <c:v>2.5</c:v>
                </c:pt>
                <c:pt idx="115">
                  <c:v>1.875</c:v>
                </c:pt>
                <c:pt idx="116">
                  <c:v>1.875</c:v>
                </c:pt>
                <c:pt idx="117">
                  <c:v>1.875</c:v>
                </c:pt>
                <c:pt idx="118">
                  <c:v>1.875</c:v>
                </c:pt>
                <c:pt idx="119">
                  <c:v>1.875</c:v>
                </c:pt>
                <c:pt idx="120">
                  <c:v>2.5</c:v>
                </c:pt>
                <c:pt idx="121">
                  <c:v>2.5</c:v>
                </c:pt>
                <c:pt idx="122">
                  <c:v>1.875</c:v>
                </c:pt>
                <c:pt idx="123">
                  <c:v>3</c:v>
                </c:pt>
                <c:pt idx="124">
                  <c:v>3</c:v>
                </c:pt>
                <c:pt idx="125">
                  <c:v>3</c:v>
                </c:pt>
                <c:pt idx="126">
                  <c:v>3</c:v>
                </c:pt>
                <c:pt idx="127">
                  <c:v>4</c:v>
                </c:pt>
                <c:pt idx="128">
                  <c:v>4</c:v>
                </c:pt>
                <c:pt idx="129">
                  <c:v>3</c:v>
                </c:pt>
                <c:pt idx="130">
                  <c:v>3</c:v>
                </c:pt>
                <c:pt idx="131">
                  <c:v>3</c:v>
                </c:pt>
                <c:pt idx="132">
                  <c:v>3</c:v>
                </c:pt>
                <c:pt idx="133">
                  <c:v>3</c:v>
                </c:pt>
                <c:pt idx="134">
                  <c:v>4</c:v>
                </c:pt>
                <c:pt idx="135">
                  <c:v>4</c:v>
                </c:pt>
                <c:pt idx="136">
                  <c:v>3</c:v>
                </c:pt>
                <c:pt idx="137">
                  <c:v>3</c:v>
                </c:pt>
                <c:pt idx="138">
                  <c:v>3</c:v>
                </c:pt>
                <c:pt idx="139">
                  <c:v>3</c:v>
                </c:pt>
                <c:pt idx="140">
                  <c:v>3</c:v>
                </c:pt>
                <c:pt idx="141">
                  <c:v>4</c:v>
                </c:pt>
                <c:pt idx="142">
                  <c:v>4</c:v>
                </c:pt>
                <c:pt idx="143">
                  <c:v>3</c:v>
                </c:pt>
                <c:pt idx="144">
                  <c:v>3</c:v>
                </c:pt>
                <c:pt idx="145">
                  <c:v>3</c:v>
                </c:pt>
                <c:pt idx="146">
                  <c:v>3</c:v>
                </c:pt>
                <c:pt idx="147">
                  <c:v>3</c:v>
                </c:pt>
                <c:pt idx="148">
                  <c:v>4</c:v>
                </c:pt>
                <c:pt idx="149">
                  <c:v>4</c:v>
                </c:pt>
                <c:pt idx="150">
                  <c:v>3</c:v>
                </c:pt>
                <c:pt idx="151">
                  <c:v>1.875</c:v>
                </c:pt>
                <c:pt idx="152">
                  <c:v>1.875</c:v>
                </c:pt>
                <c:pt idx="153">
                  <c:v>1.875</c:v>
                </c:pt>
                <c:pt idx="154">
                  <c:v>1.875</c:v>
                </c:pt>
                <c:pt idx="155">
                  <c:v>2.5</c:v>
                </c:pt>
                <c:pt idx="156">
                  <c:v>2.5</c:v>
                </c:pt>
                <c:pt idx="157">
                  <c:v>2.5</c:v>
                </c:pt>
                <c:pt idx="158">
                  <c:v>1.875</c:v>
                </c:pt>
                <c:pt idx="159">
                  <c:v>2.5</c:v>
                </c:pt>
                <c:pt idx="160">
                  <c:v>2.5</c:v>
                </c:pt>
                <c:pt idx="161">
                  <c:v>2.5</c:v>
                </c:pt>
                <c:pt idx="162">
                  <c:v>4</c:v>
                </c:pt>
                <c:pt idx="163">
                  <c:v>3</c:v>
                </c:pt>
                <c:pt idx="164">
                  <c:v>4</c:v>
                </c:pt>
                <c:pt idx="165">
                  <c:v>4</c:v>
                </c:pt>
                <c:pt idx="166">
                  <c:v>4</c:v>
                </c:pt>
                <c:pt idx="167">
                  <c:v>4</c:v>
                </c:pt>
                <c:pt idx="168">
                  <c:v>3</c:v>
                </c:pt>
                <c:pt idx="169">
                  <c:v>4</c:v>
                </c:pt>
                <c:pt idx="170">
                  <c:v>4</c:v>
                </c:pt>
                <c:pt idx="171">
                  <c:v>4</c:v>
                </c:pt>
                <c:pt idx="172">
                  <c:v>4</c:v>
                </c:pt>
                <c:pt idx="173">
                  <c:v>1</c:v>
                </c:pt>
                <c:pt idx="174">
                  <c:v>0.75</c:v>
                </c:pt>
                <c:pt idx="175">
                  <c:v>1</c:v>
                </c:pt>
                <c:pt idx="176">
                  <c:v>1</c:v>
                </c:pt>
                <c:pt idx="177">
                  <c:v>1</c:v>
                </c:pt>
                <c:pt idx="178">
                  <c:v>1</c:v>
                </c:pt>
                <c:pt idx="179">
                  <c:v>4</c:v>
                </c:pt>
                <c:pt idx="180">
                  <c:v>3</c:v>
                </c:pt>
                <c:pt idx="181">
                  <c:v>4</c:v>
                </c:pt>
                <c:pt idx="182">
                  <c:v>4</c:v>
                </c:pt>
                <c:pt idx="183">
                  <c:v>4</c:v>
                </c:pt>
                <c:pt idx="184">
                  <c:v>4</c:v>
                </c:pt>
                <c:pt idx="185">
                  <c:v>4</c:v>
                </c:pt>
                <c:pt idx="186">
                  <c:v>3</c:v>
                </c:pt>
                <c:pt idx="187">
                  <c:v>4</c:v>
                </c:pt>
                <c:pt idx="188">
                  <c:v>4</c:v>
                </c:pt>
                <c:pt idx="189">
                  <c:v>4</c:v>
                </c:pt>
                <c:pt idx="190">
                  <c:v>4</c:v>
                </c:pt>
                <c:pt idx="191">
                  <c:v>2.5</c:v>
                </c:pt>
                <c:pt idx="192">
                  <c:v>1.875</c:v>
                </c:pt>
                <c:pt idx="193">
                  <c:v>2.5</c:v>
                </c:pt>
                <c:pt idx="194">
                  <c:v>2.5</c:v>
                </c:pt>
                <c:pt idx="195">
                  <c:v>2.5</c:v>
                </c:pt>
                <c:pt idx="196">
                  <c:v>2.5</c:v>
                </c:pt>
              </c:numCache>
            </c:numRef>
          </c:yVal>
          <c:smooth val="0"/>
          <c:extLst>
            <c:ext xmlns:c16="http://schemas.microsoft.com/office/drawing/2014/chart" uri="{C3380CC4-5D6E-409C-BE32-E72D297353CC}">
              <c16:uniqueId val="{00000003-3419-4633-9669-0B9074EFB602}"/>
            </c:ext>
          </c:extLst>
        </c:ser>
        <c:dLbls>
          <c:showLegendKey val="0"/>
          <c:showVal val="0"/>
          <c:showCatName val="0"/>
          <c:showSerName val="0"/>
          <c:showPercent val="0"/>
          <c:showBubbleSize val="0"/>
        </c:dLbls>
        <c:axId val="1614259584"/>
        <c:axId val="1614257408"/>
      </c:scatterChart>
      <c:valAx>
        <c:axId val="1614259584"/>
        <c:scaling>
          <c:orientation val="minMax"/>
          <c:max val="5"/>
        </c:scaling>
        <c:delete val="1"/>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r>
                  <a:rPr lang="en-US" sz="1200"/>
                  <a:t>PROBABILITY</a:t>
                </a:r>
              </a:p>
            </c:rich>
          </c:tx>
          <c:layout>
            <c:manualLayout>
              <c:xMode val="edge"/>
              <c:yMode val="edge"/>
              <c:x val="0.30039527744544298"/>
              <c:y val="0.85450182363568195"/>
            </c:manualLayout>
          </c:layout>
          <c:overlay val="0"/>
          <c:spPr>
            <a:noFill/>
            <a:ln>
              <a:noFill/>
            </a:ln>
            <a:effectLst/>
          </c:spPr>
          <c:txPr>
            <a:bodyPr rot="0" spcFirstLastPara="1" vertOverflow="ellipsis" vert="horz" wrap="square" anchor="ctr" anchorCtr="1"/>
            <a:lstStyle/>
            <a:p>
              <a:pPr>
                <a:defRPr sz="20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0" sourceLinked="1"/>
        <c:majorTickMark val="out"/>
        <c:minorTickMark val="none"/>
        <c:tickLblPos val="nextTo"/>
        <c:crossAx val="1614257408"/>
        <c:crosses val="autoZero"/>
        <c:crossBetween val="midCat"/>
        <c:majorUnit val="1"/>
        <c:minorUnit val="1"/>
      </c:valAx>
      <c:valAx>
        <c:axId val="1614257408"/>
        <c:scaling>
          <c:orientation val="minMax"/>
          <c:max val="5"/>
        </c:scaling>
        <c:delete val="1"/>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r>
                  <a:rPr lang="en-US" sz="1200"/>
                  <a:t>IMPACT</a:t>
                </a:r>
              </a:p>
            </c:rich>
          </c:tx>
          <c:layout>
            <c:manualLayout>
              <c:xMode val="edge"/>
              <c:yMode val="edge"/>
              <c:x val="2.7304216283309413E-2"/>
              <c:y val="0.29299725636278462"/>
            </c:manualLayout>
          </c:layout>
          <c:overlay val="0"/>
          <c:spPr>
            <a:noFill/>
            <a:ln>
              <a:noFill/>
            </a:ln>
            <a:effectLst/>
          </c:spPr>
          <c:txPr>
            <a:bodyPr rot="-5400000" spcFirstLastPara="1" vertOverflow="ellipsis" vert="horz" wrap="square" anchor="ctr" anchorCtr="1"/>
            <a:lstStyle/>
            <a:p>
              <a:pPr>
                <a:defRPr sz="2000" b="0" i="0" u="none" strike="noStrike" kern="1200" cap="all"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0" sourceLinked="1"/>
        <c:majorTickMark val="out"/>
        <c:minorTickMark val="none"/>
        <c:tickLblPos val="nextTo"/>
        <c:crossAx val="1614259584"/>
        <c:crosses val="autoZero"/>
        <c:crossBetween val="midCat"/>
        <c:minorUnit val="1"/>
      </c:valAx>
      <c:spPr>
        <a:gradFill flip="none" rotWithShape="1">
          <a:gsLst>
            <a:gs pos="23000">
              <a:srgbClr val="FFC000"/>
            </a:gs>
            <a:gs pos="9000">
              <a:srgbClr val="FF0000"/>
            </a:gs>
            <a:gs pos="38000">
              <a:srgbClr val="FFFF66"/>
            </a:gs>
            <a:gs pos="78000">
              <a:srgbClr val="00B050"/>
            </a:gs>
            <a:gs pos="56000">
              <a:srgbClr val="92D050"/>
            </a:gs>
          </a:gsLst>
          <a:lin ang="8100000" scaled="1"/>
          <a:tileRect/>
        </a:gradFill>
        <a:ln>
          <a:noFill/>
        </a:ln>
        <a:effectLst/>
      </c:spPr>
    </c:plotArea>
    <c:plotVisOnly val="1"/>
    <c:dispBlanksAs val="gap"/>
    <c:showDLblsOverMax val="0"/>
  </c:chart>
  <c:spPr>
    <a:noFill/>
    <a:ln w="9525" cap="flat" cmpd="sng" algn="ctr">
      <a:noFill/>
      <a:round/>
    </a:ln>
    <a:effectLst/>
  </c:spPr>
  <c:txPr>
    <a:bodyPr/>
    <a:lstStyle/>
    <a:p>
      <a:pPr>
        <a:defRPr sz="20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[ADR 001.02 (ANEXO A)_ANÁLISIS DE RIESGOS 2024.xlsm]Resultados!TablaDinámica1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Resultado de los Riesgos</a:t>
            </a:r>
          </a:p>
        </c:rich>
      </c:tx>
      <c:layout>
        <c:manualLayout>
          <c:xMode val="edge"/>
          <c:yMode val="edge"/>
          <c:x val="0.41443595027906016"/>
          <c:y val="1.743566163706976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outerShdw blurRad="1270000" dist="2540000" dir="21540000" sx="1000" sy="1000" algn="ctr" rotWithShape="0">
              <a:srgbClr val="000000">
                <a:alpha val="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Resultados!$C$4</c:f>
              <c:strCache>
                <c:ptCount val="1"/>
                <c:pt idx="0">
                  <c:v>Total</c:v>
                </c:pt>
              </c:strCache>
            </c:strRef>
          </c:tx>
          <c:spPr>
            <a:solidFill>
              <a:schemeClr val="accent1"/>
            </a:solidFill>
            <a:ln>
              <a:noFill/>
            </a:ln>
            <a:effectLst>
              <a:outerShdw blurRad="1270000" dist="2540000" dir="21540000" sx="1000" sy="1000" algn="ctr" rotWithShape="0">
                <a:srgbClr val="000000">
                  <a:alpha val="0"/>
                </a:srgbClr>
              </a:outerShdw>
            </a:effectLst>
          </c:spPr>
          <c:invertIfNegative val="0"/>
          <c:cat>
            <c:strRef>
              <c:f>Resultados!$B$5:$B$9</c:f>
              <c:strCache>
                <c:ptCount val="4"/>
                <c:pt idx="0">
                  <c:v>[Actividad malintencionada / abuso] Acceso no autorizado</c:v>
                </c:pt>
                <c:pt idx="1">
                  <c:v>[Actividad malintencionada / abuso] Alteración de la información</c:v>
                </c:pt>
                <c:pt idx="2">
                  <c:v>[Actividad malintencionada / abuso] Ingeniería social</c:v>
                </c:pt>
                <c:pt idx="3">
                  <c:v>[Daños accidentales] Destrucción de información</c:v>
                </c:pt>
              </c:strCache>
            </c:strRef>
          </c:cat>
          <c:val>
            <c:numRef>
              <c:f>Resultados!$C$5:$C$9</c:f>
              <c:numCache>
                <c:formatCode>General</c:formatCode>
                <c:ptCount val="4"/>
                <c:pt idx="0">
                  <c:v>28</c:v>
                </c:pt>
                <c:pt idx="1">
                  <c:v>3</c:v>
                </c:pt>
                <c:pt idx="2">
                  <c:v>9</c:v>
                </c:pt>
                <c:pt idx="3">
                  <c:v>3</c:v>
                </c:pt>
              </c:numCache>
            </c:numRef>
          </c:val>
          <c:extLst>
            <c:ext xmlns:c16="http://schemas.microsoft.com/office/drawing/2014/chart" uri="{C3380CC4-5D6E-409C-BE32-E72D297353CC}">
              <c16:uniqueId val="{00000030-A3F0-432B-8939-A1561FF9736E}"/>
            </c:ext>
          </c:extLst>
        </c:ser>
        <c:dLbls>
          <c:showLegendKey val="0"/>
          <c:showVal val="0"/>
          <c:showCatName val="0"/>
          <c:showSerName val="0"/>
          <c:showPercent val="0"/>
          <c:showBubbleSize val="0"/>
        </c:dLbls>
        <c:gapWidth val="219"/>
        <c:overlap val="-27"/>
        <c:axId val="474548176"/>
        <c:axId val="1746174160"/>
      </c:barChart>
      <c:catAx>
        <c:axId val="474548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46174160"/>
        <c:crosses val="autoZero"/>
        <c:auto val="1"/>
        <c:lblAlgn val="ctr"/>
        <c:lblOffset val="100"/>
        <c:noMultiLvlLbl val="0"/>
      </c:catAx>
      <c:valAx>
        <c:axId val="1746174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4548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342900</xdr:colOff>
      <xdr:row>0</xdr:row>
      <xdr:rowOff>123825</xdr:rowOff>
    </xdr:from>
    <xdr:to>
      <xdr:col>15</xdr:col>
      <xdr:colOff>390525</xdr:colOff>
      <xdr:row>10</xdr:row>
      <xdr:rowOff>19050</xdr:rowOff>
    </xdr:to>
    <xdr:sp macro="" textlink="">
      <xdr:nvSpPr>
        <xdr:cNvPr id="2" name="CuadroTexto 1">
          <a:extLst>
            <a:ext uri="{FF2B5EF4-FFF2-40B4-BE49-F238E27FC236}">
              <a16:creationId xmlns:a16="http://schemas.microsoft.com/office/drawing/2014/main" id="{9E1B0C93-60C0-A768-55D5-88F7BC1EF051}"/>
            </a:ext>
          </a:extLst>
        </xdr:cNvPr>
        <xdr:cNvSpPr txBox="1"/>
      </xdr:nvSpPr>
      <xdr:spPr>
        <a:xfrm>
          <a:off x="8543925" y="123825"/>
          <a:ext cx="5381625"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Esta</a:t>
          </a:r>
          <a:r>
            <a:rPr lang="es-ES" sz="1100" baseline="0"/>
            <a:t> herramienta tiene como objetivo realizar análisis de riesgos basados en la norma ISO 27001. En esta pestaña se encuentra explicado el funcionamiento de la misma y los datos a introducir para poder realizar un mantenimiento del análisis de riesgos así como para la cumplimentación del respectivo informe de análisis de riesgos y el plan de acción a establecer.</a:t>
          </a:r>
        </a:p>
        <a:p>
          <a:endParaRPr lang="es-ES" sz="1100" baseline="0"/>
        </a:p>
        <a:p>
          <a:r>
            <a:rPr lang="es-ES" sz="1100" baseline="0"/>
            <a:t>Esta herramienta es de elaboración propia de CYBERXIA, por lo que el uso de la presente herramienta sin el consentimiento de la organización será considerado una vulneración de </a:t>
          </a:r>
          <a:endParaRPr lang="es-ES" sz="1100"/>
        </a:p>
      </xdr:txBody>
    </xdr:sp>
    <xdr:clientData/>
  </xdr:twoCellAnchor>
  <xdr:twoCellAnchor>
    <xdr:from>
      <xdr:col>8</xdr:col>
      <xdr:colOff>320040</xdr:colOff>
      <xdr:row>10</xdr:row>
      <xdr:rowOff>137160</xdr:rowOff>
    </xdr:from>
    <xdr:to>
      <xdr:col>15</xdr:col>
      <xdr:colOff>365760</xdr:colOff>
      <xdr:row>22</xdr:row>
      <xdr:rowOff>45720</xdr:rowOff>
    </xdr:to>
    <xdr:sp macro="" textlink="">
      <xdr:nvSpPr>
        <xdr:cNvPr id="3" name="CuadroTexto 2">
          <a:extLst>
            <a:ext uri="{FF2B5EF4-FFF2-40B4-BE49-F238E27FC236}">
              <a16:creationId xmlns:a16="http://schemas.microsoft.com/office/drawing/2014/main" id="{9F3D7D92-210E-4D52-8C99-EC6300E0A49C}"/>
            </a:ext>
          </a:extLst>
        </xdr:cNvPr>
        <xdr:cNvSpPr txBox="1"/>
      </xdr:nvSpPr>
      <xdr:spPr>
        <a:xfrm>
          <a:off x="6659880" y="1965960"/>
          <a:ext cx="5593080" cy="2103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Pestaña</a:t>
          </a:r>
          <a:r>
            <a:rPr lang="es-ES" sz="1100" baseline="0"/>
            <a:t> de DATOS: Contiene la pestaña de datos de la organización a realizar el análisis de gestión de riesgos divididos por taxonomías. </a:t>
          </a:r>
        </a:p>
        <a:p>
          <a:endParaRPr lang="es-ES" sz="1100" baseline="0"/>
        </a:p>
        <a:p>
          <a:r>
            <a:rPr lang="es-ES" sz="1100" baseline="0"/>
            <a:t>Pestaña Amenazas VS  Taxonomías: interrelaciona los tipos de amenazas existentes y considerados por la norma ISO 27001 con los tipos de activos existentes (taxonomías). </a:t>
          </a:r>
        </a:p>
        <a:p>
          <a:endParaRPr lang="es-ES" sz="1100" baseline="0"/>
        </a:p>
        <a:p>
          <a:r>
            <a:rPr lang="es-ES" sz="1100"/>
            <a:t>Pestaña</a:t>
          </a:r>
          <a:r>
            <a:rPr lang="es-ES" sz="1100" baseline="0"/>
            <a:t> Amenazas vs Activos Organización: Interrelaciona las Amenazas existentes junto con los activos concretos de la organización. </a:t>
          </a:r>
        </a:p>
        <a:p>
          <a:endParaRPr lang="es-ES" sz="1100" baseline="0"/>
        </a:p>
        <a:p>
          <a:r>
            <a:rPr lang="es-ES" sz="1100" baseline="0"/>
            <a:t>Pestaña Controles vs Amenazas: Interrelaciona los controles establecidos por la ISO 27001 junto con las amenazas y la madurez extraída de la pestaña Datos_Organización.</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199697</xdr:colOff>
      <xdr:row>1</xdr:row>
      <xdr:rowOff>10511</xdr:rowOff>
    </xdr:from>
    <xdr:to>
      <xdr:col>21</xdr:col>
      <xdr:colOff>719958</xdr:colOff>
      <xdr:row>17</xdr:row>
      <xdr:rowOff>68319</xdr:rowOff>
    </xdr:to>
    <xdr:pic>
      <xdr:nvPicPr>
        <xdr:cNvPr id="2" name="Imagen 1" descr="Sabes en qué nivel de madurez se encuentra la postura de ciberseguridad de  tú organización?">
          <a:extLst>
            <a:ext uri="{FF2B5EF4-FFF2-40B4-BE49-F238E27FC236}">
              <a16:creationId xmlns:a16="http://schemas.microsoft.com/office/drawing/2014/main" id="{F6843410-9F2C-79F0-C20A-FF7FFF49CDC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173247" y="239111"/>
          <a:ext cx="4235011" cy="2239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36787</xdr:colOff>
      <xdr:row>11</xdr:row>
      <xdr:rowOff>126125</xdr:rowOff>
    </xdr:from>
    <xdr:to>
      <xdr:col>17</xdr:col>
      <xdr:colOff>441435</xdr:colOff>
      <xdr:row>14</xdr:row>
      <xdr:rowOff>78828</xdr:rowOff>
    </xdr:to>
    <xdr:sp macro="" textlink="">
      <xdr:nvSpPr>
        <xdr:cNvPr id="3" name="CuadroTexto 2">
          <a:extLst>
            <a:ext uri="{FF2B5EF4-FFF2-40B4-BE49-F238E27FC236}">
              <a16:creationId xmlns:a16="http://schemas.microsoft.com/office/drawing/2014/main" id="{7DB92CF1-D19E-C116-CEFD-D4C7C80B7F4B}"/>
            </a:ext>
          </a:extLst>
        </xdr:cNvPr>
        <xdr:cNvSpPr txBox="1"/>
      </xdr:nvSpPr>
      <xdr:spPr>
        <a:xfrm>
          <a:off x="18062028" y="1723697"/>
          <a:ext cx="404648" cy="3468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kern="1200"/>
            <a:t>1</a:t>
          </a:r>
        </a:p>
      </xdr:txBody>
    </xdr:sp>
    <xdr:clientData/>
  </xdr:twoCellAnchor>
  <xdr:twoCellAnchor>
    <xdr:from>
      <xdr:col>17</xdr:col>
      <xdr:colOff>861849</xdr:colOff>
      <xdr:row>11</xdr:row>
      <xdr:rowOff>120871</xdr:rowOff>
    </xdr:from>
    <xdr:to>
      <xdr:col>18</xdr:col>
      <xdr:colOff>268014</xdr:colOff>
      <xdr:row>14</xdr:row>
      <xdr:rowOff>73574</xdr:rowOff>
    </xdr:to>
    <xdr:sp macro="" textlink="">
      <xdr:nvSpPr>
        <xdr:cNvPr id="4" name="CuadroTexto 3">
          <a:extLst>
            <a:ext uri="{FF2B5EF4-FFF2-40B4-BE49-F238E27FC236}">
              <a16:creationId xmlns:a16="http://schemas.microsoft.com/office/drawing/2014/main" id="{36B1E72E-117F-414C-9700-52CD7DC36072}"/>
            </a:ext>
          </a:extLst>
        </xdr:cNvPr>
        <xdr:cNvSpPr txBox="1"/>
      </xdr:nvSpPr>
      <xdr:spPr>
        <a:xfrm>
          <a:off x="18887090" y="1718443"/>
          <a:ext cx="404648" cy="3468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kern="1200"/>
            <a:t>2</a:t>
          </a:r>
        </a:p>
      </xdr:txBody>
    </xdr:sp>
    <xdr:clientData/>
  </xdr:twoCellAnchor>
  <xdr:twoCellAnchor>
    <xdr:from>
      <xdr:col>18</xdr:col>
      <xdr:colOff>683173</xdr:colOff>
      <xdr:row>11</xdr:row>
      <xdr:rowOff>110360</xdr:rowOff>
    </xdr:from>
    <xdr:to>
      <xdr:col>19</xdr:col>
      <xdr:colOff>341586</xdr:colOff>
      <xdr:row>14</xdr:row>
      <xdr:rowOff>63063</xdr:rowOff>
    </xdr:to>
    <xdr:sp macro="" textlink="">
      <xdr:nvSpPr>
        <xdr:cNvPr id="5" name="CuadroTexto 4">
          <a:extLst>
            <a:ext uri="{FF2B5EF4-FFF2-40B4-BE49-F238E27FC236}">
              <a16:creationId xmlns:a16="http://schemas.microsoft.com/office/drawing/2014/main" id="{B7969813-3876-4012-A7B3-E89C7B51083A}"/>
            </a:ext>
          </a:extLst>
        </xdr:cNvPr>
        <xdr:cNvSpPr txBox="1"/>
      </xdr:nvSpPr>
      <xdr:spPr>
        <a:xfrm>
          <a:off x="19706897" y="1707932"/>
          <a:ext cx="404648" cy="3468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kern="1200"/>
            <a:t>3</a:t>
          </a:r>
        </a:p>
      </xdr:txBody>
    </xdr:sp>
    <xdr:clientData/>
  </xdr:twoCellAnchor>
  <xdr:twoCellAnchor>
    <xdr:from>
      <xdr:col>20</xdr:col>
      <xdr:colOff>5255</xdr:colOff>
      <xdr:row>11</xdr:row>
      <xdr:rowOff>115615</xdr:rowOff>
    </xdr:from>
    <xdr:to>
      <xdr:col>20</xdr:col>
      <xdr:colOff>409903</xdr:colOff>
      <xdr:row>14</xdr:row>
      <xdr:rowOff>68318</xdr:rowOff>
    </xdr:to>
    <xdr:sp macro="" textlink="">
      <xdr:nvSpPr>
        <xdr:cNvPr id="6" name="CuadroTexto 5">
          <a:extLst>
            <a:ext uri="{FF2B5EF4-FFF2-40B4-BE49-F238E27FC236}">
              <a16:creationId xmlns:a16="http://schemas.microsoft.com/office/drawing/2014/main" id="{737F31DC-F183-4160-A53E-2511FF911E28}"/>
            </a:ext>
          </a:extLst>
        </xdr:cNvPr>
        <xdr:cNvSpPr txBox="1"/>
      </xdr:nvSpPr>
      <xdr:spPr>
        <a:xfrm>
          <a:off x="20521448" y="1713187"/>
          <a:ext cx="404648" cy="3468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kern="1200"/>
            <a:t>4</a:t>
          </a:r>
        </a:p>
      </xdr:txBody>
    </xdr:sp>
    <xdr:clientData/>
  </xdr:twoCellAnchor>
  <xdr:twoCellAnchor>
    <xdr:from>
      <xdr:col>21</xdr:col>
      <xdr:colOff>89338</xdr:colOff>
      <xdr:row>11</xdr:row>
      <xdr:rowOff>115615</xdr:rowOff>
    </xdr:from>
    <xdr:to>
      <xdr:col>21</xdr:col>
      <xdr:colOff>493986</xdr:colOff>
      <xdr:row>14</xdr:row>
      <xdr:rowOff>68318</xdr:rowOff>
    </xdr:to>
    <xdr:sp macro="" textlink="">
      <xdr:nvSpPr>
        <xdr:cNvPr id="7" name="CuadroTexto 6">
          <a:extLst>
            <a:ext uri="{FF2B5EF4-FFF2-40B4-BE49-F238E27FC236}">
              <a16:creationId xmlns:a16="http://schemas.microsoft.com/office/drawing/2014/main" id="{741F374D-9737-4713-999C-0E8D9816E431}"/>
            </a:ext>
          </a:extLst>
        </xdr:cNvPr>
        <xdr:cNvSpPr txBox="1"/>
      </xdr:nvSpPr>
      <xdr:spPr>
        <a:xfrm>
          <a:off x="21351766" y="1713187"/>
          <a:ext cx="404648" cy="3468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kern="1200"/>
            <a:t>5</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230281</xdr:colOff>
      <xdr:row>1</xdr:row>
      <xdr:rowOff>61632</xdr:rowOff>
    </xdr:from>
    <xdr:to>
      <xdr:col>2</xdr:col>
      <xdr:colOff>2386852</xdr:colOff>
      <xdr:row>2</xdr:row>
      <xdr:rowOff>1146362</xdr:rowOff>
    </xdr:to>
    <xdr:sp macro="" textlink="">
      <xdr:nvSpPr>
        <xdr:cNvPr id="2" name="CuadroTexto 1">
          <a:extLst>
            <a:ext uri="{FF2B5EF4-FFF2-40B4-BE49-F238E27FC236}">
              <a16:creationId xmlns:a16="http://schemas.microsoft.com/office/drawing/2014/main" id="{FD6F2967-5828-437B-0BB3-CC368217BC1E}"/>
            </a:ext>
          </a:extLst>
        </xdr:cNvPr>
        <xdr:cNvSpPr txBox="1"/>
      </xdr:nvSpPr>
      <xdr:spPr>
        <a:xfrm>
          <a:off x="230281" y="280707"/>
          <a:ext cx="3090021" cy="13038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Nota:</a:t>
          </a:r>
          <a:r>
            <a:rPr lang="es-ES" sz="1100" baseline="0"/>
            <a:t> Nivel de madurez con el que cuenta la organización en relación con los controles referentes a la ISO 27001 y las amenazas identificadas que afectan a cada control. </a:t>
          </a:r>
        </a:p>
        <a:p>
          <a:endParaRPr lang="es-ES" sz="1100" baseline="0"/>
        </a:p>
        <a:p>
          <a:r>
            <a:rPr lang="es-ES" sz="1100" baseline="0"/>
            <a:t>Nota2: Para cambiar el nivel de madurez de la organización se debe ir a la hoja de este mismo documento denominada como DATA y cambiar los niveles de madurez en la correspondiente tabla. </a:t>
          </a:r>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85725</xdr:colOff>
      <xdr:row>2</xdr:row>
      <xdr:rowOff>95249</xdr:rowOff>
    </xdr:from>
    <xdr:to>
      <xdr:col>22</xdr:col>
      <xdr:colOff>381000</xdr:colOff>
      <xdr:row>19</xdr:row>
      <xdr:rowOff>66674</xdr:rowOff>
    </xdr:to>
    <xdr:graphicFrame macro="">
      <xdr:nvGraphicFramePr>
        <xdr:cNvPr id="2" name="Gráfico 1">
          <a:extLst>
            <a:ext uri="{FF2B5EF4-FFF2-40B4-BE49-F238E27FC236}">
              <a16:creationId xmlns:a16="http://schemas.microsoft.com/office/drawing/2014/main" id="{6E4DCDE1-78C3-428C-A37D-2889F3EF5F09}"/>
            </a:ext>
            <a:ext uri="{147F2762-F138-4A5C-976F-8EAC2B608ADB}">
              <a16:predDERef xmlns:a16="http://schemas.microsoft.com/office/drawing/2014/main" pre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572769</xdr:colOff>
      <xdr:row>5</xdr:row>
      <xdr:rowOff>78741</xdr:rowOff>
    </xdr:from>
    <xdr:to>
      <xdr:col>7</xdr:col>
      <xdr:colOff>373380</xdr:colOff>
      <xdr:row>18</xdr:row>
      <xdr:rowOff>135255</xdr:rowOff>
    </xdr:to>
    <xdr:graphicFrame macro="">
      <xdr:nvGraphicFramePr>
        <xdr:cNvPr id="2" name="Gráfico 1">
          <a:extLst>
            <a:ext uri="{FF2B5EF4-FFF2-40B4-BE49-F238E27FC236}">
              <a16:creationId xmlns:a16="http://schemas.microsoft.com/office/drawing/2014/main" id="{3E64817D-7725-660E-2AB0-122C6C1356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normativa@cyberxiasec.com" id="{D61F0676-664C-4BA6-9D29-62C2FF3F3ABC}" userId="S::urn:spo:guest#normativa@cyberxiasec.com::" providerId="AD"/>
  <person displayName="David Pozo Sánchez" id="{7ABD7BCE-426F-4289-9BE9-18CB274BACBD}" userId="S::david.pozo@spikatech.com::f05804e0-2897-4624-b38e-fa47c4ee641c"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or" refreshedDate="45447.549268171293" createdVersion="8" refreshedVersion="8" minRefreshableVersion="3" recordCount="391" xr:uid="{35EAC5EE-C015-4696-B85C-5B5B591383DA}">
  <cacheSource type="worksheet">
    <worksheetSource ref="A3:M200" sheet="Riesgos"/>
  </cacheSource>
  <cacheFields count="14">
    <cacheField name="Asset ID" numFmtId="0">
      <sharedItems count="60">
        <s v="AS01"/>
        <s v="AS02"/>
        <s v="AS03"/>
        <s v="AS04"/>
        <s v="AS05"/>
        <s v="AS06"/>
        <s v="AS07"/>
        <s v="AS08"/>
        <s v="AS09"/>
        <s v="AS10"/>
        <s v="AS11"/>
        <s v="AS12"/>
        <s v="AS13"/>
        <s v="AS14"/>
        <s v="AS15"/>
        <s v="AS16"/>
        <s v="AS17"/>
        <s v="AS18"/>
        <s v="AS19"/>
        <s v="AS20"/>
        <s v="AS21"/>
        <s v="AS22"/>
        <s v="AS23"/>
        <s v="AS24"/>
        <s v="AS25"/>
        <s v="AS26"/>
        <s v="AS27"/>
        <s v="AS28"/>
        <s v="AS29"/>
        <s v="AS30"/>
        <s v="AS31"/>
        <s v="AS32"/>
        <s v="AS33"/>
        <s v="AS34"/>
        <s v="AS35"/>
        <s v="AS36"/>
        <s v="AS37"/>
        <s v="AS38"/>
        <s v="AS39"/>
        <s v="AS40"/>
        <s v="AS41"/>
        <s v="AS42"/>
        <s v="AS43"/>
        <s v="AS44"/>
        <s v="AS45"/>
        <s v="AS46"/>
        <s v="AS47"/>
        <s v="AS48"/>
        <s v="AS49"/>
        <s v="AS50"/>
        <s v="AS51"/>
        <s v="AS52"/>
        <s v="AS53"/>
        <s v="AS54"/>
        <s v="AS55"/>
        <s v="AS56"/>
        <s v="AS57"/>
        <s v="AS58"/>
        <s v="AS59"/>
        <s v="AS60"/>
      </sharedItems>
    </cacheField>
    <cacheField name="Asset" numFmtId="0">
      <sharedItems count="60">
        <s v="Personal Directivo"/>
        <s v="Usuarios administradores"/>
        <s v="Usuarios Cloud"/>
        <s v="Usuarios On Premise"/>
        <s v="Usuarios externos Cloud"/>
        <s v="Usuarios externos On Premise"/>
        <s v="Proveedores Desarrollo"/>
        <s v="Proveedores Infraestructura y Comunicaciones"/>
        <s v="Red WAN"/>
        <s v="Red LAN Sedes"/>
        <s v="Red inalámbrica"/>
        <s v="Express Route (Fujitsu, Telefónica, Cloud)"/>
        <s v="Telefónica Intrum Voice WAN - Voz Ip"/>
        <s v="Proxy Data Center Telefónica - Cloud"/>
        <s v="Proxy Data Center Fujitsu - On Premise"/>
        <s v="Firewall Físicos Data Center Fujitsu - On Premise"/>
        <s v="Firewall Físicos Data Center Telefónica - Cloud"/>
        <s v="VPN Telefonica (Pulse Secure) - Cloud"/>
        <s v="VPN Fujitsu (Any Connect) - On Premise"/>
        <s v="VPN Site to Site - Cloud (Telefonica) On Premise (Fujitsu)"/>
        <s v="Citrix - Cloud"/>
        <s v="Citrix Fujitsu - On Premise"/>
        <s v="WAF"/>
        <s v="Servidores físicos - IT Local (impresión, DC)"/>
        <s v="Elementos de soporte de red (switch, modens, hubs, router, WAP)"/>
        <s v="Maquina de Salto"/>
        <s v="Desktop"/>
        <s v="Laptop"/>
        <s v="Mobile"/>
        <s v="Servidores virtualizados Fujitsu - On Premise"/>
        <s v="Servidores virtualizados Azure - Cloud"/>
        <s v="Herramientas de ciberseguridad (SIEM) - Cloud"/>
        <s v="DNS Azure - Cloud"/>
        <s v="DNS Fujitsu - On Premise"/>
        <s v="Aplicaciones de escritorio (Power Bi, Visio, 7zip, Chrome)"/>
        <s v="ARES"/>
        <s v="ASTREA"/>
        <s v="Azure AD (Solvia)"/>
        <s v="Azure Synapse Datalake"/>
        <s v="Colldesk"/>
        <s v="CONTROL-M"/>
        <s v="Intrum Client Portal"/>
        <s v="Intrum Customer Portal"/>
        <s v="Nova (ES)"/>
        <s v="Plataforma comercial"/>
        <s v="PureConnect"/>
        <s v="Qualco QCR"/>
        <s v="Solvia Datalake"/>
        <s v="Aplicaciones SaaS (ServiceNow, Jira, Office 365)"/>
        <s v="Correo electrónico"/>
        <s v="SFTP"/>
        <s v="Active Directory - Cloud "/>
        <s v="Active Directory - On Premise"/>
        <s v="Sedes "/>
        <s v="Salas técnicas"/>
        <s v="Datos de negocio"/>
        <s v="Datos de gestión interna"/>
        <s v="Datos de carácter personal"/>
        <s v="Copias de seguridad"/>
        <s v="Registros de actividad (logs)"/>
      </sharedItems>
    </cacheField>
    <cacheField name="Threat ID" numFmtId="0">
      <sharedItems count="25">
        <s v="TH12"/>
        <s v="TH13"/>
        <s v="TH20"/>
        <s v="TH24"/>
        <s v="TH25"/>
        <s v="TH02"/>
        <s v="TH16"/>
        <s v="TH17"/>
        <s v="TH21"/>
        <s v="TH22"/>
        <s v="TH23"/>
        <s v="TH09"/>
        <s v="TH10"/>
        <s v="TH01"/>
        <s v="TH07"/>
        <s v="TH08"/>
        <s v="TH11"/>
        <s v="TH14"/>
        <s v="TH18"/>
        <s v="TH19"/>
        <s v="TH03"/>
        <s v="TH04"/>
        <s v="TH05"/>
        <s v="TH06"/>
        <s v="TH15"/>
      </sharedItems>
    </cacheField>
    <cacheField name="Threat" numFmtId="0">
      <sharedItems count="25">
        <s v="[Daños accidentales] Errores de los usuarios"/>
        <s v="[Daños accidentales] Errores del administrador"/>
        <s v="[Indisponibilidad del recurso] Indisponibilidad del personal"/>
        <s v="[Actividad malintencionada / abuso] Extorsión"/>
        <s v="[Actividad malintencionada / abuso] Ingeniería social"/>
        <s v="[Daños accidentales] Fuga de información"/>
        <s v="[Actividad malintencionada / abuso] Instalación de software dañino"/>
        <s v="[Daños accidentales] Errores de mantenimiento / actualización de programas (software)"/>
        <s v="[Actividad malintencionada / abuso] Abuso de privilegios de acceso"/>
        <s v="[Actividad malintencionada / abuso] Acceso no autorizado"/>
        <s v="[Actividad malintencionada / abuso] Denegación de servicio"/>
        <s v="[Malfuncionamiento] Fallo de servicios de comunicaciones"/>
        <s v="[Indisponibilidad del recurso] Interrupción de servicios y suministros esenciales"/>
        <s v="[Desastre] Fuego, agua o desastres naturales"/>
        <s v="[Malfuncionamiento] Corte del suministro eléctrico"/>
        <s v="[Desastre] Condiciones inadecuadas de temperatura o humedad"/>
        <s v="[Desastre] Desastres industriales"/>
        <s v="[Daños accidentales] Errores de configuración"/>
        <s v="[Indisponibilidad del recurso] Caída del sistema por sobrecarga"/>
        <s v="[Daños accidentales] Pérdida de equipos"/>
        <s v="[Actividad malintencionada / abuso] Introducción de falsa información"/>
        <s v="[Actividad malintencionada / abuso] Alteración de la información"/>
        <s v="[Daños accidentales] Destrucción de información"/>
        <s v="[Actividad malintencionada / abuso] Interceptación de información (escucha)"/>
        <s v="[Daños accidentales] Degradación de los soportes de almacenamiento de la información"/>
      </sharedItems>
    </cacheField>
    <cacheField name="Average Maturity" numFmtId="164">
      <sharedItems containsSemiMixedTypes="0" containsString="0" containsNumber="1" minValue="3" maxValue="3.2"/>
    </cacheField>
    <cacheField name="PROB" numFmtId="164">
      <sharedItems containsSemiMixedTypes="0" containsString="0" containsNumber="1" minValue="0.25" maxValue="4"/>
    </cacheField>
    <cacheField name="IMP" numFmtId="164">
      <sharedItems containsSemiMixedTypes="0" containsString="0" containsNumber="1" minValue="0.75" maxValue="4"/>
    </cacheField>
    <cacheField name="RISK" numFmtId="164">
      <sharedItems containsSemiMixedTypes="0" containsString="0" containsNumber="1" minValue="0.1875" maxValue="16"/>
    </cacheField>
    <cacheField name="LEVEL" numFmtId="164">
      <sharedItems count="4">
        <s v="LIMITED"/>
        <s v="MINOR"/>
        <s v="MAJOR"/>
        <s v="CRITICAL"/>
      </sharedItems>
    </cacheField>
    <cacheField name="% NO MIT" numFmtId="9">
      <sharedItems containsSemiMixedTypes="0" containsString="0" containsNumber="1" minValue="0.42399999999999993" maxValue="0.45999999999999996"/>
    </cacheField>
    <cacheField name="PROB2" numFmtId="164">
      <sharedItems containsSemiMixedTypes="0" containsString="0" containsNumber="1" minValue="0.10599999999999998" maxValue="1.6959999999999997"/>
    </cacheField>
    <cacheField name="IMP2" numFmtId="164">
      <sharedItems containsSemiMixedTypes="0" containsString="0" containsNumber="1" minValue="0.31799999999999995" maxValue="1.8399999999999999"/>
    </cacheField>
    <cacheField name="RISK2" numFmtId="164">
      <sharedItems containsSemiMixedTypes="0" containsString="0" containsNumber="1" minValue="7.9499999999999987E-2" maxValue="6.7839999999999989"/>
    </cacheField>
    <cacheField name="LEVEL2" numFmtId="2">
      <sharedItems count="3">
        <s v="MINOR"/>
        <s v="MAJOR"/>
        <s v="LIMITED"/>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1">
  <r>
    <x v="0"/>
    <x v="0"/>
    <x v="0"/>
    <x v="0"/>
    <n v="3.2"/>
    <n v="2"/>
    <n v="2"/>
    <n v="4"/>
    <x v="0"/>
    <n v="0.42399999999999993"/>
    <n v="0.84799999999999986"/>
    <n v="0.84799999999999986"/>
    <n v="1.6959999999999997"/>
    <x v="0"/>
  </r>
  <r>
    <x v="0"/>
    <x v="0"/>
    <x v="1"/>
    <x v="1"/>
    <n v="3.2"/>
    <n v="1"/>
    <n v="4"/>
    <n v="4"/>
    <x v="0"/>
    <n v="0.42399999999999993"/>
    <n v="0.42399999999999993"/>
    <n v="1.6959999999999997"/>
    <n v="1.6959999999999997"/>
    <x v="0"/>
  </r>
  <r>
    <x v="0"/>
    <x v="0"/>
    <x v="2"/>
    <x v="2"/>
    <n v="3.2"/>
    <n v="1"/>
    <n v="2"/>
    <n v="2"/>
    <x v="1"/>
    <n v="0.42399999999999993"/>
    <n v="0.42399999999999993"/>
    <n v="0.84799999999999986"/>
    <n v="0.84799999999999986"/>
    <x v="0"/>
  </r>
  <r>
    <x v="0"/>
    <x v="0"/>
    <x v="3"/>
    <x v="3"/>
    <n v="3.2"/>
    <n v="2"/>
    <n v="3"/>
    <n v="6"/>
    <x v="2"/>
    <n v="0.42399999999999993"/>
    <n v="0.84799999999999986"/>
    <n v="1.2719999999999998"/>
    <n v="2.5439999999999996"/>
    <x v="0"/>
  </r>
  <r>
    <x v="0"/>
    <x v="0"/>
    <x v="4"/>
    <x v="4"/>
    <n v="3.2"/>
    <n v="4"/>
    <n v="4"/>
    <n v="16"/>
    <x v="3"/>
    <n v="0.42399999999999993"/>
    <n v="1.6959999999999997"/>
    <n v="1.6959999999999997"/>
    <n v="6.7839999999999989"/>
    <x v="1"/>
  </r>
  <r>
    <x v="1"/>
    <x v="1"/>
    <x v="0"/>
    <x v="0"/>
    <n v="3.2"/>
    <n v="2"/>
    <n v="2"/>
    <n v="4"/>
    <x v="0"/>
    <n v="0.42399999999999993"/>
    <n v="0.84799999999999986"/>
    <n v="0.84799999999999986"/>
    <n v="1.6959999999999997"/>
    <x v="0"/>
  </r>
  <r>
    <x v="1"/>
    <x v="1"/>
    <x v="1"/>
    <x v="1"/>
    <n v="3.2"/>
    <n v="1"/>
    <n v="4"/>
    <n v="4"/>
    <x v="0"/>
    <n v="0.42399999999999993"/>
    <n v="0.42399999999999993"/>
    <n v="1.6959999999999997"/>
    <n v="1.6959999999999997"/>
    <x v="0"/>
  </r>
  <r>
    <x v="1"/>
    <x v="1"/>
    <x v="2"/>
    <x v="2"/>
    <n v="3.2"/>
    <n v="1"/>
    <n v="2"/>
    <n v="2"/>
    <x v="1"/>
    <n v="0.42399999999999993"/>
    <n v="0.42399999999999993"/>
    <n v="0.84799999999999986"/>
    <n v="0.84799999999999986"/>
    <x v="0"/>
  </r>
  <r>
    <x v="1"/>
    <x v="1"/>
    <x v="3"/>
    <x v="3"/>
    <n v="3.2"/>
    <n v="2"/>
    <n v="3"/>
    <n v="6"/>
    <x v="2"/>
    <n v="0.42399999999999993"/>
    <n v="0.84799999999999986"/>
    <n v="1.2719999999999998"/>
    <n v="2.5439999999999996"/>
    <x v="0"/>
  </r>
  <r>
    <x v="1"/>
    <x v="1"/>
    <x v="4"/>
    <x v="4"/>
    <n v="3.2"/>
    <n v="4"/>
    <n v="4"/>
    <n v="16"/>
    <x v="3"/>
    <n v="0.42399999999999993"/>
    <n v="1.6959999999999997"/>
    <n v="1.6959999999999997"/>
    <n v="6.7839999999999989"/>
    <x v="1"/>
  </r>
  <r>
    <x v="2"/>
    <x v="2"/>
    <x v="0"/>
    <x v="0"/>
    <n v="3.2"/>
    <n v="1.25"/>
    <n v="1.25"/>
    <n v="1.5625"/>
    <x v="1"/>
    <n v="0.42399999999999993"/>
    <n v="0.52999999999999992"/>
    <n v="0.52999999999999992"/>
    <n v="0.66249999999999987"/>
    <x v="0"/>
  </r>
  <r>
    <x v="2"/>
    <x v="2"/>
    <x v="1"/>
    <x v="1"/>
    <n v="3.2"/>
    <n v="0.625"/>
    <n v="2.5"/>
    <n v="1.5625"/>
    <x v="1"/>
    <n v="0.42399999999999993"/>
    <n v="0.26499999999999996"/>
    <n v="1.0599999999999998"/>
    <n v="0.66249999999999987"/>
    <x v="0"/>
  </r>
  <r>
    <x v="2"/>
    <x v="2"/>
    <x v="2"/>
    <x v="2"/>
    <n v="3.2"/>
    <n v="0.625"/>
    <n v="1.25"/>
    <n v="0.78125"/>
    <x v="1"/>
    <n v="0.42399999999999993"/>
    <n v="0.26499999999999996"/>
    <n v="0.52999999999999992"/>
    <n v="0.33124999999999993"/>
    <x v="0"/>
  </r>
  <r>
    <x v="2"/>
    <x v="2"/>
    <x v="3"/>
    <x v="3"/>
    <n v="3.2"/>
    <n v="1.25"/>
    <n v="1.875"/>
    <n v="2.34375"/>
    <x v="1"/>
    <n v="0.42399999999999993"/>
    <n v="0.52999999999999992"/>
    <n v="0.79499999999999993"/>
    <n v="0.9937499999999998"/>
    <x v="0"/>
  </r>
  <r>
    <x v="2"/>
    <x v="2"/>
    <x v="4"/>
    <x v="4"/>
    <n v="3.2"/>
    <n v="2.5"/>
    <n v="2.5"/>
    <n v="6.25"/>
    <x v="2"/>
    <n v="0.42399999999999993"/>
    <n v="1.0599999999999998"/>
    <n v="1.0599999999999998"/>
    <n v="2.6499999999999995"/>
    <x v="0"/>
  </r>
  <r>
    <x v="3"/>
    <x v="3"/>
    <x v="0"/>
    <x v="0"/>
    <n v="3.2"/>
    <n v="1.25"/>
    <n v="1.25"/>
    <n v="1.5625"/>
    <x v="1"/>
    <n v="0.42399999999999993"/>
    <n v="0.52999999999999992"/>
    <n v="0.52999999999999992"/>
    <n v="0.66249999999999987"/>
    <x v="0"/>
  </r>
  <r>
    <x v="3"/>
    <x v="3"/>
    <x v="1"/>
    <x v="1"/>
    <n v="3.2"/>
    <n v="0.625"/>
    <n v="2.5"/>
    <n v="1.5625"/>
    <x v="1"/>
    <n v="0.42399999999999993"/>
    <n v="0.26499999999999996"/>
    <n v="1.0599999999999998"/>
    <n v="0.66249999999999987"/>
    <x v="0"/>
  </r>
  <r>
    <x v="3"/>
    <x v="3"/>
    <x v="2"/>
    <x v="2"/>
    <n v="3.2"/>
    <n v="0.625"/>
    <n v="1.25"/>
    <n v="0.78125"/>
    <x v="1"/>
    <n v="0.42399999999999993"/>
    <n v="0.26499999999999996"/>
    <n v="0.52999999999999992"/>
    <n v="0.33124999999999993"/>
    <x v="0"/>
  </r>
  <r>
    <x v="3"/>
    <x v="3"/>
    <x v="3"/>
    <x v="3"/>
    <n v="3.2"/>
    <n v="1.25"/>
    <n v="1.875"/>
    <n v="2.34375"/>
    <x v="1"/>
    <n v="0.42399999999999993"/>
    <n v="0.52999999999999992"/>
    <n v="0.79499999999999993"/>
    <n v="0.9937499999999998"/>
    <x v="0"/>
  </r>
  <r>
    <x v="3"/>
    <x v="3"/>
    <x v="4"/>
    <x v="4"/>
    <n v="3.2"/>
    <n v="2.5"/>
    <n v="2.5"/>
    <n v="6.25"/>
    <x v="2"/>
    <n v="0.42399999999999993"/>
    <n v="1.0599999999999998"/>
    <n v="1.0599999999999998"/>
    <n v="2.6499999999999995"/>
    <x v="0"/>
  </r>
  <r>
    <x v="4"/>
    <x v="4"/>
    <x v="0"/>
    <x v="0"/>
    <n v="3.2"/>
    <n v="1.25"/>
    <n v="1.25"/>
    <n v="1.5625"/>
    <x v="1"/>
    <n v="0.42399999999999993"/>
    <n v="0.52999999999999992"/>
    <n v="0.52999999999999992"/>
    <n v="0.66249999999999987"/>
    <x v="0"/>
  </r>
  <r>
    <x v="4"/>
    <x v="4"/>
    <x v="1"/>
    <x v="1"/>
    <n v="3.2"/>
    <n v="0.625"/>
    <n v="2.5"/>
    <n v="1.5625"/>
    <x v="1"/>
    <n v="0.42399999999999993"/>
    <n v="0.26499999999999996"/>
    <n v="1.0599999999999998"/>
    <n v="0.66249999999999987"/>
    <x v="0"/>
  </r>
  <r>
    <x v="4"/>
    <x v="4"/>
    <x v="2"/>
    <x v="2"/>
    <n v="3.2"/>
    <n v="0.625"/>
    <n v="1.25"/>
    <n v="0.78125"/>
    <x v="1"/>
    <n v="0.42399999999999993"/>
    <n v="0.26499999999999996"/>
    <n v="0.52999999999999992"/>
    <n v="0.33124999999999993"/>
    <x v="0"/>
  </r>
  <r>
    <x v="4"/>
    <x v="4"/>
    <x v="3"/>
    <x v="3"/>
    <n v="3.2"/>
    <n v="1.25"/>
    <n v="1.875"/>
    <n v="2.34375"/>
    <x v="1"/>
    <n v="0.42399999999999993"/>
    <n v="0.52999999999999992"/>
    <n v="0.79499999999999993"/>
    <n v="0.9937499999999998"/>
    <x v="0"/>
  </r>
  <r>
    <x v="4"/>
    <x v="4"/>
    <x v="4"/>
    <x v="4"/>
    <n v="3.2"/>
    <n v="2.5"/>
    <n v="2.5"/>
    <n v="6.25"/>
    <x v="2"/>
    <n v="0.42399999999999993"/>
    <n v="1.0599999999999998"/>
    <n v="1.0599999999999998"/>
    <n v="2.6499999999999995"/>
    <x v="0"/>
  </r>
  <r>
    <x v="5"/>
    <x v="5"/>
    <x v="0"/>
    <x v="0"/>
    <n v="3.2"/>
    <n v="1.25"/>
    <n v="1.25"/>
    <n v="1.5625"/>
    <x v="1"/>
    <n v="0.42399999999999993"/>
    <n v="0.52999999999999992"/>
    <n v="0.52999999999999992"/>
    <n v="0.66249999999999987"/>
    <x v="0"/>
  </r>
  <r>
    <x v="5"/>
    <x v="5"/>
    <x v="1"/>
    <x v="1"/>
    <n v="3.2"/>
    <n v="0.625"/>
    <n v="2.5"/>
    <n v="1.5625"/>
    <x v="1"/>
    <n v="0.42399999999999993"/>
    <n v="0.26499999999999996"/>
    <n v="1.0599999999999998"/>
    <n v="0.66249999999999987"/>
    <x v="0"/>
  </r>
  <r>
    <x v="5"/>
    <x v="5"/>
    <x v="2"/>
    <x v="2"/>
    <n v="3.2"/>
    <n v="0.625"/>
    <n v="1.25"/>
    <n v="0.78125"/>
    <x v="1"/>
    <n v="0.42399999999999993"/>
    <n v="0.26499999999999996"/>
    <n v="0.52999999999999992"/>
    <n v="0.33124999999999993"/>
    <x v="0"/>
  </r>
  <r>
    <x v="5"/>
    <x v="5"/>
    <x v="3"/>
    <x v="3"/>
    <n v="3.2"/>
    <n v="1.25"/>
    <n v="1.875"/>
    <n v="2.34375"/>
    <x v="1"/>
    <n v="0.42399999999999993"/>
    <n v="0.52999999999999992"/>
    <n v="0.79499999999999993"/>
    <n v="0.9937499999999998"/>
    <x v="0"/>
  </r>
  <r>
    <x v="5"/>
    <x v="5"/>
    <x v="4"/>
    <x v="4"/>
    <n v="3.2"/>
    <n v="2.5"/>
    <n v="2.5"/>
    <n v="6.25"/>
    <x v="2"/>
    <n v="0.42399999999999993"/>
    <n v="1.0599999999999998"/>
    <n v="1.0599999999999998"/>
    <n v="2.6499999999999995"/>
    <x v="0"/>
  </r>
  <r>
    <x v="6"/>
    <x v="6"/>
    <x v="5"/>
    <x v="5"/>
    <n v="3.2"/>
    <n v="1.875"/>
    <n v="2.5"/>
    <n v="4.6875"/>
    <x v="0"/>
    <n v="0.42399999999999993"/>
    <n v="0.79499999999999993"/>
    <n v="1.0599999999999998"/>
    <n v="1.9874999999999996"/>
    <x v="0"/>
  </r>
  <r>
    <x v="6"/>
    <x v="6"/>
    <x v="6"/>
    <x v="6"/>
    <n v="3.2"/>
    <n v="2.5"/>
    <n v="1.875"/>
    <n v="4.6875"/>
    <x v="0"/>
    <n v="0.42399999999999993"/>
    <n v="1.0599999999999998"/>
    <n v="0.79499999999999993"/>
    <n v="1.9874999999999996"/>
    <x v="0"/>
  </r>
  <r>
    <x v="6"/>
    <x v="6"/>
    <x v="7"/>
    <x v="7"/>
    <n v="3.2"/>
    <n v="1.25"/>
    <n v="1.875"/>
    <n v="2.34375"/>
    <x v="1"/>
    <n v="0.42399999999999993"/>
    <n v="0.52999999999999992"/>
    <n v="0.79499999999999993"/>
    <n v="0.9937499999999998"/>
    <x v="0"/>
  </r>
  <r>
    <x v="6"/>
    <x v="6"/>
    <x v="8"/>
    <x v="8"/>
    <n v="3"/>
    <n v="1.875"/>
    <n v="2.5"/>
    <n v="4.6875"/>
    <x v="0"/>
    <n v="0.45999999999999996"/>
    <n v="0.86249999999999993"/>
    <n v="1.1499999999999999"/>
    <n v="2.15625"/>
    <x v="0"/>
  </r>
  <r>
    <x v="6"/>
    <x v="6"/>
    <x v="9"/>
    <x v="9"/>
    <n v="3.2"/>
    <n v="2.5"/>
    <n v="2.5"/>
    <n v="6.25"/>
    <x v="2"/>
    <n v="0.42399999999999993"/>
    <n v="1.0599999999999998"/>
    <n v="1.0599999999999998"/>
    <n v="2.6499999999999995"/>
    <x v="0"/>
  </r>
  <r>
    <x v="6"/>
    <x v="6"/>
    <x v="10"/>
    <x v="10"/>
    <n v="3.2"/>
    <n v="1.875"/>
    <n v="1.875"/>
    <n v="3.515625"/>
    <x v="0"/>
    <n v="0.42399999999999993"/>
    <n v="0.79499999999999993"/>
    <n v="0.79499999999999993"/>
    <n v="1.4906249999999999"/>
    <x v="0"/>
  </r>
  <r>
    <x v="7"/>
    <x v="7"/>
    <x v="5"/>
    <x v="5"/>
    <n v="3.2"/>
    <n v="3"/>
    <n v="4"/>
    <n v="12"/>
    <x v="3"/>
    <n v="0.42399999999999993"/>
    <n v="1.2719999999999998"/>
    <n v="1.6959999999999997"/>
    <n v="5.0879999999999992"/>
    <x v="2"/>
  </r>
  <r>
    <x v="7"/>
    <x v="7"/>
    <x v="6"/>
    <x v="6"/>
    <n v="3.2"/>
    <n v="4"/>
    <n v="3"/>
    <n v="12"/>
    <x v="3"/>
    <n v="0.42399999999999993"/>
    <n v="1.6959999999999997"/>
    <n v="1.2719999999999998"/>
    <n v="5.0879999999999992"/>
    <x v="2"/>
  </r>
  <r>
    <x v="7"/>
    <x v="7"/>
    <x v="7"/>
    <x v="7"/>
    <n v="3.2"/>
    <n v="2"/>
    <n v="3"/>
    <n v="6"/>
    <x v="2"/>
    <n v="0.42399999999999993"/>
    <n v="0.84799999999999986"/>
    <n v="1.2719999999999998"/>
    <n v="2.5439999999999996"/>
    <x v="0"/>
  </r>
  <r>
    <x v="7"/>
    <x v="7"/>
    <x v="8"/>
    <x v="8"/>
    <n v="3"/>
    <n v="3"/>
    <n v="4"/>
    <n v="12"/>
    <x v="3"/>
    <n v="0.45999999999999996"/>
    <n v="1.38"/>
    <n v="1.8399999999999999"/>
    <n v="5.52"/>
    <x v="2"/>
  </r>
  <r>
    <x v="7"/>
    <x v="7"/>
    <x v="9"/>
    <x v="9"/>
    <n v="3.2"/>
    <n v="4"/>
    <n v="4"/>
    <n v="16"/>
    <x v="3"/>
    <n v="0.42399999999999993"/>
    <n v="1.6959999999999997"/>
    <n v="1.6959999999999997"/>
    <n v="6.7839999999999989"/>
    <x v="1"/>
  </r>
  <r>
    <x v="7"/>
    <x v="7"/>
    <x v="10"/>
    <x v="10"/>
    <n v="3.2"/>
    <n v="3"/>
    <n v="3"/>
    <n v="9"/>
    <x v="2"/>
    <n v="0.42399999999999993"/>
    <n v="1.2719999999999998"/>
    <n v="1.2719999999999998"/>
    <n v="3.8159999999999994"/>
    <x v="2"/>
  </r>
  <r>
    <x v="8"/>
    <x v="8"/>
    <x v="11"/>
    <x v="11"/>
    <n v="3.2"/>
    <n v="2"/>
    <n v="3"/>
    <n v="6"/>
    <x v="2"/>
    <n v="0.42399999999999993"/>
    <n v="0.84799999999999986"/>
    <n v="1.2719999999999998"/>
    <n v="2.5439999999999996"/>
    <x v="0"/>
  </r>
  <r>
    <x v="8"/>
    <x v="8"/>
    <x v="12"/>
    <x v="12"/>
    <n v="3.2"/>
    <n v="3"/>
    <n v="3"/>
    <n v="9"/>
    <x v="2"/>
    <n v="0.42399999999999993"/>
    <n v="1.2719999999999998"/>
    <n v="1.2719999999999998"/>
    <n v="3.8159999999999994"/>
    <x v="2"/>
  </r>
  <r>
    <x v="8"/>
    <x v="8"/>
    <x v="9"/>
    <x v="9"/>
    <n v="3.2"/>
    <n v="4"/>
    <n v="4"/>
    <n v="16"/>
    <x v="3"/>
    <n v="0.42399999999999993"/>
    <n v="1.6959999999999997"/>
    <n v="1.6959999999999997"/>
    <n v="6.7839999999999989"/>
    <x v="1"/>
  </r>
  <r>
    <x v="8"/>
    <x v="8"/>
    <x v="10"/>
    <x v="10"/>
    <n v="3.2"/>
    <n v="3"/>
    <n v="3"/>
    <n v="9"/>
    <x v="2"/>
    <n v="0.42399999999999993"/>
    <n v="1.2719999999999998"/>
    <n v="1.2719999999999998"/>
    <n v="3.8159999999999994"/>
    <x v="2"/>
  </r>
  <r>
    <x v="9"/>
    <x v="9"/>
    <x v="11"/>
    <x v="11"/>
    <n v="3.2"/>
    <n v="2"/>
    <n v="3"/>
    <n v="6"/>
    <x v="2"/>
    <n v="0.42399999999999993"/>
    <n v="0.84799999999999986"/>
    <n v="1.2719999999999998"/>
    <n v="2.5439999999999996"/>
    <x v="0"/>
  </r>
  <r>
    <x v="9"/>
    <x v="9"/>
    <x v="12"/>
    <x v="12"/>
    <n v="3.2"/>
    <n v="3"/>
    <n v="3"/>
    <n v="9"/>
    <x v="2"/>
    <n v="0.42399999999999993"/>
    <n v="1.2719999999999998"/>
    <n v="1.2719999999999998"/>
    <n v="3.8159999999999994"/>
    <x v="2"/>
  </r>
  <r>
    <x v="9"/>
    <x v="9"/>
    <x v="9"/>
    <x v="9"/>
    <n v="3.2"/>
    <n v="4"/>
    <n v="4"/>
    <n v="16"/>
    <x v="3"/>
    <n v="0.42399999999999993"/>
    <n v="1.6959999999999997"/>
    <n v="1.6959999999999997"/>
    <n v="6.7839999999999989"/>
    <x v="1"/>
  </r>
  <r>
    <x v="9"/>
    <x v="9"/>
    <x v="10"/>
    <x v="10"/>
    <n v="3.2"/>
    <n v="3"/>
    <n v="3"/>
    <n v="9"/>
    <x v="2"/>
    <n v="0.42399999999999993"/>
    <n v="1.2719999999999998"/>
    <n v="1.2719999999999998"/>
    <n v="3.8159999999999994"/>
    <x v="2"/>
  </r>
  <r>
    <x v="10"/>
    <x v="10"/>
    <x v="11"/>
    <x v="11"/>
    <n v="3.2"/>
    <n v="0.5"/>
    <n v="0.75"/>
    <n v="0.375"/>
    <x v="1"/>
    <n v="0.42399999999999993"/>
    <n v="0.21199999999999997"/>
    <n v="0.31799999999999995"/>
    <n v="0.15899999999999997"/>
    <x v="0"/>
  </r>
  <r>
    <x v="10"/>
    <x v="10"/>
    <x v="12"/>
    <x v="12"/>
    <n v="3.2"/>
    <n v="0.75"/>
    <n v="0.75"/>
    <n v="0.5625"/>
    <x v="1"/>
    <n v="0.42399999999999993"/>
    <n v="0.31799999999999995"/>
    <n v="0.31799999999999995"/>
    <n v="0.23849999999999996"/>
    <x v="0"/>
  </r>
  <r>
    <x v="10"/>
    <x v="10"/>
    <x v="9"/>
    <x v="9"/>
    <n v="3.2"/>
    <n v="1"/>
    <n v="1"/>
    <n v="1"/>
    <x v="1"/>
    <n v="0.42399999999999993"/>
    <n v="0.42399999999999993"/>
    <n v="0.42399999999999993"/>
    <n v="0.42399999999999993"/>
    <x v="0"/>
  </r>
  <r>
    <x v="10"/>
    <x v="10"/>
    <x v="10"/>
    <x v="10"/>
    <n v="3.2"/>
    <n v="0.75"/>
    <n v="0.75"/>
    <n v="0.5625"/>
    <x v="1"/>
    <n v="0.42399999999999993"/>
    <n v="0.31799999999999995"/>
    <n v="0.31799999999999995"/>
    <n v="0.23849999999999996"/>
    <x v="0"/>
  </r>
  <r>
    <x v="11"/>
    <x v="11"/>
    <x v="11"/>
    <x v="11"/>
    <n v="3.2"/>
    <n v="2"/>
    <n v="3"/>
    <n v="6"/>
    <x v="2"/>
    <n v="0.42399999999999993"/>
    <n v="0.84799999999999986"/>
    <n v="1.2719999999999998"/>
    <n v="2.5439999999999996"/>
    <x v="0"/>
  </r>
  <r>
    <x v="11"/>
    <x v="11"/>
    <x v="12"/>
    <x v="12"/>
    <n v="3.2"/>
    <n v="3"/>
    <n v="3"/>
    <n v="9"/>
    <x v="2"/>
    <n v="0.42399999999999993"/>
    <n v="1.2719999999999998"/>
    <n v="1.2719999999999998"/>
    <n v="3.8159999999999994"/>
    <x v="2"/>
  </r>
  <r>
    <x v="11"/>
    <x v="11"/>
    <x v="9"/>
    <x v="9"/>
    <n v="3.2"/>
    <n v="4"/>
    <n v="4"/>
    <n v="16"/>
    <x v="3"/>
    <n v="0.42399999999999993"/>
    <n v="1.6959999999999997"/>
    <n v="1.6959999999999997"/>
    <n v="6.7839999999999989"/>
    <x v="1"/>
  </r>
  <r>
    <x v="11"/>
    <x v="11"/>
    <x v="10"/>
    <x v="10"/>
    <n v="3.2"/>
    <n v="3"/>
    <n v="3"/>
    <n v="9"/>
    <x v="2"/>
    <n v="0.42399999999999993"/>
    <n v="1.2719999999999998"/>
    <n v="1.2719999999999998"/>
    <n v="3.8159999999999994"/>
    <x v="2"/>
  </r>
  <r>
    <x v="12"/>
    <x v="12"/>
    <x v="11"/>
    <x v="11"/>
    <n v="3.2"/>
    <n v="2"/>
    <n v="3"/>
    <n v="6"/>
    <x v="2"/>
    <n v="0.42399999999999993"/>
    <n v="0.84799999999999986"/>
    <n v="1.2719999999999998"/>
    <n v="2.5439999999999996"/>
    <x v="0"/>
  </r>
  <r>
    <x v="12"/>
    <x v="12"/>
    <x v="12"/>
    <x v="12"/>
    <n v="3.2"/>
    <n v="3"/>
    <n v="3"/>
    <n v="9"/>
    <x v="2"/>
    <n v="0.42399999999999993"/>
    <n v="1.2719999999999998"/>
    <n v="1.2719999999999998"/>
    <n v="3.8159999999999994"/>
    <x v="2"/>
  </r>
  <r>
    <x v="12"/>
    <x v="12"/>
    <x v="9"/>
    <x v="9"/>
    <n v="3.2"/>
    <n v="4"/>
    <n v="4"/>
    <n v="16"/>
    <x v="3"/>
    <n v="0.42399999999999993"/>
    <n v="1.6959999999999997"/>
    <n v="1.6959999999999997"/>
    <n v="6.7839999999999989"/>
    <x v="1"/>
  </r>
  <r>
    <x v="12"/>
    <x v="12"/>
    <x v="10"/>
    <x v="10"/>
    <n v="3.2"/>
    <n v="3"/>
    <n v="3"/>
    <n v="9"/>
    <x v="2"/>
    <n v="0.42399999999999993"/>
    <n v="1.2719999999999998"/>
    <n v="1.2719999999999998"/>
    <n v="3.8159999999999994"/>
    <x v="2"/>
  </r>
  <r>
    <x v="13"/>
    <x v="13"/>
    <x v="7"/>
    <x v="7"/>
    <n v="3.2"/>
    <n v="2"/>
    <n v="3"/>
    <n v="6"/>
    <x v="2"/>
    <n v="0.42399999999999993"/>
    <n v="0.84799999999999986"/>
    <n v="1.2719999999999998"/>
    <n v="2.5439999999999996"/>
    <x v="0"/>
  </r>
  <r>
    <x v="13"/>
    <x v="13"/>
    <x v="2"/>
    <x v="2"/>
    <n v="3.2"/>
    <n v="1"/>
    <n v="2"/>
    <n v="2"/>
    <x v="1"/>
    <n v="0.42399999999999993"/>
    <n v="0.42399999999999993"/>
    <n v="0.84799999999999986"/>
    <n v="0.84799999999999986"/>
    <x v="0"/>
  </r>
  <r>
    <x v="13"/>
    <x v="13"/>
    <x v="3"/>
    <x v="3"/>
    <n v="3.2"/>
    <n v="2"/>
    <n v="3"/>
    <n v="6"/>
    <x v="2"/>
    <n v="0.42399999999999993"/>
    <n v="0.84799999999999986"/>
    <n v="1.2719999999999998"/>
    <n v="2.5439999999999996"/>
    <x v="0"/>
  </r>
  <r>
    <x v="13"/>
    <x v="13"/>
    <x v="4"/>
    <x v="4"/>
    <n v="3.2"/>
    <n v="4"/>
    <n v="4"/>
    <n v="16"/>
    <x v="3"/>
    <n v="0.42399999999999993"/>
    <n v="1.6959999999999997"/>
    <n v="1.6959999999999997"/>
    <n v="6.7839999999999989"/>
    <x v="1"/>
  </r>
  <r>
    <x v="14"/>
    <x v="14"/>
    <x v="7"/>
    <x v="7"/>
    <n v="3.2"/>
    <n v="2"/>
    <n v="3"/>
    <n v="6"/>
    <x v="2"/>
    <n v="0.42399999999999993"/>
    <n v="0.84799999999999986"/>
    <n v="1.2719999999999998"/>
    <n v="2.5439999999999996"/>
    <x v="0"/>
  </r>
  <r>
    <x v="14"/>
    <x v="14"/>
    <x v="2"/>
    <x v="2"/>
    <n v="3.2"/>
    <n v="1"/>
    <n v="2"/>
    <n v="2"/>
    <x v="1"/>
    <n v="0.42399999999999993"/>
    <n v="0.42399999999999993"/>
    <n v="0.84799999999999986"/>
    <n v="0.84799999999999986"/>
    <x v="0"/>
  </r>
  <r>
    <x v="14"/>
    <x v="14"/>
    <x v="3"/>
    <x v="3"/>
    <n v="3.2"/>
    <n v="2"/>
    <n v="3"/>
    <n v="6"/>
    <x v="2"/>
    <n v="0.42399999999999993"/>
    <n v="0.84799999999999986"/>
    <n v="1.2719999999999998"/>
    <n v="2.5439999999999996"/>
    <x v="0"/>
  </r>
  <r>
    <x v="14"/>
    <x v="14"/>
    <x v="4"/>
    <x v="4"/>
    <n v="3.2"/>
    <n v="4"/>
    <n v="4"/>
    <n v="16"/>
    <x v="3"/>
    <n v="0.42399999999999993"/>
    <n v="1.6959999999999997"/>
    <n v="1.6959999999999997"/>
    <n v="6.7839999999999989"/>
    <x v="1"/>
  </r>
  <r>
    <x v="15"/>
    <x v="15"/>
    <x v="7"/>
    <x v="7"/>
    <n v="3.2"/>
    <n v="2"/>
    <n v="3"/>
    <n v="6"/>
    <x v="2"/>
    <n v="0.42399999999999993"/>
    <n v="0.84799999999999986"/>
    <n v="1.2719999999999998"/>
    <n v="2.5439999999999996"/>
    <x v="0"/>
  </r>
  <r>
    <x v="15"/>
    <x v="15"/>
    <x v="2"/>
    <x v="2"/>
    <n v="3.2"/>
    <n v="1"/>
    <n v="2"/>
    <n v="2"/>
    <x v="1"/>
    <n v="0.42399999999999993"/>
    <n v="0.42399999999999993"/>
    <n v="0.84799999999999986"/>
    <n v="0.84799999999999986"/>
    <x v="0"/>
  </r>
  <r>
    <x v="15"/>
    <x v="15"/>
    <x v="3"/>
    <x v="3"/>
    <n v="3.2"/>
    <n v="2"/>
    <n v="3"/>
    <n v="6"/>
    <x v="2"/>
    <n v="0.42399999999999993"/>
    <n v="0.84799999999999986"/>
    <n v="1.2719999999999998"/>
    <n v="2.5439999999999996"/>
    <x v="0"/>
  </r>
  <r>
    <x v="15"/>
    <x v="15"/>
    <x v="4"/>
    <x v="4"/>
    <n v="3.2"/>
    <n v="4"/>
    <n v="4"/>
    <n v="16"/>
    <x v="3"/>
    <n v="0.42399999999999993"/>
    <n v="1.6959999999999997"/>
    <n v="1.6959999999999997"/>
    <n v="6.7839999999999989"/>
    <x v="1"/>
  </r>
  <r>
    <x v="16"/>
    <x v="16"/>
    <x v="7"/>
    <x v="7"/>
    <n v="3.2"/>
    <n v="2"/>
    <n v="3"/>
    <n v="6"/>
    <x v="2"/>
    <n v="0.42399999999999993"/>
    <n v="0.84799999999999986"/>
    <n v="1.2719999999999998"/>
    <n v="2.5439999999999996"/>
    <x v="0"/>
  </r>
  <r>
    <x v="16"/>
    <x v="16"/>
    <x v="2"/>
    <x v="2"/>
    <n v="3.2"/>
    <n v="1"/>
    <n v="2"/>
    <n v="2"/>
    <x v="1"/>
    <n v="0.42399999999999993"/>
    <n v="0.42399999999999993"/>
    <n v="0.84799999999999986"/>
    <n v="0.84799999999999986"/>
    <x v="0"/>
  </r>
  <r>
    <x v="16"/>
    <x v="16"/>
    <x v="3"/>
    <x v="3"/>
    <n v="3.2"/>
    <n v="2"/>
    <n v="3"/>
    <n v="6"/>
    <x v="2"/>
    <n v="0.42399999999999993"/>
    <n v="0.84799999999999986"/>
    <n v="1.2719999999999998"/>
    <n v="2.5439999999999996"/>
    <x v="0"/>
  </r>
  <r>
    <x v="16"/>
    <x v="16"/>
    <x v="4"/>
    <x v="4"/>
    <n v="3.2"/>
    <n v="4"/>
    <n v="4"/>
    <n v="16"/>
    <x v="3"/>
    <n v="0.42399999999999993"/>
    <n v="1.6959999999999997"/>
    <n v="1.6959999999999997"/>
    <n v="6.7839999999999989"/>
    <x v="1"/>
  </r>
  <r>
    <x v="17"/>
    <x v="17"/>
    <x v="7"/>
    <x v="7"/>
    <n v="3.2"/>
    <n v="2"/>
    <n v="3"/>
    <n v="6"/>
    <x v="2"/>
    <n v="0.42399999999999993"/>
    <n v="0.84799999999999986"/>
    <n v="1.2719999999999998"/>
    <n v="2.5439999999999996"/>
    <x v="0"/>
  </r>
  <r>
    <x v="17"/>
    <x v="17"/>
    <x v="2"/>
    <x v="2"/>
    <n v="3.2"/>
    <n v="1"/>
    <n v="2"/>
    <n v="2"/>
    <x v="1"/>
    <n v="0.42399999999999993"/>
    <n v="0.42399999999999993"/>
    <n v="0.84799999999999986"/>
    <n v="0.84799999999999986"/>
    <x v="0"/>
  </r>
  <r>
    <x v="17"/>
    <x v="17"/>
    <x v="3"/>
    <x v="3"/>
    <n v="3.2"/>
    <n v="2"/>
    <n v="3"/>
    <n v="6"/>
    <x v="2"/>
    <n v="0.42399999999999993"/>
    <n v="0.84799999999999986"/>
    <n v="1.2719999999999998"/>
    <n v="2.5439999999999996"/>
    <x v="0"/>
  </r>
  <r>
    <x v="17"/>
    <x v="17"/>
    <x v="4"/>
    <x v="4"/>
    <n v="3.2"/>
    <n v="4"/>
    <n v="4"/>
    <n v="16"/>
    <x v="3"/>
    <n v="0.42399999999999993"/>
    <n v="1.6959999999999997"/>
    <n v="1.6959999999999997"/>
    <n v="6.7839999999999989"/>
    <x v="1"/>
  </r>
  <r>
    <x v="18"/>
    <x v="18"/>
    <x v="7"/>
    <x v="7"/>
    <n v="3.2"/>
    <n v="2"/>
    <n v="3"/>
    <n v="6"/>
    <x v="2"/>
    <n v="0.42399999999999993"/>
    <n v="0.84799999999999986"/>
    <n v="1.2719999999999998"/>
    <n v="2.5439999999999996"/>
    <x v="0"/>
  </r>
  <r>
    <x v="18"/>
    <x v="18"/>
    <x v="2"/>
    <x v="2"/>
    <n v="3.2"/>
    <n v="1"/>
    <n v="2"/>
    <n v="2"/>
    <x v="1"/>
    <n v="0.42399999999999993"/>
    <n v="0.42399999999999993"/>
    <n v="0.84799999999999986"/>
    <n v="0.84799999999999986"/>
    <x v="0"/>
  </r>
  <r>
    <x v="18"/>
    <x v="18"/>
    <x v="3"/>
    <x v="3"/>
    <n v="3.2"/>
    <n v="2"/>
    <n v="3"/>
    <n v="6"/>
    <x v="2"/>
    <n v="0.42399999999999993"/>
    <n v="0.84799999999999986"/>
    <n v="1.2719999999999998"/>
    <n v="2.5439999999999996"/>
    <x v="0"/>
  </r>
  <r>
    <x v="18"/>
    <x v="18"/>
    <x v="4"/>
    <x v="4"/>
    <n v="3.2"/>
    <n v="4"/>
    <n v="4"/>
    <n v="16"/>
    <x v="3"/>
    <n v="0.42399999999999993"/>
    <n v="1.6959999999999997"/>
    <n v="1.6959999999999997"/>
    <n v="6.7839999999999989"/>
    <x v="1"/>
  </r>
  <r>
    <x v="19"/>
    <x v="19"/>
    <x v="7"/>
    <x v="7"/>
    <n v="3.2"/>
    <n v="2"/>
    <n v="3"/>
    <n v="6"/>
    <x v="2"/>
    <n v="0.42399999999999993"/>
    <n v="0.84799999999999986"/>
    <n v="1.2719999999999998"/>
    <n v="2.5439999999999996"/>
    <x v="0"/>
  </r>
  <r>
    <x v="19"/>
    <x v="19"/>
    <x v="2"/>
    <x v="2"/>
    <n v="3.2"/>
    <n v="1"/>
    <n v="2"/>
    <n v="2"/>
    <x v="1"/>
    <n v="0.42399999999999993"/>
    <n v="0.42399999999999993"/>
    <n v="0.84799999999999986"/>
    <n v="0.84799999999999986"/>
    <x v="0"/>
  </r>
  <r>
    <x v="19"/>
    <x v="19"/>
    <x v="3"/>
    <x v="3"/>
    <n v="3.2"/>
    <n v="2"/>
    <n v="3"/>
    <n v="6"/>
    <x v="2"/>
    <n v="0.42399999999999993"/>
    <n v="0.84799999999999986"/>
    <n v="1.2719999999999998"/>
    <n v="2.5439999999999996"/>
    <x v="0"/>
  </r>
  <r>
    <x v="19"/>
    <x v="19"/>
    <x v="4"/>
    <x v="4"/>
    <n v="3.2"/>
    <n v="4"/>
    <n v="4"/>
    <n v="16"/>
    <x v="3"/>
    <n v="0.42399999999999993"/>
    <n v="1.6959999999999997"/>
    <n v="1.6959999999999997"/>
    <n v="6.7839999999999989"/>
    <x v="1"/>
  </r>
  <r>
    <x v="20"/>
    <x v="20"/>
    <x v="7"/>
    <x v="7"/>
    <n v="3.2"/>
    <n v="1.25"/>
    <n v="1.875"/>
    <n v="2.34375"/>
    <x v="1"/>
    <n v="0.42399999999999993"/>
    <n v="0.52999999999999992"/>
    <n v="0.79499999999999993"/>
    <n v="0.9937499999999998"/>
    <x v="0"/>
  </r>
  <r>
    <x v="20"/>
    <x v="20"/>
    <x v="2"/>
    <x v="2"/>
    <n v="3.2"/>
    <n v="0.625"/>
    <n v="1.25"/>
    <n v="0.78125"/>
    <x v="1"/>
    <n v="0.42399999999999993"/>
    <n v="0.26499999999999996"/>
    <n v="0.52999999999999992"/>
    <n v="0.33124999999999993"/>
    <x v="0"/>
  </r>
  <r>
    <x v="20"/>
    <x v="20"/>
    <x v="3"/>
    <x v="3"/>
    <n v="3.2"/>
    <n v="1.25"/>
    <n v="1.875"/>
    <n v="2.34375"/>
    <x v="1"/>
    <n v="0.42399999999999993"/>
    <n v="0.52999999999999992"/>
    <n v="0.79499999999999993"/>
    <n v="0.9937499999999998"/>
    <x v="0"/>
  </r>
  <r>
    <x v="20"/>
    <x v="20"/>
    <x v="4"/>
    <x v="4"/>
    <n v="3.2"/>
    <n v="2.5"/>
    <n v="2.5"/>
    <n v="6.25"/>
    <x v="2"/>
    <n v="0.42399999999999993"/>
    <n v="1.0599999999999998"/>
    <n v="1.0599999999999998"/>
    <n v="2.6499999999999995"/>
    <x v="0"/>
  </r>
  <r>
    <x v="21"/>
    <x v="21"/>
    <x v="7"/>
    <x v="7"/>
    <n v="3.2"/>
    <n v="1.25"/>
    <n v="1.875"/>
    <n v="2.34375"/>
    <x v="1"/>
    <n v="0.42399999999999993"/>
    <n v="0.52999999999999992"/>
    <n v="0.79499999999999993"/>
    <n v="0.9937499999999998"/>
    <x v="0"/>
  </r>
  <r>
    <x v="21"/>
    <x v="21"/>
    <x v="2"/>
    <x v="2"/>
    <n v="3.2"/>
    <n v="0.625"/>
    <n v="1.25"/>
    <n v="0.78125"/>
    <x v="1"/>
    <n v="0.42399999999999993"/>
    <n v="0.26499999999999996"/>
    <n v="0.52999999999999992"/>
    <n v="0.33124999999999993"/>
    <x v="0"/>
  </r>
  <r>
    <x v="21"/>
    <x v="21"/>
    <x v="3"/>
    <x v="3"/>
    <n v="3.2"/>
    <n v="1.25"/>
    <n v="1.875"/>
    <n v="2.34375"/>
    <x v="1"/>
    <n v="0.42399999999999993"/>
    <n v="0.52999999999999992"/>
    <n v="0.79499999999999993"/>
    <n v="0.9937499999999998"/>
    <x v="0"/>
  </r>
  <r>
    <x v="21"/>
    <x v="21"/>
    <x v="4"/>
    <x v="4"/>
    <n v="3.2"/>
    <n v="2.5"/>
    <n v="2.5"/>
    <n v="6.25"/>
    <x v="2"/>
    <n v="0.42399999999999993"/>
    <n v="1.0599999999999998"/>
    <n v="1.0599999999999998"/>
    <n v="2.6499999999999995"/>
    <x v="0"/>
  </r>
  <r>
    <x v="22"/>
    <x v="22"/>
    <x v="13"/>
    <x v="13"/>
    <n v="3.2"/>
    <n v="0.625"/>
    <n v="2.5"/>
    <n v="1.5625"/>
    <x v="1"/>
    <n v="0.42399999999999993"/>
    <n v="0.26499999999999996"/>
    <n v="1.0599999999999998"/>
    <n v="0.66249999999999987"/>
    <x v="0"/>
  </r>
  <r>
    <x v="22"/>
    <x v="22"/>
    <x v="14"/>
    <x v="14"/>
    <n v="3.2"/>
    <n v="0.625"/>
    <n v="1.875"/>
    <n v="1.171875"/>
    <x v="1"/>
    <n v="0.42399999999999993"/>
    <n v="0.26499999999999996"/>
    <n v="0.79499999999999993"/>
    <n v="0.4968749999999999"/>
    <x v="0"/>
  </r>
  <r>
    <x v="22"/>
    <x v="22"/>
    <x v="15"/>
    <x v="15"/>
    <n v="3.2"/>
    <n v="0.625"/>
    <n v="1.875"/>
    <n v="1.171875"/>
    <x v="1"/>
    <n v="0.42399999999999993"/>
    <n v="0.26499999999999996"/>
    <n v="0.79499999999999993"/>
    <n v="0.4968749999999999"/>
    <x v="0"/>
  </r>
  <r>
    <x v="22"/>
    <x v="22"/>
    <x v="12"/>
    <x v="12"/>
    <n v="3.2"/>
    <n v="1.875"/>
    <n v="1.875"/>
    <n v="3.515625"/>
    <x v="0"/>
    <n v="0.42399999999999993"/>
    <n v="0.79499999999999993"/>
    <n v="0.79499999999999993"/>
    <n v="1.4906249999999999"/>
    <x v="0"/>
  </r>
  <r>
    <x v="22"/>
    <x v="22"/>
    <x v="16"/>
    <x v="16"/>
    <n v="3.2"/>
    <n v="0.625"/>
    <n v="2.5"/>
    <n v="1.5625"/>
    <x v="1"/>
    <n v="0.42399999999999993"/>
    <n v="0.26499999999999996"/>
    <n v="1.0599999999999998"/>
    <n v="0.66249999999999987"/>
    <x v="0"/>
  </r>
  <r>
    <x v="22"/>
    <x v="22"/>
    <x v="17"/>
    <x v="17"/>
    <n v="3.2"/>
    <n v="1.25"/>
    <n v="1.875"/>
    <n v="2.34375"/>
    <x v="1"/>
    <n v="0.42399999999999993"/>
    <n v="0.52999999999999992"/>
    <n v="0.79499999999999993"/>
    <n v="0.9937499999999998"/>
    <x v="0"/>
  </r>
  <r>
    <x v="22"/>
    <x v="22"/>
    <x v="7"/>
    <x v="7"/>
    <n v="3.2"/>
    <n v="1.25"/>
    <n v="1.875"/>
    <n v="2.34375"/>
    <x v="1"/>
    <n v="0.42399999999999993"/>
    <n v="0.52999999999999992"/>
    <n v="0.79499999999999993"/>
    <n v="0.9937499999999998"/>
    <x v="0"/>
  </r>
  <r>
    <x v="22"/>
    <x v="22"/>
    <x v="18"/>
    <x v="18"/>
    <n v="3.2"/>
    <n v="0.625"/>
    <n v="2.5"/>
    <n v="1.5625"/>
    <x v="1"/>
    <n v="0.42399999999999993"/>
    <n v="0.26499999999999996"/>
    <n v="1.0599999999999998"/>
    <n v="0.66249999999999987"/>
    <x v="0"/>
  </r>
  <r>
    <x v="22"/>
    <x v="22"/>
    <x v="19"/>
    <x v="19"/>
    <n v="3.2"/>
    <n v="1.25"/>
    <n v="2.5"/>
    <n v="3.125"/>
    <x v="0"/>
    <n v="0.42399999999999993"/>
    <n v="0.52999999999999992"/>
    <n v="1.0599999999999998"/>
    <n v="1.3249999999999997"/>
    <x v="0"/>
  </r>
  <r>
    <x v="22"/>
    <x v="22"/>
    <x v="9"/>
    <x v="9"/>
    <n v="3.2"/>
    <n v="2.5"/>
    <n v="2.5"/>
    <n v="6.25"/>
    <x v="2"/>
    <n v="0.42399999999999993"/>
    <n v="1.0599999999999998"/>
    <n v="1.0599999999999998"/>
    <n v="2.6499999999999995"/>
    <x v="0"/>
  </r>
  <r>
    <x v="22"/>
    <x v="22"/>
    <x v="10"/>
    <x v="10"/>
    <n v="3.2"/>
    <n v="1.875"/>
    <n v="1.875"/>
    <n v="3.515625"/>
    <x v="0"/>
    <n v="0.42399999999999993"/>
    <n v="0.79499999999999993"/>
    <n v="0.79499999999999993"/>
    <n v="1.4906249999999999"/>
    <x v="0"/>
  </r>
  <r>
    <x v="23"/>
    <x v="23"/>
    <x v="13"/>
    <x v="13"/>
    <n v="3.2"/>
    <n v="0.25"/>
    <n v="1"/>
    <n v="0.25"/>
    <x v="1"/>
    <n v="0.42399999999999993"/>
    <n v="0.10599999999999998"/>
    <n v="0.42399999999999993"/>
    <n v="0.10599999999999998"/>
    <x v="0"/>
  </r>
  <r>
    <x v="23"/>
    <x v="23"/>
    <x v="14"/>
    <x v="14"/>
    <n v="3.2"/>
    <n v="0.25"/>
    <n v="0.75"/>
    <n v="0.1875"/>
    <x v="1"/>
    <n v="0.42399999999999993"/>
    <n v="0.10599999999999998"/>
    <n v="0.31799999999999995"/>
    <n v="7.9499999999999987E-2"/>
    <x v="0"/>
  </r>
  <r>
    <x v="23"/>
    <x v="23"/>
    <x v="15"/>
    <x v="15"/>
    <n v="3.2"/>
    <n v="0.25"/>
    <n v="0.75"/>
    <n v="0.1875"/>
    <x v="1"/>
    <n v="0.42399999999999993"/>
    <n v="0.10599999999999998"/>
    <n v="0.31799999999999995"/>
    <n v="7.9499999999999987E-2"/>
    <x v="0"/>
  </r>
  <r>
    <x v="23"/>
    <x v="23"/>
    <x v="12"/>
    <x v="12"/>
    <n v="3.2"/>
    <n v="0.75"/>
    <n v="0.75"/>
    <n v="0.5625"/>
    <x v="1"/>
    <n v="0.42399999999999993"/>
    <n v="0.31799999999999995"/>
    <n v="0.31799999999999995"/>
    <n v="0.23849999999999996"/>
    <x v="0"/>
  </r>
  <r>
    <x v="23"/>
    <x v="23"/>
    <x v="16"/>
    <x v="16"/>
    <n v="3.2"/>
    <n v="0.25"/>
    <n v="1"/>
    <n v="0.25"/>
    <x v="1"/>
    <n v="0.42399999999999993"/>
    <n v="0.10599999999999998"/>
    <n v="0.42399999999999993"/>
    <n v="0.10599999999999998"/>
    <x v="0"/>
  </r>
  <r>
    <x v="23"/>
    <x v="23"/>
    <x v="17"/>
    <x v="17"/>
    <n v="3.2"/>
    <n v="0.5"/>
    <n v="0.75"/>
    <n v="0.375"/>
    <x v="1"/>
    <n v="0.42399999999999993"/>
    <n v="0.21199999999999997"/>
    <n v="0.31799999999999995"/>
    <n v="0.15899999999999997"/>
    <x v="0"/>
  </r>
  <r>
    <x v="23"/>
    <x v="23"/>
    <x v="7"/>
    <x v="7"/>
    <n v="3.2"/>
    <n v="0.5"/>
    <n v="0.75"/>
    <n v="0.375"/>
    <x v="1"/>
    <n v="0.42399999999999993"/>
    <n v="0.21199999999999997"/>
    <n v="0.31799999999999995"/>
    <n v="0.15899999999999997"/>
    <x v="0"/>
  </r>
  <r>
    <x v="23"/>
    <x v="23"/>
    <x v="18"/>
    <x v="18"/>
    <n v="3.2"/>
    <n v="0.25"/>
    <n v="1"/>
    <n v="0.25"/>
    <x v="1"/>
    <n v="0.42399999999999993"/>
    <n v="0.10599999999999998"/>
    <n v="0.42399999999999993"/>
    <n v="0.10599999999999998"/>
    <x v="0"/>
  </r>
  <r>
    <x v="23"/>
    <x v="23"/>
    <x v="19"/>
    <x v="19"/>
    <n v="3.2"/>
    <n v="0.5"/>
    <n v="1"/>
    <n v="0.5"/>
    <x v="1"/>
    <n v="0.42399999999999993"/>
    <n v="0.21199999999999997"/>
    <n v="0.42399999999999993"/>
    <n v="0.21199999999999997"/>
    <x v="0"/>
  </r>
  <r>
    <x v="23"/>
    <x v="23"/>
    <x v="9"/>
    <x v="9"/>
    <n v="3.2"/>
    <n v="1"/>
    <n v="1"/>
    <n v="1"/>
    <x v="1"/>
    <n v="0.42399999999999993"/>
    <n v="0.42399999999999993"/>
    <n v="0.42399999999999993"/>
    <n v="0.42399999999999993"/>
    <x v="0"/>
  </r>
  <r>
    <x v="23"/>
    <x v="23"/>
    <x v="10"/>
    <x v="10"/>
    <n v="3.2"/>
    <n v="0.75"/>
    <n v="0.75"/>
    <n v="0.5625"/>
    <x v="1"/>
    <n v="0.42399999999999993"/>
    <n v="0.31799999999999995"/>
    <n v="0.31799999999999995"/>
    <n v="0.23849999999999996"/>
    <x v="0"/>
  </r>
  <r>
    <x v="24"/>
    <x v="24"/>
    <x v="13"/>
    <x v="13"/>
    <n v="3.2"/>
    <n v="0.625"/>
    <n v="2.5"/>
    <n v="1.5625"/>
    <x v="1"/>
    <n v="0.42399999999999993"/>
    <n v="0.26499999999999996"/>
    <n v="1.0599999999999998"/>
    <n v="0.66249999999999987"/>
    <x v="0"/>
  </r>
  <r>
    <x v="24"/>
    <x v="24"/>
    <x v="14"/>
    <x v="14"/>
    <n v="3.2"/>
    <n v="0.625"/>
    <n v="1.875"/>
    <n v="1.171875"/>
    <x v="1"/>
    <n v="0.42399999999999993"/>
    <n v="0.26499999999999996"/>
    <n v="0.79499999999999993"/>
    <n v="0.4968749999999999"/>
    <x v="0"/>
  </r>
  <r>
    <x v="24"/>
    <x v="24"/>
    <x v="15"/>
    <x v="15"/>
    <n v="3.2"/>
    <n v="0.625"/>
    <n v="1.875"/>
    <n v="1.171875"/>
    <x v="1"/>
    <n v="0.42399999999999993"/>
    <n v="0.26499999999999996"/>
    <n v="0.79499999999999993"/>
    <n v="0.4968749999999999"/>
    <x v="0"/>
  </r>
  <r>
    <x v="24"/>
    <x v="24"/>
    <x v="12"/>
    <x v="12"/>
    <n v="3.2"/>
    <n v="1.875"/>
    <n v="1.875"/>
    <n v="3.515625"/>
    <x v="0"/>
    <n v="0.42399999999999993"/>
    <n v="0.79499999999999993"/>
    <n v="0.79499999999999993"/>
    <n v="1.4906249999999999"/>
    <x v="0"/>
  </r>
  <r>
    <x v="24"/>
    <x v="24"/>
    <x v="16"/>
    <x v="16"/>
    <n v="3.2"/>
    <n v="0.625"/>
    <n v="2.5"/>
    <n v="1.5625"/>
    <x v="1"/>
    <n v="0.42399999999999993"/>
    <n v="0.26499999999999996"/>
    <n v="1.0599999999999998"/>
    <n v="0.66249999999999987"/>
    <x v="0"/>
  </r>
  <r>
    <x v="24"/>
    <x v="24"/>
    <x v="17"/>
    <x v="17"/>
    <n v="3.2"/>
    <n v="1.25"/>
    <n v="1.875"/>
    <n v="2.34375"/>
    <x v="1"/>
    <n v="0.42399999999999993"/>
    <n v="0.52999999999999992"/>
    <n v="0.79499999999999993"/>
    <n v="0.9937499999999998"/>
    <x v="0"/>
  </r>
  <r>
    <x v="24"/>
    <x v="24"/>
    <x v="7"/>
    <x v="7"/>
    <n v="3.2"/>
    <n v="1.25"/>
    <n v="1.875"/>
    <n v="2.34375"/>
    <x v="1"/>
    <n v="0.42399999999999993"/>
    <n v="0.52999999999999992"/>
    <n v="0.79499999999999993"/>
    <n v="0.9937499999999998"/>
    <x v="0"/>
  </r>
  <r>
    <x v="24"/>
    <x v="24"/>
    <x v="18"/>
    <x v="18"/>
    <n v="3.2"/>
    <n v="0.625"/>
    <n v="2.5"/>
    <n v="1.5625"/>
    <x v="1"/>
    <n v="0.42399999999999993"/>
    <n v="0.26499999999999996"/>
    <n v="1.0599999999999998"/>
    <n v="0.66249999999999987"/>
    <x v="0"/>
  </r>
  <r>
    <x v="24"/>
    <x v="24"/>
    <x v="19"/>
    <x v="19"/>
    <n v="3.2"/>
    <n v="1.25"/>
    <n v="2.5"/>
    <n v="3.125"/>
    <x v="0"/>
    <n v="0.42399999999999993"/>
    <n v="0.52999999999999992"/>
    <n v="1.0599999999999998"/>
    <n v="1.3249999999999997"/>
    <x v="0"/>
  </r>
  <r>
    <x v="24"/>
    <x v="24"/>
    <x v="9"/>
    <x v="9"/>
    <n v="3.2"/>
    <n v="2.5"/>
    <n v="2.5"/>
    <n v="6.25"/>
    <x v="2"/>
    <n v="0.42399999999999993"/>
    <n v="1.0599999999999998"/>
    <n v="1.0599999999999998"/>
    <n v="2.6499999999999995"/>
    <x v="0"/>
  </r>
  <r>
    <x v="24"/>
    <x v="24"/>
    <x v="10"/>
    <x v="10"/>
    <n v="3.2"/>
    <n v="1.875"/>
    <n v="1.875"/>
    <n v="3.515625"/>
    <x v="0"/>
    <n v="0.42399999999999993"/>
    <n v="0.79499999999999993"/>
    <n v="0.79499999999999993"/>
    <n v="1.4906249999999999"/>
    <x v="0"/>
  </r>
  <r>
    <x v="25"/>
    <x v="25"/>
    <x v="13"/>
    <x v="13"/>
    <n v="3.2"/>
    <n v="0.625"/>
    <n v="2.5"/>
    <n v="1.5625"/>
    <x v="1"/>
    <n v="0.42399999999999993"/>
    <n v="0.26499999999999996"/>
    <n v="1.0599999999999998"/>
    <n v="0.66249999999999987"/>
    <x v="0"/>
  </r>
  <r>
    <x v="25"/>
    <x v="25"/>
    <x v="14"/>
    <x v="14"/>
    <n v="3.2"/>
    <n v="0.625"/>
    <n v="1.875"/>
    <n v="1.171875"/>
    <x v="1"/>
    <n v="0.42399999999999993"/>
    <n v="0.26499999999999996"/>
    <n v="0.79499999999999993"/>
    <n v="0.4968749999999999"/>
    <x v="0"/>
  </r>
  <r>
    <x v="25"/>
    <x v="25"/>
    <x v="15"/>
    <x v="15"/>
    <n v="3.2"/>
    <n v="0.625"/>
    <n v="1.875"/>
    <n v="1.171875"/>
    <x v="1"/>
    <n v="0.42399999999999993"/>
    <n v="0.26499999999999996"/>
    <n v="0.79499999999999993"/>
    <n v="0.4968749999999999"/>
    <x v="0"/>
  </r>
  <r>
    <x v="25"/>
    <x v="25"/>
    <x v="12"/>
    <x v="12"/>
    <n v="3.2"/>
    <n v="1.875"/>
    <n v="1.875"/>
    <n v="3.515625"/>
    <x v="0"/>
    <n v="0.42399999999999993"/>
    <n v="0.79499999999999993"/>
    <n v="0.79499999999999993"/>
    <n v="1.4906249999999999"/>
    <x v="0"/>
  </r>
  <r>
    <x v="25"/>
    <x v="25"/>
    <x v="16"/>
    <x v="16"/>
    <n v="3.2"/>
    <n v="0.625"/>
    <n v="2.5"/>
    <n v="1.5625"/>
    <x v="1"/>
    <n v="0.42399999999999993"/>
    <n v="0.26499999999999996"/>
    <n v="1.0599999999999998"/>
    <n v="0.66249999999999987"/>
    <x v="0"/>
  </r>
  <r>
    <x v="25"/>
    <x v="25"/>
    <x v="17"/>
    <x v="17"/>
    <n v="3.2"/>
    <n v="1.25"/>
    <n v="1.875"/>
    <n v="2.34375"/>
    <x v="1"/>
    <n v="0.42399999999999993"/>
    <n v="0.52999999999999992"/>
    <n v="0.79499999999999993"/>
    <n v="0.9937499999999998"/>
    <x v="0"/>
  </r>
  <r>
    <x v="25"/>
    <x v="25"/>
    <x v="7"/>
    <x v="7"/>
    <n v="3.2"/>
    <n v="1.25"/>
    <n v="1.875"/>
    <n v="2.34375"/>
    <x v="1"/>
    <n v="0.42399999999999993"/>
    <n v="0.52999999999999992"/>
    <n v="0.79499999999999993"/>
    <n v="0.9937499999999998"/>
    <x v="0"/>
  </r>
  <r>
    <x v="25"/>
    <x v="25"/>
    <x v="18"/>
    <x v="18"/>
    <n v="3.2"/>
    <n v="0.625"/>
    <n v="2.5"/>
    <n v="1.5625"/>
    <x v="1"/>
    <n v="0.42399999999999993"/>
    <n v="0.26499999999999996"/>
    <n v="1.0599999999999998"/>
    <n v="0.66249999999999987"/>
    <x v="0"/>
  </r>
  <r>
    <x v="25"/>
    <x v="25"/>
    <x v="19"/>
    <x v="19"/>
    <n v="3.2"/>
    <n v="1.25"/>
    <n v="2.5"/>
    <n v="3.125"/>
    <x v="0"/>
    <n v="0.42399999999999993"/>
    <n v="0.52999999999999992"/>
    <n v="1.0599999999999998"/>
    <n v="1.3249999999999997"/>
    <x v="0"/>
  </r>
  <r>
    <x v="25"/>
    <x v="25"/>
    <x v="9"/>
    <x v="9"/>
    <n v="3.2"/>
    <n v="2.5"/>
    <n v="2.5"/>
    <n v="6.25"/>
    <x v="2"/>
    <n v="0.42399999999999993"/>
    <n v="1.0599999999999998"/>
    <n v="1.0599999999999998"/>
    <n v="2.6499999999999995"/>
    <x v="0"/>
  </r>
  <r>
    <x v="25"/>
    <x v="25"/>
    <x v="10"/>
    <x v="10"/>
    <n v="3.2"/>
    <n v="1.875"/>
    <n v="1.875"/>
    <n v="3.515625"/>
    <x v="0"/>
    <n v="0.42399999999999993"/>
    <n v="0.79499999999999993"/>
    <n v="0.79499999999999993"/>
    <n v="1.4906249999999999"/>
    <x v="0"/>
  </r>
  <r>
    <x v="26"/>
    <x v="26"/>
    <x v="13"/>
    <x v="13"/>
    <n v="3.2"/>
    <n v="1"/>
    <n v="4"/>
    <n v="4"/>
    <x v="0"/>
    <n v="0.42399999999999993"/>
    <n v="0.42399999999999993"/>
    <n v="1.6959999999999997"/>
    <n v="1.6959999999999997"/>
    <x v="0"/>
  </r>
  <r>
    <x v="26"/>
    <x v="26"/>
    <x v="14"/>
    <x v="14"/>
    <n v="3.2"/>
    <n v="1"/>
    <n v="3"/>
    <n v="3"/>
    <x v="0"/>
    <n v="0.42399999999999993"/>
    <n v="0.42399999999999993"/>
    <n v="1.2719999999999998"/>
    <n v="1.2719999999999998"/>
    <x v="0"/>
  </r>
  <r>
    <x v="26"/>
    <x v="26"/>
    <x v="15"/>
    <x v="15"/>
    <n v="3.2"/>
    <n v="1"/>
    <n v="3"/>
    <n v="3"/>
    <x v="0"/>
    <n v="0.42399999999999993"/>
    <n v="0.42399999999999993"/>
    <n v="1.2719999999999998"/>
    <n v="1.2719999999999998"/>
    <x v="0"/>
  </r>
  <r>
    <x v="26"/>
    <x v="26"/>
    <x v="12"/>
    <x v="12"/>
    <n v="3.2"/>
    <n v="3"/>
    <n v="3"/>
    <n v="9"/>
    <x v="2"/>
    <n v="0.42399999999999993"/>
    <n v="1.2719999999999998"/>
    <n v="1.2719999999999998"/>
    <n v="3.8159999999999994"/>
    <x v="2"/>
  </r>
  <r>
    <x v="26"/>
    <x v="26"/>
    <x v="16"/>
    <x v="16"/>
    <n v="3.2"/>
    <n v="1"/>
    <n v="4"/>
    <n v="4"/>
    <x v="0"/>
    <n v="0.42399999999999993"/>
    <n v="0.42399999999999993"/>
    <n v="1.6959999999999997"/>
    <n v="1.6959999999999997"/>
    <x v="0"/>
  </r>
  <r>
    <x v="26"/>
    <x v="26"/>
    <x v="17"/>
    <x v="17"/>
    <n v="3.2"/>
    <n v="2"/>
    <n v="3"/>
    <n v="6"/>
    <x v="2"/>
    <n v="0.42399999999999993"/>
    <n v="0.84799999999999986"/>
    <n v="1.2719999999999998"/>
    <n v="2.5439999999999996"/>
    <x v="0"/>
  </r>
  <r>
    <x v="26"/>
    <x v="26"/>
    <x v="7"/>
    <x v="7"/>
    <n v="3.2"/>
    <n v="2"/>
    <n v="3"/>
    <n v="6"/>
    <x v="2"/>
    <n v="0.42399999999999993"/>
    <n v="0.84799999999999986"/>
    <n v="1.2719999999999998"/>
    <n v="2.5439999999999996"/>
    <x v="0"/>
  </r>
  <r>
    <x v="26"/>
    <x v="26"/>
    <x v="18"/>
    <x v="18"/>
    <n v="3.2"/>
    <n v="1"/>
    <n v="4"/>
    <n v="4"/>
    <x v="0"/>
    <n v="0.42399999999999993"/>
    <n v="0.42399999999999993"/>
    <n v="1.6959999999999997"/>
    <n v="1.6959999999999997"/>
    <x v="0"/>
  </r>
  <r>
    <x v="26"/>
    <x v="26"/>
    <x v="19"/>
    <x v="19"/>
    <n v="3.2"/>
    <n v="2"/>
    <n v="4"/>
    <n v="8"/>
    <x v="2"/>
    <n v="0.42399999999999993"/>
    <n v="0.84799999999999986"/>
    <n v="1.6959999999999997"/>
    <n v="3.3919999999999995"/>
    <x v="2"/>
  </r>
  <r>
    <x v="26"/>
    <x v="26"/>
    <x v="9"/>
    <x v="9"/>
    <n v="3.2"/>
    <n v="4"/>
    <n v="4"/>
    <n v="16"/>
    <x v="3"/>
    <n v="0.42399999999999993"/>
    <n v="1.6959999999999997"/>
    <n v="1.6959999999999997"/>
    <n v="6.7839999999999989"/>
    <x v="1"/>
  </r>
  <r>
    <x v="26"/>
    <x v="26"/>
    <x v="10"/>
    <x v="10"/>
    <n v="3.2"/>
    <n v="3"/>
    <n v="3"/>
    <n v="9"/>
    <x v="2"/>
    <n v="0.42399999999999993"/>
    <n v="1.2719999999999998"/>
    <n v="1.2719999999999998"/>
    <n v="3.8159999999999994"/>
    <x v="2"/>
  </r>
  <r>
    <x v="27"/>
    <x v="27"/>
    <x v="13"/>
    <x v="13"/>
    <n v="3.2"/>
    <n v="1"/>
    <n v="4"/>
    <n v="4"/>
    <x v="0"/>
    <n v="0.42399999999999993"/>
    <n v="0.42399999999999993"/>
    <n v="1.6959999999999997"/>
    <n v="1.6959999999999997"/>
    <x v="0"/>
  </r>
  <r>
    <x v="27"/>
    <x v="27"/>
    <x v="14"/>
    <x v="14"/>
    <n v="3.2"/>
    <n v="1"/>
    <n v="3"/>
    <n v="3"/>
    <x v="0"/>
    <n v="0.42399999999999993"/>
    <n v="0.42399999999999993"/>
    <n v="1.2719999999999998"/>
    <n v="1.2719999999999998"/>
    <x v="0"/>
  </r>
  <r>
    <x v="27"/>
    <x v="27"/>
    <x v="15"/>
    <x v="15"/>
    <n v="3.2"/>
    <n v="1"/>
    <n v="3"/>
    <n v="3"/>
    <x v="0"/>
    <n v="0.42399999999999993"/>
    <n v="0.42399999999999993"/>
    <n v="1.2719999999999998"/>
    <n v="1.2719999999999998"/>
    <x v="0"/>
  </r>
  <r>
    <x v="27"/>
    <x v="27"/>
    <x v="12"/>
    <x v="12"/>
    <n v="3.2"/>
    <n v="3"/>
    <n v="3"/>
    <n v="9"/>
    <x v="2"/>
    <n v="0.42399999999999993"/>
    <n v="1.2719999999999998"/>
    <n v="1.2719999999999998"/>
    <n v="3.8159999999999994"/>
    <x v="2"/>
  </r>
  <r>
    <x v="27"/>
    <x v="27"/>
    <x v="16"/>
    <x v="16"/>
    <n v="3.2"/>
    <n v="1"/>
    <n v="4"/>
    <n v="4"/>
    <x v="0"/>
    <n v="0.42399999999999993"/>
    <n v="0.42399999999999993"/>
    <n v="1.6959999999999997"/>
    <n v="1.6959999999999997"/>
    <x v="0"/>
  </r>
  <r>
    <x v="27"/>
    <x v="27"/>
    <x v="17"/>
    <x v="17"/>
    <n v="3.2"/>
    <n v="2"/>
    <n v="3"/>
    <n v="6"/>
    <x v="2"/>
    <n v="0.42399999999999993"/>
    <n v="0.84799999999999986"/>
    <n v="1.2719999999999998"/>
    <n v="2.5439999999999996"/>
    <x v="0"/>
  </r>
  <r>
    <x v="27"/>
    <x v="27"/>
    <x v="7"/>
    <x v="7"/>
    <n v="3.2"/>
    <n v="2"/>
    <n v="3"/>
    <n v="6"/>
    <x v="2"/>
    <n v="0.42399999999999993"/>
    <n v="0.84799999999999986"/>
    <n v="1.2719999999999998"/>
    <n v="2.5439999999999996"/>
    <x v="0"/>
  </r>
  <r>
    <x v="27"/>
    <x v="27"/>
    <x v="18"/>
    <x v="18"/>
    <n v="3.2"/>
    <n v="1"/>
    <n v="4"/>
    <n v="4"/>
    <x v="0"/>
    <n v="0.42399999999999993"/>
    <n v="0.42399999999999993"/>
    <n v="1.6959999999999997"/>
    <n v="1.6959999999999997"/>
    <x v="0"/>
  </r>
  <r>
    <x v="27"/>
    <x v="27"/>
    <x v="19"/>
    <x v="19"/>
    <n v="3.2"/>
    <n v="2"/>
    <n v="4"/>
    <n v="8"/>
    <x v="2"/>
    <n v="0.42399999999999993"/>
    <n v="0.84799999999999986"/>
    <n v="1.6959999999999997"/>
    <n v="3.3919999999999995"/>
    <x v="2"/>
  </r>
  <r>
    <x v="27"/>
    <x v="27"/>
    <x v="9"/>
    <x v="9"/>
    <n v="3.2"/>
    <n v="4"/>
    <n v="4"/>
    <n v="16"/>
    <x v="3"/>
    <n v="0.42399999999999993"/>
    <n v="1.6959999999999997"/>
    <n v="1.6959999999999997"/>
    <n v="6.7839999999999989"/>
    <x v="1"/>
  </r>
  <r>
    <x v="27"/>
    <x v="27"/>
    <x v="10"/>
    <x v="10"/>
    <n v="3.2"/>
    <n v="3"/>
    <n v="3"/>
    <n v="9"/>
    <x v="2"/>
    <n v="0.42399999999999993"/>
    <n v="1.2719999999999998"/>
    <n v="1.2719999999999998"/>
    <n v="3.8159999999999994"/>
    <x v="2"/>
  </r>
  <r>
    <x v="28"/>
    <x v="28"/>
    <x v="13"/>
    <x v="13"/>
    <n v="3.2"/>
    <n v="0.25"/>
    <n v="1"/>
    <n v="0.25"/>
    <x v="1"/>
    <n v="0.42399999999999993"/>
    <n v="0.10599999999999998"/>
    <n v="0.42399999999999993"/>
    <n v="0.10599999999999998"/>
    <x v="0"/>
  </r>
  <r>
    <x v="28"/>
    <x v="28"/>
    <x v="14"/>
    <x v="14"/>
    <n v="3.2"/>
    <n v="0.25"/>
    <n v="0.75"/>
    <n v="0.1875"/>
    <x v="1"/>
    <n v="0.42399999999999993"/>
    <n v="0.10599999999999998"/>
    <n v="0.31799999999999995"/>
    <n v="7.9499999999999987E-2"/>
    <x v="0"/>
  </r>
  <r>
    <x v="28"/>
    <x v="28"/>
    <x v="15"/>
    <x v="15"/>
    <n v="3.2"/>
    <n v="0.25"/>
    <n v="0.75"/>
    <n v="0.1875"/>
    <x v="1"/>
    <n v="0.42399999999999993"/>
    <n v="0.10599999999999998"/>
    <n v="0.31799999999999995"/>
    <n v="7.9499999999999987E-2"/>
    <x v="0"/>
  </r>
  <r>
    <x v="28"/>
    <x v="28"/>
    <x v="12"/>
    <x v="12"/>
    <n v="3.2"/>
    <n v="0.75"/>
    <n v="0.75"/>
    <n v="0.5625"/>
    <x v="1"/>
    <n v="0.42399999999999993"/>
    <n v="0.31799999999999995"/>
    <n v="0.31799999999999995"/>
    <n v="0.23849999999999996"/>
    <x v="0"/>
  </r>
  <r>
    <x v="28"/>
    <x v="28"/>
    <x v="16"/>
    <x v="16"/>
    <n v="3.2"/>
    <n v="0.25"/>
    <n v="1"/>
    <n v="0.25"/>
    <x v="1"/>
    <n v="0.42399999999999993"/>
    <n v="0.10599999999999998"/>
    <n v="0.42399999999999993"/>
    <n v="0.10599999999999998"/>
    <x v="0"/>
  </r>
  <r>
    <x v="28"/>
    <x v="28"/>
    <x v="17"/>
    <x v="17"/>
    <n v="3.2"/>
    <n v="0.5"/>
    <n v="0.75"/>
    <n v="0.375"/>
    <x v="1"/>
    <n v="0.42399999999999993"/>
    <n v="0.21199999999999997"/>
    <n v="0.31799999999999995"/>
    <n v="0.15899999999999997"/>
    <x v="0"/>
  </r>
  <r>
    <x v="28"/>
    <x v="28"/>
    <x v="7"/>
    <x v="7"/>
    <n v="3.2"/>
    <n v="0.5"/>
    <n v="0.75"/>
    <n v="0.375"/>
    <x v="1"/>
    <n v="0.42399999999999993"/>
    <n v="0.21199999999999997"/>
    <n v="0.31799999999999995"/>
    <n v="0.15899999999999997"/>
    <x v="0"/>
  </r>
  <r>
    <x v="28"/>
    <x v="28"/>
    <x v="18"/>
    <x v="18"/>
    <n v="3.2"/>
    <n v="0.25"/>
    <n v="1"/>
    <n v="0.25"/>
    <x v="1"/>
    <n v="0.42399999999999993"/>
    <n v="0.10599999999999998"/>
    <n v="0.42399999999999993"/>
    <n v="0.10599999999999998"/>
    <x v="0"/>
  </r>
  <r>
    <x v="28"/>
    <x v="28"/>
    <x v="19"/>
    <x v="19"/>
    <n v="3.2"/>
    <n v="0.5"/>
    <n v="1"/>
    <n v="0.5"/>
    <x v="1"/>
    <n v="0.42399999999999993"/>
    <n v="0.21199999999999997"/>
    <n v="0.42399999999999993"/>
    <n v="0.21199999999999997"/>
    <x v="0"/>
  </r>
  <r>
    <x v="28"/>
    <x v="28"/>
    <x v="9"/>
    <x v="9"/>
    <n v="3.2"/>
    <n v="1"/>
    <n v="1"/>
    <n v="1"/>
    <x v="1"/>
    <n v="0.42399999999999993"/>
    <n v="0.42399999999999993"/>
    <n v="0.42399999999999993"/>
    <n v="0.42399999999999993"/>
    <x v="0"/>
  </r>
  <r>
    <x v="28"/>
    <x v="28"/>
    <x v="10"/>
    <x v="10"/>
    <n v="3.2"/>
    <n v="0.75"/>
    <n v="0.75"/>
    <n v="0.5625"/>
    <x v="1"/>
    <n v="0.42399999999999993"/>
    <n v="0.31799999999999995"/>
    <n v="0.31799999999999995"/>
    <n v="0.23849999999999996"/>
    <x v="0"/>
  </r>
  <r>
    <x v="29"/>
    <x v="29"/>
    <x v="13"/>
    <x v="13"/>
    <n v="3.2"/>
    <n v="1"/>
    <n v="4"/>
    <n v="4"/>
    <x v="0"/>
    <n v="0.42399999999999993"/>
    <n v="0.42399999999999993"/>
    <n v="1.6959999999999997"/>
    <n v="1.6959999999999997"/>
    <x v="0"/>
  </r>
  <r>
    <x v="29"/>
    <x v="29"/>
    <x v="14"/>
    <x v="14"/>
    <n v="3.2"/>
    <n v="1"/>
    <n v="3"/>
    <n v="3"/>
    <x v="0"/>
    <n v="0.42399999999999993"/>
    <n v="0.42399999999999993"/>
    <n v="1.2719999999999998"/>
    <n v="1.2719999999999998"/>
    <x v="0"/>
  </r>
  <r>
    <x v="29"/>
    <x v="29"/>
    <x v="15"/>
    <x v="15"/>
    <n v="3.2"/>
    <n v="1"/>
    <n v="3"/>
    <n v="3"/>
    <x v="0"/>
    <n v="0.42399999999999993"/>
    <n v="0.42399999999999993"/>
    <n v="1.2719999999999998"/>
    <n v="1.2719999999999998"/>
    <x v="0"/>
  </r>
  <r>
    <x v="29"/>
    <x v="29"/>
    <x v="12"/>
    <x v="12"/>
    <n v="3.2"/>
    <n v="3"/>
    <n v="3"/>
    <n v="9"/>
    <x v="2"/>
    <n v="0.42399999999999993"/>
    <n v="1.2719999999999998"/>
    <n v="1.2719999999999998"/>
    <n v="3.8159999999999994"/>
    <x v="2"/>
  </r>
  <r>
    <x v="29"/>
    <x v="29"/>
    <x v="16"/>
    <x v="16"/>
    <n v="3.2"/>
    <n v="1"/>
    <n v="4"/>
    <n v="4"/>
    <x v="0"/>
    <n v="0.42399999999999993"/>
    <n v="0.42399999999999993"/>
    <n v="1.6959999999999997"/>
    <n v="1.6959999999999997"/>
    <x v="0"/>
  </r>
  <r>
    <x v="29"/>
    <x v="29"/>
    <x v="17"/>
    <x v="17"/>
    <n v="3.2"/>
    <n v="2"/>
    <n v="3"/>
    <n v="6"/>
    <x v="2"/>
    <n v="0.42399999999999993"/>
    <n v="0.84799999999999986"/>
    <n v="1.2719999999999998"/>
    <n v="2.5439999999999996"/>
    <x v="0"/>
  </r>
  <r>
    <x v="29"/>
    <x v="29"/>
    <x v="7"/>
    <x v="7"/>
    <n v="3.2"/>
    <n v="2"/>
    <n v="3"/>
    <n v="6"/>
    <x v="2"/>
    <n v="0.42399999999999993"/>
    <n v="0.84799999999999986"/>
    <n v="1.2719999999999998"/>
    <n v="2.5439999999999996"/>
    <x v="0"/>
  </r>
  <r>
    <x v="29"/>
    <x v="29"/>
    <x v="18"/>
    <x v="18"/>
    <n v="3.2"/>
    <n v="1"/>
    <n v="4"/>
    <n v="4"/>
    <x v="0"/>
    <n v="0.42399999999999993"/>
    <n v="0.42399999999999993"/>
    <n v="1.6959999999999997"/>
    <n v="1.6959999999999997"/>
    <x v="0"/>
  </r>
  <r>
    <x v="29"/>
    <x v="29"/>
    <x v="19"/>
    <x v="19"/>
    <n v="3.2"/>
    <n v="2"/>
    <n v="4"/>
    <n v="8"/>
    <x v="2"/>
    <n v="0.42399999999999993"/>
    <n v="0.84799999999999986"/>
    <n v="1.6959999999999997"/>
    <n v="3.3919999999999995"/>
    <x v="2"/>
  </r>
  <r>
    <x v="29"/>
    <x v="29"/>
    <x v="9"/>
    <x v="9"/>
    <n v="3.2"/>
    <n v="4"/>
    <n v="4"/>
    <n v="16"/>
    <x v="3"/>
    <n v="0.42399999999999993"/>
    <n v="1.6959999999999997"/>
    <n v="1.6959999999999997"/>
    <n v="6.7839999999999989"/>
    <x v="1"/>
  </r>
  <r>
    <x v="29"/>
    <x v="29"/>
    <x v="10"/>
    <x v="10"/>
    <n v="3.2"/>
    <n v="3"/>
    <n v="3"/>
    <n v="9"/>
    <x v="2"/>
    <n v="0.42399999999999993"/>
    <n v="1.2719999999999998"/>
    <n v="1.2719999999999998"/>
    <n v="3.8159999999999994"/>
    <x v="2"/>
  </r>
  <r>
    <x v="30"/>
    <x v="30"/>
    <x v="13"/>
    <x v="13"/>
    <n v="3.2"/>
    <n v="1"/>
    <n v="4"/>
    <n v="4"/>
    <x v="0"/>
    <n v="0.42399999999999993"/>
    <n v="0.42399999999999993"/>
    <n v="1.6959999999999997"/>
    <n v="1.6959999999999997"/>
    <x v="0"/>
  </r>
  <r>
    <x v="30"/>
    <x v="30"/>
    <x v="14"/>
    <x v="14"/>
    <n v="3.2"/>
    <n v="1"/>
    <n v="3"/>
    <n v="3"/>
    <x v="0"/>
    <n v="0.42399999999999993"/>
    <n v="0.42399999999999993"/>
    <n v="1.2719999999999998"/>
    <n v="1.2719999999999998"/>
    <x v="0"/>
  </r>
  <r>
    <x v="30"/>
    <x v="30"/>
    <x v="15"/>
    <x v="15"/>
    <n v="3.2"/>
    <n v="1"/>
    <n v="3"/>
    <n v="3"/>
    <x v="0"/>
    <n v="0.42399999999999993"/>
    <n v="0.42399999999999993"/>
    <n v="1.2719999999999998"/>
    <n v="1.2719999999999998"/>
    <x v="0"/>
  </r>
  <r>
    <x v="30"/>
    <x v="30"/>
    <x v="12"/>
    <x v="12"/>
    <n v="3.2"/>
    <n v="3"/>
    <n v="3"/>
    <n v="9"/>
    <x v="2"/>
    <n v="0.42399999999999993"/>
    <n v="1.2719999999999998"/>
    <n v="1.2719999999999998"/>
    <n v="3.8159999999999994"/>
    <x v="2"/>
  </r>
  <r>
    <x v="30"/>
    <x v="30"/>
    <x v="16"/>
    <x v="16"/>
    <n v="3.2"/>
    <n v="1"/>
    <n v="4"/>
    <n v="4"/>
    <x v="0"/>
    <n v="0.42399999999999993"/>
    <n v="0.42399999999999993"/>
    <n v="1.6959999999999997"/>
    <n v="1.6959999999999997"/>
    <x v="0"/>
  </r>
  <r>
    <x v="30"/>
    <x v="30"/>
    <x v="17"/>
    <x v="17"/>
    <n v="3.2"/>
    <n v="2"/>
    <n v="3"/>
    <n v="6"/>
    <x v="2"/>
    <n v="0.42399999999999993"/>
    <n v="0.84799999999999986"/>
    <n v="1.2719999999999998"/>
    <n v="2.5439999999999996"/>
    <x v="0"/>
  </r>
  <r>
    <x v="30"/>
    <x v="30"/>
    <x v="7"/>
    <x v="7"/>
    <n v="3.2"/>
    <n v="2"/>
    <n v="3"/>
    <n v="6"/>
    <x v="2"/>
    <n v="0.42399999999999993"/>
    <n v="0.84799999999999986"/>
    <n v="1.2719999999999998"/>
    <n v="2.5439999999999996"/>
    <x v="0"/>
  </r>
  <r>
    <x v="30"/>
    <x v="30"/>
    <x v="18"/>
    <x v="18"/>
    <n v="3.2"/>
    <n v="1"/>
    <n v="4"/>
    <n v="4"/>
    <x v="0"/>
    <n v="0.42399999999999993"/>
    <n v="0.42399999999999993"/>
    <n v="1.6959999999999997"/>
    <n v="1.6959999999999997"/>
    <x v="0"/>
  </r>
  <r>
    <x v="30"/>
    <x v="30"/>
    <x v="19"/>
    <x v="19"/>
    <n v="3.2"/>
    <n v="2"/>
    <n v="4"/>
    <n v="8"/>
    <x v="2"/>
    <n v="0.42399999999999993"/>
    <n v="0.84799999999999986"/>
    <n v="1.6959999999999997"/>
    <n v="3.3919999999999995"/>
    <x v="2"/>
  </r>
  <r>
    <x v="30"/>
    <x v="30"/>
    <x v="9"/>
    <x v="9"/>
    <n v="3.2"/>
    <n v="4"/>
    <n v="4"/>
    <n v="16"/>
    <x v="3"/>
    <n v="0.42399999999999993"/>
    <n v="1.6959999999999997"/>
    <n v="1.6959999999999997"/>
    <n v="6.7839999999999989"/>
    <x v="1"/>
  </r>
  <r>
    <x v="30"/>
    <x v="30"/>
    <x v="10"/>
    <x v="10"/>
    <n v="3.2"/>
    <n v="3"/>
    <n v="3"/>
    <n v="9"/>
    <x v="2"/>
    <n v="0.42399999999999993"/>
    <n v="1.2719999999999998"/>
    <n v="1.2719999999999998"/>
    <n v="3.8159999999999994"/>
    <x v="2"/>
  </r>
  <r>
    <x v="31"/>
    <x v="31"/>
    <x v="12"/>
    <x v="12"/>
    <n v="3.2"/>
    <n v="3"/>
    <n v="3"/>
    <n v="9"/>
    <x v="2"/>
    <n v="0.42399999999999993"/>
    <n v="1.2719999999999998"/>
    <n v="1.2719999999999998"/>
    <n v="3.8159999999999994"/>
    <x v="2"/>
  </r>
  <r>
    <x v="31"/>
    <x v="31"/>
    <x v="17"/>
    <x v="17"/>
    <n v="3.2"/>
    <n v="2"/>
    <n v="3"/>
    <n v="6"/>
    <x v="2"/>
    <n v="0.42399999999999993"/>
    <n v="0.84799999999999986"/>
    <n v="1.2719999999999998"/>
    <n v="2.5439999999999996"/>
    <x v="0"/>
  </r>
  <r>
    <x v="31"/>
    <x v="31"/>
    <x v="6"/>
    <x v="6"/>
    <n v="3.2"/>
    <n v="4"/>
    <n v="3"/>
    <n v="12"/>
    <x v="3"/>
    <n v="0.42399999999999993"/>
    <n v="1.6959999999999997"/>
    <n v="1.2719999999999998"/>
    <n v="5.0879999999999992"/>
    <x v="2"/>
  </r>
  <r>
    <x v="31"/>
    <x v="31"/>
    <x v="7"/>
    <x v="7"/>
    <n v="3.2"/>
    <n v="2"/>
    <n v="3"/>
    <n v="6"/>
    <x v="2"/>
    <n v="0.42399999999999993"/>
    <n v="0.84799999999999986"/>
    <n v="1.2719999999999998"/>
    <n v="2.5439999999999996"/>
    <x v="0"/>
  </r>
  <r>
    <x v="31"/>
    <x v="31"/>
    <x v="8"/>
    <x v="8"/>
    <n v="3"/>
    <n v="3"/>
    <n v="4"/>
    <n v="12"/>
    <x v="3"/>
    <n v="0.45999999999999996"/>
    <n v="1.38"/>
    <n v="1.8399999999999999"/>
    <n v="5.52"/>
    <x v="2"/>
  </r>
  <r>
    <x v="31"/>
    <x v="31"/>
    <x v="9"/>
    <x v="9"/>
    <n v="3.2"/>
    <n v="4"/>
    <n v="4"/>
    <n v="16"/>
    <x v="3"/>
    <n v="0.42399999999999993"/>
    <n v="1.6959999999999997"/>
    <n v="1.6959999999999997"/>
    <n v="6.7839999999999989"/>
    <x v="1"/>
  </r>
  <r>
    <x v="31"/>
    <x v="31"/>
    <x v="10"/>
    <x v="10"/>
    <n v="3.2"/>
    <n v="3"/>
    <n v="3"/>
    <n v="9"/>
    <x v="2"/>
    <n v="0.42399999999999993"/>
    <n v="1.2719999999999998"/>
    <n v="1.2719999999999998"/>
    <n v="3.8159999999999994"/>
    <x v="2"/>
  </r>
  <r>
    <x v="32"/>
    <x v="32"/>
    <x v="12"/>
    <x v="12"/>
    <n v="3.2"/>
    <n v="1.875"/>
    <n v="1.875"/>
    <n v="3.515625"/>
    <x v="0"/>
    <n v="0.42399999999999993"/>
    <n v="0.79499999999999993"/>
    <n v="0.79499999999999993"/>
    <n v="1.4906249999999999"/>
    <x v="0"/>
  </r>
  <r>
    <x v="32"/>
    <x v="32"/>
    <x v="17"/>
    <x v="17"/>
    <n v="3.2"/>
    <n v="1.25"/>
    <n v="1.875"/>
    <n v="2.34375"/>
    <x v="1"/>
    <n v="0.42399999999999993"/>
    <n v="0.52999999999999992"/>
    <n v="0.79499999999999993"/>
    <n v="0.9937499999999998"/>
    <x v="0"/>
  </r>
  <r>
    <x v="32"/>
    <x v="32"/>
    <x v="6"/>
    <x v="6"/>
    <n v="3.2"/>
    <n v="2.5"/>
    <n v="1.875"/>
    <n v="4.6875"/>
    <x v="0"/>
    <n v="0.42399999999999993"/>
    <n v="1.0599999999999998"/>
    <n v="0.79499999999999993"/>
    <n v="1.9874999999999996"/>
    <x v="0"/>
  </r>
  <r>
    <x v="32"/>
    <x v="32"/>
    <x v="7"/>
    <x v="7"/>
    <n v="3.2"/>
    <n v="1.25"/>
    <n v="1.875"/>
    <n v="2.34375"/>
    <x v="1"/>
    <n v="0.42399999999999993"/>
    <n v="0.52999999999999992"/>
    <n v="0.79499999999999993"/>
    <n v="0.9937499999999998"/>
    <x v="0"/>
  </r>
  <r>
    <x v="32"/>
    <x v="32"/>
    <x v="8"/>
    <x v="8"/>
    <n v="3"/>
    <n v="1.875"/>
    <n v="2.5"/>
    <n v="4.6875"/>
    <x v="0"/>
    <n v="0.45999999999999996"/>
    <n v="0.86249999999999993"/>
    <n v="1.1499999999999999"/>
    <n v="2.15625"/>
    <x v="0"/>
  </r>
  <r>
    <x v="32"/>
    <x v="32"/>
    <x v="9"/>
    <x v="9"/>
    <n v="3.2"/>
    <n v="2.5"/>
    <n v="2.5"/>
    <n v="6.25"/>
    <x v="2"/>
    <n v="0.42399999999999993"/>
    <n v="1.0599999999999998"/>
    <n v="1.0599999999999998"/>
    <n v="2.6499999999999995"/>
    <x v="0"/>
  </r>
  <r>
    <x v="32"/>
    <x v="32"/>
    <x v="10"/>
    <x v="10"/>
    <n v="3.2"/>
    <n v="1.875"/>
    <n v="1.875"/>
    <n v="3.515625"/>
    <x v="0"/>
    <n v="0.42399999999999993"/>
    <n v="0.79499999999999993"/>
    <n v="0.79499999999999993"/>
    <n v="1.4906249999999999"/>
    <x v="0"/>
  </r>
  <r>
    <x v="33"/>
    <x v="33"/>
    <x v="12"/>
    <x v="12"/>
    <n v="3.2"/>
    <n v="1.875"/>
    <n v="1.875"/>
    <n v="3.515625"/>
    <x v="0"/>
    <n v="0.42399999999999993"/>
    <n v="0.79499999999999993"/>
    <n v="0.79499999999999993"/>
    <n v="1.4906249999999999"/>
    <x v="0"/>
  </r>
  <r>
    <x v="33"/>
    <x v="33"/>
    <x v="17"/>
    <x v="17"/>
    <n v="3.2"/>
    <n v="1.25"/>
    <n v="1.875"/>
    <n v="2.34375"/>
    <x v="1"/>
    <n v="0.42399999999999993"/>
    <n v="0.52999999999999992"/>
    <n v="0.79499999999999993"/>
    <n v="0.9937499999999998"/>
    <x v="0"/>
  </r>
  <r>
    <x v="33"/>
    <x v="33"/>
    <x v="6"/>
    <x v="6"/>
    <n v="3.2"/>
    <n v="2.5"/>
    <n v="1.875"/>
    <n v="4.6875"/>
    <x v="0"/>
    <n v="0.42399999999999993"/>
    <n v="1.0599999999999998"/>
    <n v="0.79499999999999993"/>
    <n v="1.9874999999999996"/>
    <x v="0"/>
  </r>
  <r>
    <x v="33"/>
    <x v="33"/>
    <x v="7"/>
    <x v="7"/>
    <n v="3.2"/>
    <n v="1.25"/>
    <n v="1.875"/>
    <n v="2.34375"/>
    <x v="1"/>
    <n v="0.42399999999999993"/>
    <n v="0.52999999999999992"/>
    <n v="0.79499999999999993"/>
    <n v="0.9937499999999998"/>
    <x v="0"/>
  </r>
  <r>
    <x v="33"/>
    <x v="33"/>
    <x v="8"/>
    <x v="8"/>
    <n v="3"/>
    <n v="1.875"/>
    <n v="2.5"/>
    <n v="4.6875"/>
    <x v="0"/>
    <n v="0.45999999999999996"/>
    <n v="0.86249999999999993"/>
    <n v="1.1499999999999999"/>
    <n v="2.15625"/>
    <x v="0"/>
  </r>
  <r>
    <x v="33"/>
    <x v="33"/>
    <x v="9"/>
    <x v="9"/>
    <n v="3.2"/>
    <n v="2.5"/>
    <n v="2.5"/>
    <n v="6.25"/>
    <x v="2"/>
    <n v="0.42399999999999993"/>
    <n v="1.0599999999999998"/>
    <n v="1.0599999999999998"/>
    <n v="2.6499999999999995"/>
    <x v="0"/>
  </r>
  <r>
    <x v="33"/>
    <x v="33"/>
    <x v="10"/>
    <x v="10"/>
    <n v="3.2"/>
    <n v="1.875"/>
    <n v="1.875"/>
    <n v="3.515625"/>
    <x v="0"/>
    <n v="0.42399999999999993"/>
    <n v="0.79499999999999993"/>
    <n v="0.79499999999999993"/>
    <n v="1.4906249999999999"/>
    <x v="0"/>
  </r>
  <r>
    <x v="34"/>
    <x v="34"/>
    <x v="12"/>
    <x v="12"/>
    <n v="3.2"/>
    <n v="1.875"/>
    <n v="1.875"/>
    <n v="3.515625"/>
    <x v="0"/>
    <n v="0.42399999999999993"/>
    <n v="0.79499999999999993"/>
    <n v="0.79499999999999993"/>
    <n v="1.4906249999999999"/>
    <x v="0"/>
  </r>
  <r>
    <x v="34"/>
    <x v="34"/>
    <x v="17"/>
    <x v="17"/>
    <n v="3.2"/>
    <n v="1.25"/>
    <n v="1.875"/>
    <n v="2.34375"/>
    <x v="1"/>
    <n v="0.42399999999999993"/>
    <n v="0.52999999999999992"/>
    <n v="0.79499999999999993"/>
    <n v="0.9937499999999998"/>
    <x v="0"/>
  </r>
  <r>
    <x v="34"/>
    <x v="34"/>
    <x v="6"/>
    <x v="6"/>
    <n v="3.2"/>
    <n v="2.5"/>
    <n v="1.875"/>
    <n v="4.6875"/>
    <x v="0"/>
    <n v="0.42399999999999993"/>
    <n v="1.0599999999999998"/>
    <n v="0.79499999999999993"/>
    <n v="1.9874999999999996"/>
    <x v="0"/>
  </r>
  <r>
    <x v="34"/>
    <x v="34"/>
    <x v="7"/>
    <x v="7"/>
    <n v="3.2"/>
    <n v="1.25"/>
    <n v="1.875"/>
    <n v="2.34375"/>
    <x v="1"/>
    <n v="0.42399999999999993"/>
    <n v="0.52999999999999992"/>
    <n v="0.79499999999999993"/>
    <n v="0.9937499999999998"/>
    <x v="0"/>
  </r>
  <r>
    <x v="34"/>
    <x v="34"/>
    <x v="8"/>
    <x v="8"/>
    <n v="3"/>
    <n v="1.875"/>
    <n v="2.5"/>
    <n v="4.6875"/>
    <x v="0"/>
    <n v="0.45999999999999996"/>
    <n v="0.86249999999999993"/>
    <n v="1.1499999999999999"/>
    <n v="2.15625"/>
    <x v="0"/>
  </r>
  <r>
    <x v="34"/>
    <x v="34"/>
    <x v="9"/>
    <x v="9"/>
    <n v="3.2"/>
    <n v="2.5"/>
    <n v="2.5"/>
    <n v="6.25"/>
    <x v="2"/>
    <n v="0.42399999999999993"/>
    <n v="1.0599999999999998"/>
    <n v="1.0599999999999998"/>
    <n v="2.6499999999999995"/>
    <x v="0"/>
  </r>
  <r>
    <x v="34"/>
    <x v="34"/>
    <x v="10"/>
    <x v="10"/>
    <n v="3.2"/>
    <n v="1.875"/>
    <n v="1.875"/>
    <n v="3.515625"/>
    <x v="0"/>
    <n v="0.42399999999999993"/>
    <n v="0.79499999999999993"/>
    <n v="0.79499999999999993"/>
    <n v="1.4906249999999999"/>
    <x v="0"/>
  </r>
  <r>
    <x v="35"/>
    <x v="35"/>
    <x v="12"/>
    <x v="12"/>
    <n v="3.2"/>
    <n v="3"/>
    <n v="3"/>
    <n v="9"/>
    <x v="2"/>
    <n v="0.42399999999999993"/>
    <n v="1.2719999999999998"/>
    <n v="1.2719999999999998"/>
    <n v="3.8159999999999994"/>
    <x v="2"/>
  </r>
  <r>
    <x v="35"/>
    <x v="35"/>
    <x v="17"/>
    <x v="17"/>
    <n v="3.2"/>
    <n v="2"/>
    <n v="3"/>
    <n v="6"/>
    <x v="2"/>
    <n v="0.42399999999999993"/>
    <n v="0.84799999999999986"/>
    <n v="1.2719999999999998"/>
    <n v="2.5439999999999996"/>
    <x v="0"/>
  </r>
  <r>
    <x v="35"/>
    <x v="35"/>
    <x v="6"/>
    <x v="6"/>
    <n v="3.2"/>
    <n v="4"/>
    <n v="3"/>
    <n v="12"/>
    <x v="3"/>
    <n v="0.42399999999999993"/>
    <n v="1.6959999999999997"/>
    <n v="1.2719999999999998"/>
    <n v="5.0879999999999992"/>
    <x v="2"/>
  </r>
  <r>
    <x v="35"/>
    <x v="35"/>
    <x v="7"/>
    <x v="7"/>
    <n v="3.2"/>
    <n v="2"/>
    <n v="3"/>
    <n v="6"/>
    <x v="2"/>
    <n v="0.42399999999999993"/>
    <n v="0.84799999999999986"/>
    <n v="1.2719999999999998"/>
    <n v="2.5439999999999996"/>
    <x v="0"/>
  </r>
  <r>
    <x v="35"/>
    <x v="35"/>
    <x v="8"/>
    <x v="8"/>
    <n v="3"/>
    <n v="3"/>
    <n v="4"/>
    <n v="12"/>
    <x v="3"/>
    <n v="0.45999999999999996"/>
    <n v="1.38"/>
    <n v="1.8399999999999999"/>
    <n v="5.52"/>
    <x v="2"/>
  </r>
  <r>
    <x v="35"/>
    <x v="35"/>
    <x v="9"/>
    <x v="9"/>
    <n v="3.2"/>
    <n v="4"/>
    <n v="4"/>
    <n v="16"/>
    <x v="3"/>
    <n v="0.42399999999999993"/>
    <n v="1.6959999999999997"/>
    <n v="1.6959999999999997"/>
    <n v="6.7839999999999989"/>
    <x v="1"/>
  </r>
  <r>
    <x v="35"/>
    <x v="35"/>
    <x v="10"/>
    <x v="10"/>
    <n v="3.2"/>
    <n v="3"/>
    <n v="3"/>
    <n v="9"/>
    <x v="2"/>
    <n v="0.42399999999999993"/>
    <n v="1.2719999999999998"/>
    <n v="1.2719999999999998"/>
    <n v="3.8159999999999994"/>
    <x v="2"/>
  </r>
  <r>
    <x v="36"/>
    <x v="36"/>
    <x v="12"/>
    <x v="12"/>
    <n v="3.2"/>
    <n v="3"/>
    <n v="3"/>
    <n v="9"/>
    <x v="2"/>
    <n v="0.42399999999999993"/>
    <n v="1.2719999999999998"/>
    <n v="1.2719999999999998"/>
    <n v="3.8159999999999994"/>
    <x v="2"/>
  </r>
  <r>
    <x v="36"/>
    <x v="36"/>
    <x v="17"/>
    <x v="17"/>
    <n v="3.2"/>
    <n v="2"/>
    <n v="3"/>
    <n v="6"/>
    <x v="2"/>
    <n v="0.42399999999999993"/>
    <n v="0.84799999999999986"/>
    <n v="1.2719999999999998"/>
    <n v="2.5439999999999996"/>
    <x v="0"/>
  </r>
  <r>
    <x v="36"/>
    <x v="36"/>
    <x v="6"/>
    <x v="6"/>
    <n v="3.2"/>
    <n v="4"/>
    <n v="3"/>
    <n v="12"/>
    <x v="3"/>
    <n v="0.42399999999999993"/>
    <n v="1.6959999999999997"/>
    <n v="1.2719999999999998"/>
    <n v="5.0879999999999992"/>
    <x v="2"/>
  </r>
  <r>
    <x v="36"/>
    <x v="36"/>
    <x v="7"/>
    <x v="7"/>
    <n v="3.2"/>
    <n v="2"/>
    <n v="3"/>
    <n v="6"/>
    <x v="2"/>
    <n v="0.42399999999999993"/>
    <n v="0.84799999999999986"/>
    <n v="1.2719999999999998"/>
    <n v="2.5439999999999996"/>
    <x v="0"/>
  </r>
  <r>
    <x v="36"/>
    <x v="36"/>
    <x v="8"/>
    <x v="8"/>
    <n v="3"/>
    <n v="3"/>
    <n v="4"/>
    <n v="12"/>
    <x v="3"/>
    <n v="0.45999999999999996"/>
    <n v="1.38"/>
    <n v="1.8399999999999999"/>
    <n v="5.52"/>
    <x v="2"/>
  </r>
  <r>
    <x v="36"/>
    <x v="36"/>
    <x v="9"/>
    <x v="9"/>
    <n v="3.2"/>
    <n v="4"/>
    <n v="4"/>
    <n v="16"/>
    <x v="3"/>
    <n v="0.42399999999999993"/>
    <n v="1.6959999999999997"/>
    <n v="1.6959999999999997"/>
    <n v="6.7839999999999989"/>
    <x v="1"/>
  </r>
  <r>
    <x v="36"/>
    <x v="36"/>
    <x v="10"/>
    <x v="10"/>
    <n v="3.2"/>
    <n v="3"/>
    <n v="3"/>
    <n v="9"/>
    <x v="2"/>
    <n v="0.42399999999999993"/>
    <n v="1.2719999999999998"/>
    <n v="1.2719999999999998"/>
    <n v="3.8159999999999994"/>
    <x v="2"/>
  </r>
  <r>
    <x v="37"/>
    <x v="37"/>
    <x v="12"/>
    <x v="12"/>
    <n v="3.2"/>
    <n v="3"/>
    <n v="3"/>
    <n v="9"/>
    <x v="2"/>
    <n v="0.42399999999999993"/>
    <n v="1.2719999999999998"/>
    <n v="1.2719999999999998"/>
    <n v="3.8159999999999994"/>
    <x v="2"/>
  </r>
  <r>
    <x v="37"/>
    <x v="37"/>
    <x v="17"/>
    <x v="17"/>
    <n v="3.2"/>
    <n v="2"/>
    <n v="3"/>
    <n v="6"/>
    <x v="2"/>
    <n v="0.42399999999999993"/>
    <n v="0.84799999999999986"/>
    <n v="1.2719999999999998"/>
    <n v="2.5439999999999996"/>
    <x v="0"/>
  </r>
  <r>
    <x v="37"/>
    <x v="37"/>
    <x v="6"/>
    <x v="6"/>
    <n v="3.2"/>
    <n v="4"/>
    <n v="3"/>
    <n v="12"/>
    <x v="3"/>
    <n v="0.42399999999999993"/>
    <n v="1.6959999999999997"/>
    <n v="1.2719999999999998"/>
    <n v="5.0879999999999992"/>
    <x v="2"/>
  </r>
  <r>
    <x v="37"/>
    <x v="37"/>
    <x v="7"/>
    <x v="7"/>
    <n v="3.2"/>
    <n v="2"/>
    <n v="3"/>
    <n v="6"/>
    <x v="2"/>
    <n v="0.42399999999999993"/>
    <n v="0.84799999999999986"/>
    <n v="1.2719999999999998"/>
    <n v="2.5439999999999996"/>
    <x v="0"/>
  </r>
  <r>
    <x v="37"/>
    <x v="37"/>
    <x v="8"/>
    <x v="8"/>
    <n v="3"/>
    <n v="3"/>
    <n v="4"/>
    <n v="12"/>
    <x v="3"/>
    <n v="0.45999999999999996"/>
    <n v="1.38"/>
    <n v="1.8399999999999999"/>
    <n v="5.52"/>
    <x v="2"/>
  </r>
  <r>
    <x v="37"/>
    <x v="37"/>
    <x v="9"/>
    <x v="9"/>
    <n v="3.2"/>
    <n v="4"/>
    <n v="4"/>
    <n v="16"/>
    <x v="3"/>
    <n v="0.42399999999999993"/>
    <n v="1.6959999999999997"/>
    <n v="1.6959999999999997"/>
    <n v="6.7839999999999989"/>
    <x v="1"/>
  </r>
  <r>
    <x v="37"/>
    <x v="37"/>
    <x v="10"/>
    <x v="10"/>
    <n v="3.2"/>
    <n v="3"/>
    <n v="3"/>
    <n v="9"/>
    <x v="2"/>
    <n v="0.42399999999999993"/>
    <n v="1.2719999999999998"/>
    <n v="1.2719999999999998"/>
    <n v="3.8159999999999994"/>
    <x v="2"/>
  </r>
  <r>
    <x v="38"/>
    <x v="38"/>
    <x v="12"/>
    <x v="12"/>
    <n v="3.2"/>
    <n v="3"/>
    <n v="3"/>
    <n v="9"/>
    <x v="2"/>
    <n v="0.42399999999999993"/>
    <n v="1.2719999999999998"/>
    <n v="1.2719999999999998"/>
    <n v="3.8159999999999994"/>
    <x v="2"/>
  </r>
  <r>
    <x v="38"/>
    <x v="38"/>
    <x v="17"/>
    <x v="17"/>
    <n v="3.2"/>
    <n v="2"/>
    <n v="3"/>
    <n v="6"/>
    <x v="2"/>
    <n v="0.42399999999999993"/>
    <n v="0.84799999999999986"/>
    <n v="1.2719999999999998"/>
    <n v="2.5439999999999996"/>
    <x v="0"/>
  </r>
  <r>
    <x v="38"/>
    <x v="38"/>
    <x v="6"/>
    <x v="6"/>
    <n v="3.2"/>
    <n v="4"/>
    <n v="3"/>
    <n v="12"/>
    <x v="3"/>
    <n v="0.42399999999999993"/>
    <n v="1.6959999999999997"/>
    <n v="1.2719999999999998"/>
    <n v="5.0879999999999992"/>
    <x v="2"/>
  </r>
  <r>
    <x v="38"/>
    <x v="38"/>
    <x v="7"/>
    <x v="7"/>
    <n v="3.2"/>
    <n v="2"/>
    <n v="3"/>
    <n v="6"/>
    <x v="2"/>
    <n v="0.42399999999999993"/>
    <n v="0.84799999999999986"/>
    <n v="1.2719999999999998"/>
    <n v="2.5439999999999996"/>
    <x v="0"/>
  </r>
  <r>
    <x v="38"/>
    <x v="38"/>
    <x v="8"/>
    <x v="8"/>
    <n v="3"/>
    <n v="3"/>
    <n v="4"/>
    <n v="12"/>
    <x v="3"/>
    <n v="0.45999999999999996"/>
    <n v="1.38"/>
    <n v="1.8399999999999999"/>
    <n v="5.52"/>
    <x v="2"/>
  </r>
  <r>
    <x v="38"/>
    <x v="38"/>
    <x v="9"/>
    <x v="9"/>
    <n v="3.2"/>
    <n v="4"/>
    <n v="4"/>
    <n v="16"/>
    <x v="3"/>
    <n v="0.42399999999999993"/>
    <n v="1.6959999999999997"/>
    <n v="1.6959999999999997"/>
    <n v="6.7839999999999989"/>
    <x v="1"/>
  </r>
  <r>
    <x v="38"/>
    <x v="38"/>
    <x v="10"/>
    <x v="10"/>
    <n v="3.2"/>
    <n v="3"/>
    <n v="3"/>
    <n v="9"/>
    <x v="2"/>
    <n v="0.42399999999999993"/>
    <n v="1.2719999999999998"/>
    <n v="1.2719999999999998"/>
    <n v="3.8159999999999994"/>
    <x v="2"/>
  </r>
  <r>
    <x v="39"/>
    <x v="39"/>
    <x v="12"/>
    <x v="12"/>
    <n v="3.2"/>
    <n v="3"/>
    <n v="3"/>
    <n v="9"/>
    <x v="2"/>
    <n v="0.42399999999999993"/>
    <n v="1.2719999999999998"/>
    <n v="1.2719999999999998"/>
    <n v="3.8159999999999994"/>
    <x v="2"/>
  </r>
  <r>
    <x v="39"/>
    <x v="39"/>
    <x v="17"/>
    <x v="17"/>
    <n v="3.2"/>
    <n v="2"/>
    <n v="3"/>
    <n v="6"/>
    <x v="2"/>
    <n v="0.42399999999999993"/>
    <n v="0.84799999999999986"/>
    <n v="1.2719999999999998"/>
    <n v="2.5439999999999996"/>
    <x v="0"/>
  </r>
  <r>
    <x v="39"/>
    <x v="39"/>
    <x v="6"/>
    <x v="6"/>
    <n v="3.2"/>
    <n v="4"/>
    <n v="3"/>
    <n v="12"/>
    <x v="3"/>
    <n v="0.42399999999999993"/>
    <n v="1.6959999999999997"/>
    <n v="1.2719999999999998"/>
    <n v="5.0879999999999992"/>
    <x v="2"/>
  </r>
  <r>
    <x v="39"/>
    <x v="39"/>
    <x v="7"/>
    <x v="7"/>
    <n v="3.2"/>
    <n v="2"/>
    <n v="3"/>
    <n v="6"/>
    <x v="2"/>
    <n v="0.42399999999999993"/>
    <n v="0.84799999999999986"/>
    <n v="1.2719999999999998"/>
    <n v="2.5439999999999996"/>
    <x v="0"/>
  </r>
  <r>
    <x v="39"/>
    <x v="39"/>
    <x v="8"/>
    <x v="8"/>
    <n v="3"/>
    <n v="3"/>
    <n v="4"/>
    <n v="12"/>
    <x v="3"/>
    <n v="0.45999999999999996"/>
    <n v="1.38"/>
    <n v="1.8399999999999999"/>
    <n v="5.52"/>
    <x v="2"/>
  </r>
  <r>
    <x v="39"/>
    <x v="39"/>
    <x v="9"/>
    <x v="9"/>
    <n v="3.2"/>
    <n v="4"/>
    <n v="4"/>
    <n v="16"/>
    <x v="3"/>
    <n v="0.42399999999999993"/>
    <n v="1.6959999999999997"/>
    <n v="1.6959999999999997"/>
    <n v="6.7839999999999989"/>
    <x v="1"/>
  </r>
  <r>
    <x v="39"/>
    <x v="39"/>
    <x v="10"/>
    <x v="10"/>
    <n v="3.2"/>
    <n v="3"/>
    <n v="3"/>
    <n v="9"/>
    <x v="2"/>
    <n v="0.42399999999999993"/>
    <n v="1.2719999999999998"/>
    <n v="1.2719999999999998"/>
    <n v="3.8159999999999994"/>
    <x v="2"/>
  </r>
  <r>
    <x v="40"/>
    <x v="40"/>
    <x v="12"/>
    <x v="12"/>
    <n v="3.2"/>
    <n v="3"/>
    <n v="3"/>
    <n v="9"/>
    <x v="2"/>
    <n v="0.42399999999999993"/>
    <n v="1.2719999999999998"/>
    <n v="1.2719999999999998"/>
    <n v="3.8159999999999994"/>
    <x v="2"/>
  </r>
  <r>
    <x v="40"/>
    <x v="40"/>
    <x v="17"/>
    <x v="17"/>
    <n v="3.2"/>
    <n v="2"/>
    <n v="3"/>
    <n v="6"/>
    <x v="2"/>
    <n v="0.42399999999999993"/>
    <n v="0.84799999999999986"/>
    <n v="1.2719999999999998"/>
    <n v="2.5439999999999996"/>
    <x v="0"/>
  </r>
  <r>
    <x v="40"/>
    <x v="40"/>
    <x v="6"/>
    <x v="6"/>
    <n v="3.2"/>
    <n v="4"/>
    <n v="3"/>
    <n v="12"/>
    <x v="3"/>
    <n v="0.42399999999999993"/>
    <n v="1.6959999999999997"/>
    <n v="1.2719999999999998"/>
    <n v="5.0879999999999992"/>
    <x v="2"/>
  </r>
  <r>
    <x v="40"/>
    <x v="40"/>
    <x v="7"/>
    <x v="7"/>
    <n v="3.2"/>
    <n v="2"/>
    <n v="3"/>
    <n v="6"/>
    <x v="2"/>
    <n v="0.42399999999999993"/>
    <n v="0.84799999999999986"/>
    <n v="1.2719999999999998"/>
    <n v="2.5439999999999996"/>
    <x v="0"/>
  </r>
  <r>
    <x v="40"/>
    <x v="40"/>
    <x v="8"/>
    <x v="8"/>
    <n v="3"/>
    <n v="3"/>
    <n v="4"/>
    <n v="12"/>
    <x v="3"/>
    <n v="0.45999999999999996"/>
    <n v="1.38"/>
    <n v="1.8399999999999999"/>
    <n v="5.52"/>
    <x v="2"/>
  </r>
  <r>
    <x v="40"/>
    <x v="40"/>
    <x v="9"/>
    <x v="9"/>
    <n v="3.2"/>
    <n v="4"/>
    <n v="4"/>
    <n v="16"/>
    <x v="3"/>
    <n v="0.42399999999999993"/>
    <n v="1.6959999999999997"/>
    <n v="1.6959999999999997"/>
    <n v="6.7839999999999989"/>
    <x v="1"/>
  </r>
  <r>
    <x v="40"/>
    <x v="40"/>
    <x v="10"/>
    <x v="10"/>
    <n v="3.2"/>
    <n v="3"/>
    <n v="3"/>
    <n v="9"/>
    <x v="2"/>
    <n v="0.42399999999999993"/>
    <n v="1.2719999999999998"/>
    <n v="1.2719999999999998"/>
    <n v="3.8159999999999994"/>
    <x v="2"/>
  </r>
  <r>
    <x v="41"/>
    <x v="41"/>
    <x v="12"/>
    <x v="12"/>
    <n v="3.2"/>
    <n v="3"/>
    <n v="3"/>
    <n v="9"/>
    <x v="2"/>
    <n v="0.42399999999999993"/>
    <n v="1.2719999999999998"/>
    <n v="1.2719999999999998"/>
    <n v="3.8159999999999994"/>
    <x v="2"/>
  </r>
  <r>
    <x v="41"/>
    <x v="41"/>
    <x v="17"/>
    <x v="17"/>
    <n v="3.2"/>
    <n v="2"/>
    <n v="3"/>
    <n v="6"/>
    <x v="2"/>
    <n v="0.42399999999999993"/>
    <n v="0.84799999999999986"/>
    <n v="1.2719999999999998"/>
    <n v="2.5439999999999996"/>
    <x v="0"/>
  </r>
  <r>
    <x v="41"/>
    <x v="41"/>
    <x v="6"/>
    <x v="6"/>
    <n v="3.2"/>
    <n v="4"/>
    <n v="3"/>
    <n v="12"/>
    <x v="3"/>
    <n v="0.42399999999999993"/>
    <n v="1.6959999999999997"/>
    <n v="1.2719999999999998"/>
    <n v="5.0879999999999992"/>
    <x v="2"/>
  </r>
  <r>
    <x v="41"/>
    <x v="41"/>
    <x v="7"/>
    <x v="7"/>
    <n v="3.2"/>
    <n v="2"/>
    <n v="3"/>
    <n v="6"/>
    <x v="2"/>
    <n v="0.42399999999999993"/>
    <n v="0.84799999999999986"/>
    <n v="1.2719999999999998"/>
    <n v="2.5439999999999996"/>
    <x v="0"/>
  </r>
  <r>
    <x v="41"/>
    <x v="41"/>
    <x v="8"/>
    <x v="8"/>
    <n v="3"/>
    <n v="3"/>
    <n v="4"/>
    <n v="12"/>
    <x v="3"/>
    <n v="0.45999999999999996"/>
    <n v="1.38"/>
    <n v="1.8399999999999999"/>
    <n v="5.52"/>
    <x v="2"/>
  </r>
  <r>
    <x v="41"/>
    <x v="41"/>
    <x v="9"/>
    <x v="9"/>
    <n v="3.2"/>
    <n v="4"/>
    <n v="4"/>
    <n v="16"/>
    <x v="3"/>
    <n v="0.42399999999999993"/>
    <n v="1.6959999999999997"/>
    <n v="1.6959999999999997"/>
    <n v="6.7839999999999989"/>
    <x v="1"/>
  </r>
  <r>
    <x v="41"/>
    <x v="41"/>
    <x v="10"/>
    <x v="10"/>
    <n v="3.2"/>
    <n v="3"/>
    <n v="3"/>
    <n v="9"/>
    <x v="2"/>
    <n v="0.42399999999999993"/>
    <n v="1.2719999999999998"/>
    <n v="1.2719999999999998"/>
    <n v="3.8159999999999994"/>
    <x v="2"/>
  </r>
  <r>
    <x v="42"/>
    <x v="42"/>
    <x v="12"/>
    <x v="12"/>
    <n v="3.2"/>
    <n v="3"/>
    <n v="3"/>
    <n v="9"/>
    <x v="2"/>
    <n v="0.42399999999999993"/>
    <n v="1.2719999999999998"/>
    <n v="1.2719999999999998"/>
    <n v="3.8159999999999994"/>
    <x v="2"/>
  </r>
  <r>
    <x v="42"/>
    <x v="42"/>
    <x v="17"/>
    <x v="17"/>
    <n v="3.2"/>
    <n v="2"/>
    <n v="3"/>
    <n v="6"/>
    <x v="2"/>
    <n v="0.42399999999999993"/>
    <n v="0.84799999999999986"/>
    <n v="1.2719999999999998"/>
    <n v="2.5439999999999996"/>
    <x v="0"/>
  </r>
  <r>
    <x v="42"/>
    <x v="42"/>
    <x v="6"/>
    <x v="6"/>
    <n v="3.2"/>
    <n v="4"/>
    <n v="3"/>
    <n v="12"/>
    <x v="3"/>
    <n v="0.42399999999999993"/>
    <n v="1.6959999999999997"/>
    <n v="1.2719999999999998"/>
    <n v="5.0879999999999992"/>
    <x v="2"/>
  </r>
  <r>
    <x v="42"/>
    <x v="42"/>
    <x v="7"/>
    <x v="7"/>
    <n v="3.2"/>
    <n v="2"/>
    <n v="3"/>
    <n v="6"/>
    <x v="2"/>
    <n v="0.42399999999999993"/>
    <n v="0.84799999999999986"/>
    <n v="1.2719999999999998"/>
    <n v="2.5439999999999996"/>
    <x v="0"/>
  </r>
  <r>
    <x v="42"/>
    <x v="42"/>
    <x v="8"/>
    <x v="8"/>
    <n v="3"/>
    <n v="3"/>
    <n v="4"/>
    <n v="12"/>
    <x v="3"/>
    <n v="0.45999999999999996"/>
    <n v="1.38"/>
    <n v="1.8399999999999999"/>
    <n v="5.52"/>
    <x v="2"/>
  </r>
  <r>
    <x v="42"/>
    <x v="42"/>
    <x v="9"/>
    <x v="9"/>
    <n v="3.2"/>
    <n v="4"/>
    <n v="4"/>
    <n v="16"/>
    <x v="3"/>
    <n v="0.42399999999999993"/>
    <n v="1.6959999999999997"/>
    <n v="1.6959999999999997"/>
    <n v="6.7839999999999989"/>
    <x v="1"/>
  </r>
  <r>
    <x v="42"/>
    <x v="42"/>
    <x v="10"/>
    <x v="10"/>
    <n v="3.2"/>
    <n v="3"/>
    <n v="3"/>
    <n v="9"/>
    <x v="2"/>
    <n v="0.42399999999999993"/>
    <n v="1.2719999999999998"/>
    <n v="1.2719999999999998"/>
    <n v="3.8159999999999994"/>
    <x v="2"/>
  </r>
  <r>
    <x v="43"/>
    <x v="43"/>
    <x v="12"/>
    <x v="12"/>
    <n v="3.2"/>
    <n v="3"/>
    <n v="3"/>
    <n v="9"/>
    <x v="2"/>
    <n v="0.42399999999999993"/>
    <n v="1.2719999999999998"/>
    <n v="1.2719999999999998"/>
    <n v="3.8159999999999994"/>
    <x v="2"/>
  </r>
  <r>
    <x v="43"/>
    <x v="43"/>
    <x v="17"/>
    <x v="17"/>
    <n v="3.2"/>
    <n v="2"/>
    <n v="3"/>
    <n v="6"/>
    <x v="2"/>
    <n v="0.42399999999999993"/>
    <n v="0.84799999999999986"/>
    <n v="1.2719999999999998"/>
    <n v="2.5439999999999996"/>
    <x v="0"/>
  </r>
  <r>
    <x v="43"/>
    <x v="43"/>
    <x v="6"/>
    <x v="6"/>
    <n v="3.2"/>
    <n v="4"/>
    <n v="3"/>
    <n v="12"/>
    <x v="3"/>
    <n v="0.42399999999999993"/>
    <n v="1.6959999999999997"/>
    <n v="1.2719999999999998"/>
    <n v="5.0879999999999992"/>
    <x v="2"/>
  </r>
  <r>
    <x v="43"/>
    <x v="43"/>
    <x v="7"/>
    <x v="7"/>
    <n v="3.2"/>
    <n v="2"/>
    <n v="3"/>
    <n v="6"/>
    <x v="2"/>
    <n v="0.42399999999999993"/>
    <n v="0.84799999999999986"/>
    <n v="1.2719999999999998"/>
    <n v="2.5439999999999996"/>
    <x v="0"/>
  </r>
  <r>
    <x v="43"/>
    <x v="43"/>
    <x v="8"/>
    <x v="8"/>
    <n v="3"/>
    <n v="3"/>
    <n v="4"/>
    <n v="12"/>
    <x v="3"/>
    <n v="0.45999999999999996"/>
    <n v="1.38"/>
    <n v="1.8399999999999999"/>
    <n v="5.52"/>
    <x v="2"/>
  </r>
  <r>
    <x v="43"/>
    <x v="43"/>
    <x v="9"/>
    <x v="9"/>
    <n v="3.2"/>
    <n v="4"/>
    <n v="4"/>
    <n v="16"/>
    <x v="3"/>
    <n v="0.42399999999999993"/>
    <n v="1.6959999999999997"/>
    <n v="1.6959999999999997"/>
    <n v="6.7839999999999989"/>
    <x v="1"/>
  </r>
  <r>
    <x v="43"/>
    <x v="43"/>
    <x v="10"/>
    <x v="10"/>
    <n v="3.2"/>
    <n v="3"/>
    <n v="3"/>
    <n v="9"/>
    <x v="2"/>
    <n v="0.42399999999999993"/>
    <n v="1.2719999999999998"/>
    <n v="1.2719999999999998"/>
    <n v="3.8159999999999994"/>
    <x v="2"/>
  </r>
  <r>
    <x v="44"/>
    <x v="44"/>
    <x v="12"/>
    <x v="12"/>
    <n v="3.2"/>
    <n v="3"/>
    <n v="3"/>
    <n v="9"/>
    <x v="2"/>
    <n v="0.42399999999999993"/>
    <n v="1.2719999999999998"/>
    <n v="1.2719999999999998"/>
    <n v="3.8159999999999994"/>
    <x v="2"/>
  </r>
  <r>
    <x v="44"/>
    <x v="44"/>
    <x v="17"/>
    <x v="17"/>
    <n v="3.2"/>
    <n v="2"/>
    <n v="3"/>
    <n v="6"/>
    <x v="2"/>
    <n v="0.42399999999999993"/>
    <n v="0.84799999999999986"/>
    <n v="1.2719999999999998"/>
    <n v="2.5439999999999996"/>
    <x v="0"/>
  </r>
  <r>
    <x v="44"/>
    <x v="44"/>
    <x v="6"/>
    <x v="6"/>
    <n v="3.2"/>
    <n v="4"/>
    <n v="3"/>
    <n v="12"/>
    <x v="3"/>
    <n v="0.42399999999999993"/>
    <n v="1.6959999999999997"/>
    <n v="1.2719999999999998"/>
    <n v="5.0879999999999992"/>
    <x v="2"/>
  </r>
  <r>
    <x v="44"/>
    <x v="44"/>
    <x v="7"/>
    <x v="7"/>
    <n v="3.2"/>
    <n v="2"/>
    <n v="3"/>
    <n v="6"/>
    <x v="2"/>
    <n v="0.42399999999999993"/>
    <n v="0.84799999999999986"/>
    <n v="1.2719999999999998"/>
    <n v="2.5439999999999996"/>
    <x v="0"/>
  </r>
  <r>
    <x v="44"/>
    <x v="44"/>
    <x v="8"/>
    <x v="8"/>
    <n v="3"/>
    <n v="3"/>
    <n v="4"/>
    <n v="12"/>
    <x v="3"/>
    <n v="0.45999999999999996"/>
    <n v="1.38"/>
    <n v="1.8399999999999999"/>
    <n v="5.52"/>
    <x v="2"/>
  </r>
  <r>
    <x v="44"/>
    <x v="44"/>
    <x v="9"/>
    <x v="9"/>
    <n v="3.2"/>
    <n v="4"/>
    <n v="4"/>
    <n v="16"/>
    <x v="3"/>
    <n v="0.42399999999999993"/>
    <n v="1.6959999999999997"/>
    <n v="1.6959999999999997"/>
    <n v="6.7839999999999989"/>
    <x v="1"/>
  </r>
  <r>
    <x v="44"/>
    <x v="44"/>
    <x v="10"/>
    <x v="10"/>
    <n v="3.2"/>
    <n v="3"/>
    <n v="3"/>
    <n v="9"/>
    <x v="2"/>
    <n v="0.42399999999999993"/>
    <n v="1.2719999999999998"/>
    <n v="1.2719999999999998"/>
    <n v="3.8159999999999994"/>
    <x v="2"/>
  </r>
  <r>
    <x v="45"/>
    <x v="45"/>
    <x v="12"/>
    <x v="12"/>
    <n v="3.2"/>
    <n v="3"/>
    <n v="3"/>
    <n v="9"/>
    <x v="2"/>
    <n v="0.42399999999999993"/>
    <n v="1.2719999999999998"/>
    <n v="1.2719999999999998"/>
    <n v="3.8159999999999994"/>
    <x v="2"/>
  </r>
  <r>
    <x v="45"/>
    <x v="45"/>
    <x v="17"/>
    <x v="17"/>
    <n v="3.2"/>
    <n v="2"/>
    <n v="3"/>
    <n v="6"/>
    <x v="2"/>
    <n v="0.42399999999999993"/>
    <n v="0.84799999999999986"/>
    <n v="1.2719999999999998"/>
    <n v="2.5439999999999996"/>
    <x v="0"/>
  </r>
  <r>
    <x v="45"/>
    <x v="45"/>
    <x v="6"/>
    <x v="6"/>
    <n v="3.2"/>
    <n v="4"/>
    <n v="3"/>
    <n v="12"/>
    <x v="3"/>
    <n v="0.42399999999999993"/>
    <n v="1.6959999999999997"/>
    <n v="1.2719999999999998"/>
    <n v="5.0879999999999992"/>
    <x v="2"/>
  </r>
  <r>
    <x v="45"/>
    <x v="45"/>
    <x v="7"/>
    <x v="7"/>
    <n v="3.2"/>
    <n v="2"/>
    <n v="3"/>
    <n v="6"/>
    <x v="2"/>
    <n v="0.42399999999999993"/>
    <n v="0.84799999999999986"/>
    <n v="1.2719999999999998"/>
    <n v="2.5439999999999996"/>
    <x v="0"/>
  </r>
  <r>
    <x v="45"/>
    <x v="45"/>
    <x v="8"/>
    <x v="8"/>
    <n v="3"/>
    <n v="3"/>
    <n v="4"/>
    <n v="12"/>
    <x v="3"/>
    <n v="0.45999999999999996"/>
    <n v="1.38"/>
    <n v="1.8399999999999999"/>
    <n v="5.52"/>
    <x v="2"/>
  </r>
  <r>
    <x v="45"/>
    <x v="45"/>
    <x v="9"/>
    <x v="9"/>
    <n v="3.2"/>
    <n v="4"/>
    <n v="4"/>
    <n v="16"/>
    <x v="3"/>
    <n v="0.42399999999999993"/>
    <n v="1.6959999999999997"/>
    <n v="1.6959999999999997"/>
    <n v="6.7839999999999989"/>
    <x v="1"/>
  </r>
  <r>
    <x v="45"/>
    <x v="45"/>
    <x v="10"/>
    <x v="10"/>
    <n v="3.2"/>
    <n v="3"/>
    <n v="3"/>
    <n v="9"/>
    <x v="2"/>
    <n v="0.42399999999999993"/>
    <n v="1.2719999999999998"/>
    <n v="1.2719999999999998"/>
    <n v="3.8159999999999994"/>
    <x v="2"/>
  </r>
  <r>
    <x v="46"/>
    <x v="46"/>
    <x v="12"/>
    <x v="12"/>
    <n v="3.2"/>
    <n v="3"/>
    <n v="3"/>
    <n v="9"/>
    <x v="2"/>
    <n v="0.42399999999999993"/>
    <n v="1.2719999999999998"/>
    <n v="1.2719999999999998"/>
    <n v="3.8159999999999994"/>
    <x v="2"/>
  </r>
  <r>
    <x v="46"/>
    <x v="46"/>
    <x v="17"/>
    <x v="17"/>
    <n v="3.2"/>
    <n v="2"/>
    <n v="3"/>
    <n v="6"/>
    <x v="2"/>
    <n v="0.42399999999999993"/>
    <n v="0.84799999999999986"/>
    <n v="1.2719999999999998"/>
    <n v="2.5439999999999996"/>
    <x v="0"/>
  </r>
  <r>
    <x v="46"/>
    <x v="46"/>
    <x v="6"/>
    <x v="6"/>
    <n v="3.2"/>
    <n v="4"/>
    <n v="3"/>
    <n v="12"/>
    <x v="3"/>
    <n v="0.42399999999999993"/>
    <n v="1.6959999999999997"/>
    <n v="1.2719999999999998"/>
    <n v="5.0879999999999992"/>
    <x v="2"/>
  </r>
  <r>
    <x v="46"/>
    <x v="46"/>
    <x v="7"/>
    <x v="7"/>
    <n v="3.2"/>
    <n v="2"/>
    <n v="3"/>
    <n v="6"/>
    <x v="2"/>
    <n v="0.42399999999999993"/>
    <n v="0.84799999999999986"/>
    <n v="1.2719999999999998"/>
    <n v="2.5439999999999996"/>
    <x v="0"/>
  </r>
  <r>
    <x v="46"/>
    <x v="46"/>
    <x v="8"/>
    <x v="8"/>
    <n v="3"/>
    <n v="3"/>
    <n v="4"/>
    <n v="12"/>
    <x v="3"/>
    <n v="0.45999999999999996"/>
    <n v="1.38"/>
    <n v="1.8399999999999999"/>
    <n v="5.52"/>
    <x v="2"/>
  </r>
  <r>
    <x v="46"/>
    <x v="46"/>
    <x v="9"/>
    <x v="9"/>
    <n v="3.2"/>
    <n v="4"/>
    <n v="4"/>
    <n v="16"/>
    <x v="3"/>
    <n v="0.42399999999999993"/>
    <n v="1.6959999999999997"/>
    <n v="1.6959999999999997"/>
    <n v="6.7839999999999989"/>
    <x v="1"/>
  </r>
  <r>
    <x v="46"/>
    <x v="46"/>
    <x v="10"/>
    <x v="10"/>
    <n v="3.2"/>
    <n v="3"/>
    <n v="3"/>
    <n v="9"/>
    <x v="2"/>
    <n v="0.42399999999999993"/>
    <n v="1.2719999999999998"/>
    <n v="1.2719999999999998"/>
    <n v="3.8159999999999994"/>
    <x v="2"/>
  </r>
  <r>
    <x v="47"/>
    <x v="47"/>
    <x v="12"/>
    <x v="12"/>
    <n v="3.2"/>
    <n v="3"/>
    <n v="3"/>
    <n v="9"/>
    <x v="2"/>
    <n v="0.42399999999999993"/>
    <n v="1.2719999999999998"/>
    <n v="1.2719999999999998"/>
    <n v="3.8159999999999994"/>
    <x v="2"/>
  </r>
  <r>
    <x v="47"/>
    <x v="47"/>
    <x v="17"/>
    <x v="17"/>
    <n v="3.2"/>
    <n v="2"/>
    <n v="3"/>
    <n v="6"/>
    <x v="2"/>
    <n v="0.42399999999999993"/>
    <n v="0.84799999999999986"/>
    <n v="1.2719999999999998"/>
    <n v="2.5439999999999996"/>
    <x v="0"/>
  </r>
  <r>
    <x v="47"/>
    <x v="47"/>
    <x v="6"/>
    <x v="6"/>
    <n v="3.2"/>
    <n v="4"/>
    <n v="3"/>
    <n v="12"/>
    <x v="3"/>
    <n v="0.42399999999999993"/>
    <n v="1.6959999999999997"/>
    <n v="1.2719999999999998"/>
    <n v="5.0879999999999992"/>
    <x v="2"/>
  </r>
  <r>
    <x v="47"/>
    <x v="47"/>
    <x v="7"/>
    <x v="7"/>
    <n v="3.2"/>
    <n v="2"/>
    <n v="3"/>
    <n v="6"/>
    <x v="2"/>
    <n v="0.42399999999999993"/>
    <n v="0.84799999999999986"/>
    <n v="1.2719999999999998"/>
    <n v="2.5439999999999996"/>
    <x v="0"/>
  </r>
  <r>
    <x v="47"/>
    <x v="47"/>
    <x v="8"/>
    <x v="8"/>
    <n v="3"/>
    <n v="3"/>
    <n v="4"/>
    <n v="12"/>
    <x v="3"/>
    <n v="0.45999999999999996"/>
    <n v="1.38"/>
    <n v="1.8399999999999999"/>
    <n v="5.52"/>
    <x v="2"/>
  </r>
  <r>
    <x v="47"/>
    <x v="47"/>
    <x v="9"/>
    <x v="9"/>
    <n v="3.2"/>
    <n v="4"/>
    <n v="4"/>
    <n v="16"/>
    <x v="3"/>
    <n v="0.42399999999999993"/>
    <n v="1.6959999999999997"/>
    <n v="1.6959999999999997"/>
    <n v="6.7839999999999989"/>
    <x v="1"/>
  </r>
  <r>
    <x v="47"/>
    <x v="47"/>
    <x v="10"/>
    <x v="10"/>
    <n v="3.2"/>
    <n v="3"/>
    <n v="3"/>
    <n v="9"/>
    <x v="2"/>
    <n v="0.42399999999999993"/>
    <n v="1.2719999999999998"/>
    <n v="1.2719999999999998"/>
    <n v="3.8159999999999994"/>
    <x v="2"/>
  </r>
  <r>
    <x v="48"/>
    <x v="48"/>
    <x v="12"/>
    <x v="12"/>
    <n v="3.2"/>
    <n v="3"/>
    <n v="3"/>
    <n v="9"/>
    <x v="2"/>
    <n v="0.42399999999999993"/>
    <n v="1.2719999999999998"/>
    <n v="1.2719999999999998"/>
    <n v="3.8159999999999994"/>
    <x v="2"/>
  </r>
  <r>
    <x v="48"/>
    <x v="48"/>
    <x v="17"/>
    <x v="17"/>
    <n v="3.2"/>
    <n v="2"/>
    <n v="3"/>
    <n v="6"/>
    <x v="2"/>
    <n v="0.42399999999999993"/>
    <n v="0.84799999999999986"/>
    <n v="1.2719999999999998"/>
    <n v="2.5439999999999996"/>
    <x v="0"/>
  </r>
  <r>
    <x v="48"/>
    <x v="48"/>
    <x v="6"/>
    <x v="6"/>
    <n v="3.2"/>
    <n v="4"/>
    <n v="3"/>
    <n v="12"/>
    <x v="3"/>
    <n v="0.42399999999999993"/>
    <n v="1.6959999999999997"/>
    <n v="1.2719999999999998"/>
    <n v="5.0879999999999992"/>
    <x v="2"/>
  </r>
  <r>
    <x v="48"/>
    <x v="48"/>
    <x v="7"/>
    <x v="7"/>
    <n v="3.2"/>
    <n v="2"/>
    <n v="3"/>
    <n v="6"/>
    <x v="2"/>
    <n v="0.42399999999999993"/>
    <n v="0.84799999999999986"/>
    <n v="1.2719999999999998"/>
    <n v="2.5439999999999996"/>
    <x v="0"/>
  </r>
  <r>
    <x v="48"/>
    <x v="48"/>
    <x v="8"/>
    <x v="8"/>
    <n v="3"/>
    <n v="3"/>
    <n v="4"/>
    <n v="12"/>
    <x v="3"/>
    <n v="0.45999999999999996"/>
    <n v="1.38"/>
    <n v="1.8399999999999999"/>
    <n v="5.52"/>
    <x v="2"/>
  </r>
  <r>
    <x v="48"/>
    <x v="48"/>
    <x v="9"/>
    <x v="9"/>
    <n v="3.2"/>
    <n v="4"/>
    <n v="4"/>
    <n v="16"/>
    <x v="3"/>
    <n v="0.42399999999999993"/>
    <n v="1.6959999999999997"/>
    <n v="1.6959999999999997"/>
    <n v="6.7839999999999989"/>
    <x v="1"/>
  </r>
  <r>
    <x v="48"/>
    <x v="48"/>
    <x v="10"/>
    <x v="10"/>
    <n v="3.2"/>
    <n v="3"/>
    <n v="3"/>
    <n v="9"/>
    <x v="2"/>
    <n v="0.42399999999999993"/>
    <n v="1.2719999999999998"/>
    <n v="1.2719999999999998"/>
    <n v="3.8159999999999994"/>
    <x v="2"/>
  </r>
  <r>
    <x v="49"/>
    <x v="49"/>
    <x v="12"/>
    <x v="12"/>
    <n v="3.2"/>
    <n v="3"/>
    <n v="3"/>
    <n v="9"/>
    <x v="2"/>
    <n v="0.42399999999999993"/>
    <n v="1.2719999999999998"/>
    <n v="1.2719999999999998"/>
    <n v="3.8159999999999994"/>
    <x v="2"/>
  </r>
  <r>
    <x v="49"/>
    <x v="49"/>
    <x v="17"/>
    <x v="17"/>
    <n v="3.2"/>
    <n v="2"/>
    <n v="3"/>
    <n v="6"/>
    <x v="2"/>
    <n v="0.42399999999999993"/>
    <n v="0.84799999999999986"/>
    <n v="1.2719999999999998"/>
    <n v="2.5439999999999996"/>
    <x v="0"/>
  </r>
  <r>
    <x v="49"/>
    <x v="49"/>
    <x v="6"/>
    <x v="6"/>
    <n v="3.2"/>
    <n v="4"/>
    <n v="3"/>
    <n v="12"/>
    <x v="3"/>
    <n v="0.42399999999999993"/>
    <n v="1.6959999999999997"/>
    <n v="1.2719999999999998"/>
    <n v="5.0879999999999992"/>
    <x v="2"/>
  </r>
  <r>
    <x v="49"/>
    <x v="49"/>
    <x v="7"/>
    <x v="7"/>
    <n v="3.2"/>
    <n v="2"/>
    <n v="3"/>
    <n v="6"/>
    <x v="2"/>
    <n v="0.42399999999999993"/>
    <n v="0.84799999999999986"/>
    <n v="1.2719999999999998"/>
    <n v="2.5439999999999996"/>
    <x v="0"/>
  </r>
  <r>
    <x v="49"/>
    <x v="49"/>
    <x v="8"/>
    <x v="8"/>
    <n v="3"/>
    <n v="3"/>
    <n v="4"/>
    <n v="12"/>
    <x v="3"/>
    <n v="0.45999999999999996"/>
    <n v="1.38"/>
    <n v="1.8399999999999999"/>
    <n v="5.52"/>
    <x v="2"/>
  </r>
  <r>
    <x v="49"/>
    <x v="49"/>
    <x v="9"/>
    <x v="9"/>
    <n v="3.2"/>
    <n v="4"/>
    <n v="4"/>
    <n v="16"/>
    <x v="3"/>
    <n v="0.42399999999999993"/>
    <n v="1.6959999999999997"/>
    <n v="1.6959999999999997"/>
    <n v="6.7839999999999989"/>
    <x v="1"/>
  </r>
  <r>
    <x v="49"/>
    <x v="49"/>
    <x v="10"/>
    <x v="10"/>
    <n v="3.2"/>
    <n v="3"/>
    <n v="3"/>
    <n v="9"/>
    <x v="2"/>
    <n v="0.42399999999999993"/>
    <n v="1.2719999999999998"/>
    <n v="1.2719999999999998"/>
    <n v="3.8159999999999994"/>
    <x v="2"/>
  </r>
  <r>
    <x v="50"/>
    <x v="50"/>
    <x v="12"/>
    <x v="12"/>
    <n v="3.2"/>
    <n v="1.875"/>
    <n v="1.875"/>
    <n v="3.515625"/>
    <x v="0"/>
    <n v="0.42399999999999993"/>
    <n v="0.79499999999999993"/>
    <n v="0.79499999999999993"/>
    <n v="1.4906249999999999"/>
    <x v="0"/>
  </r>
  <r>
    <x v="50"/>
    <x v="50"/>
    <x v="17"/>
    <x v="17"/>
    <n v="3.2"/>
    <n v="1.25"/>
    <n v="1.875"/>
    <n v="2.34375"/>
    <x v="1"/>
    <n v="0.42399999999999993"/>
    <n v="0.52999999999999992"/>
    <n v="0.79499999999999993"/>
    <n v="0.9937499999999998"/>
    <x v="0"/>
  </r>
  <r>
    <x v="50"/>
    <x v="50"/>
    <x v="6"/>
    <x v="6"/>
    <n v="3.2"/>
    <n v="2.5"/>
    <n v="1.875"/>
    <n v="4.6875"/>
    <x v="0"/>
    <n v="0.42399999999999993"/>
    <n v="1.0599999999999998"/>
    <n v="0.79499999999999993"/>
    <n v="1.9874999999999996"/>
    <x v="0"/>
  </r>
  <r>
    <x v="50"/>
    <x v="50"/>
    <x v="7"/>
    <x v="7"/>
    <n v="3.2"/>
    <n v="1.25"/>
    <n v="1.875"/>
    <n v="2.34375"/>
    <x v="1"/>
    <n v="0.42399999999999993"/>
    <n v="0.52999999999999992"/>
    <n v="0.79499999999999993"/>
    <n v="0.9937499999999998"/>
    <x v="0"/>
  </r>
  <r>
    <x v="50"/>
    <x v="50"/>
    <x v="8"/>
    <x v="8"/>
    <n v="3"/>
    <n v="1.875"/>
    <n v="2.5"/>
    <n v="4.6875"/>
    <x v="0"/>
    <n v="0.45999999999999996"/>
    <n v="0.86249999999999993"/>
    <n v="1.1499999999999999"/>
    <n v="2.15625"/>
    <x v="0"/>
  </r>
  <r>
    <x v="50"/>
    <x v="50"/>
    <x v="9"/>
    <x v="9"/>
    <n v="3.2"/>
    <n v="2.5"/>
    <n v="2.5"/>
    <n v="6.25"/>
    <x v="2"/>
    <n v="0.42399999999999993"/>
    <n v="1.0599999999999998"/>
    <n v="1.0599999999999998"/>
    <n v="2.6499999999999995"/>
    <x v="0"/>
  </r>
  <r>
    <x v="50"/>
    <x v="50"/>
    <x v="10"/>
    <x v="10"/>
    <n v="3.2"/>
    <n v="1.875"/>
    <n v="1.875"/>
    <n v="3.515625"/>
    <x v="0"/>
    <n v="0.42399999999999993"/>
    <n v="0.79499999999999993"/>
    <n v="0.79499999999999993"/>
    <n v="1.4906249999999999"/>
    <x v="0"/>
  </r>
  <r>
    <x v="51"/>
    <x v="51"/>
    <x v="12"/>
    <x v="12"/>
    <n v="3.2"/>
    <n v="3"/>
    <n v="3"/>
    <n v="9"/>
    <x v="2"/>
    <n v="0.42399999999999993"/>
    <n v="1.2719999999999998"/>
    <n v="1.2719999999999998"/>
    <n v="3.8159999999999994"/>
    <x v="2"/>
  </r>
  <r>
    <x v="51"/>
    <x v="51"/>
    <x v="17"/>
    <x v="17"/>
    <n v="3.2"/>
    <n v="2"/>
    <n v="3"/>
    <n v="6"/>
    <x v="2"/>
    <n v="0.42399999999999993"/>
    <n v="0.84799999999999986"/>
    <n v="1.2719999999999998"/>
    <n v="2.5439999999999996"/>
    <x v="0"/>
  </r>
  <r>
    <x v="51"/>
    <x v="51"/>
    <x v="6"/>
    <x v="6"/>
    <n v="3.2"/>
    <n v="4"/>
    <n v="3"/>
    <n v="12"/>
    <x v="3"/>
    <n v="0.42399999999999993"/>
    <n v="1.6959999999999997"/>
    <n v="1.2719999999999998"/>
    <n v="5.0879999999999992"/>
    <x v="2"/>
  </r>
  <r>
    <x v="51"/>
    <x v="51"/>
    <x v="7"/>
    <x v="7"/>
    <n v="3.2"/>
    <n v="2"/>
    <n v="3"/>
    <n v="6"/>
    <x v="2"/>
    <n v="0.42399999999999993"/>
    <n v="0.84799999999999986"/>
    <n v="1.2719999999999998"/>
    <n v="2.5439999999999996"/>
    <x v="0"/>
  </r>
  <r>
    <x v="51"/>
    <x v="51"/>
    <x v="8"/>
    <x v="8"/>
    <n v="3"/>
    <n v="3"/>
    <n v="4"/>
    <n v="12"/>
    <x v="3"/>
    <n v="0.45999999999999996"/>
    <n v="1.38"/>
    <n v="1.8399999999999999"/>
    <n v="5.52"/>
    <x v="2"/>
  </r>
  <r>
    <x v="51"/>
    <x v="51"/>
    <x v="9"/>
    <x v="9"/>
    <n v="3.2"/>
    <n v="4"/>
    <n v="4"/>
    <n v="16"/>
    <x v="3"/>
    <n v="0.42399999999999993"/>
    <n v="1.6959999999999997"/>
    <n v="1.6959999999999997"/>
    <n v="6.7839999999999989"/>
    <x v="1"/>
  </r>
  <r>
    <x v="51"/>
    <x v="51"/>
    <x v="10"/>
    <x v="10"/>
    <n v="3.2"/>
    <n v="3"/>
    <n v="3"/>
    <n v="9"/>
    <x v="2"/>
    <n v="0.42399999999999993"/>
    <n v="1.2719999999999998"/>
    <n v="1.2719999999999998"/>
    <n v="3.8159999999999994"/>
    <x v="2"/>
  </r>
  <r>
    <x v="52"/>
    <x v="52"/>
    <x v="12"/>
    <x v="12"/>
    <n v="3.2"/>
    <n v="3"/>
    <n v="3"/>
    <n v="9"/>
    <x v="2"/>
    <n v="0.42399999999999993"/>
    <n v="1.2719999999999998"/>
    <n v="1.2719999999999998"/>
    <n v="3.8159999999999994"/>
    <x v="2"/>
  </r>
  <r>
    <x v="52"/>
    <x v="52"/>
    <x v="17"/>
    <x v="17"/>
    <n v="3.2"/>
    <n v="2"/>
    <n v="3"/>
    <n v="6"/>
    <x v="2"/>
    <n v="0.42399999999999993"/>
    <n v="0.84799999999999986"/>
    <n v="1.2719999999999998"/>
    <n v="2.5439999999999996"/>
    <x v="0"/>
  </r>
  <r>
    <x v="52"/>
    <x v="52"/>
    <x v="6"/>
    <x v="6"/>
    <n v="3.2"/>
    <n v="4"/>
    <n v="3"/>
    <n v="12"/>
    <x v="3"/>
    <n v="0.42399999999999993"/>
    <n v="1.6959999999999997"/>
    <n v="1.2719999999999998"/>
    <n v="5.0879999999999992"/>
    <x v="2"/>
  </r>
  <r>
    <x v="52"/>
    <x v="52"/>
    <x v="7"/>
    <x v="7"/>
    <n v="3.2"/>
    <n v="2"/>
    <n v="3"/>
    <n v="6"/>
    <x v="2"/>
    <n v="0.42399999999999993"/>
    <n v="0.84799999999999986"/>
    <n v="1.2719999999999998"/>
    <n v="2.5439999999999996"/>
    <x v="0"/>
  </r>
  <r>
    <x v="52"/>
    <x v="52"/>
    <x v="8"/>
    <x v="8"/>
    <n v="3"/>
    <n v="3"/>
    <n v="4"/>
    <n v="12"/>
    <x v="3"/>
    <n v="0.45999999999999996"/>
    <n v="1.38"/>
    <n v="1.8399999999999999"/>
    <n v="5.52"/>
    <x v="2"/>
  </r>
  <r>
    <x v="52"/>
    <x v="52"/>
    <x v="9"/>
    <x v="9"/>
    <n v="3.2"/>
    <n v="4"/>
    <n v="4"/>
    <n v="16"/>
    <x v="3"/>
    <n v="0.42399999999999993"/>
    <n v="1.6959999999999997"/>
    <n v="1.6959999999999997"/>
    <n v="6.7839999999999989"/>
    <x v="1"/>
  </r>
  <r>
    <x v="52"/>
    <x v="52"/>
    <x v="10"/>
    <x v="10"/>
    <n v="3.2"/>
    <n v="3"/>
    <n v="3"/>
    <n v="9"/>
    <x v="2"/>
    <n v="0.42399999999999993"/>
    <n v="1.2719999999999998"/>
    <n v="1.2719999999999998"/>
    <n v="3.8159999999999994"/>
    <x v="2"/>
  </r>
  <r>
    <x v="53"/>
    <x v="53"/>
    <x v="13"/>
    <x v="13"/>
    <n v="3.2"/>
    <n v="0.625"/>
    <n v="2.5"/>
    <n v="1.5625"/>
    <x v="1"/>
    <n v="0.42399999999999993"/>
    <n v="0.26499999999999996"/>
    <n v="1.0599999999999998"/>
    <n v="0.66249999999999987"/>
    <x v="0"/>
  </r>
  <r>
    <x v="53"/>
    <x v="53"/>
    <x v="14"/>
    <x v="14"/>
    <n v="3.2"/>
    <n v="0.625"/>
    <n v="1.875"/>
    <n v="1.171875"/>
    <x v="1"/>
    <n v="0.42399999999999993"/>
    <n v="0.26499999999999996"/>
    <n v="0.79499999999999993"/>
    <n v="0.4968749999999999"/>
    <x v="0"/>
  </r>
  <r>
    <x v="53"/>
    <x v="53"/>
    <x v="16"/>
    <x v="16"/>
    <n v="3.2"/>
    <n v="0.625"/>
    <n v="2.5"/>
    <n v="1.5625"/>
    <x v="1"/>
    <n v="0.42399999999999993"/>
    <n v="0.26499999999999996"/>
    <n v="1.0599999999999998"/>
    <n v="0.66249999999999987"/>
    <x v="0"/>
  </r>
  <r>
    <x v="53"/>
    <x v="53"/>
    <x v="8"/>
    <x v="8"/>
    <n v="3"/>
    <n v="1.875"/>
    <n v="2.5"/>
    <n v="4.6875"/>
    <x v="0"/>
    <n v="0.45999999999999996"/>
    <n v="0.86249999999999993"/>
    <n v="1.1499999999999999"/>
    <n v="2.15625"/>
    <x v="0"/>
  </r>
  <r>
    <x v="53"/>
    <x v="53"/>
    <x v="9"/>
    <x v="9"/>
    <n v="3.2"/>
    <n v="2.5"/>
    <n v="2.5"/>
    <n v="6.25"/>
    <x v="2"/>
    <n v="0.42399999999999993"/>
    <n v="1.0599999999999998"/>
    <n v="1.0599999999999998"/>
    <n v="2.6499999999999995"/>
    <x v="0"/>
  </r>
  <r>
    <x v="54"/>
    <x v="54"/>
    <x v="13"/>
    <x v="13"/>
    <n v="3.2"/>
    <n v="1"/>
    <n v="4"/>
    <n v="4"/>
    <x v="0"/>
    <n v="0.42399999999999993"/>
    <n v="0.42399999999999993"/>
    <n v="1.6959999999999997"/>
    <n v="1.6959999999999997"/>
    <x v="0"/>
  </r>
  <r>
    <x v="54"/>
    <x v="54"/>
    <x v="14"/>
    <x v="14"/>
    <n v="3.2"/>
    <n v="1"/>
    <n v="3"/>
    <n v="3"/>
    <x v="0"/>
    <n v="0.42399999999999993"/>
    <n v="0.42399999999999993"/>
    <n v="1.2719999999999998"/>
    <n v="1.2719999999999998"/>
    <x v="0"/>
  </r>
  <r>
    <x v="54"/>
    <x v="54"/>
    <x v="16"/>
    <x v="16"/>
    <n v="3.2"/>
    <n v="1"/>
    <n v="4"/>
    <n v="4"/>
    <x v="0"/>
    <n v="0.42399999999999993"/>
    <n v="0.42399999999999993"/>
    <n v="1.6959999999999997"/>
    <n v="1.6959999999999997"/>
    <x v="0"/>
  </r>
  <r>
    <x v="54"/>
    <x v="54"/>
    <x v="8"/>
    <x v="8"/>
    <n v="3"/>
    <n v="3"/>
    <n v="4"/>
    <n v="12"/>
    <x v="3"/>
    <n v="0.45999999999999996"/>
    <n v="1.38"/>
    <n v="1.8399999999999999"/>
    <n v="5.52"/>
    <x v="2"/>
  </r>
  <r>
    <x v="54"/>
    <x v="54"/>
    <x v="9"/>
    <x v="9"/>
    <n v="3.2"/>
    <n v="4"/>
    <n v="4"/>
    <n v="16"/>
    <x v="3"/>
    <n v="0.42399999999999993"/>
    <n v="1.6959999999999997"/>
    <n v="1.6959999999999997"/>
    <n v="6.7839999999999989"/>
    <x v="1"/>
  </r>
  <r>
    <x v="55"/>
    <x v="55"/>
    <x v="5"/>
    <x v="5"/>
    <n v="3.2"/>
    <n v="3"/>
    <n v="4"/>
    <n v="12"/>
    <x v="3"/>
    <n v="0.42399999999999993"/>
    <n v="1.2719999999999998"/>
    <n v="1.6959999999999997"/>
    <n v="5.0879999999999992"/>
    <x v="2"/>
  </r>
  <r>
    <x v="55"/>
    <x v="55"/>
    <x v="20"/>
    <x v="20"/>
    <n v="3.2"/>
    <n v="2"/>
    <n v="3"/>
    <n v="6"/>
    <x v="2"/>
    <n v="0.42399999999999993"/>
    <n v="0.84799999999999986"/>
    <n v="1.2719999999999998"/>
    <n v="2.5439999999999996"/>
    <x v="0"/>
  </r>
  <r>
    <x v="55"/>
    <x v="55"/>
    <x v="21"/>
    <x v="21"/>
    <n v="3.2"/>
    <n v="4"/>
    <n v="4"/>
    <n v="16"/>
    <x v="3"/>
    <n v="0.42399999999999993"/>
    <n v="1.6959999999999997"/>
    <n v="1.6959999999999997"/>
    <n v="6.7839999999999989"/>
    <x v="1"/>
  </r>
  <r>
    <x v="55"/>
    <x v="55"/>
    <x v="22"/>
    <x v="22"/>
    <n v="3.2"/>
    <n v="4"/>
    <n v="4"/>
    <n v="16"/>
    <x v="3"/>
    <n v="0.42399999999999993"/>
    <n v="1.6959999999999997"/>
    <n v="1.6959999999999997"/>
    <n v="6.7839999999999989"/>
    <x v="1"/>
  </r>
  <r>
    <x v="55"/>
    <x v="55"/>
    <x v="23"/>
    <x v="23"/>
    <n v="3.2"/>
    <n v="3"/>
    <n v="4"/>
    <n v="12"/>
    <x v="3"/>
    <n v="0.42399999999999993"/>
    <n v="1.2719999999999998"/>
    <n v="1.6959999999999997"/>
    <n v="5.0879999999999992"/>
    <x v="2"/>
  </r>
  <r>
    <x v="55"/>
    <x v="55"/>
    <x v="24"/>
    <x v="24"/>
    <n v="3"/>
    <n v="2"/>
    <n v="4"/>
    <n v="8"/>
    <x v="2"/>
    <n v="0.45999999999999996"/>
    <n v="0.91999999999999993"/>
    <n v="1.8399999999999999"/>
    <n v="3.6799999999999997"/>
    <x v="2"/>
  </r>
  <r>
    <x v="56"/>
    <x v="56"/>
    <x v="5"/>
    <x v="5"/>
    <n v="3.2"/>
    <n v="0.75"/>
    <n v="1"/>
    <n v="0.75"/>
    <x v="1"/>
    <n v="0.42399999999999993"/>
    <n v="0.31799999999999995"/>
    <n v="0.42399999999999993"/>
    <n v="0.31799999999999995"/>
    <x v="0"/>
  </r>
  <r>
    <x v="56"/>
    <x v="56"/>
    <x v="20"/>
    <x v="20"/>
    <n v="3.2"/>
    <n v="0.5"/>
    <n v="0.75"/>
    <n v="0.375"/>
    <x v="1"/>
    <n v="0.42399999999999993"/>
    <n v="0.21199999999999997"/>
    <n v="0.31799999999999995"/>
    <n v="0.15899999999999997"/>
    <x v="0"/>
  </r>
  <r>
    <x v="56"/>
    <x v="56"/>
    <x v="21"/>
    <x v="21"/>
    <n v="3.2"/>
    <n v="1"/>
    <n v="1"/>
    <n v="1"/>
    <x v="1"/>
    <n v="0.42399999999999993"/>
    <n v="0.42399999999999993"/>
    <n v="0.42399999999999993"/>
    <n v="0.42399999999999993"/>
    <x v="0"/>
  </r>
  <r>
    <x v="56"/>
    <x v="56"/>
    <x v="22"/>
    <x v="22"/>
    <n v="3.2"/>
    <n v="1"/>
    <n v="1"/>
    <n v="1"/>
    <x v="1"/>
    <n v="0.42399999999999993"/>
    <n v="0.42399999999999993"/>
    <n v="0.42399999999999993"/>
    <n v="0.42399999999999993"/>
    <x v="0"/>
  </r>
  <r>
    <x v="56"/>
    <x v="56"/>
    <x v="23"/>
    <x v="23"/>
    <n v="3.2"/>
    <n v="0.75"/>
    <n v="1"/>
    <n v="0.75"/>
    <x v="1"/>
    <n v="0.42399999999999993"/>
    <n v="0.31799999999999995"/>
    <n v="0.42399999999999993"/>
    <n v="0.31799999999999995"/>
    <x v="0"/>
  </r>
  <r>
    <x v="56"/>
    <x v="56"/>
    <x v="24"/>
    <x v="24"/>
    <n v="3"/>
    <n v="0.5"/>
    <n v="1"/>
    <n v="0.5"/>
    <x v="1"/>
    <n v="0.45999999999999996"/>
    <n v="0.22999999999999998"/>
    <n v="0.45999999999999996"/>
    <n v="0.22999999999999998"/>
    <x v="0"/>
  </r>
  <r>
    <x v="57"/>
    <x v="57"/>
    <x v="5"/>
    <x v="5"/>
    <n v="3.2"/>
    <n v="3"/>
    <n v="4"/>
    <n v="12"/>
    <x v="3"/>
    <n v="0.42399999999999993"/>
    <n v="1.2719999999999998"/>
    <n v="1.6959999999999997"/>
    <n v="5.0879999999999992"/>
    <x v="2"/>
  </r>
  <r>
    <x v="57"/>
    <x v="57"/>
    <x v="20"/>
    <x v="20"/>
    <n v="3.2"/>
    <n v="2"/>
    <n v="3"/>
    <n v="6"/>
    <x v="2"/>
    <n v="0.42399999999999993"/>
    <n v="0.84799999999999986"/>
    <n v="1.2719999999999998"/>
    <n v="2.5439999999999996"/>
    <x v="0"/>
  </r>
  <r>
    <x v="57"/>
    <x v="57"/>
    <x v="21"/>
    <x v="21"/>
    <n v="3.2"/>
    <n v="4"/>
    <n v="4"/>
    <n v="16"/>
    <x v="3"/>
    <n v="0.42399999999999993"/>
    <n v="1.6959999999999997"/>
    <n v="1.6959999999999997"/>
    <n v="6.7839999999999989"/>
    <x v="1"/>
  </r>
  <r>
    <x v="57"/>
    <x v="57"/>
    <x v="22"/>
    <x v="22"/>
    <n v="3.2"/>
    <n v="4"/>
    <n v="4"/>
    <n v="16"/>
    <x v="3"/>
    <n v="0.42399999999999993"/>
    <n v="1.6959999999999997"/>
    <n v="1.6959999999999997"/>
    <n v="6.7839999999999989"/>
    <x v="1"/>
  </r>
  <r>
    <x v="57"/>
    <x v="57"/>
    <x v="23"/>
    <x v="23"/>
    <n v="3.2"/>
    <n v="3"/>
    <n v="4"/>
    <n v="12"/>
    <x v="3"/>
    <n v="0.42399999999999993"/>
    <n v="1.2719999999999998"/>
    <n v="1.6959999999999997"/>
    <n v="5.0879999999999992"/>
    <x v="2"/>
  </r>
  <r>
    <x v="57"/>
    <x v="57"/>
    <x v="24"/>
    <x v="24"/>
    <n v="3"/>
    <n v="2"/>
    <n v="4"/>
    <n v="8"/>
    <x v="2"/>
    <n v="0.45999999999999996"/>
    <n v="0.91999999999999993"/>
    <n v="1.8399999999999999"/>
    <n v="3.6799999999999997"/>
    <x v="2"/>
  </r>
  <r>
    <x v="58"/>
    <x v="58"/>
    <x v="5"/>
    <x v="5"/>
    <n v="3.2"/>
    <n v="3"/>
    <n v="4"/>
    <n v="12"/>
    <x v="3"/>
    <n v="0.42399999999999993"/>
    <n v="1.2719999999999998"/>
    <n v="1.6959999999999997"/>
    <n v="5.0879999999999992"/>
    <x v="2"/>
  </r>
  <r>
    <x v="58"/>
    <x v="58"/>
    <x v="20"/>
    <x v="20"/>
    <n v="3.2"/>
    <n v="2"/>
    <n v="3"/>
    <n v="6"/>
    <x v="2"/>
    <n v="0.42399999999999993"/>
    <n v="0.84799999999999986"/>
    <n v="1.2719999999999998"/>
    <n v="2.5439999999999996"/>
    <x v="0"/>
  </r>
  <r>
    <x v="58"/>
    <x v="58"/>
    <x v="21"/>
    <x v="21"/>
    <n v="3.2"/>
    <n v="4"/>
    <n v="4"/>
    <n v="16"/>
    <x v="3"/>
    <n v="0.42399999999999993"/>
    <n v="1.6959999999999997"/>
    <n v="1.6959999999999997"/>
    <n v="6.7839999999999989"/>
    <x v="1"/>
  </r>
  <r>
    <x v="58"/>
    <x v="58"/>
    <x v="22"/>
    <x v="22"/>
    <n v="3.2"/>
    <n v="4"/>
    <n v="4"/>
    <n v="16"/>
    <x v="3"/>
    <n v="0.42399999999999993"/>
    <n v="1.6959999999999997"/>
    <n v="1.6959999999999997"/>
    <n v="6.7839999999999989"/>
    <x v="1"/>
  </r>
  <r>
    <x v="58"/>
    <x v="58"/>
    <x v="23"/>
    <x v="23"/>
    <n v="3.2"/>
    <n v="3"/>
    <n v="4"/>
    <n v="12"/>
    <x v="3"/>
    <n v="0.42399999999999993"/>
    <n v="1.2719999999999998"/>
    <n v="1.6959999999999997"/>
    <n v="5.0879999999999992"/>
    <x v="2"/>
  </r>
  <r>
    <x v="58"/>
    <x v="58"/>
    <x v="24"/>
    <x v="24"/>
    <n v="3"/>
    <n v="2"/>
    <n v="4"/>
    <n v="8"/>
    <x v="2"/>
    <n v="0.45999999999999996"/>
    <n v="0.91999999999999993"/>
    <n v="1.8399999999999999"/>
    <n v="3.6799999999999997"/>
    <x v="2"/>
  </r>
  <r>
    <x v="59"/>
    <x v="59"/>
    <x v="5"/>
    <x v="5"/>
    <n v="3.2"/>
    <n v="1.875"/>
    <n v="2.5"/>
    <n v="4.6875"/>
    <x v="0"/>
    <n v="0.42399999999999993"/>
    <n v="0.79499999999999993"/>
    <n v="1.0599999999999998"/>
    <n v="1.9874999999999996"/>
    <x v="0"/>
  </r>
  <r>
    <x v="59"/>
    <x v="59"/>
    <x v="20"/>
    <x v="20"/>
    <n v="3.2"/>
    <n v="1.25"/>
    <n v="1.875"/>
    <n v="2.34375"/>
    <x v="1"/>
    <n v="0.42399999999999993"/>
    <n v="0.52999999999999992"/>
    <n v="0.79499999999999993"/>
    <n v="0.9937499999999998"/>
    <x v="0"/>
  </r>
  <r>
    <x v="59"/>
    <x v="59"/>
    <x v="21"/>
    <x v="21"/>
    <n v="3.2"/>
    <n v="2.5"/>
    <n v="2.5"/>
    <n v="6.25"/>
    <x v="2"/>
    <n v="0.42399999999999993"/>
    <n v="1.0599999999999998"/>
    <n v="1.0599999999999998"/>
    <n v="2.6499999999999995"/>
    <x v="0"/>
  </r>
  <r>
    <x v="59"/>
    <x v="59"/>
    <x v="22"/>
    <x v="22"/>
    <n v="3.2"/>
    <n v="2.5"/>
    <n v="2.5"/>
    <n v="6.25"/>
    <x v="2"/>
    <n v="0.42399999999999993"/>
    <n v="1.0599999999999998"/>
    <n v="1.0599999999999998"/>
    <n v="2.6499999999999995"/>
    <x v="0"/>
  </r>
  <r>
    <x v="59"/>
    <x v="59"/>
    <x v="23"/>
    <x v="23"/>
    <n v="3.2"/>
    <n v="1.875"/>
    <n v="2.5"/>
    <n v="4.6875"/>
    <x v="0"/>
    <n v="0.42399999999999993"/>
    <n v="0.79499999999999993"/>
    <n v="1.0599999999999998"/>
    <n v="1.9874999999999996"/>
    <x v="0"/>
  </r>
  <r>
    <x v="59"/>
    <x v="59"/>
    <x v="24"/>
    <x v="24"/>
    <n v="3"/>
    <n v="1.25"/>
    <n v="2.5"/>
    <n v="3.125"/>
    <x v="0"/>
    <n v="0.45999999999999996"/>
    <n v="0.57499999999999996"/>
    <n v="1.1499999999999999"/>
    <n v="1.437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81D02C-FABE-4078-9852-FE4E4DDD2803}" name="TablaDinámica1" cacheId="4867" applyNumberFormats="0" applyBorderFormats="0" applyFontFormats="0" applyPatternFormats="0" applyAlignmentFormats="0" applyWidthHeightFormats="1" dataCaption="Valores" updatedVersion="8" minRefreshableVersion="3" showDrill="0" useAutoFormatting="1" colGrandTotals="0" itemPrintTitles="1" createdVersion="8" indent="0" showHeaders="0" outline="1" outlineData="1" multipleFieldFilters="0" chartFormat="1">
  <location ref="B4:C9" firstHeaderRow="1" firstDataRow="1" firstDataCol="1" rowPageCount="1" colPageCount="1"/>
  <pivotFields count="14">
    <pivotField dataField="1"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axis="axisRow" showAll="0">
      <items count="61">
        <item x="51"/>
        <item x="52"/>
        <item x="34"/>
        <item x="48"/>
        <item x="35"/>
        <item x="36"/>
        <item x="37"/>
        <item x="38"/>
        <item x="20"/>
        <item x="21"/>
        <item x="39"/>
        <item x="40"/>
        <item x="58"/>
        <item x="49"/>
        <item x="57"/>
        <item x="56"/>
        <item x="55"/>
        <item x="26"/>
        <item x="32"/>
        <item x="33"/>
        <item x="24"/>
        <item x="11"/>
        <item x="15"/>
        <item x="16"/>
        <item x="31"/>
        <item x="41"/>
        <item x="42"/>
        <item x="27"/>
        <item x="25"/>
        <item x="28"/>
        <item x="43"/>
        <item x="0"/>
        <item x="44"/>
        <item x="6"/>
        <item x="7"/>
        <item x="14"/>
        <item x="13"/>
        <item x="45"/>
        <item x="46"/>
        <item x="10"/>
        <item x="9"/>
        <item x="8"/>
        <item x="59"/>
        <item x="54"/>
        <item x="53"/>
        <item x="23"/>
        <item x="30"/>
        <item x="29"/>
        <item x="50"/>
        <item x="47"/>
        <item x="12"/>
        <item x="1"/>
        <item x="2"/>
        <item x="4"/>
        <item x="5"/>
        <item x="3"/>
        <item x="18"/>
        <item x="19"/>
        <item x="17"/>
        <item x="22"/>
        <item t="default"/>
      </items>
    </pivotField>
    <pivotField showAll="0">
      <items count="26">
        <item x="13"/>
        <item x="5"/>
        <item x="20"/>
        <item x="21"/>
        <item x="22"/>
        <item x="23"/>
        <item x="14"/>
        <item x="15"/>
        <item x="11"/>
        <item x="12"/>
        <item x="16"/>
        <item x="0"/>
        <item x="1"/>
        <item x="17"/>
        <item x="24"/>
        <item x="6"/>
        <item x="7"/>
        <item x="18"/>
        <item x="19"/>
        <item x="2"/>
        <item x="8"/>
        <item x="9"/>
        <item x="10"/>
        <item x="3"/>
        <item x="4"/>
        <item t="default"/>
      </items>
    </pivotField>
    <pivotField axis="axisRow" showAll="0">
      <items count="26">
        <item sd="0" x="8"/>
        <item sd="0" x="9"/>
        <item sd="0" x="21"/>
        <item sd="0" x="10"/>
        <item sd="0" x="3"/>
        <item sd="0" x="4"/>
        <item sd="0" x="6"/>
        <item sd="0" x="23"/>
        <item sd="0" x="20"/>
        <item sd="0" x="24"/>
        <item sd="0" x="22"/>
        <item sd="0" x="17"/>
        <item sd="0" x="0"/>
        <item sd="0" x="7"/>
        <item sd="0" x="1"/>
        <item sd="0" x="5"/>
        <item sd="0" x="19"/>
        <item sd="0" x="15"/>
        <item sd="0" x="16"/>
        <item sd="0" x="13"/>
        <item sd="0" x="18"/>
        <item sd="0" x="2"/>
        <item sd="0" x="12"/>
        <item sd="0" x="14"/>
        <item sd="0" x="11"/>
        <item t="default" sd="0"/>
      </items>
    </pivotField>
    <pivotField numFmtId="164" showAll="0"/>
    <pivotField numFmtId="164" showAll="0"/>
    <pivotField numFmtId="164" showAll="0"/>
    <pivotField numFmtId="164" showAll="0"/>
    <pivotField showAll="0">
      <items count="5">
        <item x="3"/>
        <item h="1" x="0"/>
        <item h="1" x="2"/>
        <item h="1" x="1"/>
        <item t="default"/>
      </items>
    </pivotField>
    <pivotField numFmtId="9" showAll="0"/>
    <pivotField numFmtId="164" showAll="0"/>
    <pivotField numFmtId="164" showAll="0"/>
    <pivotField numFmtId="164" showAll="0"/>
    <pivotField name="Risk level" axis="axisPage" showAll="0">
      <items count="4">
        <item h="1" x="2"/>
        <item x="1"/>
        <item h="1" x="0"/>
        <item t="default"/>
      </items>
    </pivotField>
  </pivotFields>
  <rowFields count="2">
    <field x="3"/>
    <field x="1"/>
  </rowFields>
  <rowItems count="5">
    <i>
      <x v="1"/>
    </i>
    <i>
      <x v="2"/>
    </i>
    <i>
      <x v="5"/>
    </i>
    <i>
      <x v="10"/>
    </i>
    <i t="grand">
      <x/>
    </i>
  </rowItems>
  <colItems count="1">
    <i/>
  </colItems>
  <pageFields count="1">
    <pageField fld="13" item="1" hier="-1"/>
  </pageFields>
  <dataFields count="1">
    <dataField name="Affected assets" fld="0" subtotal="count" baseField="0" baseItem="9"/>
  </dataFields>
  <formats count="5">
    <format dxfId="32">
      <pivotArea type="all" dataOnly="0" outline="0" fieldPosition="0"/>
    </format>
    <format dxfId="33">
      <pivotArea outline="0" collapsedLevelsAreSubtotals="1" fieldPosition="0"/>
    </format>
    <format dxfId="34">
      <pivotArea dataOnly="0" labelOnly="1" fieldPosition="0">
        <references count="1">
          <reference field="3" count="4">
            <x v="1"/>
            <x v="2"/>
            <x v="5"/>
            <x v="10"/>
          </reference>
        </references>
      </pivotArea>
    </format>
    <format dxfId="35">
      <pivotArea dataOnly="0" labelOnly="1" grandRow="1" outline="0" fieldPosition="0"/>
    </format>
    <format dxfId="36">
      <pivotArea dataOnly="0" labelOnly="1" outline="0" axis="axisValues" fieldPosition="0"/>
    </format>
  </formats>
  <chartFormats count="41">
    <chartFormat chart="0" format="7" series="1">
      <pivotArea type="data" outline="0" fieldPosition="0">
        <references count="1">
          <reference field="1" count="1" selected="0">
            <x v="0"/>
          </reference>
        </references>
      </pivotArea>
    </chartFormat>
    <chartFormat chart="0" format="8" series="1">
      <pivotArea type="data" outline="0" fieldPosition="0">
        <references count="1">
          <reference field="1" count="1" selected="0">
            <x v="1"/>
          </reference>
        </references>
      </pivotArea>
    </chartFormat>
    <chartFormat chart="0" format="9" series="1">
      <pivotArea type="data" outline="0" fieldPosition="0">
        <references count="1">
          <reference field="1" count="1" selected="0">
            <x v="3"/>
          </reference>
        </references>
      </pivotArea>
    </chartFormat>
    <chartFormat chart="0" format="10" series="1">
      <pivotArea type="data" outline="0" fieldPosition="0">
        <references count="1">
          <reference field="1" count="1" selected="0">
            <x v="4"/>
          </reference>
        </references>
      </pivotArea>
    </chartFormat>
    <chartFormat chart="0" format="11" series="1">
      <pivotArea type="data" outline="0" fieldPosition="0">
        <references count="1">
          <reference field="1" count="1" selected="0">
            <x v="5"/>
          </reference>
        </references>
      </pivotArea>
    </chartFormat>
    <chartFormat chart="0" format="12" series="1">
      <pivotArea type="data" outline="0" fieldPosition="0">
        <references count="1">
          <reference field="1" count="1" selected="0">
            <x v="6"/>
          </reference>
        </references>
      </pivotArea>
    </chartFormat>
    <chartFormat chart="0" format="13" series="1">
      <pivotArea type="data" outline="0" fieldPosition="0">
        <references count="1">
          <reference field="1" count="1" selected="0">
            <x v="7"/>
          </reference>
        </references>
      </pivotArea>
    </chartFormat>
    <chartFormat chart="0" format="14" series="1">
      <pivotArea type="data" outline="0" fieldPosition="0">
        <references count="1">
          <reference field="1" count="1" selected="0">
            <x v="10"/>
          </reference>
        </references>
      </pivotArea>
    </chartFormat>
    <chartFormat chart="0" format="15" series="1">
      <pivotArea type="data" outline="0" fieldPosition="0">
        <references count="1">
          <reference field="1" count="1" selected="0">
            <x v="11"/>
          </reference>
        </references>
      </pivotArea>
    </chartFormat>
    <chartFormat chart="0" format="16" series="1">
      <pivotArea type="data" outline="0" fieldPosition="0">
        <references count="1">
          <reference field="1" count="1" selected="0">
            <x v="12"/>
          </reference>
        </references>
      </pivotArea>
    </chartFormat>
    <chartFormat chart="0" format="17" series="1">
      <pivotArea type="data" outline="0" fieldPosition="0">
        <references count="1">
          <reference field="1" count="1" selected="0">
            <x v="13"/>
          </reference>
        </references>
      </pivotArea>
    </chartFormat>
    <chartFormat chart="0" format="18" series="1">
      <pivotArea type="data" outline="0" fieldPosition="0">
        <references count="1">
          <reference field="1" count="1" selected="0">
            <x v="14"/>
          </reference>
        </references>
      </pivotArea>
    </chartFormat>
    <chartFormat chart="0" format="19" series="1">
      <pivotArea type="data" outline="0" fieldPosition="0">
        <references count="1">
          <reference field="1" count="1" selected="0">
            <x v="16"/>
          </reference>
        </references>
      </pivotArea>
    </chartFormat>
    <chartFormat chart="0" format="20" series="1">
      <pivotArea type="data" outline="0" fieldPosition="0">
        <references count="1">
          <reference field="1" count="1" selected="0">
            <x v="17"/>
          </reference>
        </references>
      </pivotArea>
    </chartFormat>
    <chartFormat chart="0" format="21" series="1">
      <pivotArea type="data" outline="0" fieldPosition="0">
        <references count="1">
          <reference field="1" count="1" selected="0">
            <x v="21"/>
          </reference>
        </references>
      </pivotArea>
    </chartFormat>
    <chartFormat chart="0" format="22" series="1">
      <pivotArea type="data" outline="0" fieldPosition="0">
        <references count="1">
          <reference field="1" count="1" selected="0">
            <x v="22"/>
          </reference>
        </references>
      </pivotArea>
    </chartFormat>
    <chartFormat chart="0" format="23" series="1">
      <pivotArea type="data" outline="0" fieldPosition="0">
        <references count="1">
          <reference field="1" count="1" selected="0">
            <x v="23"/>
          </reference>
        </references>
      </pivotArea>
    </chartFormat>
    <chartFormat chart="0" format="24" series="1">
      <pivotArea type="data" outline="0" fieldPosition="0">
        <references count="1">
          <reference field="1" count="1" selected="0">
            <x v="24"/>
          </reference>
        </references>
      </pivotArea>
    </chartFormat>
    <chartFormat chart="0" format="25" series="1">
      <pivotArea type="data" outline="0" fieldPosition="0">
        <references count="1">
          <reference field="1" count="1" selected="0">
            <x v="25"/>
          </reference>
        </references>
      </pivotArea>
    </chartFormat>
    <chartFormat chart="0" format="26" series="1">
      <pivotArea type="data" outline="0" fieldPosition="0">
        <references count="1">
          <reference field="1" count="1" selected="0">
            <x v="26"/>
          </reference>
        </references>
      </pivotArea>
    </chartFormat>
    <chartFormat chart="0" format="27" series="1">
      <pivotArea type="data" outline="0" fieldPosition="0">
        <references count="1">
          <reference field="1" count="1" selected="0">
            <x v="27"/>
          </reference>
        </references>
      </pivotArea>
    </chartFormat>
    <chartFormat chart="0" format="28" series="1">
      <pivotArea type="data" outline="0" fieldPosition="0">
        <references count="1">
          <reference field="1" count="1" selected="0">
            <x v="30"/>
          </reference>
        </references>
      </pivotArea>
    </chartFormat>
    <chartFormat chart="0" format="29" series="1">
      <pivotArea type="data" outline="0" fieldPosition="0">
        <references count="1">
          <reference field="1" count="1" selected="0">
            <x v="31"/>
          </reference>
        </references>
      </pivotArea>
    </chartFormat>
    <chartFormat chart="0" format="30" series="1">
      <pivotArea type="data" outline="0" fieldPosition="0">
        <references count="1">
          <reference field="1" count="1" selected="0">
            <x v="32"/>
          </reference>
        </references>
      </pivotArea>
    </chartFormat>
    <chartFormat chart="0" format="31" series="1">
      <pivotArea type="data" outline="0" fieldPosition="0">
        <references count="1">
          <reference field="1" count="1" selected="0">
            <x v="34"/>
          </reference>
        </references>
      </pivotArea>
    </chartFormat>
    <chartFormat chart="0" format="32" series="1">
      <pivotArea type="data" outline="0" fieldPosition="0">
        <references count="1">
          <reference field="1" count="1" selected="0">
            <x v="35"/>
          </reference>
        </references>
      </pivotArea>
    </chartFormat>
    <chartFormat chart="0" format="33" series="1">
      <pivotArea type="data" outline="0" fieldPosition="0">
        <references count="1">
          <reference field="1" count="1" selected="0">
            <x v="36"/>
          </reference>
        </references>
      </pivotArea>
    </chartFormat>
    <chartFormat chart="0" format="34" series="1">
      <pivotArea type="data" outline="0" fieldPosition="0">
        <references count="1">
          <reference field="1" count="1" selected="0">
            <x v="37"/>
          </reference>
        </references>
      </pivotArea>
    </chartFormat>
    <chartFormat chart="0" format="35" series="1">
      <pivotArea type="data" outline="0" fieldPosition="0">
        <references count="1">
          <reference field="1" count="1" selected="0">
            <x v="38"/>
          </reference>
        </references>
      </pivotArea>
    </chartFormat>
    <chartFormat chart="0" format="36" series="1">
      <pivotArea type="data" outline="0" fieldPosition="0">
        <references count="1">
          <reference field="1" count="1" selected="0">
            <x v="40"/>
          </reference>
        </references>
      </pivotArea>
    </chartFormat>
    <chartFormat chart="0" format="37" series="1">
      <pivotArea type="data" outline="0" fieldPosition="0">
        <references count="1">
          <reference field="1" count="1" selected="0">
            <x v="41"/>
          </reference>
        </references>
      </pivotArea>
    </chartFormat>
    <chartFormat chart="0" format="38" series="1">
      <pivotArea type="data" outline="0" fieldPosition="0">
        <references count="1">
          <reference field="1" count="1" selected="0">
            <x v="43"/>
          </reference>
        </references>
      </pivotArea>
    </chartFormat>
    <chartFormat chart="0" format="39" series="1">
      <pivotArea type="data" outline="0" fieldPosition="0">
        <references count="1">
          <reference field="1" count="1" selected="0">
            <x v="46"/>
          </reference>
        </references>
      </pivotArea>
    </chartFormat>
    <chartFormat chart="0" format="40" series="1">
      <pivotArea type="data" outline="0" fieldPosition="0">
        <references count="1">
          <reference field="1" count="1" selected="0">
            <x v="47"/>
          </reference>
        </references>
      </pivotArea>
    </chartFormat>
    <chartFormat chart="0" format="41" series="1">
      <pivotArea type="data" outline="0" fieldPosition="0">
        <references count="1">
          <reference field="1" count="1" selected="0">
            <x v="49"/>
          </reference>
        </references>
      </pivotArea>
    </chartFormat>
    <chartFormat chart="0" format="42" series="1">
      <pivotArea type="data" outline="0" fieldPosition="0">
        <references count="1">
          <reference field="1" count="1" selected="0">
            <x v="50"/>
          </reference>
        </references>
      </pivotArea>
    </chartFormat>
    <chartFormat chart="0" format="43" series="1">
      <pivotArea type="data" outline="0" fieldPosition="0">
        <references count="1">
          <reference field="1" count="1" selected="0">
            <x v="51"/>
          </reference>
        </references>
      </pivotArea>
    </chartFormat>
    <chartFormat chart="0" format="44" series="1">
      <pivotArea type="data" outline="0" fieldPosition="0">
        <references count="1">
          <reference field="1" count="1" selected="0">
            <x v="56"/>
          </reference>
        </references>
      </pivotArea>
    </chartFormat>
    <chartFormat chart="0" format="45" series="1">
      <pivotArea type="data" outline="0" fieldPosition="0">
        <references count="1">
          <reference field="1" count="1" selected="0">
            <x v="57"/>
          </reference>
        </references>
      </pivotArea>
    </chartFormat>
    <chartFormat chart="0" format="46" series="1">
      <pivotArea type="data" outline="0" fieldPosition="0">
        <references count="1">
          <reference field="1" count="1" selected="0">
            <x v="58"/>
          </reference>
        </references>
      </pivotArea>
    </chartFormat>
    <chartFormat chart="0" format="4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6" dT="2024-12-18T12:07:20.98" personId="{7ABD7BCE-426F-4289-9BE9-18CB274BACBD}" id="{82FB7656-FC26-470B-88A3-F46096F70D7F}" done="1">
    <text>Cambiar a 2, debido a que tenemos copias de seguridad y en el caso de los repositorios está todo el historial</text>
  </threadedComment>
  <threadedComment ref="E6" dT="2025-01-15T14:41:06.26" personId="{D61F0676-664C-4BA6-9D29-62C2FF3F3ABC}" id="{032511AE-4D8E-47B6-A593-626E6BB17E2C}" parentId="{82FB7656-FC26-470B-88A3-F46096F70D7F}">
    <text xml:space="preserve">Ok. </text>
  </threadedComment>
  <threadedComment ref="D7" dT="2024-12-18T12:06:06.54" personId="{7ABD7BCE-426F-4289-9BE9-18CB274BACBD}" id="{2AAB3D5E-3010-4266-96E8-FFC95DE1E0AE}" done="1">
    <text>Cambiar a 3 o incluso 2, debido a que nunca ha pasado</text>
  </threadedComment>
  <threadedComment ref="D7" dT="2025-01-15T14:41:13.09" personId="{D61F0676-664C-4BA6-9D29-62C2FF3F3ABC}" id="{5D0E95A2-DF4F-4ACA-B288-2B735DDB3168}" parentId="{2AAB3D5E-3010-4266-96E8-FFC95DE1E0AE}">
    <text xml:space="preserve">Ok. </text>
  </threadedComment>
  <threadedComment ref="E7" dT="2024-12-18T12:07:25.03" personId="{7ABD7BCE-426F-4289-9BE9-18CB274BACBD}" id="{FE719273-2DB3-4CD3-811C-E2BE2C58608E}" done="1">
    <text>Cambiar a 2, debido a que tenemos copias de seguridad y en el caso de los repositorios está todo el historial</text>
  </threadedComment>
  <threadedComment ref="E7" dT="2025-01-15T14:41:27.75" personId="{D61F0676-664C-4BA6-9D29-62C2FF3F3ABC}" id="{49D4E756-A381-4016-A821-2E33C3909049}" parentId="{FE719273-2DB3-4CD3-811C-E2BE2C58608E}">
    <text xml:space="preserve">Ok. </text>
  </threadedComment>
  <threadedComment ref="E9" dT="2024-12-18T12:13:21.26" personId="{7ABD7BCE-426F-4289-9BE9-18CB274BACBD}" id="{14752237-785E-4F21-94E0-D038EFB1A805}" done="1">
    <text>Bajar a 2 o incluso 1, debido a que podemos tele trabajar y no tenemos servidores propios que afecten al funcionamiento de la empresa</text>
  </threadedComment>
  <threadedComment ref="E9" dT="2025-01-15T14:41:33.25" personId="{D61F0676-664C-4BA6-9D29-62C2FF3F3ABC}" id="{FAD2BE59-481F-4A26-BB08-88278B8EAE5D}" parentId="{14752237-785E-4F21-94E0-D038EFB1A805}">
    <text xml:space="preserve">Ok. </text>
  </threadedComment>
  <threadedComment ref="E10" dT="2024-12-18T12:13:47.95" personId="{7ABD7BCE-426F-4289-9BE9-18CB274BACBD}" id="{3277866B-C0D4-4755-9415-A507BB134E76}" done="1">
    <text>Bajar a 2 o incluso 1, debido a que podemos tele trabajar y no tenemos servidores propios que afecten al funcionamiento de la empresa</text>
  </threadedComment>
  <threadedComment ref="E10" dT="2025-01-15T14:41:38.53" personId="{D61F0676-664C-4BA6-9D29-62C2FF3F3ABC}" id="{346576F0-BB3B-4265-BC7C-B3B150CFC2A9}" parentId="{3277866B-C0D4-4755-9415-A507BB134E76}">
    <text xml:space="preserve">Ok. </text>
  </threadedComment>
  <threadedComment ref="D11" dT="2024-12-18T12:16:07.72" personId="{7ABD7BCE-426F-4289-9BE9-18CB274BACBD}" id="{C4916CC6-53F7-435B-B68C-C41C6B84DC5E}" done="1">
    <text>Bajar a 1, debido a que nunca ha pasado, y usamos servicios con buen respaldo como microsoft, por lo que debería volver rápido</text>
  </threadedComment>
  <threadedComment ref="D11" dT="2025-01-15T14:37:09.89" personId="{D61F0676-664C-4BA6-9D29-62C2FF3F3ABC}" id="{AAD4F137-EA57-4ABA-9AA6-BD3E0ED268CA}" parentId="{C4916CC6-53F7-435B-B68C-C41C6B84DC5E}">
    <text xml:space="preserve">Lo dejaría en 2, ya que no contáis con un proveedor backup en el caso de que falle y tampoco creo que en el contrato se recoja. </text>
  </threadedComment>
  <threadedComment ref="D11" dT="2025-01-22T09:57:12.40" personId="{7ABD7BCE-426F-4289-9BE9-18CB274BACBD}" id="{1B986302-6012-4F7D-B038-B5CC8B367279}" parentId="{C4916CC6-53F7-435B-B68C-C41C6B84DC5E}">
    <text>Ok</text>
  </threadedComment>
  <threadedComment ref="E11" dT="2024-12-18T12:16:43.06" personId="{7ABD7BCE-426F-4289-9BE9-18CB274BACBD}" id="{5ED8F408-A1B5-4EED-A991-588E78800B46}" done="1">
    <text>Bajar a 2, debido a que hay más de un medio de comunicación, por lo que no afectaría mucho</text>
  </threadedComment>
  <threadedComment ref="E11" dT="2025-01-15T14:41:44.89" personId="{D61F0676-664C-4BA6-9D29-62C2FF3F3ABC}" id="{DD08B351-FE33-406C-AAC0-7049ECECEE22}" parentId="{5ED8F408-A1B5-4EED-A991-588E78800B46}">
    <text xml:space="preserve">Ok.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F2FEA-7C9C-4E78-A256-055789D65C2D}">
  <dimension ref="B4:C13"/>
  <sheetViews>
    <sheetView tabSelected="1" workbookViewId="0">
      <selection activeCell="B7" sqref="B7"/>
    </sheetView>
  </sheetViews>
  <sheetFormatPr defaultColWidth="11.42578125" defaultRowHeight="14.45"/>
  <cols>
    <col min="2" max="2" width="34.7109375" bestFit="1" customWidth="1"/>
    <col min="3" max="3" width="19.7109375" bestFit="1" customWidth="1"/>
  </cols>
  <sheetData>
    <row r="4" spans="2:3" ht="15.6">
      <c r="B4" s="129" t="s">
        <v>0</v>
      </c>
      <c r="C4" s="129" t="s">
        <v>1</v>
      </c>
    </row>
    <row r="5" spans="2:3">
      <c r="B5" s="130" t="s">
        <v>2</v>
      </c>
      <c r="C5" s="145">
        <v>45727</v>
      </c>
    </row>
    <row r="6" spans="2:3">
      <c r="B6" s="130" t="s">
        <v>2</v>
      </c>
      <c r="C6" s="145">
        <v>45987</v>
      </c>
    </row>
    <row r="7" spans="2:3">
      <c r="B7" s="130"/>
      <c r="C7" s="131"/>
    </row>
    <row r="8" spans="2:3">
      <c r="B8" s="130"/>
      <c r="C8" s="131"/>
    </row>
    <row r="9" spans="2:3">
      <c r="B9" s="130"/>
      <c r="C9" s="131"/>
    </row>
    <row r="10" spans="2:3">
      <c r="B10" s="130"/>
      <c r="C10" s="131"/>
    </row>
    <row r="11" spans="2:3">
      <c r="B11" s="130"/>
      <c r="C11" s="131"/>
    </row>
    <row r="12" spans="2:3">
      <c r="B12" s="130"/>
      <c r="C12" s="131"/>
    </row>
    <row r="13" spans="2:3">
      <c r="B13" s="130"/>
      <c r="C13" s="13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tabColor rgb="FFFF0000"/>
  </sheetPr>
  <dimension ref="A1:W253"/>
  <sheetViews>
    <sheetView showGridLines="0" zoomScale="145" zoomScaleNormal="145" workbookViewId="0">
      <selection activeCell="L28" sqref="L28"/>
    </sheetView>
  </sheetViews>
  <sheetFormatPr defaultColWidth="0" defaultRowHeight="0" customHeight="1" zeroHeight="1"/>
  <cols>
    <col min="1" max="1" width="2.5703125" style="4" customWidth="1"/>
    <col min="2" max="2" width="8.28515625" style="4" customWidth="1"/>
    <col min="3" max="3" width="36.140625" style="5" bestFit="1" customWidth="1"/>
    <col min="4" max="4" width="23" style="4" customWidth="1"/>
    <col min="5" max="5" width="10.42578125" style="11" customWidth="1"/>
    <col min="6" max="6" width="12.140625" style="11" customWidth="1"/>
    <col min="7" max="7" width="7" style="32" customWidth="1"/>
    <col min="8" max="8" width="6.7109375" style="32" customWidth="1"/>
    <col min="9" max="9" width="14.5703125" style="4" customWidth="1"/>
    <col min="10" max="10" width="3" style="4" customWidth="1"/>
    <col min="11" max="11" width="6" style="4" customWidth="1"/>
    <col min="12" max="12" width="54" style="4" customWidth="1"/>
    <col min="13" max="13" width="3.140625" style="4" customWidth="1"/>
    <col min="14" max="14" width="6.7109375" style="4" customWidth="1"/>
    <col min="15" max="15" width="43.5703125" style="4" customWidth="1"/>
    <col min="16" max="16" width="17.28515625" style="11" bestFit="1" customWidth="1"/>
    <col min="17" max="17" width="8.5703125" style="4" customWidth="1"/>
    <col min="18" max="18" width="14.5703125" style="4" customWidth="1"/>
    <col min="19" max="23" width="10.85546875" style="4" customWidth="1"/>
    <col min="24" max="16384" width="3.85546875" style="4" hidden="1"/>
  </cols>
  <sheetData>
    <row r="1" spans="1:19" ht="18" customHeight="1">
      <c r="A1"/>
      <c r="B1"/>
      <c r="C1"/>
      <c r="D1"/>
      <c r="E1"/>
      <c r="F1"/>
      <c r="G1"/>
      <c r="H1"/>
      <c r="I1"/>
      <c r="J1"/>
      <c r="K1"/>
      <c r="L1"/>
      <c r="M1"/>
      <c r="N1"/>
      <c r="O1"/>
      <c r="P1"/>
      <c r="Q1"/>
    </row>
    <row r="2" spans="1:19" ht="14.45">
      <c r="A2"/>
      <c r="B2" s="66" t="s">
        <v>3</v>
      </c>
      <c r="C2" s="66" t="s">
        <v>4</v>
      </c>
      <c r="D2" s="66" t="s">
        <v>5</v>
      </c>
      <c r="E2" s="66" t="s">
        <v>6</v>
      </c>
      <c r="F2" s="66" t="s">
        <v>7</v>
      </c>
      <c r="G2"/>
      <c r="H2" s="66" t="s">
        <v>3</v>
      </c>
      <c r="I2" s="66" t="s">
        <v>8</v>
      </c>
      <c r="J2" s="58" t="s">
        <v>9</v>
      </c>
      <c r="K2" s="66" t="s">
        <v>3</v>
      </c>
      <c r="L2" s="66" t="s">
        <v>10</v>
      </c>
      <c r="M2" s="58" t="s">
        <v>9</v>
      </c>
      <c r="N2" s="66" t="s">
        <v>3</v>
      </c>
      <c r="O2" s="66" t="s">
        <v>11</v>
      </c>
      <c r="P2" s="66" t="s">
        <v>12</v>
      </c>
      <c r="Q2" s="58" t="s">
        <v>9</v>
      </c>
    </row>
    <row r="3" spans="1:19" ht="10.5" customHeight="1">
      <c r="A3"/>
      <c r="B3" s="71" t="s">
        <v>13</v>
      </c>
      <c r="C3" s="68" t="s">
        <v>14</v>
      </c>
      <c r="D3" s="68" t="s">
        <v>15</v>
      </c>
      <c r="E3" s="72" t="s">
        <v>16</v>
      </c>
      <c r="F3" s="68">
        <f>VLOOKUP(E3,Constantes!$B$3:$C$5,2,0)</f>
        <v>4</v>
      </c>
      <c r="G3"/>
      <c r="H3" s="71" t="s">
        <v>17</v>
      </c>
      <c r="I3" s="68" t="s">
        <v>18</v>
      </c>
      <c r="J3" s="58" t="s">
        <v>9</v>
      </c>
      <c r="K3" s="71" t="s">
        <v>19</v>
      </c>
      <c r="L3" s="68" t="s">
        <v>20</v>
      </c>
      <c r="M3" s="58" t="s">
        <v>9</v>
      </c>
      <c r="N3" s="67" t="s">
        <v>21</v>
      </c>
      <c r="O3" s="68" t="s">
        <v>22</v>
      </c>
      <c r="P3" s="69">
        <v>3</v>
      </c>
      <c r="Q3" s="58" t="s">
        <v>9</v>
      </c>
    </row>
    <row r="4" spans="1:19" ht="10.5" customHeight="1">
      <c r="A4"/>
      <c r="B4" s="71" t="s">
        <v>23</v>
      </c>
      <c r="C4" s="68" t="s">
        <v>24</v>
      </c>
      <c r="D4" s="68" t="s">
        <v>15</v>
      </c>
      <c r="E4" s="72" t="s">
        <v>16</v>
      </c>
      <c r="F4" s="68">
        <f>VLOOKUP(E4,Constantes!$B$3:$C$5,2,0)</f>
        <v>4</v>
      </c>
      <c r="G4"/>
      <c r="H4" s="71" t="s">
        <v>25</v>
      </c>
      <c r="I4" s="68" t="s">
        <v>26</v>
      </c>
      <c r="J4" s="58" t="s">
        <v>9</v>
      </c>
      <c r="K4" s="71" t="s">
        <v>27</v>
      </c>
      <c r="L4" s="68" t="s">
        <v>28</v>
      </c>
      <c r="M4" s="58" t="s">
        <v>9</v>
      </c>
      <c r="N4" s="67" t="s">
        <v>29</v>
      </c>
      <c r="O4" s="68" t="s">
        <v>30</v>
      </c>
      <c r="P4" s="70">
        <v>3.5</v>
      </c>
      <c r="Q4" s="58" t="s">
        <v>9</v>
      </c>
    </row>
    <row r="5" spans="1:19" ht="10.5" customHeight="1">
      <c r="A5"/>
      <c r="B5" s="71" t="s">
        <v>31</v>
      </c>
      <c r="C5" s="68" t="s">
        <v>32</v>
      </c>
      <c r="D5" s="68" t="s">
        <v>15</v>
      </c>
      <c r="E5" s="72" t="s">
        <v>16</v>
      </c>
      <c r="F5" s="68">
        <f>VLOOKUP(E5,Constantes!$B$3:$C$5,2,0)</f>
        <v>4</v>
      </c>
      <c r="G5"/>
      <c r="H5" s="71" t="s">
        <v>33</v>
      </c>
      <c r="I5" s="68" t="s">
        <v>34</v>
      </c>
      <c r="J5" s="58" t="s">
        <v>9</v>
      </c>
      <c r="K5" s="71" t="s">
        <v>35</v>
      </c>
      <c r="L5" s="68" t="s">
        <v>36</v>
      </c>
      <c r="M5" s="58" t="s">
        <v>9</v>
      </c>
      <c r="N5" s="67" t="s">
        <v>37</v>
      </c>
      <c r="O5" s="68" t="s">
        <v>38</v>
      </c>
      <c r="P5" s="70">
        <v>2</v>
      </c>
      <c r="Q5" s="58" t="s">
        <v>9</v>
      </c>
    </row>
    <row r="6" spans="1:19" ht="10.5" customHeight="1">
      <c r="A6"/>
      <c r="B6" s="71" t="s">
        <v>39</v>
      </c>
      <c r="C6" s="68" t="s">
        <v>40</v>
      </c>
      <c r="D6" s="68" t="s">
        <v>15</v>
      </c>
      <c r="E6" s="73" t="s">
        <v>41</v>
      </c>
      <c r="F6" s="68">
        <f>VLOOKUP(E6,Constantes!$B$3:$C$5,2,0)</f>
        <v>2.5</v>
      </c>
      <c r="G6"/>
      <c r="H6" s="71" t="s">
        <v>42</v>
      </c>
      <c r="I6" s="68" t="s">
        <v>43</v>
      </c>
      <c r="J6" s="58" t="s">
        <v>9</v>
      </c>
      <c r="K6" s="71" t="s">
        <v>44</v>
      </c>
      <c r="L6" s="68" t="s">
        <v>45</v>
      </c>
      <c r="M6" s="58" t="s">
        <v>9</v>
      </c>
      <c r="N6" s="67" t="s">
        <v>46</v>
      </c>
      <c r="O6" s="68" t="s">
        <v>47</v>
      </c>
      <c r="P6" s="70">
        <v>2</v>
      </c>
      <c r="Q6" s="58" t="s">
        <v>9</v>
      </c>
    </row>
    <row r="7" spans="1:19" ht="10.5" customHeight="1">
      <c r="A7"/>
      <c r="B7" s="71" t="s">
        <v>48</v>
      </c>
      <c r="C7" s="68" t="s">
        <v>49</v>
      </c>
      <c r="D7" s="68" t="s">
        <v>50</v>
      </c>
      <c r="E7" s="73" t="s">
        <v>41</v>
      </c>
      <c r="F7" s="68">
        <f>VLOOKUP(E7,Constantes!$B$3:$C$5,2,0)</f>
        <v>2.5</v>
      </c>
      <c r="G7"/>
      <c r="H7" s="71" t="s">
        <v>51</v>
      </c>
      <c r="I7" s="68" t="s">
        <v>52</v>
      </c>
      <c r="J7" s="58" t="s">
        <v>9</v>
      </c>
      <c r="K7" s="71" t="s">
        <v>53</v>
      </c>
      <c r="L7" s="68" t="s">
        <v>54</v>
      </c>
      <c r="M7" s="58" t="s">
        <v>9</v>
      </c>
      <c r="N7" s="67" t="s">
        <v>55</v>
      </c>
      <c r="O7" s="68" t="s">
        <v>56</v>
      </c>
      <c r="P7" s="70">
        <v>3</v>
      </c>
      <c r="Q7" s="58" t="s">
        <v>9</v>
      </c>
    </row>
    <row r="8" spans="1:19" ht="10.5" customHeight="1">
      <c r="A8"/>
      <c r="B8" s="71" t="s">
        <v>57</v>
      </c>
      <c r="C8" s="68" t="s">
        <v>58</v>
      </c>
      <c r="D8" s="68" t="s">
        <v>50</v>
      </c>
      <c r="E8" s="72" t="s">
        <v>16</v>
      </c>
      <c r="F8" s="68">
        <f>VLOOKUP(E8,Constantes!$B$3:$C$5,2,0)</f>
        <v>4</v>
      </c>
      <c r="G8"/>
      <c r="H8" s="71" t="s">
        <v>59</v>
      </c>
      <c r="I8" s="68" t="s">
        <v>15</v>
      </c>
      <c r="J8" s="58" t="s">
        <v>9</v>
      </c>
      <c r="K8" s="71" t="s">
        <v>60</v>
      </c>
      <c r="L8" s="68" t="s">
        <v>61</v>
      </c>
      <c r="M8" s="58" t="s">
        <v>9</v>
      </c>
      <c r="N8" s="67" t="s">
        <v>62</v>
      </c>
      <c r="O8" s="68" t="s">
        <v>63</v>
      </c>
      <c r="P8" s="70">
        <v>4</v>
      </c>
      <c r="Q8" s="58" t="s">
        <v>9</v>
      </c>
    </row>
    <row r="9" spans="1:19" ht="10.5" customHeight="1">
      <c r="A9"/>
      <c r="B9" s="71" t="s">
        <v>64</v>
      </c>
      <c r="C9" s="68" t="s">
        <v>65</v>
      </c>
      <c r="D9" s="68" t="s">
        <v>43</v>
      </c>
      <c r="E9" s="74" t="s">
        <v>66</v>
      </c>
      <c r="F9" s="68">
        <f>VLOOKUP(E9,Constantes!$B$3:$C$5,2,0)</f>
        <v>1</v>
      </c>
      <c r="G9"/>
      <c r="H9" s="71" t="s">
        <v>67</v>
      </c>
      <c r="I9" s="68" t="s">
        <v>50</v>
      </c>
      <c r="J9" s="58" t="s">
        <v>9</v>
      </c>
      <c r="K9" s="71" t="s">
        <v>68</v>
      </c>
      <c r="L9" s="68" t="s">
        <v>69</v>
      </c>
      <c r="M9" s="58" t="s">
        <v>9</v>
      </c>
      <c r="N9" s="67" t="s">
        <v>70</v>
      </c>
      <c r="O9" s="68" t="s">
        <v>71</v>
      </c>
      <c r="P9" s="70">
        <v>3.5</v>
      </c>
      <c r="Q9" s="58" t="s">
        <v>9</v>
      </c>
      <c r="S9"/>
    </row>
    <row r="10" spans="1:19" ht="10.5" customHeight="1">
      <c r="A10"/>
      <c r="B10" s="71" t="s">
        <v>72</v>
      </c>
      <c r="C10" s="68" t="s">
        <v>73</v>
      </c>
      <c r="D10" s="68" t="s">
        <v>74</v>
      </c>
      <c r="E10" s="72" t="s">
        <v>16</v>
      </c>
      <c r="F10" s="68">
        <f>VLOOKUP(E10,Constantes!$B$3:$C$5,2,0)</f>
        <v>4</v>
      </c>
      <c r="G10"/>
      <c r="H10" s="71" t="s">
        <v>75</v>
      </c>
      <c r="I10" s="68" t="s">
        <v>74</v>
      </c>
      <c r="J10" s="58" t="s">
        <v>9</v>
      </c>
      <c r="K10" s="71" t="s">
        <v>76</v>
      </c>
      <c r="L10" s="68" t="s">
        <v>77</v>
      </c>
      <c r="M10" s="58" t="s">
        <v>9</v>
      </c>
      <c r="N10" s="67" t="s">
        <v>78</v>
      </c>
      <c r="O10" s="68" t="s">
        <v>79</v>
      </c>
      <c r="P10" s="70">
        <v>3</v>
      </c>
      <c r="Q10" s="58" t="s">
        <v>9</v>
      </c>
    </row>
    <row r="11" spans="1:19" ht="10.5" customHeight="1">
      <c r="A11"/>
      <c r="B11" s="71" t="s">
        <v>80</v>
      </c>
      <c r="C11" s="68" t="s">
        <v>81</v>
      </c>
      <c r="D11" s="68" t="s">
        <v>34</v>
      </c>
      <c r="E11" s="73" t="s">
        <v>41</v>
      </c>
      <c r="F11" s="68">
        <f>VLOOKUP(E11,Constantes!$B$3:$C$5,2,0)</f>
        <v>2.5</v>
      </c>
      <c r="G11"/>
      <c r="H11" s="58" t="s">
        <v>9</v>
      </c>
      <c r="I11" s="58" t="s">
        <v>9</v>
      </c>
      <c r="J11" s="58" t="s">
        <v>9</v>
      </c>
      <c r="K11" s="71" t="s">
        <v>82</v>
      </c>
      <c r="L11" s="68" t="s">
        <v>83</v>
      </c>
      <c r="M11" s="58" t="s">
        <v>9</v>
      </c>
      <c r="N11" s="67" t="s">
        <v>84</v>
      </c>
      <c r="O11" s="68" t="s">
        <v>85</v>
      </c>
      <c r="P11" s="70">
        <v>3</v>
      </c>
      <c r="Q11" s="58" t="s">
        <v>9</v>
      </c>
    </row>
    <row r="12" spans="1:19" ht="10.5" customHeight="1">
      <c r="A12"/>
      <c r="B12" s="71" t="s">
        <v>86</v>
      </c>
      <c r="C12" s="75" t="s">
        <v>87</v>
      </c>
      <c r="D12" s="68" t="s">
        <v>34</v>
      </c>
      <c r="E12" s="73" t="s">
        <v>41</v>
      </c>
      <c r="F12" s="68">
        <f>VLOOKUP(E12,Constantes!$B$3:$C$5,2,0)</f>
        <v>2.5</v>
      </c>
      <c r="G12"/>
      <c r="H12" s="58" t="s">
        <v>9</v>
      </c>
      <c r="I12" s="59" t="s">
        <v>9</v>
      </c>
      <c r="J12" s="58" t="s">
        <v>9</v>
      </c>
      <c r="K12" s="71" t="s">
        <v>88</v>
      </c>
      <c r="L12" s="68" t="s">
        <v>89</v>
      </c>
      <c r="M12" s="58" t="s">
        <v>9</v>
      </c>
      <c r="N12" s="67" t="s">
        <v>90</v>
      </c>
      <c r="O12" s="68" t="s">
        <v>91</v>
      </c>
      <c r="P12" s="70">
        <v>3.5</v>
      </c>
      <c r="Q12" s="58" t="s">
        <v>9</v>
      </c>
    </row>
    <row r="13" spans="1:19" ht="10.5" customHeight="1">
      <c r="A13"/>
      <c r="B13" s="71" t="s">
        <v>92</v>
      </c>
      <c r="C13" s="76" t="s">
        <v>93</v>
      </c>
      <c r="D13" s="77" t="s">
        <v>34</v>
      </c>
      <c r="E13" s="73" t="s">
        <v>41</v>
      </c>
      <c r="F13" s="68">
        <f>VLOOKUP(E13,Constantes!$B$3:$C$5,2,0)</f>
        <v>2.5</v>
      </c>
      <c r="G13"/>
      <c r="H13" s="58" t="s">
        <v>9</v>
      </c>
      <c r="I13" s="59" t="s">
        <v>9</v>
      </c>
      <c r="J13" s="58" t="s">
        <v>9</v>
      </c>
      <c r="K13" s="71" t="s">
        <v>94</v>
      </c>
      <c r="L13" s="68" t="s">
        <v>95</v>
      </c>
      <c r="M13" s="58" t="s">
        <v>9</v>
      </c>
      <c r="N13" s="67" t="s">
        <v>96</v>
      </c>
      <c r="O13" s="68" t="s">
        <v>97</v>
      </c>
      <c r="P13" s="70">
        <v>3</v>
      </c>
      <c r="Q13" s="58" t="s">
        <v>9</v>
      </c>
    </row>
    <row r="14" spans="1:19" ht="10.5" customHeight="1">
      <c r="A14"/>
      <c r="B14" s="71" t="s">
        <v>98</v>
      </c>
      <c r="C14" s="77" t="s">
        <v>99</v>
      </c>
      <c r="D14" s="68" t="s">
        <v>34</v>
      </c>
      <c r="E14" s="72" t="s">
        <v>16</v>
      </c>
      <c r="F14" s="68">
        <f>VLOOKUP(E14,Constantes!$B$3:$C$5,2,0)</f>
        <v>4</v>
      </c>
      <c r="G14"/>
      <c r="H14" s="58" t="s">
        <v>9</v>
      </c>
      <c r="I14" s="59" t="s">
        <v>9</v>
      </c>
      <c r="J14" s="58" t="s">
        <v>9</v>
      </c>
      <c r="K14" s="71" t="s">
        <v>100</v>
      </c>
      <c r="L14" s="68" t="s">
        <v>101</v>
      </c>
      <c r="M14" s="58" t="s">
        <v>9</v>
      </c>
      <c r="N14" s="67" t="s">
        <v>102</v>
      </c>
      <c r="O14" s="68" t="s">
        <v>103</v>
      </c>
      <c r="P14" s="70">
        <v>3</v>
      </c>
      <c r="Q14" s="58" t="s">
        <v>9</v>
      </c>
    </row>
    <row r="15" spans="1:19" ht="10.5" customHeight="1">
      <c r="A15"/>
      <c r="B15" s="71" t="s">
        <v>104</v>
      </c>
      <c r="C15" s="68" t="s">
        <v>105</v>
      </c>
      <c r="D15" s="68" t="s">
        <v>34</v>
      </c>
      <c r="E15" s="72" t="s">
        <v>16</v>
      </c>
      <c r="F15" s="68">
        <f>VLOOKUP(E15,Constantes!$B$3:$C$5,2,0)</f>
        <v>4</v>
      </c>
      <c r="G15"/>
      <c r="H15" s="58" t="s">
        <v>9</v>
      </c>
      <c r="I15" s="59" t="s">
        <v>9</v>
      </c>
      <c r="J15" s="58" t="s">
        <v>9</v>
      </c>
      <c r="K15" s="71" t="s">
        <v>106</v>
      </c>
      <c r="L15" s="68" t="s">
        <v>107</v>
      </c>
      <c r="M15" s="58" t="s">
        <v>9</v>
      </c>
      <c r="N15" s="67" t="s">
        <v>108</v>
      </c>
      <c r="O15" s="68" t="s">
        <v>109</v>
      </c>
      <c r="P15" s="70">
        <v>3</v>
      </c>
      <c r="Q15" s="58" t="s">
        <v>9</v>
      </c>
      <c r="S15" s="63"/>
    </row>
    <row r="16" spans="1:19" ht="10.5" customHeight="1">
      <c r="A16"/>
      <c r="B16" s="71" t="s">
        <v>110</v>
      </c>
      <c r="C16" s="68" t="s">
        <v>111</v>
      </c>
      <c r="D16" s="68" t="s">
        <v>34</v>
      </c>
      <c r="E16" s="74" t="s">
        <v>66</v>
      </c>
      <c r="F16" s="68">
        <f>VLOOKUP(E16,Constantes!$B$3:$C$5,2,0)</f>
        <v>1</v>
      </c>
      <c r="G16"/>
      <c r="H16" s="58" t="s">
        <v>9</v>
      </c>
      <c r="I16" s="59" t="s">
        <v>9</v>
      </c>
      <c r="J16" s="58" t="s">
        <v>9</v>
      </c>
      <c r="K16" s="71" t="s">
        <v>112</v>
      </c>
      <c r="L16" s="68" t="s">
        <v>113</v>
      </c>
      <c r="M16" s="58" t="s">
        <v>9</v>
      </c>
      <c r="N16" s="67" t="s">
        <v>114</v>
      </c>
      <c r="O16" s="68" t="s">
        <v>115</v>
      </c>
      <c r="P16" s="70">
        <v>3</v>
      </c>
      <c r="Q16" s="58" t="s">
        <v>9</v>
      </c>
    </row>
    <row r="17" spans="1:17" ht="10.5" customHeight="1">
      <c r="A17"/>
      <c r="B17" s="71" t="s">
        <v>116</v>
      </c>
      <c r="C17" s="77" t="s">
        <v>117</v>
      </c>
      <c r="D17" s="68" t="s">
        <v>26</v>
      </c>
      <c r="E17" s="73" t="s">
        <v>41</v>
      </c>
      <c r="F17" s="68">
        <f>VLOOKUP(E17,Constantes!$B$3:$C$5,2,0)</f>
        <v>2.5</v>
      </c>
      <c r="G17"/>
      <c r="H17" s="58" t="s">
        <v>9</v>
      </c>
      <c r="I17" s="59" t="s">
        <v>9</v>
      </c>
      <c r="J17" s="58" t="s">
        <v>9</v>
      </c>
      <c r="K17" s="71" t="s">
        <v>118</v>
      </c>
      <c r="L17" s="68" t="s">
        <v>119</v>
      </c>
      <c r="M17" s="58" t="s">
        <v>9</v>
      </c>
      <c r="N17" s="67" t="s">
        <v>120</v>
      </c>
      <c r="O17" s="68" t="s">
        <v>121</v>
      </c>
      <c r="P17" s="70">
        <v>3</v>
      </c>
      <c r="Q17" s="58" t="s">
        <v>9</v>
      </c>
    </row>
    <row r="18" spans="1:17" ht="10.5" customHeight="1">
      <c r="A18"/>
      <c r="B18" s="71" t="s">
        <v>122</v>
      </c>
      <c r="C18" s="79" t="s">
        <v>123</v>
      </c>
      <c r="D18" s="68" t="s">
        <v>26</v>
      </c>
      <c r="E18" s="73" t="s">
        <v>41</v>
      </c>
      <c r="F18" s="68">
        <f>VLOOKUP(E18,Constantes!$B$3:$C$5,2,0)</f>
        <v>2.5</v>
      </c>
      <c r="G18"/>
      <c r="H18" s="58" t="s">
        <v>9</v>
      </c>
      <c r="I18" s="59" t="s">
        <v>9</v>
      </c>
      <c r="J18" s="58" t="s">
        <v>9</v>
      </c>
      <c r="K18" s="71" t="s">
        <v>124</v>
      </c>
      <c r="L18" s="68" t="s">
        <v>125</v>
      </c>
      <c r="M18" s="58" t="s">
        <v>9</v>
      </c>
      <c r="N18" s="67" t="s">
        <v>126</v>
      </c>
      <c r="O18" s="68" t="s">
        <v>127</v>
      </c>
      <c r="P18" s="70">
        <v>3</v>
      </c>
      <c r="Q18" s="58" t="s">
        <v>9</v>
      </c>
    </row>
    <row r="19" spans="1:17" ht="10.5" customHeight="1">
      <c r="A19"/>
      <c r="B19" s="71" t="s">
        <v>128</v>
      </c>
      <c r="C19" s="79" t="s">
        <v>129</v>
      </c>
      <c r="D19" s="68" t="s">
        <v>26</v>
      </c>
      <c r="E19" s="72" t="s">
        <v>16</v>
      </c>
      <c r="F19" s="68">
        <f>VLOOKUP(E19,Constantes!$B$3:$C$5,2,0)</f>
        <v>4</v>
      </c>
      <c r="G19"/>
      <c r="H19" s="58" t="s">
        <v>9</v>
      </c>
      <c r="I19" s="59" t="s">
        <v>9</v>
      </c>
      <c r="J19" s="58" t="s">
        <v>9</v>
      </c>
      <c r="K19" s="71" t="s">
        <v>130</v>
      </c>
      <c r="L19" s="68" t="s">
        <v>131</v>
      </c>
      <c r="M19" s="58" t="s">
        <v>9</v>
      </c>
      <c r="N19" s="67" t="s">
        <v>132</v>
      </c>
      <c r="O19" s="68" t="s">
        <v>133</v>
      </c>
      <c r="P19" s="70">
        <v>3</v>
      </c>
      <c r="Q19" s="58" t="s">
        <v>9</v>
      </c>
    </row>
    <row r="20" spans="1:17" ht="10.5" customHeight="1">
      <c r="A20"/>
      <c r="B20" s="71" t="s">
        <v>134</v>
      </c>
      <c r="C20" s="79" t="s">
        <v>135</v>
      </c>
      <c r="D20" s="68" t="s">
        <v>26</v>
      </c>
      <c r="E20" s="72" t="s">
        <v>16</v>
      </c>
      <c r="F20" s="68">
        <f>VLOOKUP(E20,Constantes!$B$3:$C$5,2,0)</f>
        <v>4</v>
      </c>
      <c r="G20"/>
      <c r="H20" s="58" t="s">
        <v>9</v>
      </c>
      <c r="I20" s="59" t="s">
        <v>9</v>
      </c>
      <c r="J20" s="58" t="s">
        <v>9</v>
      </c>
      <c r="K20" s="71" t="s">
        <v>136</v>
      </c>
      <c r="L20" s="68" t="s">
        <v>137</v>
      </c>
      <c r="M20" s="58" t="s">
        <v>9</v>
      </c>
      <c r="N20" s="67" t="s">
        <v>138</v>
      </c>
      <c r="O20" s="68" t="s">
        <v>139</v>
      </c>
      <c r="P20" s="70">
        <v>3</v>
      </c>
      <c r="Q20" s="58" t="s">
        <v>9</v>
      </c>
    </row>
    <row r="21" spans="1:17" ht="10.5" customHeight="1">
      <c r="A21"/>
      <c r="B21" s="71" t="s">
        <v>140</v>
      </c>
      <c r="C21" s="79" t="s">
        <v>141</v>
      </c>
      <c r="D21" s="68" t="s">
        <v>26</v>
      </c>
      <c r="E21" s="72" t="s">
        <v>16</v>
      </c>
      <c r="F21" s="68">
        <v>4</v>
      </c>
      <c r="G21"/>
      <c r="H21" s="58" t="s">
        <v>9</v>
      </c>
      <c r="I21" s="59" t="s">
        <v>9</v>
      </c>
      <c r="J21" s="58" t="s">
        <v>9</v>
      </c>
      <c r="K21" s="71" t="s">
        <v>142</v>
      </c>
      <c r="L21" s="68" t="s">
        <v>143</v>
      </c>
      <c r="M21" s="58" t="s">
        <v>9</v>
      </c>
      <c r="N21" s="67" t="s">
        <v>144</v>
      </c>
      <c r="O21" s="68" t="s">
        <v>145</v>
      </c>
      <c r="P21" s="70">
        <v>3</v>
      </c>
      <c r="Q21" s="58" t="s">
        <v>9</v>
      </c>
    </row>
    <row r="22" spans="1:17" ht="10.5" customHeight="1">
      <c r="A22"/>
      <c r="B22" s="71" t="s">
        <v>146</v>
      </c>
      <c r="C22" s="79" t="s">
        <v>147</v>
      </c>
      <c r="D22" s="68" t="s">
        <v>26</v>
      </c>
      <c r="E22" s="72" t="s">
        <v>16</v>
      </c>
      <c r="F22" s="68">
        <f>VLOOKUP(E22,Constantes!$B$3:$C$5,2,0)</f>
        <v>4</v>
      </c>
      <c r="G22"/>
      <c r="H22" s="58" t="s">
        <v>9</v>
      </c>
      <c r="I22" s="59" t="s">
        <v>9</v>
      </c>
      <c r="J22" s="58" t="s">
        <v>9</v>
      </c>
      <c r="K22" s="71" t="s">
        <v>148</v>
      </c>
      <c r="L22" s="68" t="s">
        <v>149</v>
      </c>
      <c r="M22" s="58" t="s">
        <v>9</v>
      </c>
      <c r="N22" s="67" t="s">
        <v>150</v>
      </c>
      <c r="O22" s="68" t="s">
        <v>151</v>
      </c>
      <c r="P22" s="70">
        <v>3</v>
      </c>
      <c r="Q22" s="58" t="s">
        <v>9</v>
      </c>
    </row>
    <row r="23" spans="1:17" ht="10.5" customHeight="1">
      <c r="A23"/>
      <c r="B23" s="71" t="s">
        <v>152</v>
      </c>
      <c r="C23" s="78" t="s">
        <v>153</v>
      </c>
      <c r="D23" s="68" t="s">
        <v>26</v>
      </c>
      <c r="E23" s="73" t="s">
        <v>41</v>
      </c>
      <c r="F23" s="68">
        <f>VLOOKUP(E23,Constantes!$B$3:$C$5,2,0)</f>
        <v>2.5</v>
      </c>
      <c r="G23"/>
      <c r="H23" s="58" t="s">
        <v>9</v>
      </c>
      <c r="I23" s="59" t="s">
        <v>9</v>
      </c>
      <c r="J23" s="58" t="s">
        <v>9</v>
      </c>
      <c r="K23" s="71" t="s">
        <v>154</v>
      </c>
      <c r="L23" s="68" t="s">
        <v>155</v>
      </c>
      <c r="M23" s="58" t="s">
        <v>9</v>
      </c>
      <c r="N23" s="67" t="s">
        <v>156</v>
      </c>
      <c r="O23" s="68" t="s">
        <v>157</v>
      </c>
      <c r="P23" s="70">
        <v>3</v>
      </c>
      <c r="Q23" s="58" t="s">
        <v>9</v>
      </c>
    </row>
    <row r="24" spans="1:17" ht="10.5" customHeight="1">
      <c r="A24"/>
      <c r="B24" s="71" t="s">
        <v>158</v>
      </c>
      <c r="C24" s="68" t="s">
        <v>159</v>
      </c>
      <c r="D24" s="68" t="s">
        <v>52</v>
      </c>
      <c r="E24" s="73" t="s">
        <v>41</v>
      </c>
      <c r="F24" s="68">
        <f>VLOOKUP(E24,Constantes!$B$3:$C$5,2,0)</f>
        <v>2.5</v>
      </c>
      <c r="G24"/>
      <c r="H24" s="58" t="s">
        <v>9</v>
      </c>
      <c r="I24" s="59" t="s">
        <v>9</v>
      </c>
      <c r="J24" s="58" t="s">
        <v>9</v>
      </c>
      <c r="K24" s="71" t="s">
        <v>160</v>
      </c>
      <c r="L24" s="68" t="s">
        <v>161</v>
      </c>
      <c r="M24" s="58" t="s">
        <v>9</v>
      </c>
      <c r="N24" s="67" t="s">
        <v>162</v>
      </c>
      <c r="O24" s="68" t="s">
        <v>163</v>
      </c>
      <c r="P24" s="70">
        <v>3</v>
      </c>
      <c r="Q24" s="58" t="s">
        <v>9</v>
      </c>
    </row>
    <row r="25" spans="1:17" ht="10.5" customHeight="1">
      <c r="A25"/>
      <c r="B25" s="71" t="s">
        <v>164</v>
      </c>
      <c r="C25" s="68" t="s">
        <v>165</v>
      </c>
      <c r="D25" s="68" t="s">
        <v>52</v>
      </c>
      <c r="E25" s="72" t="s">
        <v>16</v>
      </c>
      <c r="F25" s="68">
        <f>VLOOKUP(E25,Constantes!$B$3:$C$5,2,0)</f>
        <v>4</v>
      </c>
      <c r="G25"/>
      <c r="H25" s="58" t="s">
        <v>9</v>
      </c>
      <c r="I25" s="59" t="s">
        <v>9</v>
      </c>
      <c r="J25" s="58" t="s">
        <v>9</v>
      </c>
      <c r="K25" s="71" t="s">
        <v>166</v>
      </c>
      <c r="L25" s="68" t="s">
        <v>167</v>
      </c>
      <c r="M25" s="58" t="s">
        <v>9</v>
      </c>
      <c r="N25" s="67" t="s">
        <v>168</v>
      </c>
      <c r="O25" s="68" t="s">
        <v>169</v>
      </c>
      <c r="P25" s="70">
        <v>4</v>
      </c>
      <c r="Q25" s="58" t="s">
        <v>9</v>
      </c>
    </row>
    <row r="26" spans="1:17" ht="10.5" customHeight="1">
      <c r="A26"/>
      <c r="B26" s="71" t="s">
        <v>170</v>
      </c>
      <c r="C26" s="77" t="s">
        <v>171</v>
      </c>
      <c r="D26" s="77" t="s">
        <v>18</v>
      </c>
      <c r="E26" s="72" t="s">
        <v>16</v>
      </c>
      <c r="F26" s="68">
        <f>VLOOKUP(E26,Constantes!$B$3:$C$5,2,0)</f>
        <v>4</v>
      </c>
      <c r="G26"/>
      <c r="H26" s="58" t="s">
        <v>9</v>
      </c>
      <c r="I26" s="59" t="s">
        <v>9</v>
      </c>
      <c r="J26" s="58" t="s">
        <v>9</v>
      </c>
      <c r="K26" s="71" t="s">
        <v>172</v>
      </c>
      <c r="L26" s="68" t="s">
        <v>173</v>
      </c>
      <c r="M26" s="58" t="s">
        <v>9</v>
      </c>
      <c r="N26" s="67" t="s">
        <v>174</v>
      </c>
      <c r="O26" s="68" t="s">
        <v>175</v>
      </c>
      <c r="P26" s="70">
        <v>3.5</v>
      </c>
      <c r="Q26" s="58" t="s">
        <v>9</v>
      </c>
    </row>
    <row r="27" spans="1:17" ht="10.5" customHeight="1">
      <c r="A27"/>
      <c r="B27" s="71" t="s">
        <v>176</v>
      </c>
      <c r="C27" s="68" t="s">
        <v>177</v>
      </c>
      <c r="D27" s="68" t="s">
        <v>18</v>
      </c>
      <c r="E27" s="74" t="s">
        <v>66</v>
      </c>
      <c r="F27" s="68">
        <f>VLOOKUP(E27,Constantes!$B$3:$C$5,2,0)</f>
        <v>1</v>
      </c>
      <c r="G27"/>
      <c r="H27" s="58" t="s">
        <v>9</v>
      </c>
      <c r="I27" s="59" t="s">
        <v>9</v>
      </c>
      <c r="J27" s="58" t="s">
        <v>9</v>
      </c>
      <c r="K27" s="71" t="s">
        <v>178</v>
      </c>
      <c r="L27" s="68" t="s">
        <v>179</v>
      </c>
      <c r="M27" s="58" t="s">
        <v>9</v>
      </c>
      <c r="N27" s="67" t="s">
        <v>180</v>
      </c>
      <c r="O27" s="68" t="s">
        <v>181</v>
      </c>
      <c r="P27" s="70">
        <v>3</v>
      </c>
      <c r="Q27" s="58" t="s">
        <v>9</v>
      </c>
    </row>
    <row r="28" spans="1:17" ht="10.5" customHeight="1">
      <c r="A28"/>
      <c r="B28" s="71" t="s">
        <v>182</v>
      </c>
      <c r="C28" s="68" t="s">
        <v>183</v>
      </c>
      <c r="D28" s="68" t="s">
        <v>18</v>
      </c>
      <c r="E28" s="72" t="s">
        <v>16</v>
      </c>
      <c r="F28" s="68">
        <f>VLOOKUP(E28,Constantes!$B$3:$C$5,2,0)</f>
        <v>4</v>
      </c>
      <c r="G28"/>
      <c r="H28" s="58" t="s">
        <v>9</v>
      </c>
      <c r="I28" s="59" t="s">
        <v>9</v>
      </c>
      <c r="J28" s="58" t="s">
        <v>9</v>
      </c>
      <c r="K28" s="71" t="s">
        <v>184</v>
      </c>
      <c r="L28" s="68" t="s">
        <v>185</v>
      </c>
      <c r="M28" s="58" t="s">
        <v>9</v>
      </c>
      <c r="N28" s="67" t="s">
        <v>186</v>
      </c>
      <c r="O28" s="68" t="s">
        <v>187</v>
      </c>
      <c r="P28" s="70">
        <v>3.5</v>
      </c>
      <c r="Q28" s="58" t="s">
        <v>9</v>
      </c>
    </row>
    <row r="29" spans="1:17" ht="10.5" customHeight="1">
      <c r="A29"/>
      <c r="B29" s="71" t="s">
        <v>188</v>
      </c>
      <c r="C29" s="68" t="s">
        <v>189</v>
      </c>
      <c r="D29" s="68" t="s">
        <v>18</v>
      </c>
      <c r="E29" s="72" t="s">
        <v>16</v>
      </c>
      <c r="F29" s="68">
        <f>VLOOKUP(E29,Constantes!$B$3:$C$5,2,0)</f>
        <v>4</v>
      </c>
      <c r="G29"/>
      <c r="H29" s="58" t="s">
        <v>9</v>
      </c>
      <c r="I29" s="59" t="s">
        <v>9</v>
      </c>
      <c r="J29" s="58" t="s">
        <v>9</v>
      </c>
      <c r="K29" s="58" t="s">
        <v>9</v>
      </c>
      <c r="L29" s="58" t="s">
        <v>9</v>
      </c>
      <c r="M29" s="58" t="s">
        <v>9</v>
      </c>
      <c r="N29" s="67" t="s">
        <v>190</v>
      </c>
      <c r="O29" s="68" t="s">
        <v>191</v>
      </c>
      <c r="P29" s="70">
        <v>3</v>
      </c>
      <c r="Q29" s="58" t="s">
        <v>9</v>
      </c>
    </row>
    <row r="30" spans="1:17" ht="10.5" customHeight="1">
      <c r="A30"/>
      <c r="B30" s="71" t="s">
        <v>192</v>
      </c>
      <c r="C30" s="68" t="s">
        <v>193</v>
      </c>
      <c r="D30" s="68" t="s">
        <v>18</v>
      </c>
      <c r="E30" s="73" t="s">
        <v>41</v>
      </c>
      <c r="F30" s="68">
        <f>VLOOKUP(E30,Constantes!$B$3:$C$5,2,0)</f>
        <v>2.5</v>
      </c>
      <c r="G30"/>
      <c r="H30" s="58" t="s">
        <v>9</v>
      </c>
      <c r="I30" s="59" t="s">
        <v>9</v>
      </c>
      <c r="J30" s="58" t="s">
        <v>9</v>
      </c>
      <c r="K30" s="58" t="s">
        <v>9</v>
      </c>
      <c r="L30" s="58" t="s">
        <v>9</v>
      </c>
      <c r="M30" s="58" t="s">
        <v>9</v>
      </c>
      <c r="N30" s="67" t="s">
        <v>194</v>
      </c>
      <c r="O30" s="68" t="s">
        <v>195</v>
      </c>
      <c r="P30" s="70">
        <v>3</v>
      </c>
      <c r="Q30" s="58" t="s">
        <v>9</v>
      </c>
    </row>
    <row r="31" spans="1:17" ht="10.5" customHeight="1">
      <c r="A31"/>
      <c r="B31"/>
      <c r="C31"/>
      <c r="D31"/>
      <c r="E31"/>
      <c r="F31"/>
      <c r="G31"/>
      <c r="H31" s="58" t="s">
        <v>9</v>
      </c>
      <c r="I31" s="59" t="s">
        <v>9</v>
      </c>
      <c r="J31" s="58" t="s">
        <v>9</v>
      </c>
      <c r="K31" s="58" t="s">
        <v>9</v>
      </c>
      <c r="L31" s="58" t="s">
        <v>9</v>
      </c>
      <c r="M31" s="58" t="s">
        <v>9</v>
      </c>
      <c r="N31" s="67" t="s">
        <v>196</v>
      </c>
      <c r="O31" s="68" t="s">
        <v>197</v>
      </c>
      <c r="P31" s="70">
        <v>3</v>
      </c>
      <c r="Q31" s="58" t="s">
        <v>9</v>
      </c>
    </row>
    <row r="32" spans="1:17" ht="10.5" customHeight="1">
      <c r="A32"/>
      <c r="B32"/>
      <c r="C32"/>
      <c r="D32"/>
      <c r="E32"/>
      <c r="F32"/>
      <c r="G32"/>
      <c r="H32" s="58" t="s">
        <v>9</v>
      </c>
      <c r="I32" s="59" t="s">
        <v>9</v>
      </c>
      <c r="J32" s="58" t="s">
        <v>9</v>
      </c>
      <c r="K32" s="58" t="s">
        <v>9</v>
      </c>
      <c r="L32" s="58" t="s">
        <v>9</v>
      </c>
      <c r="M32" s="58" t="s">
        <v>9</v>
      </c>
      <c r="N32" s="67" t="s">
        <v>198</v>
      </c>
      <c r="O32" s="68" t="s">
        <v>199</v>
      </c>
      <c r="P32" s="70">
        <v>3</v>
      </c>
      <c r="Q32" s="58" t="s">
        <v>9</v>
      </c>
    </row>
    <row r="33" spans="1:17" ht="10.5" customHeight="1">
      <c r="A33"/>
      <c r="B33"/>
      <c r="C33"/>
      <c r="D33"/>
      <c r="E33"/>
      <c r="F33"/>
      <c r="G33"/>
      <c r="H33" s="58" t="s">
        <v>9</v>
      </c>
      <c r="I33" s="59" t="s">
        <v>9</v>
      </c>
      <c r="J33" s="58" t="s">
        <v>9</v>
      </c>
      <c r="K33" s="58" t="s">
        <v>9</v>
      </c>
      <c r="L33" s="58" t="s">
        <v>9</v>
      </c>
      <c r="M33" s="58" t="s">
        <v>9</v>
      </c>
      <c r="N33" s="67" t="s">
        <v>200</v>
      </c>
      <c r="O33" s="68" t="s">
        <v>201</v>
      </c>
      <c r="P33" s="70">
        <v>3.5</v>
      </c>
      <c r="Q33" s="58" t="s">
        <v>9</v>
      </c>
    </row>
    <row r="34" spans="1:17" ht="10.5" customHeight="1">
      <c r="A34"/>
      <c r="B34"/>
      <c r="C34"/>
      <c r="D34"/>
      <c r="E34"/>
      <c r="F34"/>
      <c r="G34"/>
      <c r="H34" s="58" t="s">
        <v>9</v>
      </c>
      <c r="I34" s="59" t="s">
        <v>9</v>
      </c>
      <c r="J34" s="58" t="s">
        <v>9</v>
      </c>
      <c r="K34" s="58" t="s">
        <v>9</v>
      </c>
      <c r="L34" s="58" t="s">
        <v>9</v>
      </c>
      <c r="M34" s="58" t="s">
        <v>9</v>
      </c>
      <c r="N34" s="67" t="s">
        <v>202</v>
      </c>
      <c r="O34" s="68" t="s">
        <v>203</v>
      </c>
      <c r="P34" s="70">
        <v>2</v>
      </c>
      <c r="Q34" s="58" t="s">
        <v>9</v>
      </c>
    </row>
    <row r="35" spans="1:17" ht="10.5" customHeight="1">
      <c r="A35"/>
      <c r="B35"/>
      <c r="C35"/>
      <c r="D35"/>
      <c r="E35"/>
      <c r="F35"/>
      <c r="G35"/>
      <c r="H35" s="58"/>
      <c r="I35" s="59"/>
      <c r="J35" s="58"/>
      <c r="K35" s="58"/>
      <c r="L35" s="58"/>
      <c r="M35" s="58"/>
      <c r="N35" s="67" t="s">
        <v>204</v>
      </c>
      <c r="O35" s="68" t="s">
        <v>205</v>
      </c>
      <c r="P35" s="70">
        <v>3</v>
      </c>
      <c r="Q35" s="58"/>
    </row>
    <row r="36" spans="1:17" ht="10.5" customHeight="1">
      <c r="A36"/>
      <c r="B36"/>
      <c r="C36"/>
      <c r="D36"/>
      <c r="E36"/>
      <c r="F36"/>
      <c r="G36"/>
      <c r="H36" s="58" t="s">
        <v>9</v>
      </c>
      <c r="I36" s="59" t="s">
        <v>9</v>
      </c>
      <c r="J36" s="58" t="s">
        <v>9</v>
      </c>
      <c r="K36" s="58" t="s">
        <v>9</v>
      </c>
      <c r="L36" s="58" t="s">
        <v>9</v>
      </c>
      <c r="M36" s="58" t="s">
        <v>9</v>
      </c>
      <c r="N36" s="67" t="s">
        <v>206</v>
      </c>
      <c r="O36" s="68" t="s">
        <v>207</v>
      </c>
      <c r="P36" s="70">
        <v>4</v>
      </c>
      <c r="Q36" s="58" t="s">
        <v>9</v>
      </c>
    </row>
    <row r="37" spans="1:17" ht="10.5" customHeight="1">
      <c r="A37"/>
      <c r="B37"/>
      <c r="C37"/>
      <c r="D37"/>
      <c r="E37"/>
      <c r="F37"/>
      <c r="G37"/>
      <c r="H37" s="58" t="s">
        <v>9</v>
      </c>
      <c r="I37" s="59" t="s">
        <v>9</v>
      </c>
      <c r="J37" s="58" t="s">
        <v>9</v>
      </c>
      <c r="K37" s="58" t="s">
        <v>9</v>
      </c>
      <c r="L37" s="58" t="s">
        <v>9</v>
      </c>
      <c r="M37" s="58" t="s">
        <v>9</v>
      </c>
      <c r="N37" s="67" t="s">
        <v>208</v>
      </c>
      <c r="O37" s="68" t="s">
        <v>209</v>
      </c>
      <c r="P37" s="70">
        <v>2.5</v>
      </c>
      <c r="Q37" s="58" t="s">
        <v>9</v>
      </c>
    </row>
    <row r="38" spans="1:17" ht="10.5" customHeight="1">
      <c r="A38"/>
      <c r="B38"/>
      <c r="C38"/>
      <c r="D38"/>
      <c r="E38"/>
      <c r="F38"/>
      <c r="G38"/>
      <c r="H38" s="58" t="s">
        <v>9</v>
      </c>
      <c r="I38" s="59" t="s">
        <v>9</v>
      </c>
      <c r="J38" s="58" t="s">
        <v>9</v>
      </c>
      <c r="K38" s="58" t="s">
        <v>9</v>
      </c>
      <c r="L38" s="58" t="s">
        <v>9</v>
      </c>
      <c r="M38" s="58" t="s">
        <v>9</v>
      </c>
      <c r="N38" s="67" t="s">
        <v>210</v>
      </c>
      <c r="O38" s="68" t="s">
        <v>211</v>
      </c>
      <c r="P38" s="70">
        <v>3.5</v>
      </c>
      <c r="Q38" s="58" t="s">
        <v>9</v>
      </c>
    </row>
    <row r="39" spans="1:17" ht="10.5" customHeight="1">
      <c r="A39"/>
      <c r="B39"/>
      <c r="C39"/>
      <c r="D39"/>
      <c r="E39"/>
      <c r="F39"/>
      <c r="G39"/>
      <c r="H39" s="58" t="s">
        <v>9</v>
      </c>
      <c r="I39" s="59" t="s">
        <v>9</v>
      </c>
      <c r="J39" s="58" t="s">
        <v>9</v>
      </c>
      <c r="K39" s="58" t="s">
        <v>9</v>
      </c>
      <c r="L39" s="58" t="s">
        <v>9</v>
      </c>
      <c r="M39" s="58" t="s">
        <v>9</v>
      </c>
      <c r="N39" s="67" t="s">
        <v>212</v>
      </c>
      <c r="O39" s="68" t="s">
        <v>213</v>
      </c>
      <c r="P39" s="70">
        <v>2.5</v>
      </c>
      <c r="Q39" s="58" t="s">
        <v>9</v>
      </c>
    </row>
    <row r="40" spans="1:17" ht="10.5" customHeight="1">
      <c r="A40"/>
      <c r="B40"/>
      <c r="C40"/>
      <c r="D40"/>
      <c r="E40"/>
      <c r="F40"/>
      <c r="G40"/>
      <c r="H40" s="58"/>
      <c r="I40" s="59"/>
      <c r="J40" s="58"/>
      <c r="K40" s="58"/>
      <c r="L40" s="58"/>
      <c r="M40" s="58"/>
      <c r="N40" s="67" t="s">
        <v>214</v>
      </c>
      <c r="O40" s="68" t="s">
        <v>215</v>
      </c>
      <c r="P40" s="70">
        <v>2.5</v>
      </c>
      <c r="Q40" s="58"/>
    </row>
    <row r="41" spans="1:17" ht="10.5" customHeight="1">
      <c r="A41"/>
      <c r="B41"/>
      <c r="C41"/>
      <c r="D41"/>
      <c r="E41"/>
      <c r="F41"/>
      <c r="G41"/>
      <c r="H41" s="58" t="s">
        <v>9</v>
      </c>
      <c r="I41" s="59" t="s">
        <v>9</v>
      </c>
      <c r="J41" s="58" t="s">
        <v>9</v>
      </c>
      <c r="K41" s="58" t="s">
        <v>9</v>
      </c>
      <c r="L41" s="58" t="s">
        <v>9</v>
      </c>
      <c r="M41" s="58" t="s">
        <v>9</v>
      </c>
      <c r="N41" s="67" t="s">
        <v>216</v>
      </c>
      <c r="O41" s="68" t="s">
        <v>217</v>
      </c>
      <c r="P41" s="70">
        <v>2.5</v>
      </c>
      <c r="Q41" s="58" t="s">
        <v>9</v>
      </c>
    </row>
    <row r="42" spans="1:17" ht="10.5" customHeight="1">
      <c r="A42"/>
      <c r="B42"/>
      <c r="C42"/>
      <c r="D42"/>
      <c r="E42"/>
      <c r="F42"/>
      <c r="G42"/>
      <c r="H42" s="58" t="s">
        <v>9</v>
      </c>
      <c r="I42" s="59" t="s">
        <v>9</v>
      </c>
      <c r="J42" s="58" t="s">
        <v>9</v>
      </c>
      <c r="K42" s="58" t="s">
        <v>9</v>
      </c>
      <c r="L42" s="58" t="s">
        <v>9</v>
      </c>
      <c r="M42" s="58" t="s">
        <v>9</v>
      </c>
      <c r="N42" s="67" t="s">
        <v>218</v>
      </c>
      <c r="O42" s="68" t="s">
        <v>219</v>
      </c>
      <c r="P42" s="70">
        <v>2</v>
      </c>
      <c r="Q42" s="58" t="s">
        <v>9</v>
      </c>
    </row>
    <row r="43" spans="1:17" ht="10.5" customHeight="1">
      <c r="A43"/>
      <c r="B43"/>
      <c r="C43"/>
      <c r="D43"/>
      <c r="E43"/>
      <c r="F43"/>
      <c r="G43"/>
      <c r="H43" s="58" t="s">
        <v>9</v>
      </c>
      <c r="I43" s="59" t="s">
        <v>9</v>
      </c>
      <c r="J43" s="58" t="s">
        <v>9</v>
      </c>
      <c r="K43" s="58" t="s">
        <v>9</v>
      </c>
      <c r="L43" s="58" t="s">
        <v>9</v>
      </c>
      <c r="M43" s="58" t="s">
        <v>9</v>
      </c>
      <c r="N43" s="67" t="s">
        <v>220</v>
      </c>
      <c r="O43" s="68" t="s">
        <v>221</v>
      </c>
      <c r="P43" s="70">
        <v>3</v>
      </c>
      <c r="Q43" s="58" t="s">
        <v>9</v>
      </c>
    </row>
    <row r="44" spans="1:17" ht="10.5" customHeight="1">
      <c r="A44"/>
      <c r="B44"/>
      <c r="C44"/>
      <c r="D44"/>
      <c r="E44"/>
      <c r="F44"/>
      <c r="G44"/>
      <c r="H44" s="58" t="s">
        <v>9</v>
      </c>
      <c r="I44" s="59" t="s">
        <v>9</v>
      </c>
      <c r="J44" s="58" t="s">
        <v>9</v>
      </c>
      <c r="K44" s="58" t="s">
        <v>9</v>
      </c>
      <c r="L44" s="58" t="s">
        <v>9</v>
      </c>
      <c r="M44" s="58" t="s">
        <v>9</v>
      </c>
      <c r="N44" s="67" t="s">
        <v>222</v>
      </c>
      <c r="O44" s="68" t="s">
        <v>223</v>
      </c>
      <c r="P44" s="70">
        <v>3</v>
      </c>
      <c r="Q44" s="58" t="s">
        <v>9</v>
      </c>
    </row>
    <row r="45" spans="1:17" ht="10.5" customHeight="1">
      <c r="A45"/>
      <c r="B45"/>
      <c r="C45"/>
      <c r="D45"/>
      <c r="E45"/>
      <c r="F45"/>
      <c r="G45"/>
      <c r="H45" s="58" t="s">
        <v>9</v>
      </c>
      <c r="I45" s="59" t="s">
        <v>9</v>
      </c>
      <c r="J45" s="58" t="s">
        <v>9</v>
      </c>
      <c r="K45" s="58" t="s">
        <v>9</v>
      </c>
      <c r="L45" s="58" t="s">
        <v>9</v>
      </c>
      <c r="M45" s="58" t="s">
        <v>9</v>
      </c>
      <c r="N45" s="67" t="s">
        <v>224</v>
      </c>
      <c r="O45" s="68" t="s">
        <v>225</v>
      </c>
      <c r="P45" s="70">
        <v>3</v>
      </c>
      <c r="Q45" s="58" t="s">
        <v>9</v>
      </c>
    </row>
    <row r="46" spans="1:17" ht="10.5" customHeight="1">
      <c r="A46"/>
      <c r="B46"/>
      <c r="C46"/>
      <c r="D46"/>
      <c r="E46"/>
      <c r="F46"/>
      <c r="G46"/>
      <c r="H46" s="58" t="s">
        <v>9</v>
      </c>
      <c r="I46" s="59" t="s">
        <v>9</v>
      </c>
      <c r="J46" s="58" t="s">
        <v>9</v>
      </c>
      <c r="K46" s="58" t="s">
        <v>9</v>
      </c>
      <c r="L46" s="58" t="s">
        <v>9</v>
      </c>
      <c r="M46" s="58" t="s">
        <v>9</v>
      </c>
      <c r="N46" s="67" t="s">
        <v>226</v>
      </c>
      <c r="O46" s="68" t="s">
        <v>227</v>
      </c>
      <c r="P46" s="70">
        <v>3</v>
      </c>
      <c r="Q46" s="58" t="s">
        <v>9</v>
      </c>
    </row>
    <row r="47" spans="1:17" ht="10.5" customHeight="1">
      <c r="A47"/>
      <c r="B47"/>
      <c r="C47"/>
      <c r="D47"/>
      <c r="E47"/>
      <c r="F47"/>
      <c r="G47"/>
      <c r="H47" s="58" t="s">
        <v>9</v>
      </c>
      <c r="I47" s="59" t="s">
        <v>9</v>
      </c>
      <c r="J47" s="58" t="s">
        <v>9</v>
      </c>
      <c r="K47" s="58" t="s">
        <v>9</v>
      </c>
      <c r="L47" s="58" t="s">
        <v>9</v>
      </c>
      <c r="M47" s="58" t="s">
        <v>9</v>
      </c>
      <c r="N47" s="67" t="s">
        <v>228</v>
      </c>
      <c r="O47" s="68" t="s">
        <v>229</v>
      </c>
      <c r="P47" s="70">
        <v>3.5</v>
      </c>
      <c r="Q47" s="58" t="s">
        <v>9</v>
      </c>
    </row>
    <row r="48" spans="1:17" ht="10.5" customHeight="1">
      <c r="A48"/>
      <c r="B48"/>
      <c r="C48"/>
      <c r="D48"/>
      <c r="E48"/>
      <c r="F48"/>
      <c r="G48"/>
      <c r="H48" s="58" t="s">
        <v>9</v>
      </c>
      <c r="I48" s="59" t="s">
        <v>9</v>
      </c>
      <c r="J48" s="58" t="s">
        <v>9</v>
      </c>
      <c r="K48" s="58" t="s">
        <v>9</v>
      </c>
      <c r="L48" s="58" t="s">
        <v>9</v>
      </c>
      <c r="M48" s="58" t="s">
        <v>9</v>
      </c>
      <c r="N48" s="67" t="s">
        <v>230</v>
      </c>
      <c r="O48" s="68" t="s">
        <v>231</v>
      </c>
      <c r="P48" s="70">
        <v>3</v>
      </c>
      <c r="Q48" s="58" t="s">
        <v>9</v>
      </c>
    </row>
    <row r="49" spans="1:17" ht="10.5" customHeight="1">
      <c r="A49"/>
      <c r="B49"/>
      <c r="C49"/>
      <c r="D49"/>
      <c r="E49"/>
      <c r="F49"/>
      <c r="G49"/>
      <c r="H49" s="58" t="s">
        <v>9</v>
      </c>
      <c r="I49" s="59" t="s">
        <v>9</v>
      </c>
      <c r="J49" s="58" t="s">
        <v>9</v>
      </c>
      <c r="K49" s="58" t="s">
        <v>9</v>
      </c>
      <c r="L49" s="58" t="s">
        <v>9</v>
      </c>
      <c r="M49" s="58" t="s">
        <v>9</v>
      </c>
      <c r="N49" s="67" t="s">
        <v>232</v>
      </c>
      <c r="O49" s="68" t="s">
        <v>233</v>
      </c>
      <c r="P49" s="70">
        <v>3</v>
      </c>
      <c r="Q49" s="58" t="s">
        <v>9</v>
      </c>
    </row>
    <row r="50" spans="1:17" ht="10.5" customHeight="1">
      <c r="A50"/>
      <c r="B50"/>
      <c r="C50"/>
      <c r="D50"/>
      <c r="E50"/>
      <c r="F50"/>
      <c r="G50"/>
      <c r="H50" s="58" t="s">
        <v>9</v>
      </c>
      <c r="I50" s="59" t="s">
        <v>9</v>
      </c>
      <c r="J50" s="58" t="s">
        <v>9</v>
      </c>
      <c r="K50" s="58" t="s">
        <v>9</v>
      </c>
      <c r="L50" s="58" t="s">
        <v>9</v>
      </c>
      <c r="M50" s="58" t="s">
        <v>9</v>
      </c>
      <c r="N50" s="67" t="s">
        <v>234</v>
      </c>
      <c r="O50" s="68" t="s">
        <v>235</v>
      </c>
      <c r="P50" s="70">
        <v>3</v>
      </c>
      <c r="Q50" s="58" t="s">
        <v>9</v>
      </c>
    </row>
    <row r="51" spans="1:17" ht="10.5" customHeight="1">
      <c r="A51"/>
      <c r="B51"/>
      <c r="C51"/>
      <c r="D51"/>
      <c r="E51"/>
      <c r="F51"/>
      <c r="G51"/>
      <c r="H51" s="58" t="s">
        <v>9</v>
      </c>
      <c r="I51" s="59" t="s">
        <v>9</v>
      </c>
      <c r="J51" s="58" t="s">
        <v>9</v>
      </c>
      <c r="K51" s="58" t="s">
        <v>9</v>
      </c>
      <c r="L51" s="58" t="s">
        <v>9</v>
      </c>
      <c r="M51" s="58" t="s">
        <v>9</v>
      </c>
      <c r="N51" s="67" t="s">
        <v>236</v>
      </c>
      <c r="O51" s="68" t="s">
        <v>237</v>
      </c>
      <c r="P51" s="70">
        <v>3</v>
      </c>
      <c r="Q51" s="58" t="s">
        <v>9</v>
      </c>
    </row>
    <row r="52" spans="1:17" ht="10.5" customHeight="1">
      <c r="A52"/>
      <c r="B52"/>
      <c r="C52"/>
      <c r="D52"/>
      <c r="E52"/>
      <c r="F52"/>
      <c r="G52"/>
      <c r="H52" s="58" t="s">
        <v>9</v>
      </c>
      <c r="I52" s="59" t="s">
        <v>9</v>
      </c>
      <c r="J52" s="58" t="s">
        <v>9</v>
      </c>
      <c r="K52" s="58" t="s">
        <v>9</v>
      </c>
      <c r="L52" s="58" t="s">
        <v>9</v>
      </c>
      <c r="M52" s="58" t="s">
        <v>9</v>
      </c>
      <c r="N52" s="67" t="s">
        <v>238</v>
      </c>
      <c r="O52" s="68" t="s">
        <v>239</v>
      </c>
      <c r="P52" s="70">
        <v>3</v>
      </c>
      <c r="Q52" s="58" t="s">
        <v>9</v>
      </c>
    </row>
    <row r="53" spans="1:17" ht="10.5" customHeight="1">
      <c r="A53"/>
      <c r="B53"/>
      <c r="C53"/>
      <c r="D53"/>
      <c r="E53"/>
      <c r="F53"/>
      <c r="G53"/>
      <c r="H53" s="58" t="s">
        <v>9</v>
      </c>
      <c r="I53" s="59" t="s">
        <v>9</v>
      </c>
      <c r="J53" s="58" t="s">
        <v>9</v>
      </c>
      <c r="K53" s="58" t="s">
        <v>9</v>
      </c>
      <c r="L53" s="58" t="s">
        <v>9</v>
      </c>
      <c r="M53" s="58" t="s">
        <v>9</v>
      </c>
      <c r="N53" s="67" t="s">
        <v>240</v>
      </c>
      <c r="O53" s="68" t="s">
        <v>241</v>
      </c>
      <c r="P53" s="70">
        <v>2.5</v>
      </c>
      <c r="Q53" s="58" t="s">
        <v>9</v>
      </c>
    </row>
    <row r="54" spans="1:17" ht="10.5" customHeight="1">
      <c r="A54"/>
      <c r="B54"/>
      <c r="C54"/>
      <c r="D54"/>
      <c r="E54"/>
      <c r="F54"/>
      <c r="G54"/>
      <c r="H54" s="58" t="s">
        <v>9</v>
      </c>
      <c r="I54" s="59" t="s">
        <v>9</v>
      </c>
      <c r="J54" s="58" t="s">
        <v>9</v>
      </c>
      <c r="K54" s="58" t="s">
        <v>9</v>
      </c>
      <c r="L54" s="58" t="s">
        <v>9</v>
      </c>
      <c r="M54" s="58" t="s">
        <v>9</v>
      </c>
      <c r="N54" s="67" t="s">
        <v>242</v>
      </c>
      <c r="O54" s="68" t="s">
        <v>243</v>
      </c>
      <c r="P54" s="70">
        <v>3</v>
      </c>
      <c r="Q54" s="58" t="s">
        <v>9</v>
      </c>
    </row>
    <row r="55" spans="1:17" ht="10.5" customHeight="1">
      <c r="A55"/>
      <c r="G55"/>
      <c r="H55" s="58" t="s">
        <v>9</v>
      </c>
      <c r="I55" s="59" t="s">
        <v>9</v>
      </c>
      <c r="J55" s="58" t="s">
        <v>9</v>
      </c>
      <c r="K55" s="58" t="s">
        <v>9</v>
      </c>
      <c r="L55" s="58" t="s">
        <v>9</v>
      </c>
      <c r="M55" s="58" t="s">
        <v>9</v>
      </c>
      <c r="N55" s="67" t="s">
        <v>244</v>
      </c>
      <c r="O55" s="68" t="s">
        <v>245</v>
      </c>
      <c r="P55" s="70">
        <v>3</v>
      </c>
      <c r="Q55" s="58" t="s">
        <v>9</v>
      </c>
    </row>
    <row r="56" spans="1:17" ht="10.5" customHeight="1">
      <c r="A56"/>
      <c r="G56"/>
      <c r="H56" s="58" t="s">
        <v>9</v>
      </c>
      <c r="I56" s="59" t="s">
        <v>9</v>
      </c>
      <c r="J56" s="58" t="s">
        <v>9</v>
      </c>
      <c r="K56" s="58" t="s">
        <v>9</v>
      </c>
      <c r="L56" s="58" t="s">
        <v>9</v>
      </c>
      <c r="M56" s="58" t="s">
        <v>9</v>
      </c>
      <c r="N56" s="67" t="s">
        <v>246</v>
      </c>
      <c r="O56" s="68" t="s">
        <v>247</v>
      </c>
      <c r="P56" s="70">
        <v>3</v>
      </c>
      <c r="Q56" s="58" t="s">
        <v>9</v>
      </c>
    </row>
    <row r="57" spans="1:17" ht="10.5" customHeight="1">
      <c r="A57"/>
      <c r="G57"/>
      <c r="H57" s="58" t="s">
        <v>9</v>
      </c>
      <c r="I57" s="59" t="s">
        <v>9</v>
      </c>
      <c r="J57" s="58" t="s">
        <v>9</v>
      </c>
      <c r="K57" s="58" t="s">
        <v>9</v>
      </c>
      <c r="L57" s="58" t="s">
        <v>9</v>
      </c>
      <c r="M57" s="58" t="s">
        <v>9</v>
      </c>
      <c r="N57" s="67" t="s">
        <v>248</v>
      </c>
      <c r="O57" s="68" t="s">
        <v>249</v>
      </c>
      <c r="P57" s="70">
        <v>2.5</v>
      </c>
      <c r="Q57" s="58" t="s">
        <v>9</v>
      </c>
    </row>
    <row r="58" spans="1:17" ht="10.5" customHeight="1">
      <c r="A58"/>
      <c r="G58"/>
      <c r="H58" s="58" t="s">
        <v>9</v>
      </c>
      <c r="I58" s="58" t="s">
        <v>9</v>
      </c>
      <c r="J58" s="58" t="s">
        <v>9</v>
      </c>
      <c r="K58" s="58" t="s">
        <v>9</v>
      </c>
      <c r="L58" s="58" t="s">
        <v>9</v>
      </c>
      <c r="M58" s="58" t="s">
        <v>9</v>
      </c>
      <c r="N58" s="67" t="s">
        <v>250</v>
      </c>
      <c r="O58" s="68" t="s">
        <v>251</v>
      </c>
      <c r="P58" s="70">
        <v>3</v>
      </c>
      <c r="Q58" s="58" t="s">
        <v>9</v>
      </c>
    </row>
    <row r="59" spans="1:17" ht="10.5" customHeight="1">
      <c r="A59"/>
      <c r="G59"/>
      <c r="H59" s="58" t="s">
        <v>9</v>
      </c>
      <c r="I59" s="58" t="s">
        <v>9</v>
      </c>
      <c r="J59" s="58" t="s">
        <v>9</v>
      </c>
      <c r="K59" s="58" t="s">
        <v>9</v>
      </c>
      <c r="L59" s="58" t="s">
        <v>9</v>
      </c>
      <c r="M59" s="58" t="s">
        <v>9</v>
      </c>
      <c r="N59" s="67" t="s">
        <v>252</v>
      </c>
      <c r="O59" s="68" t="s">
        <v>253</v>
      </c>
      <c r="P59" s="70">
        <v>3</v>
      </c>
      <c r="Q59" s="58" t="s">
        <v>9</v>
      </c>
    </row>
    <row r="60" spans="1:17" ht="10.5" customHeight="1">
      <c r="A60"/>
      <c r="G60"/>
      <c r="H60" s="58" t="s">
        <v>9</v>
      </c>
      <c r="I60" s="58" t="s">
        <v>9</v>
      </c>
      <c r="J60" s="58" t="s">
        <v>9</v>
      </c>
      <c r="K60" s="58" t="s">
        <v>9</v>
      </c>
      <c r="L60" s="58" t="s">
        <v>9</v>
      </c>
      <c r="M60" s="58" t="s">
        <v>9</v>
      </c>
      <c r="N60" s="67" t="s">
        <v>254</v>
      </c>
      <c r="O60" s="68" t="s">
        <v>255</v>
      </c>
      <c r="P60" s="70">
        <v>3</v>
      </c>
      <c r="Q60" s="58" t="s">
        <v>9</v>
      </c>
    </row>
    <row r="61" spans="1:17" ht="10.5" customHeight="1">
      <c r="A61"/>
      <c r="G61"/>
      <c r="H61" s="58" t="s">
        <v>9</v>
      </c>
      <c r="I61" s="58" t="s">
        <v>9</v>
      </c>
      <c r="J61" s="58" t="s">
        <v>9</v>
      </c>
      <c r="K61" s="58" t="s">
        <v>9</v>
      </c>
      <c r="L61" s="58" t="s">
        <v>9</v>
      </c>
      <c r="M61" s="58" t="s">
        <v>9</v>
      </c>
      <c r="N61" s="67" t="s">
        <v>256</v>
      </c>
      <c r="O61" s="68" t="s">
        <v>257</v>
      </c>
      <c r="P61" s="70">
        <v>3</v>
      </c>
      <c r="Q61" s="58" t="s">
        <v>9</v>
      </c>
    </row>
    <row r="62" spans="1:17" ht="10.5" customHeight="1">
      <c r="A62"/>
      <c r="G62"/>
      <c r="H62" s="58" t="s">
        <v>9</v>
      </c>
      <c r="I62" s="58" t="s">
        <v>9</v>
      </c>
      <c r="J62" s="58" t="s">
        <v>9</v>
      </c>
      <c r="K62" s="58" t="s">
        <v>9</v>
      </c>
      <c r="L62" s="58" t="s">
        <v>9</v>
      </c>
      <c r="M62" s="58" t="s">
        <v>9</v>
      </c>
      <c r="N62" s="67" t="s">
        <v>258</v>
      </c>
      <c r="O62" s="68" t="s">
        <v>259</v>
      </c>
      <c r="P62" s="70">
        <v>2</v>
      </c>
      <c r="Q62" s="58" t="s">
        <v>9</v>
      </c>
    </row>
    <row r="63" spans="1:17" ht="10.5" customHeight="1">
      <c r="A63"/>
      <c r="G63"/>
      <c r="H63" s="58" t="s">
        <v>9</v>
      </c>
      <c r="I63" s="58" t="s">
        <v>9</v>
      </c>
      <c r="J63" s="58" t="s">
        <v>9</v>
      </c>
      <c r="K63" s="58" t="s">
        <v>9</v>
      </c>
      <c r="L63" s="58" t="s">
        <v>9</v>
      </c>
      <c r="M63" s="58" t="s">
        <v>9</v>
      </c>
      <c r="N63" s="67" t="s">
        <v>260</v>
      </c>
      <c r="O63" s="68" t="s">
        <v>261</v>
      </c>
      <c r="P63" s="70">
        <v>3</v>
      </c>
      <c r="Q63" s="58" t="s">
        <v>9</v>
      </c>
    </row>
    <row r="64" spans="1:17" ht="10.5" customHeight="1">
      <c r="A64"/>
      <c r="G64"/>
      <c r="H64" s="58" t="s">
        <v>9</v>
      </c>
      <c r="I64" s="58" t="s">
        <v>9</v>
      </c>
      <c r="J64" s="58" t="s">
        <v>9</v>
      </c>
      <c r="K64" s="58" t="s">
        <v>9</v>
      </c>
      <c r="L64" s="58" t="s">
        <v>9</v>
      </c>
      <c r="M64" s="58" t="s">
        <v>9</v>
      </c>
      <c r="N64" s="67" t="s">
        <v>262</v>
      </c>
      <c r="O64" s="68" t="s">
        <v>263</v>
      </c>
      <c r="P64" s="70">
        <v>2</v>
      </c>
      <c r="Q64" s="58" t="s">
        <v>9</v>
      </c>
    </row>
    <row r="65" spans="1:19" ht="10.5" customHeight="1">
      <c r="A65"/>
      <c r="G65"/>
      <c r="H65" s="58" t="s">
        <v>9</v>
      </c>
      <c r="I65" s="58" t="s">
        <v>9</v>
      </c>
      <c r="J65" s="58" t="s">
        <v>9</v>
      </c>
      <c r="K65" s="58" t="s">
        <v>9</v>
      </c>
      <c r="L65" s="58" t="s">
        <v>9</v>
      </c>
      <c r="M65" s="58" t="s">
        <v>9</v>
      </c>
      <c r="N65" s="67" t="s">
        <v>264</v>
      </c>
      <c r="O65" s="68" t="s">
        <v>265</v>
      </c>
      <c r="P65" s="70">
        <v>2</v>
      </c>
      <c r="Q65" s="58" t="s">
        <v>9</v>
      </c>
    </row>
    <row r="66" spans="1:19" ht="10.5" customHeight="1">
      <c r="A66"/>
      <c r="G66"/>
      <c r="H66" s="58" t="s">
        <v>9</v>
      </c>
      <c r="I66" s="58" t="s">
        <v>9</v>
      </c>
      <c r="J66" s="58" t="s">
        <v>9</v>
      </c>
      <c r="K66" s="58" t="s">
        <v>9</v>
      </c>
      <c r="L66" s="58" t="s">
        <v>9</v>
      </c>
      <c r="M66" s="58" t="s">
        <v>9</v>
      </c>
      <c r="N66" s="67" t="s">
        <v>266</v>
      </c>
      <c r="O66" s="68" t="s">
        <v>267</v>
      </c>
      <c r="P66" s="70">
        <v>2.5</v>
      </c>
      <c r="Q66" s="58" t="s">
        <v>9</v>
      </c>
    </row>
    <row r="67" spans="1:19" ht="10.5" customHeight="1">
      <c r="A67"/>
      <c r="G67"/>
      <c r="H67" s="58" t="s">
        <v>9</v>
      </c>
      <c r="I67" s="58" t="s">
        <v>9</v>
      </c>
      <c r="J67" s="58" t="s">
        <v>9</v>
      </c>
      <c r="K67" s="58" t="s">
        <v>9</v>
      </c>
      <c r="L67" s="58" t="s">
        <v>9</v>
      </c>
      <c r="M67" s="58" t="s">
        <v>9</v>
      </c>
      <c r="N67" s="67" t="s">
        <v>268</v>
      </c>
      <c r="O67" s="68" t="s">
        <v>269</v>
      </c>
      <c r="P67" s="70">
        <v>3</v>
      </c>
      <c r="Q67" s="58" t="s">
        <v>9</v>
      </c>
    </row>
    <row r="68" spans="1:19" ht="10.5" customHeight="1">
      <c r="A68"/>
      <c r="G68"/>
      <c r="H68" s="58" t="s">
        <v>9</v>
      </c>
      <c r="I68" s="58" t="s">
        <v>9</v>
      </c>
      <c r="J68" s="58" t="s">
        <v>9</v>
      </c>
      <c r="K68" s="58" t="s">
        <v>9</v>
      </c>
      <c r="L68" s="58" t="s">
        <v>9</v>
      </c>
      <c r="M68" s="58" t="s">
        <v>9</v>
      </c>
      <c r="N68" s="67" t="s">
        <v>270</v>
      </c>
      <c r="O68" s="68" t="s">
        <v>271</v>
      </c>
      <c r="P68" s="70">
        <v>3</v>
      </c>
      <c r="Q68" s="58" t="s">
        <v>9</v>
      </c>
    </row>
    <row r="69" spans="1:19" ht="10.5" customHeight="1">
      <c r="A69"/>
      <c r="G69"/>
      <c r="H69" s="58" t="s">
        <v>9</v>
      </c>
      <c r="I69" s="58" t="s">
        <v>9</v>
      </c>
      <c r="J69" s="58" t="s">
        <v>9</v>
      </c>
      <c r="K69" s="58" t="s">
        <v>9</v>
      </c>
      <c r="L69" s="58" t="s">
        <v>9</v>
      </c>
      <c r="M69" s="58" t="s">
        <v>9</v>
      </c>
      <c r="N69" s="67" t="s">
        <v>272</v>
      </c>
      <c r="O69" s="68" t="s">
        <v>273</v>
      </c>
      <c r="P69" s="70">
        <v>3</v>
      </c>
      <c r="Q69" s="58" t="s">
        <v>9</v>
      </c>
    </row>
    <row r="70" spans="1:19" ht="10.5" customHeight="1">
      <c r="A70"/>
      <c r="G70"/>
      <c r="H70" s="58" t="s">
        <v>9</v>
      </c>
      <c r="I70" s="58" t="s">
        <v>9</v>
      </c>
      <c r="J70" s="58" t="s">
        <v>9</v>
      </c>
      <c r="K70" s="58" t="s">
        <v>9</v>
      </c>
      <c r="L70" s="58" t="s">
        <v>9</v>
      </c>
      <c r="M70" s="58" t="s">
        <v>9</v>
      </c>
      <c r="N70" s="67" t="s">
        <v>274</v>
      </c>
      <c r="O70" s="68" t="s">
        <v>275</v>
      </c>
      <c r="P70" s="70">
        <v>2.5</v>
      </c>
      <c r="Q70" s="58" t="s">
        <v>9</v>
      </c>
    </row>
    <row r="71" spans="1:19" ht="10.5" customHeight="1">
      <c r="A71"/>
      <c r="G71"/>
      <c r="H71" s="58" t="s">
        <v>9</v>
      </c>
      <c r="I71" s="58" t="s">
        <v>9</v>
      </c>
      <c r="J71" s="58" t="s">
        <v>9</v>
      </c>
      <c r="K71" s="58" t="s">
        <v>9</v>
      </c>
      <c r="L71" s="58" t="s">
        <v>9</v>
      </c>
      <c r="M71" s="58" t="s">
        <v>9</v>
      </c>
      <c r="N71" s="67" t="s">
        <v>276</v>
      </c>
      <c r="O71" s="68" t="s">
        <v>277</v>
      </c>
      <c r="P71" s="70">
        <v>2.5</v>
      </c>
      <c r="Q71" s="58" t="s">
        <v>9</v>
      </c>
    </row>
    <row r="72" spans="1:19" ht="10.5" customHeight="1">
      <c r="A72"/>
      <c r="G72"/>
      <c r="H72" s="58" t="s">
        <v>9</v>
      </c>
      <c r="I72" s="58" t="s">
        <v>9</v>
      </c>
      <c r="J72" s="58" t="s">
        <v>9</v>
      </c>
      <c r="K72" s="58" t="s">
        <v>9</v>
      </c>
      <c r="L72" s="58" t="s">
        <v>9</v>
      </c>
      <c r="M72" s="58" t="s">
        <v>9</v>
      </c>
      <c r="N72" s="67" t="s">
        <v>278</v>
      </c>
      <c r="O72" s="68" t="s">
        <v>279</v>
      </c>
      <c r="P72" s="70">
        <v>3</v>
      </c>
      <c r="Q72" s="58" t="s">
        <v>9</v>
      </c>
    </row>
    <row r="73" spans="1:19" ht="10.5" customHeight="1">
      <c r="A73"/>
      <c r="G73"/>
      <c r="H73" s="58" t="s">
        <v>9</v>
      </c>
      <c r="I73" s="58" t="s">
        <v>9</v>
      </c>
      <c r="J73" s="58" t="s">
        <v>9</v>
      </c>
      <c r="K73" s="58" t="s">
        <v>9</v>
      </c>
      <c r="L73" s="58" t="s">
        <v>9</v>
      </c>
      <c r="M73" s="58" t="s">
        <v>9</v>
      </c>
      <c r="N73" s="67" t="s">
        <v>280</v>
      </c>
      <c r="O73" s="68" t="s">
        <v>281</v>
      </c>
      <c r="P73" s="70">
        <v>2.5</v>
      </c>
      <c r="Q73" s="58" t="s">
        <v>9</v>
      </c>
    </row>
    <row r="74" spans="1:19" ht="10.5" customHeight="1">
      <c r="A74"/>
      <c r="G74"/>
      <c r="H74" s="58" t="s">
        <v>9</v>
      </c>
      <c r="I74" s="58" t="s">
        <v>9</v>
      </c>
      <c r="J74" s="58" t="s">
        <v>9</v>
      </c>
      <c r="K74" s="58" t="s">
        <v>9</v>
      </c>
      <c r="L74" s="58" t="s">
        <v>9</v>
      </c>
      <c r="M74" s="58" t="s">
        <v>9</v>
      </c>
      <c r="N74" s="67" t="s">
        <v>282</v>
      </c>
      <c r="O74" s="68" t="s">
        <v>283</v>
      </c>
      <c r="P74" s="70">
        <v>3.5</v>
      </c>
      <c r="Q74" s="58" t="s">
        <v>9</v>
      </c>
      <c r="S74"/>
    </row>
    <row r="75" spans="1:19" ht="10.5" customHeight="1">
      <c r="A75"/>
      <c r="G75"/>
      <c r="H75" s="58" t="s">
        <v>9</v>
      </c>
      <c r="I75" s="58" t="s">
        <v>9</v>
      </c>
      <c r="J75" s="58" t="s">
        <v>9</v>
      </c>
      <c r="K75" s="58" t="s">
        <v>9</v>
      </c>
      <c r="L75" s="58" t="s">
        <v>9</v>
      </c>
      <c r="M75" s="58" t="s">
        <v>9</v>
      </c>
      <c r="N75" s="67" t="s">
        <v>284</v>
      </c>
      <c r="O75" s="68" t="s">
        <v>285</v>
      </c>
      <c r="P75" s="70">
        <v>3.5</v>
      </c>
      <c r="Q75" s="58" t="s">
        <v>9</v>
      </c>
    </row>
    <row r="76" spans="1:19" ht="10.5" customHeight="1">
      <c r="A76"/>
      <c r="G76"/>
      <c r="H76" s="58" t="s">
        <v>9</v>
      </c>
      <c r="I76" s="58" t="s">
        <v>9</v>
      </c>
      <c r="J76" s="58" t="s">
        <v>9</v>
      </c>
      <c r="K76" s="58" t="s">
        <v>9</v>
      </c>
      <c r="L76" s="58" t="s">
        <v>9</v>
      </c>
      <c r="M76" s="58" t="s">
        <v>9</v>
      </c>
      <c r="N76" s="67" t="s">
        <v>286</v>
      </c>
      <c r="O76" s="68" t="s">
        <v>287</v>
      </c>
      <c r="P76" s="70">
        <v>3</v>
      </c>
      <c r="Q76" s="58" t="s">
        <v>9</v>
      </c>
    </row>
    <row r="77" spans="1:19" ht="10.5" customHeight="1">
      <c r="A77"/>
      <c r="G77"/>
      <c r="H77" s="58" t="s">
        <v>9</v>
      </c>
      <c r="I77" s="58" t="s">
        <v>9</v>
      </c>
      <c r="J77" s="58" t="s">
        <v>9</v>
      </c>
      <c r="K77" s="58" t="s">
        <v>9</v>
      </c>
      <c r="L77" s="58" t="s">
        <v>9</v>
      </c>
      <c r="M77" s="58" t="s">
        <v>9</v>
      </c>
      <c r="N77" s="67" t="s">
        <v>288</v>
      </c>
      <c r="O77" s="68" t="s">
        <v>289</v>
      </c>
      <c r="P77" s="70">
        <v>3</v>
      </c>
      <c r="Q77" s="58" t="s">
        <v>9</v>
      </c>
    </row>
    <row r="78" spans="1:19" ht="10.5" customHeight="1">
      <c r="A78"/>
      <c r="G78"/>
      <c r="H78" s="58" t="s">
        <v>9</v>
      </c>
      <c r="I78" s="58" t="s">
        <v>9</v>
      </c>
      <c r="J78" s="58" t="s">
        <v>9</v>
      </c>
      <c r="K78" s="58" t="s">
        <v>9</v>
      </c>
      <c r="L78" s="58" t="s">
        <v>9</v>
      </c>
      <c r="M78" s="58" t="s">
        <v>9</v>
      </c>
      <c r="N78" s="67" t="s">
        <v>290</v>
      </c>
      <c r="O78" s="68" t="s">
        <v>291</v>
      </c>
      <c r="P78" s="70">
        <v>3</v>
      </c>
      <c r="Q78" s="58" t="s">
        <v>9</v>
      </c>
    </row>
    <row r="79" spans="1:19" ht="10.5" customHeight="1">
      <c r="A79"/>
      <c r="G79"/>
      <c r="H79" s="58" t="s">
        <v>9</v>
      </c>
      <c r="I79" s="58" t="s">
        <v>9</v>
      </c>
      <c r="J79" s="58" t="s">
        <v>9</v>
      </c>
      <c r="K79" s="58" t="s">
        <v>9</v>
      </c>
      <c r="L79" s="58" t="s">
        <v>9</v>
      </c>
      <c r="M79" s="58" t="s">
        <v>9</v>
      </c>
      <c r="N79" s="67" t="s">
        <v>292</v>
      </c>
      <c r="O79" s="68" t="s">
        <v>293</v>
      </c>
      <c r="P79" s="70">
        <v>3</v>
      </c>
      <c r="Q79" s="58" t="s">
        <v>9</v>
      </c>
    </row>
    <row r="80" spans="1:19" ht="10.5" customHeight="1">
      <c r="A80"/>
      <c r="G80"/>
      <c r="H80" s="58" t="s">
        <v>9</v>
      </c>
      <c r="I80" s="58" t="s">
        <v>9</v>
      </c>
      <c r="J80" s="58" t="s">
        <v>9</v>
      </c>
      <c r="K80" s="58" t="s">
        <v>9</v>
      </c>
      <c r="L80" s="58" t="s">
        <v>9</v>
      </c>
      <c r="M80" s="58" t="s">
        <v>9</v>
      </c>
      <c r="N80" s="67" t="s">
        <v>294</v>
      </c>
      <c r="O80" s="68" t="s">
        <v>295</v>
      </c>
      <c r="P80" s="70">
        <v>3</v>
      </c>
      <c r="Q80" s="58" t="s">
        <v>9</v>
      </c>
    </row>
    <row r="81" spans="1:17" ht="10.5" customHeight="1">
      <c r="A81"/>
      <c r="G81"/>
      <c r="H81" s="58" t="s">
        <v>9</v>
      </c>
      <c r="I81" s="58" t="s">
        <v>9</v>
      </c>
      <c r="J81" s="58" t="s">
        <v>9</v>
      </c>
      <c r="K81" s="58" t="s">
        <v>9</v>
      </c>
      <c r="L81" s="58" t="s">
        <v>9</v>
      </c>
      <c r="M81" s="58" t="s">
        <v>9</v>
      </c>
      <c r="N81" s="67" t="s">
        <v>296</v>
      </c>
      <c r="O81" s="68" t="s">
        <v>297</v>
      </c>
      <c r="P81" s="70">
        <v>3</v>
      </c>
      <c r="Q81" s="58" t="s">
        <v>9</v>
      </c>
    </row>
    <row r="82" spans="1:17" ht="10.5" customHeight="1">
      <c r="A82"/>
      <c r="G82"/>
      <c r="H82" s="58" t="s">
        <v>9</v>
      </c>
      <c r="I82" s="58" t="s">
        <v>9</v>
      </c>
      <c r="J82" s="58" t="s">
        <v>9</v>
      </c>
      <c r="K82"/>
      <c r="L82"/>
      <c r="M82" s="58" t="s">
        <v>9</v>
      </c>
      <c r="N82" s="67" t="s">
        <v>298</v>
      </c>
      <c r="O82" s="68" t="s">
        <v>299</v>
      </c>
      <c r="P82" s="70">
        <v>3</v>
      </c>
      <c r="Q82" s="58" t="s">
        <v>9</v>
      </c>
    </row>
    <row r="83" spans="1:17" ht="10.5" customHeight="1">
      <c r="A83"/>
      <c r="G83"/>
      <c r="H83" s="58" t="s">
        <v>9</v>
      </c>
      <c r="I83" s="58" t="s">
        <v>9</v>
      </c>
      <c r="J83" s="58" t="s">
        <v>9</v>
      </c>
      <c r="K83"/>
      <c r="L83"/>
      <c r="M83" s="58" t="s">
        <v>9</v>
      </c>
      <c r="N83" s="67" t="s">
        <v>300</v>
      </c>
      <c r="O83" s="68" t="s">
        <v>301</v>
      </c>
      <c r="P83" s="70">
        <v>3</v>
      </c>
      <c r="Q83" s="58" t="s">
        <v>9</v>
      </c>
    </row>
    <row r="84" spans="1:17" ht="10.5" customHeight="1">
      <c r="A84"/>
      <c r="G84"/>
      <c r="H84" s="58" t="s">
        <v>9</v>
      </c>
      <c r="I84" s="58" t="s">
        <v>9</v>
      </c>
      <c r="J84" s="58" t="s">
        <v>9</v>
      </c>
      <c r="K84"/>
      <c r="L84"/>
      <c r="M84" s="58" t="s">
        <v>9</v>
      </c>
      <c r="Q84" s="58" t="s">
        <v>9</v>
      </c>
    </row>
    <row r="85" spans="1:17" ht="10.5" customHeight="1">
      <c r="A85"/>
      <c r="G85"/>
      <c r="H85" s="58" t="s">
        <v>9</v>
      </c>
      <c r="I85" s="58" t="s">
        <v>9</v>
      </c>
      <c r="J85" s="58" t="s">
        <v>9</v>
      </c>
      <c r="K85"/>
      <c r="L85"/>
      <c r="M85" s="58" t="s">
        <v>9</v>
      </c>
      <c r="Q85" s="58" t="s">
        <v>9</v>
      </c>
    </row>
    <row r="86" spans="1:17" ht="10.5" customHeight="1">
      <c r="A86"/>
      <c r="G86"/>
      <c r="H86" s="58" t="s">
        <v>9</v>
      </c>
      <c r="I86" s="58" t="s">
        <v>9</v>
      </c>
      <c r="J86" s="58" t="s">
        <v>9</v>
      </c>
      <c r="K86"/>
      <c r="L86"/>
      <c r="M86" s="58" t="s">
        <v>9</v>
      </c>
      <c r="Q86" s="58" t="s">
        <v>9</v>
      </c>
    </row>
    <row r="87" spans="1:17" ht="10.5" customHeight="1">
      <c r="A87"/>
      <c r="G87"/>
      <c r="H87" s="58" t="s">
        <v>9</v>
      </c>
      <c r="I87" s="58" t="s">
        <v>9</v>
      </c>
      <c r="J87" s="58" t="s">
        <v>9</v>
      </c>
      <c r="K87"/>
      <c r="L87"/>
      <c r="M87" s="58" t="s">
        <v>9</v>
      </c>
      <c r="Q87" s="58" t="s">
        <v>9</v>
      </c>
    </row>
    <row r="88" spans="1:17" ht="10.5" customHeight="1">
      <c r="A88"/>
      <c r="G88"/>
      <c r="H88" s="58" t="s">
        <v>9</v>
      </c>
      <c r="I88" s="58" t="s">
        <v>9</v>
      </c>
      <c r="J88" s="58" t="s">
        <v>9</v>
      </c>
      <c r="K88"/>
      <c r="L88"/>
      <c r="M88" s="58" t="s">
        <v>9</v>
      </c>
      <c r="Q88" s="58" t="s">
        <v>9</v>
      </c>
    </row>
    <row r="89" spans="1:17" ht="10.5" customHeight="1">
      <c r="A89"/>
      <c r="G89"/>
      <c r="H89" s="58" t="s">
        <v>9</v>
      </c>
      <c r="I89" s="58" t="s">
        <v>9</v>
      </c>
      <c r="J89" s="58" t="s">
        <v>9</v>
      </c>
      <c r="K89"/>
      <c r="L89"/>
      <c r="M89" s="58" t="s">
        <v>9</v>
      </c>
      <c r="Q89" s="58" t="s">
        <v>9</v>
      </c>
    </row>
    <row r="90" spans="1:17" ht="10.5" customHeight="1">
      <c r="A90"/>
      <c r="G90"/>
      <c r="H90" s="58" t="s">
        <v>9</v>
      </c>
      <c r="I90" s="58" t="s">
        <v>9</v>
      </c>
      <c r="J90" s="58" t="s">
        <v>9</v>
      </c>
      <c r="K90"/>
      <c r="L90"/>
      <c r="M90" s="58" t="s">
        <v>9</v>
      </c>
      <c r="Q90" s="58" t="s">
        <v>9</v>
      </c>
    </row>
    <row r="91" spans="1:17" ht="10.5" customHeight="1">
      <c r="A91"/>
      <c r="G91"/>
      <c r="H91" s="58" t="s">
        <v>9</v>
      </c>
      <c r="I91" s="58" t="s">
        <v>9</v>
      </c>
      <c r="J91" s="58" t="s">
        <v>9</v>
      </c>
      <c r="K91"/>
      <c r="L91"/>
      <c r="M91" s="58" t="s">
        <v>9</v>
      </c>
      <c r="Q91" s="58" t="s">
        <v>9</v>
      </c>
    </row>
    <row r="92" spans="1:17" ht="10.5" customHeight="1">
      <c r="A92"/>
      <c r="G92"/>
      <c r="H92" s="58" t="s">
        <v>9</v>
      </c>
      <c r="I92" s="58" t="s">
        <v>9</v>
      </c>
      <c r="J92" s="58" t="s">
        <v>9</v>
      </c>
      <c r="K92"/>
      <c r="L92"/>
      <c r="M92" s="58" t="s">
        <v>9</v>
      </c>
      <c r="Q92" s="58" t="s">
        <v>9</v>
      </c>
    </row>
    <row r="93" spans="1:17" ht="10.5" customHeight="1">
      <c r="A93"/>
      <c r="G93"/>
      <c r="H93" s="58" t="s">
        <v>9</v>
      </c>
      <c r="I93" s="58" t="s">
        <v>9</v>
      </c>
      <c r="J93" s="58" t="s">
        <v>9</v>
      </c>
      <c r="K93"/>
      <c r="L93"/>
      <c r="M93" s="58" t="s">
        <v>9</v>
      </c>
      <c r="Q93" s="58" t="s">
        <v>9</v>
      </c>
    </row>
    <row r="94" spans="1:17" ht="10.5" customHeight="1">
      <c r="A94"/>
      <c r="G94"/>
      <c r="H94" s="58" t="s">
        <v>9</v>
      </c>
      <c r="I94" s="58" t="s">
        <v>9</v>
      </c>
      <c r="J94" s="58" t="s">
        <v>9</v>
      </c>
      <c r="K94"/>
      <c r="L94"/>
      <c r="M94" s="58" t="s">
        <v>9</v>
      </c>
      <c r="Q94" s="58" t="s">
        <v>9</v>
      </c>
    </row>
    <row r="95" spans="1:17" ht="10.5" customHeight="1">
      <c r="A95"/>
      <c r="G95"/>
      <c r="H95" s="58" t="s">
        <v>9</v>
      </c>
      <c r="I95" s="58" t="s">
        <v>9</v>
      </c>
      <c r="J95" s="58" t="s">
        <v>9</v>
      </c>
      <c r="K95"/>
      <c r="L95"/>
      <c r="M95" s="58" t="s">
        <v>9</v>
      </c>
      <c r="Q95" s="58" t="s">
        <v>9</v>
      </c>
    </row>
    <row r="96" spans="1:17" ht="10.5" customHeight="1"/>
    <row r="97" ht="10.5" customHeight="1"/>
    <row r="98" ht="10.5" customHeight="1"/>
    <row r="99" ht="10.5" customHeight="1"/>
    <row r="100" ht="10.5" customHeight="1"/>
    <row r="101" ht="10.5" customHeight="1"/>
    <row r="102" ht="10.5" customHeight="1"/>
    <row r="103" ht="10.5" customHeight="1"/>
    <row r="104" ht="10.5" customHeight="1"/>
    <row r="105" ht="10.5" customHeight="1"/>
    <row r="106" ht="10.5" customHeight="1"/>
    <row r="107" ht="10.5" customHeight="1"/>
    <row r="108" ht="10.5" customHeight="1"/>
    <row r="109" ht="10.5" customHeight="1"/>
    <row r="110" ht="10.5" customHeight="1"/>
    <row r="111" ht="10.5" customHeight="1"/>
    <row r="112" ht="10.5" customHeight="1"/>
    <row r="113" ht="10.5" customHeight="1"/>
    <row r="114" ht="10.5" customHeight="1"/>
    <row r="115" ht="10.5" customHeight="1"/>
    <row r="116" ht="10.5" customHeight="1"/>
    <row r="117" ht="10.5" customHeight="1"/>
    <row r="118" ht="10.5" customHeight="1"/>
    <row r="119" ht="10.5" customHeight="1"/>
    <row r="120" ht="10.5" customHeight="1"/>
    <row r="121" ht="10.5" customHeight="1"/>
    <row r="122" ht="10.5" customHeight="1"/>
    <row r="123" ht="10.5" customHeight="1"/>
    <row r="124" ht="10.5" customHeight="1"/>
    <row r="125" ht="10.5" customHeight="1"/>
    <row r="126" ht="10.5" customHeight="1"/>
    <row r="127" ht="10.5" customHeight="1"/>
    <row r="128" ht="10.5" customHeight="1"/>
    <row r="129" ht="10.5" customHeight="1"/>
    <row r="130" ht="10.5" customHeight="1"/>
    <row r="131" ht="10.5" customHeight="1"/>
    <row r="132" ht="10.5" customHeight="1"/>
    <row r="133" ht="10.5" customHeight="1"/>
    <row r="134" ht="10.5" customHeight="1"/>
    <row r="135" ht="10.5" customHeight="1"/>
    <row r="136" ht="10.5" customHeight="1"/>
    <row r="137" ht="10.5" customHeight="1"/>
    <row r="138" ht="10.5" customHeight="1"/>
    <row r="139" ht="10.5" customHeight="1"/>
    <row r="140" ht="10.5" customHeight="1"/>
    <row r="141" ht="10.5" customHeight="1"/>
    <row r="142" ht="10.5" customHeight="1"/>
    <row r="143" ht="10.5" customHeight="1"/>
    <row r="144" ht="10.5" customHeight="1"/>
    <row r="145" ht="10.5" customHeight="1"/>
    <row r="146" ht="10.5" customHeight="1"/>
    <row r="147" ht="10.5" customHeight="1"/>
    <row r="148" ht="10.5" customHeight="1"/>
    <row r="149" ht="10.5" customHeight="1"/>
    <row r="150" ht="10.5" customHeight="1"/>
    <row r="151" ht="10.5" customHeight="1"/>
    <row r="152" ht="10.5" customHeight="1"/>
    <row r="153" ht="10.5" customHeight="1"/>
    <row r="154" ht="10.5" customHeight="1"/>
    <row r="155" ht="10.5" customHeight="1"/>
    <row r="156" ht="10.5" customHeight="1"/>
    <row r="157" ht="10.5" customHeight="1"/>
    <row r="158" ht="10.5" customHeight="1"/>
    <row r="159" ht="10.5" customHeight="1"/>
    <row r="160" ht="10.5" customHeight="1"/>
    <row r="161" ht="10.5" customHeight="1"/>
    <row r="162" ht="10.5" customHeight="1"/>
    <row r="163" ht="10.5" customHeight="1"/>
    <row r="164" ht="10.5" customHeight="1"/>
    <row r="165" ht="10.5" customHeight="1"/>
    <row r="166" ht="10.5" customHeight="1"/>
    <row r="167" ht="10.5" customHeight="1"/>
    <row r="168" ht="10.5" customHeight="1"/>
    <row r="169" ht="10.5" customHeight="1"/>
    <row r="170" ht="10.5" customHeight="1"/>
    <row r="171" ht="10.5" customHeight="1"/>
    <row r="172" ht="10.5" customHeight="1"/>
    <row r="173" ht="10.5" customHeight="1"/>
    <row r="174" ht="10.5" customHeight="1"/>
    <row r="175" ht="10.5" customHeight="1"/>
    <row r="176" ht="10.5" customHeight="1"/>
    <row r="177" ht="10.5" customHeight="1"/>
    <row r="178" ht="10.5" customHeight="1"/>
    <row r="179" ht="10.5" customHeight="1"/>
    <row r="180" ht="10.5" customHeight="1"/>
    <row r="181" ht="10.5" customHeight="1"/>
    <row r="182" ht="10.5" customHeight="1"/>
    <row r="183" ht="10.5" customHeight="1"/>
    <row r="184" ht="10.5" customHeight="1"/>
    <row r="185" ht="10.5" customHeight="1"/>
    <row r="186" ht="10.5" customHeight="1"/>
    <row r="187" ht="10.5" customHeight="1"/>
    <row r="188" ht="10.5" customHeight="1"/>
    <row r="189" ht="10.5" customHeight="1"/>
    <row r="190" ht="10.5" customHeight="1"/>
    <row r="191" ht="10.5" customHeight="1"/>
    <row r="192" ht="10.5" customHeight="1"/>
    <row r="193" ht="10.5" customHeight="1"/>
    <row r="194" ht="10.5" customHeight="1"/>
    <row r="195" ht="10.5" customHeight="1"/>
    <row r="196" ht="10.5" customHeight="1"/>
    <row r="197" ht="10.5" customHeight="1"/>
    <row r="198" ht="10.5" customHeight="1"/>
    <row r="199" ht="10.5" customHeight="1"/>
    <row r="200" ht="10.5" customHeight="1"/>
    <row r="201" ht="10.5" customHeight="1"/>
    <row r="202" ht="10.5" customHeight="1"/>
    <row r="203" ht="10.5" customHeight="1"/>
    <row r="204" ht="10.5" customHeight="1"/>
    <row r="205" ht="10.5" customHeight="1"/>
    <row r="206" ht="10.5" customHeight="1"/>
    <row r="207" ht="10.5" customHeight="1"/>
    <row r="208" ht="10.5" customHeight="1"/>
    <row r="209" spans="3:6" ht="10.5" customHeight="1"/>
    <row r="210" spans="3:6" ht="10.5" customHeight="1"/>
    <row r="211" spans="3:6" ht="10.5" customHeight="1"/>
    <row r="212" spans="3:6" ht="10.5" customHeight="1">
      <c r="C212" s="4"/>
      <c r="E212" s="4"/>
      <c r="F212" s="4"/>
    </row>
    <row r="213" spans="3:6" ht="10.5" customHeight="1"/>
    <row r="214" spans="3:6" ht="10.5" customHeight="1"/>
    <row r="215" spans="3:6" ht="10.5" customHeight="1"/>
    <row r="216" spans="3:6" ht="10.5" customHeight="1"/>
    <row r="217" spans="3:6" ht="10.5" customHeight="1"/>
    <row r="218" spans="3:6" ht="10.5" customHeight="1"/>
    <row r="219" spans="3:6" ht="10.5" customHeight="1"/>
    <row r="220" spans="3:6" ht="10.5" customHeight="1"/>
    <row r="221" spans="3:6" ht="10.5" customHeight="1"/>
    <row r="222" spans="3:6" ht="10.5" customHeight="1"/>
    <row r="223" spans="3:6" ht="10.5" customHeight="1"/>
    <row r="224" spans="3:6" ht="10.5" customHeight="1"/>
    <row r="225" ht="10.5" customHeight="1"/>
    <row r="226" ht="10.5" customHeight="1"/>
    <row r="227" ht="10.5" customHeight="1"/>
    <row r="228" ht="10.5" customHeight="1"/>
    <row r="229" ht="10.5" customHeight="1"/>
    <row r="230" ht="10.5" customHeight="1"/>
    <row r="231" ht="10.5" customHeight="1"/>
    <row r="232" ht="10.5" customHeight="1"/>
    <row r="233" ht="10.5" customHeight="1"/>
    <row r="234" ht="10.5" customHeight="1"/>
    <row r="235" ht="10.5" customHeight="1"/>
    <row r="236" ht="10.5" customHeight="1"/>
    <row r="237" ht="10.5" customHeight="1"/>
    <row r="238" ht="10.5" customHeight="1"/>
    <row r="239" ht="10.5" customHeight="1"/>
    <row r="240" ht="10.5" customHeight="1"/>
    <row r="241" spans="7:16" ht="10.5" customHeight="1"/>
    <row r="242" spans="7:16" ht="10.5" customHeight="1"/>
    <row r="243" spans="7:16" ht="10.5" customHeight="1"/>
    <row r="244" spans="7:16" ht="10.5" customHeight="1"/>
    <row r="245" spans="7:16" ht="10.5" customHeight="1"/>
    <row r="246" spans="7:16" ht="10.5" customHeight="1"/>
    <row r="247" spans="7:16" ht="10.5" customHeight="1"/>
    <row r="248" spans="7:16" ht="10.5" customHeight="1"/>
    <row r="249" spans="7:16" ht="10.5" customHeight="1">
      <c r="P249" s="4"/>
    </row>
    <row r="250" spans="7:16" ht="10.5" customHeight="1"/>
    <row r="251" spans="7:16" ht="10.5" customHeight="1"/>
    <row r="252" spans="7:16" ht="10.5" customHeight="1"/>
    <row r="253" spans="7:16" ht="10.5" customHeight="1">
      <c r="G253" s="4"/>
      <c r="H253" s="4"/>
    </row>
  </sheetData>
  <sheetProtection formatCells="0" formatColumns="0"/>
  <autoFilter ref="B2:F30" xr:uid="{00000000-0001-0000-0100-000000000000}"/>
  <phoneticPr fontId="13" type="noConversion"/>
  <pageMargins left="0.7" right="0.7" top="0.75" bottom="0.75" header="0.3" footer="0.3"/>
  <pageSetup paperSize="9" orientation="portrait"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1:AF111"/>
  <sheetViews>
    <sheetView zoomScale="85" zoomScaleNormal="85" workbookViewId="0">
      <pane xSplit="1" ySplit="2" topLeftCell="B3" activePane="bottomRight" state="frozen"/>
      <selection pane="bottomRight" activeCell="Q12" sqref="Q12"/>
      <selection pane="bottomLeft" activeCell="A3" sqref="A3"/>
      <selection pane="topRight" activeCell="B1" sqref="B1"/>
    </sheetView>
  </sheetViews>
  <sheetFormatPr defaultColWidth="0" defaultRowHeight="14.45" zeroHeight="1"/>
  <cols>
    <col min="1" max="1" width="5.7109375" style="1" customWidth="1"/>
    <col min="2" max="2" width="5.28515625" style="4" bestFit="1" customWidth="1"/>
    <col min="3" max="3" width="97.7109375" style="4" customWidth="1"/>
    <col min="4" max="5" width="4.140625" style="11" customWidth="1"/>
    <col min="6" max="6" width="6" style="4" customWidth="1"/>
    <col min="7" max="14" width="3.28515625" style="31" customWidth="1"/>
    <col min="15" max="15" width="4.42578125" style="1" customWidth="1"/>
    <col min="16" max="16" width="5" style="1" customWidth="1"/>
    <col min="17" max="19" width="3.5703125" style="1" customWidth="1"/>
    <col min="20" max="28" width="10.85546875" style="1" customWidth="1"/>
    <col min="29" max="31" width="3.5703125" style="1" customWidth="1"/>
    <col min="32" max="32" width="0" style="1" hidden="1" customWidth="1"/>
    <col min="33" max="16384" width="11.42578125" style="1" hidden="1"/>
  </cols>
  <sheetData>
    <row r="1" spans="2:16"/>
    <row r="2" spans="2:16" ht="101.45" customHeight="1">
      <c r="B2" s="66" t="s">
        <v>3</v>
      </c>
      <c r="C2" s="66" t="s">
        <v>10</v>
      </c>
      <c r="D2" s="40" t="s">
        <v>302</v>
      </c>
      <c r="E2" s="40" t="s">
        <v>303</v>
      </c>
      <c r="G2" s="82" t="str" cm="1">
        <f t="array" ref="G2:N2">TRANSPOSE(Datos_SPIKA!I3:I10)</f>
        <v>[D] Datos</v>
      </c>
      <c r="H2" s="82" t="str">
        <v>[SW] Software</v>
      </c>
      <c r="I2" s="82" t="str">
        <v>[HW] Hardware</v>
      </c>
      <c r="J2" s="82" t="str">
        <v>[COM] Comunicaciones</v>
      </c>
      <c r="K2" s="82" t="str">
        <v>[L] Ubicaciones</v>
      </c>
      <c r="L2" s="82" t="str">
        <v>[P] Personal</v>
      </c>
      <c r="M2" s="82" t="str">
        <v>[PRV] Proveedores</v>
      </c>
      <c r="N2" s="82" t="str">
        <v>[SE] Servicios Externos</v>
      </c>
    </row>
    <row r="3" spans="2:16" ht="15.6">
      <c r="B3" s="41" t="s">
        <v>19</v>
      </c>
      <c r="C3" s="41" t="str">
        <f>VLOOKUP(B3,Datos_SPIKA!K3:L27,2,0)</f>
        <v>[Desastre] Fuego, agua o desastres naturales</v>
      </c>
      <c r="D3">
        <v>1</v>
      </c>
      <c r="E3">
        <v>4</v>
      </c>
      <c r="G3" s="42"/>
      <c r="H3" s="42"/>
      <c r="I3" s="42" t="s">
        <v>304</v>
      </c>
      <c r="J3" s="42"/>
      <c r="K3" s="42" t="s">
        <v>304</v>
      </c>
      <c r="L3" s="42"/>
      <c r="M3" s="42"/>
      <c r="N3" s="42"/>
      <c r="O3" s="15"/>
      <c r="P3" s="15"/>
    </row>
    <row r="4" spans="2:16" ht="15.6">
      <c r="B4" s="41" t="s">
        <v>27</v>
      </c>
      <c r="C4" s="41" t="str">
        <f>VLOOKUP(B4,Datos_SPIKA!K4:L28,2,0)</f>
        <v>[Actividad malintencionada / abuso] Fuga de información</v>
      </c>
      <c r="D4">
        <v>3</v>
      </c>
      <c r="E4">
        <v>4</v>
      </c>
      <c r="G4" s="42" t="s">
        <v>304</v>
      </c>
      <c r="H4" s="42"/>
      <c r="I4" s="42"/>
      <c r="J4" s="42"/>
      <c r="K4" s="42"/>
      <c r="L4" s="42"/>
      <c r="M4" s="42" t="s">
        <v>304</v>
      </c>
      <c r="N4" s="42"/>
      <c r="O4" s="15"/>
      <c r="P4" s="15"/>
    </row>
    <row r="5" spans="2:16" ht="15.6">
      <c r="B5" s="41" t="s">
        <v>35</v>
      </c>
      <c r="C5" s="41" t="str">
        <f>VLOOKUP(B5,Datos_SPIKA!K5:L29,2,0)</f>
        <v>[Actividad malintencionada / abuso] Introducción de falsa información</v>
      </c>
      <c r="D5">
        <v>2</v>
      </c>
      <c r="E5">
        <v>3</v>
      </c>
      <c r="G5" s="42" t="s">
        <v>304</v>
      </c>
      <c r="H5" s="42"/>
      <c r="I5" s="42"/>
      <c r="J5" s="42"/>
      <c r="K5" s="42"/>
      <c r="L5" s="42"/>
      <c r="M5" s="42"/>
      <c r="N5" s="42"/>
      <c r="O5" s="15"/>
      <c r="P5" s="15"/>
    </row>
    <row r="6" spans="2:16" ht="15.6">
      <c r="B6" s="41" t="s">
        <v>44</v>
      </c>
      <c r="C6" s="41" t="str">
        <f>VLOOKUP(B6,Datos_SPIKA!K6:L30,2,0)</f>
        <v>[Actividad malintencionada / abuso] Alteración de la información</v>
      </c>
      <c r="D6">
        <v>2</v>
      </c>
      <c r="E6">
        <v>2</v>
      </c>
      <c r="G6" s="42" t="s">
        <v>304</v>
      </c>
      <c r="H6" s="42"/>
      <c r="I6" s="42"/>
      <c r="J6" s="42"/>
      <c r="K6" s="42"/>
      <c r="L6" s="42"/>
      <c r="M6" s="42"/>
      <c r="N6" s="42"/>
      <c r="O6" s="15"/>
      <c r="P6" s="15"/>
    </row>
    <row r="7" spans="2:16" ht="15.6">
      <c r="B7" s="41" t="s">
        <v>53</v>
      </c>
      <c r="C7" s="41" t="str">
        <f>VLOOKUP(B7,Datos_SPIKA!K7:L31,2,0)</f>
        <v>[Actividad malintencionada / abuso] Destrucción de información</v>
      </c>
      <c r="D7">
        <v>2</v>
      </c>
      <c r="E7">
        <v>2</v>
      </c>
      <c r="G7" s="42" t="s">
        <v>304</v>
      </c>
      <c r="H7" s="42"/>
      <c r="I7" s="42"/>
      <c r="J7" s="42"/>
      <c r="K7" s="42"/>
      <c r="L7" s="42"/>
      <c r="M7" s="42"/>
      <c r="N7" s="42"/>
      <c r="O7" s="15"/>
      <c r="P7" s="15"/>
    </row>
    <row r="8" spans="2:16" ht="15.6">
      <c r="B8" s="41" t="s">
        <v>60</v>
      </c>
      <c r="C8" s="41" t="str">
        <f>VLOOKUP(B8,Datos_SPIKA!K8:L32,2,0)</f>
        <v>[Actividad malintencionada / abuso] Interceptación de información (escucha)</v>
      </c>
      <c r="D8">
        <v>3</v>
      </c>
      <c r="E8">
        <v>4</v>
      </c>
      <c r="G8" s="42" t="s">
        <v>304</v>
      </c>
      <c r="H8" s="42"/>
      <c r="I8" s="42"/>
      <c r="J8" s="42"/>
      <c r="K8" s="42"/>
      <c r="L8" s="42"/>
      <c r="M8" s="42"/>
      <c r="N8" s="42"/>
      <c r="O8" s="15"/>
      <c r="P8" s="15"/>
    </row>
    <row r="9" spans="2:16" ht="15.6">
      <c r="B9" s="41" t="s">
        <v>68</v>
      </c>
      <c r="C9" s="41" t="str">
        <f>VLOOKUP(B9,Datos_SPIKA!K9:L33,2,0)</f>
        <v>[Malfuncionamiento] Corte del suministro eléctrico</v>
      </c>
      <c r="D9">
        <v>1</v>
      </c>
      <c r="E9">
        <v>2</v>
      </c>
      <c r="G9" s="42"/>
      <c r="H9" s="42"/>
      <c r="I9" s="42" t="s">
        <v>304</v>
      </c>
      <c r="J9" s="42"/>
      <c r="K9" s="42" t="s">
        <v>304</v>
      </c>
      <c r="L9" s="42"/>
      <c r="M9" s="42"/>
      <c r="N9" s="42"/>
      <c r="O9" s="15"/>
      <c r="P9" s="15"/>
    </row>
    <row r="10" spans="2:16" ht="15.6">
      <c r="B10" s="41" t="s">
        <v>76</v>
      </c>
      <c r="C10" s="41" t="str">
        <f>VLOOKUP(B10,Datos_SPIKA!K10:L34,2,0)</f>
        <v>[Desastre] Condiciones inadecuadas de temperatura o humedad</v>
      </c>
      <c r="D10">
        <v>1</v>
      </c>
      <c r="E10">
        <v>2</v>
      </c>
      <c r="G10" s="42"/>
      <c r="H10" s="42"/>
      <c r="I10" s="42" t="s">
        <v>304</v>
      </c>
      <c r="J10" s="42"/>
      <c r="K10" s="42"/>
      <c r="L10" s="42"/>
      <c r="M10" s="42"/>
      <c r="N10" s="42"/>
      <c r="O10" s="15"/>
      <c r="P10" s="15"/>
    </row>
    <row r="11" spans="2:16" ht="15.6">
      <c r="B11" s="41" t="s">
        <v>82</v>
      </c>
      <c r="C11" s="41" t="str">
        <f>VLOOKUP(B11,Datos_SPIKA!K11:L36,2,0)</f>
        <v>[Malfuncionamiento] Fallo de servicios de comunicaciones</v>
      </c>
      <c r="D11">
        <v>2</v>
      </c>
      <c r="E11">
        <v>2</v>
      </c>
      <c r="G11" s="42"/>
      <c r="H11" s="42"/>
      <c r="I11" s="42"/>
      <c r="J11" s="42" t="s">
        <v>304</v>
      </c>
      <c r="K11" s="42"/>
      <c r="L11" s="42"/>
      <c r="M11" s="42"/>
      <c r="N11" s="42"/>
      <c r="O11" s="15"/>
      <c r="P11" s="15"/>
    </row>
    <row r="12" spans="2:16" ht="15.6">
      <c r="B12" s="41" t="s">
        <v>88</v>
      </c>
      <c r="C12" s="41" t="str">
        <f>VLOOKUP(B12,Datos_SPIKA!K12:L37,2,0)</f>
        <v>[Indisponibilidad del recurso] Interrupción de servicios y suministros esenciales</v>
      </c>
      <c r="D12">
        <v>2</v>
      </c>
      <c r="E12">
        <v>3</v>
      </c>
      <c r="G12" s="42"/>
      <c r="H12" s="42" t="s">
        <v>304</v>
      </c>
      <c r="I12" s="42"/>
      <c r="J12" s="42" t="s">
        <v>304</v>
      </c>
      <c r="K12" s="42"/>
      <c r="L12" s="42"/>
      <c r="M12" s="42"/>
      <c r="N12" s="42"/>
      <c r="O12" s="15"/>
      <c r="P12" s="15"/>
    </row>
    <row r="13" spans="2:16" ht="15.6">
      <c r="B13" s="41" t="s">
        <v>94</v>
      </c>
      <c r="C13" s="41" t="str">
        <f>VLOOKUP(B13,Datos_SPIKA!K13:L38,2,0)</f>
        <v>[Desastre] Desastres industriales</v>
      </c>
      <c r="D13">
        <v>1</v>
      </c>
      <c r="E13">
        <v>4</v>
      </c>
      <c r="G13" s="42"/>
      <c r="H13" s="42"/>
      <c r="I13" s="42" t="s">
        <v>304</v>
      </c>
      <c r="J13" s="42"/>
      <c r="K13" s="42" t="s">
        <v>304</v>
      </c>
      <c r="L13" s="42" t="s">
        <v>304</v>
      </c>
      <c r="M13" s="42"/>
      <c r="N13" s="42"/>
      <c r="O13" s="15"/>
      <c r="P13" s="15"/>
    </row>
    <row r="14" spans="2:16" ht="15.6">
      <c r="B14" s="41" t="s">
        <v>100</v>
      </c>
      <c r="C14" s="41" t="str">
        <f>VLOOKUP(B14,Datos_SPIKA!K14:L39,2,0)</f>
        <v>[Daños accidentales] Errores de los usuarios</v>
      </c>
      <c r="D14">
        <v>2</v>
      </c>
      <c r="E14">
        <v>2</v>
      </c>
      <c r="G14" s="42"/>
      <c r="H14" s="42"/>
      <c r="I14" s="42"/>
      <c r="J14" s="42"/>
      <c r="K14" s="42"/>
      <c r="L14" s="42" t="s">
        <v>304</v>
      </c>
      <c r="M14" s="42"/>
      <c r="N14" s="42"/>
      <c r="O14" s="15"/>
      <c r="P14" s="15"/>
    </row>
    <row r="15" spans="2:16" ht="15.6">
      <c r="B15" s="41" t="s">
        <v>106</v>
      </c>
      <c r="C15" s="41" t="str">
        <f>VLOOKUP(B15,Datos_SPIKA!K15:L41,2,0)</f>
        <v>[Daños accidentales] Errores del administrador</v>
      </c>
      <c r="D15">
        <v>1</v>
      </c>
      <c r="E15">
        <v>4</v>
      </c>
      <c r="G15" s="42"/>
      <c r="H15" s="42"/>
      <c r="I15" s="42"/>
      <c r="J15" s="42"/>
      <c r="K15" s="42"/>
      <c r="L15" s="42" t="s">
        <v>304</v>
      </c>
      <c r="M15" s="42"/>
      <c r="N15" s="42"/>
      <c r="O15" s="15"/>
      <c r="P15" s="15"/>
    </row>
    <row r="16" spans="2:16" ht="15.6">
      <c r="B16" s="41" t="s">
        <v>112</v>
      </c>
      <c r="C16" s="41" t="str">
        <f>VLOOKUP(B16,Datos_SPIKA!K16:L42,2,0)</f>
        <v>[Daños accidentales] Errores de configuración</v>
      </c>
      <c r="D16">
        <v>2</v>
      </c>
      <c r="E16">
        <v>3</v>
      </c>
      <c r="G16" s="42"/>
      <c r="H16" s="42" t="s">
        <v>304</v>
      </c>
      <c r="I16" s="42" t="s">
        <v>304</v>
      </c>
      <c r="J16" s="42"/>
      <c r="K16" s="42"/>
      <c r="L16" s="42"/>
      <c r="M16" s="42"/>
      <c r="N16" s="42"/>
      <c r="O16" s="15"/>
      <c r="P16" s="15"/>
    </row>
    <row r="17" spans="1:16" ht="15.6">
      <c r="B17" s="41" t="s">
        <v>118</v>
      </c>
      <c r="C17" s="41" t="str">
        <f>VLOOKUP(B17,Datos_SPIKA!K17:L43,2,0)</f>
        <v>[Daños accidentales] Degradación de los soportes de almacenamiento de la información</v>
      </c>
      <c r="D17">
        <v>2</v>
      </c>
      <c r="E17">
        <v>3</v>
      </c>
      <c r="G17" s="42" t="s">
        <v>304</v>
      </c>
      <c r="H17" s="42"/>
      <c r="I17" s="42"/>
      <c r="J17" s="42"/>
      <c r="K17" s="42"/>
      <c r="L17" s="42"/>
      <c r="M17" s="42"/>
      <c r="N17" s="42"/>
      <c r="O17" s="15"/>
      <c r="P17" s="15"/>
    </row>
    <row r="18" spans="1:16" ht="15.6">
      <c r="B18" s="41" t="s">
        <v>124</v>
      </c>
      <c r="C18" s="41" t="str">
        <f>VLOOKUP(B18,Datos_SPIKA!K18:L44,2,0)</f>
        <v>[Actividad malintencionada / abuso] Instalación de software dañino</v>
      </c>
      <c r="D18">
        <v>3</v>
      </c>
      <c r="E18">
        <v>3</v>
      </c>
      <c r="G18" s="42"/>
      <c r="H18" s="42" t="s">
        <v>304</v>
      </c>
      <c r="I18" s="42"/>
      <c r="J18" s="42"/>
      <c r="K18" s="42"/>
      <c r="L18" s="42"/>
      <c r="M18" s="42" t="s">
        <v>304</v>
      </c>
      <c r="N18" s="42"/>
      <c r="O18" s="15"/>
      <c r="P18" s="15"/>
    </row>
    <row r="19" spans="1:16" ht="15.6">
      <c r="B19" s="41" t="s">
        <v>130</v>
      </c>
      <c r="C19" s="41" t="str">
        <f>VLOOKUP(B19,Datos_SPIKA!K19:L45,2,0)</f>
        <v>[Daños accidentales] Errores de mantenimiento / actualización de programas (software)</v>
      </c>
      <c r="D19">
        <v>2</v>
      </c>
      <c r="E19">
        <v>3</v>
      </c>
      <c r="G19" s="42"/>
      <c r="H19" s="42" t="s">
        <v>304</v>
      </c>
      <c r="I19" s="42" t="s">
        <v>304</v>
      </c>
      <c r="J19" s="42"/>
      <c r="K19" s="42"/>
      <c r="L19" s="42"/>
      <c r="M19" s="42" t="s">
        <v>304</v>
      </c>
      <c r="N19" s="42" t="s">
        <v>304</v>
      </c>
      <c r="O19" s="15"/>
      <c r="P19" s="15"/>
    </row>
    <row r="20" spans="1:16" ht="15.6">
      <c r="B20" s="41" t="s">
        <v>136</v>
      </c>
      <c r="C20" s="41" t="str">
        <f>VLOOKUP(B20,Datos_SPIKA!K20:L46,2,0)</f>
        <v>[Indisponibilidad del recurso] Caída del sistema por sobrecarga</v>
      </c>
      <c r="D20">
        <v>1</v>
      </c>
      <c r="E20">
        <v>4</v>
      </c>
      <c r="G20" s="42"/>
      <c r="H20" s="42"/>
      <c r="I20" s="42" t="s">
        <v>304</v>
      </c>
      <c r="J20" s="42"/>
      <c r="K20" s="42"/>
      <c r="L20" s="42"/>
      <c r="M20" s="42"/>
      <c r="N20" s="42"/>
      <c r="O20" s="15"/>
      <c r="P20" s="15"/>
    </row>
    <row r="21" spans="1:16" ht="15.6">
      <c r="B21" s="41" t="s">
        <v>142</v>
      </c>
      <c r="C21" s="41" t="str">
        <f>VLOOKUP(B21,Datos_SPIKA!K21:L47,2,0)</f>
        <v>[Daños accidentales] Pérdida de equipos</v>
      </c>
      <c r="D21">
        <v>2</v>
      </c>
      <c r="E21">
        <v>4</v>
      </c>
      <c r="G21" s="42"/>
      <c r="H21" s="42"/>
      <c r="I21" s="42" t="s">
        <v>304</v>
      </c>
      <c r="J21" s="42"/>
      <c r="K21" s="42"/>
      <c r="L21" s="42"/>
      <c r="M21" s="42"/>
      <c r="N21" s="42"/>
      <c r="O21" s="15"/>
      <c r="P21" s="15"/>
    </row>
    <row r="22" spans="1:16" ht="15.6">
      <c r="B22" s="41" t="s">
        <v>148</v>
      </c>
      <c r="C22" s="41" t="str">
        <f>VLOOKUP(B22,Datos_SPIKA!K22:L48,2,0)</f>
        <v>[Indisponibilidad del recurso] Indisponibilidad del personal</v>
      </c>
      <c r="D22">
        <v>1</v>
      </c>
      <c r="E22">
        <v>2</v>
      </c>
      <c r="G22" s="42"/>
      <c r="H22" s="42"/>
      <c r="I22" s="42"/>
      <c r="J22" s="42"/>
      <c r="K22" s="42"/>
      <c r="L22" s="42" t="s">
        <v>304</v>
      </c>
      <c r="M22" s="42"/>
      <c r="N22" s="42" t="s">
        <v>304</v>
      </c>
      <c r="O22" s="15"/>
      <c r="P22" s="15"/>
    </row>
    <row r="23" spans="1:16" ht="15.6">
      <c r="B23" s="41" t="s">
        <v>154</v>
      </c>
      <c r="C23" s="41" t="str">
        <f>VLOOKUP(B23,Datos_SPIKA!K23:L49,2,0)</f>
        <v>[Actividad malintencionada / abuso] Abuso de privilegios de acceso</v>
      </c>
      <c r="D23">
        <v>3</v>
      </c>
      <c r="E23">
        <v>4</v>
      </c>
      <c r="G23" s="42"/>
      <c r="H23" s="42" t="s">
        <v>304</v>
      </c>
      <c r="I23" s="42"/>
      <c r="J23" s="42"/>
      <c r="K23" s="42" t="s">
        <v>304</v>
      </c>
      <c r="L23" s="42"/>
      <c r="M23" s="42" t="s">
        <v>304</v>
      </c>
      <c r="N23" s="42"/>
      <c r="O23" s="15"/>
      <c r="P23" s="15"/>
    </row>
    <row r="24" spans="1:16" ht="15.6">
      <c r="B24" s="41" t="s">
        <v>160</v>
      </c>
      <c r="C24" s="41" t="str">
        <f>VLOOKUP(B24,Datos_SPIKA!K24:L50,2,0)</f>
        <v>[Actividad malintencionada / abuso] Acceso no autorizado</v>
      </c>
      <c r="D24">
        <v>3</v>
      </c>
      <c r="E24">
        <v>4</v>
      </c>
      <c r="G24" s="42"/>
      <c r="H24" s="42" t="s">
        <v>304</v>
      </c>
      <c r="I24" s="42" t="s">
        <v>304</v>
      </c>
      <c r="J24" s="42" t="s">
        <v>304</v>
      </c>
      <c r="K24" s="42" t="s">
        <v>304</v>
      </c>
      <c r="L24" s="42"/>
      <c r="M24" s="42" t="s">
        <v>304</v>
      </c>
      <c r="N24" s="42"/>
      <c r="O24" s="15"/>
      <c r="P24" s="15"/>
    </row>
    <row r="25" spans="1:16" ht="15.6">
      <c r="B25" s="41" t="s">
        <v>166</v>
      </c>
      <c r="C25" s="41" t="str">
        <f>VLOOKUP(B25,Datos_SPIKA!K25:L51,2,0)</f>
        <v>[Actividad malintencionada / abuso] Denegación de servicio</v>
      </c>
      <c r="D25">
        <v>3</v>
      </c>
      <c r="E25">
        <v>3</v>
      </c>
      <c r="G25" s="42"/>
      <c r="H25" s="42" t="s">
        <v>304</v>
      </c>
      <c r="I25" s="42" t="s">
        <v>304</v>
      </c>
      <c r="J25" s="42" t="s">
        <v>304</v>
      </c>
      <c r="K25" s="42"/>
      <c r="L25" s="42"/>
      <c r="M25" s="42" t="s">
        <v>304</v>
      </c>
      <c r="N25" s="42"/>
      <c r="O25" s="15"/>
      <c r="P25" s="15"/>
    </row>
    <row r="26" spans="1:16" ht="15.6">
      <c r="B26" s="41" t="s">
        <v>172</v>
      </c>
      <c r="C26" s="41" t="str">
        <f>VLOOKUP(B26,Datos_SPIKA!K26:L51,2,0)</f>
        <v>[Actividad malintencionada / abuso] Extorsión</v>
      </c>
      <c r="D26">
        <v>2</v>
      </c>
      <c r="E26">
        <v>3</v>
      </c>
      <c r="G26" s="42"/>
      <c r="H26" s="42"/>
      <c r="I26" s="42"/>
      <c r="J26" s="42"/>
      <c r="K26" s="42"/>
      <c r="L26" s="42" t="s">
        <v>304</v>
      </c>
      <c r="M26" s="42"/>
      <c r="N26" s="42" t="s">
        <v>304</v>
      </c>
      <c r="O26" s="15"/>
      <c r="P26" s="15"/>
    </row>
    <row r="27" spans="1:16" ht="15.6">
      <c r="B27" s="41" t="s">
        <v>178</v>
      </c>
      <c r="C27" s="41" t="str">
        <f>VLOOKUP(B27,Datos_SPIKA!K27:L52,2,0)</f>
        <v>[Actividad malintencionada / abuso] Ingeniería social</v>
      </c>
      <c r="D27">
        <v>4</v>
      </c>
      <c r="E27">
        <v>4</v>
      </c>
      <c r="G27" s="42"/>
      <c r="H27" s="42"/>
      <c r="I27" s="42"/>
      <c r="J27" s="42"/>
      <c r="K27" s="42"/>
      <c r="L27" s="42" t="s">
        <v>304</v>
      </c>
      <c r="M27" s="42"/>
      <c r="N27" s="42" t="s">
        <v>304</v>
      </c>
      <c r="O27" s="15"/>
      <c r="P27" s="15"/>
    </row>
    <row r="28" spans="1:16">
      <c r="A28" s="4"/>
      <c r="D28" s="4"/>
      <c r="E28" s="4"/>
      <c r="G28" s="4"/>
      <c r="H28" s="4"/>
      <c r="I28" s="4"/>
      <c r="J28" s="4"/>
      <c r="K28" s="4"/>
      <c r="L28" s="4"/>
      <c r="M28" s="4"/>
      <c r="N28" s="4"/>
      <c r="O28" s="4"/>
      <c r="P28" s="4"/>
    </row>
    <row r="29" spans="1:16">
      <c r="A29" s="4"/>
      <c r="D29" s="4"/>
      <c r="E29" s="4"/>
      <c r="G29" s="4"/>
      <c r="H29" s="4"/>
      <c r="I29" s="4"/>
      <c r="J29" s="4"/>
      <c r="K29" s="4"/>
      <c r="L29" s="4"/>
      <c r="M29" s="4"/>
      <c r="N29" s="4"/>
      <c r="O29" s="4"/>
      <c r="P29" s="4"/>
    </row>
    <row r="30" spans="1:16">
      <c r="A30" s="4"/>
      <c r="D30" s="4"/>
      <c r="E30" s="4"/>
      <c r="G30" s="4"/>
      <c r="H30" s="4"/>
      <c r="I30" s="4"/>
      <c r="J30" s="4"/>
      <c r="K30" s="4"/>
      <c r="L30" s="4"/>
      <c r="M30" s="4"/>
      <c r="N30" s="4"/>
      <c r="O30" s="4"/>
      <c r="P30" s="4"/>
    </row>
    <row r="31" spans="1:16">
      <c r="A31" s="4"/>
      <c r="D31" s="4"/>
      <c r="E31" s="4"/>
      <c r="G31" s="4"/>
      <c r="H31" s="4"/>
      <c r="I31" s="4"/>
      <c r="J31" s="4"/>
      <c r="K31" s="4"/>
      <c r="L31" s="4"/>
      <c r="M31" s="4"/>
      <c r="N31" s="4"/>
      <c r="O31" s="4"/>
      <c r="P31" s="4"/>
    </row>
    <row r="32" spans="1:16">
      <c r="A32" s="4"/>
      <c r="D32" s="4"/>
      <c r="E32" s="4"/>
      <c r="G32" s="4"/>
      <c r="H32" s="4"/>
      <c r="I32" s="4"/>
      <c r="J32" s="4"/>
      <c r="K32" s="4"/>
      <c r="L32" s="4"/>
      <c r="M32" s="4"/>
      <c r="N32" s="4"/>
      <c r="O32" s="4"/>
      <c r="P32" s="4"/>
    </row>
    <row r="33" spans="1:16">
      <c r="A33" s="4"/>
      <c r="D33" s="4"/>
      <c r="E33" s="4"/>
      <c r="G33" s="4"/>
      <c r="H33" s="4"/>
      <c r="I33" s="4"/>
      <c r="J33" s="4"/>
      <c r="K33" s="4"/>
      <c r="L33" s="4"/>
      <c r="M33" s="4"/>
      <c r="N33" s="4"/>
      <c r="O33" s="4"/>
      <c r="P33" s="4"/>
    </row>
    <row r="34" spans="1:16">
      <c r="A34" s="4"/>
      <c r="D34" s="4"/>
      <c r="E34" s="4"/>
      <c r="G34" s="4"/>
      <c r="H34" s="4"/>
      <c r="I34" s="4"/>
      <c r="J34" s="4"/>
      <c r="K34" s="4"/>
      <c r="L34" s="4"/>
      <c r="M34" s="4"/>
      <c r="N34" s="4"/>
      <c r="O34" s="4"/>
      <c r="P34" s="4"/>
    </row>
    <row r="35" spans="1:16">
      <c r="A35" s="4"/>
      <c r="D35" s="4"/>
      <c r="E35" s="4"/>
      <c r="G35" s="4"/>
      <c r="H35" s="4"/>
      <c r="I35" s="4"/>
      <c r="J35" s="4"/>
      <c r="K35" s="4"/>
      <c r="L35" s="4"/>
      <c r="M35" s="4"/>
      <c r="N35" s="4"/>
      <c r="O35" s="4"/>
      <c r="P35" s="4"/>
    </row>
    <row r="36" spans="1:16">
      <c r="A36" s="4"/>
      <c r="D36" s="4"/>
      <c r="E36" s="4"/>
      <c r="G36" s="4"/>
      <c r="H36" s="4"/>
      <c r="I36" s="4"/>
      <c r="J36" s="4"/>
      <c r="K36" s="4"/>
      <c r="L36" s="4"/>
      <c r="M36" s="4"/>
      <c r="N36" s="4"/>
      <c r="O36" s="4"/>
      <c r="P36" s="4"/>
    </row>
    <row r="37" spans="1:16">
      <c r="A37" s="4"/>
      <c r="D37" s="4"/>
      <c r="E37" s="4"/>
      <c r="G37" s="4"/>
      <c r="H37" s="4"/>
      <c r="I37" s="4"/>
      <c r="J37" s="4"/>
      <c r="K37" s="4"/>
      <c r="L37" s="4"/>
      <c r="M37" s="4"/>
      <c r="N37" s="4"/>
      <c r="O37" s="4"/>
      <c r="P37" s="4"/>
    </row>
    <row r="38" spans="1:16">
      <c r="A38" s="4"/>
      <c r="D38" s="4"/>
      <c r="E38" s="4"/>
      <c r="G38" s="4"/>
      <c r="H38" s="4"/>
      <c r="I38" s="4"/>
      <c r="J38" s="4"/>
      <c r="K38" s="4"/>
      <c r="L38" s="4"/>
      <c r="M38" s="4"/>
      <c r="N38" s="4"/>
      <c r="O38" s="4"/>
      <c r="P38" s="4"/>
    </row>
    <row r="39" spans="1:16">
      <c r="A39" s="4"/>
      <c r="D39" s="4"/>
      <c r="E39" s="4"/>
      <c r="G39" s="4"/>
      <c r="H39" s="4"/>
      <c r="I39" s="4"/>
      <c r="J39" s="4"/>
      <c r="K39" s="4"/>
      <c r="L39" s="4"/>
      <c r="M39" s="4"/>
      <c r="N39" s="4"/>
      <c r="O39" s="4"/>
      <c r="P39" s="4"/>
    </row>
    <row r="40" spans="1:16" ht="13.5" customHeight="1">
      <c r="A40" s="4"/>
      <c r="D40" s="4"/>
      <c r="E40" s="4"/>
      <c r="G40" s="4"/>
      <c r="H40" s="4"/>
      <c r="I40" s="4"/>
      <c r="J40" s="4"/>
      <c r="K40" s="4"/>
      <c r="L40" s="4"/>
      <c r="M40" s="4"/>
      <c r="N40" s="4"/>
      <c r="O40" s="4"/>
      <c r="P40" s="4"/>
    </row>
    <row r="41" spans="1:16" ht="13.5" customHeight="1">
      <c r="A41" s="4"/>
      <c r="D41" s="4"/>
      <c r="E41" s="4"/>
      <c r="G41" s="4"/>
      <c r="H41" s="4"/>
      <c r="I41" s="4"/>
      <c r="J41" s="4"/>
      <c r="K41" s="4"/>
      <c r="L41" s="4"/>
      <c r="M41" s="4"/>
      <c r="N41" s="4"/>
      <c r="O41" s="4"/>
      <c r="P41" s="4"/>
    </row>
    <row r="42" spans="1:16" ht="13.5" customHeight="1">
      <c r="A42" s="4"/>
      <c r="D42" s="4"/>
      <c r="E42" s="4"/>
      <c r="G42" s="4"/>
      <c r="H42" s="4"/>
      <c r="I42" s="4"/>
      <c r="J42" s="4"/>
      <c r="K42" s="4"/>
      <c r="L42" s="4"/>
      <c r="M42" s="4"/>
      <c r="N42" s="4"/>
      <c r="O42" s="4"/>
      <c r="P42" s="4"/>
    </row>
    <row r="43" spans="1:16" ht="13.5" customHeight="1">
      <c r="A43" s="4"/>
      <c r="D43" s="4"/>
      <c r="E43" s="4"/>
      <c r="G43" s="4"/>
      <c r="H43" s="4"/>
      <c r="I43" s="4"/>
      <c r="J43" s="4"/>
      <c r="K43" s="4"/>
      <c r="L43" s="4"/>
      <c r="M43" s="4"/>
      <c r="N43" s="4"/>
      <c r="O43" s="4"/>
      <c r="P43" s="4"/>
    </row>
    <row r="44" spans="1:16" ht="13.5" customHeight="1">
      <c r="A44" s="4"/>
      <c r="D44" s="4"/>
      <c r="E44" s="4"/>
      <c r="G44" s="4"/>
      <c r="H44" s="4"/>
      <c r="I44" s="4"/>
      <c r="J44" s="4"/>
      <c r="K44" s="4"/>
      <c r="L44" s="4"/>
      <c r="M44" s="4"/>
      <c r="N44" s="4"/>
      <c r="O44" s="4"/>
      <c r="P44" s="4"/>
    </row>
    <row r="45" spans="1:16" ht="13.5" customHeight="1">
      <c r="A45" s="4"/>
      <c r="D45" s="4"/>
      <c r="E45" s="4"/>
      <c r="G45" s="4"/>
      <c r="H45" s="4"/>
      <c r="I45" s="4"/>
      <c r="J45" s="4"/>
      <c r="K45" s="4"/>
      <c r="L45" s="4"/>
      <c r="M45" s="4"/>
      <c r="N45" s="4"/>
      <c r="O45" s="4"/>
      <c r="P45" s="4"/>
    </row>
    <row r="46" spans="1:16" ht="13.5" customHeight="1">
      <c r="A46" s="4"/>
      <c r="D46" s="4"/>
      <c r="E46" s="4"/>
      <c r="G46" s="4"/>
      <c r="H46" s="4"/>
      <c r="I46" s="4"/>
      <c r="J46" s="4"/>
      <c r="K46" s="4"/>
      <c r="L46" s="4"/>
      <c r="M46" s="4"/>
      <c r="N46" s="4"/>
      <c r="O46" s="4"/>
      <c r="P46" s="4"/>
    </row>
    <row r="47" spans="1:16" ht="13.5" customHeight="1">
      <c r="A47" s="4"/>
      <c r="D47" s="4"/>
      <c r="E47" s="4"/>
      <c r="G47" s="4"/>
      <c r="H47" s="4"/>
      <c r="I47" s="4"/>
      <c r="J47" s="4"/>
      <c r="K47" s="4"/>
      <c r="L47" s="4"/>
      <c r="M47" s="4"/>
      <c r="N47" s="4"/>
      <c r="O47" s="4"/>
      <c r="P47" s="4"/>
    </row>
    <row r="48" spans="1:16" ht="13.5" customHeight="1">
      <c r="A48" s="4"/>
      <c r="D48" s="4"/>
      <c r="E48" s="4"/>
      <c r="G48" s="4"/>
      <c r="H48" s="4"/>
      <c r="I48" s="4"/>
      <c r="J48" s="4"/>
      <c r="K48" s="4"/>
      <c r="L48" s="4"/>
      <c r="M48" s="4"/>
      <c r="N48" s="4"/>
      <c r="O48" s="4"/>
      <c r="P48" s="4"/>
    </row>
    <row r="49" spans="1:16" ht="13.5" customHeight="1">
      <c r="A49" s="4"/>
      <c r="D49" s="4"/>
      <c r="E49" s="4"/>
      <c r="G49" s="4"/>
      <c r="H49" s="4"/>
      <c r="I49" s="4"/>
      <c r="J49" s="4"/>
      <c r="K49" s="4"/>
      <c r="L49" s="4"/>
      <c r="M49" s="4"/>
      <c r="N49" s="4"/>
      <c r="O49" s="4"/>
      <c r="P49" s="4"/>
    </row>
    <row r="50" spans="1:16" ht="13.5" customHeight="1">
      <c r="A50" s="4"/>
      <c r="D50" s="4"/>
      <c r="E50" s="4"/>
      <c r="G50" s="4"/>
      <c r="H50" s="4"/>
      <c r="I50" s="4"/>
      <c r="J50" s="4"/>
      <c r="K50" s="4"/>
      <c r="L50" s="4"/>
      <c r="M50" s="4"/>
      <c r="N50" s="4"/>
      <c r="O50" s="4"/>
      <c r="P50" s="4"/>
    </row>
    <row r="51" spans="1:16" ht="13.5" customHeight="1">
      <c r="A51" s="4"/>
      <c r="D51" s="4"/>
      <c r="E51" s="4"/>
      <c r="G51" s="4"/>
      <c r="H51" s="4"/>
      <c r="I51" s="4"/>
      <c r="J51" s="4"/>
      <c r="K51" s="4"/>
      <c r="L51" s="4"/>
      <c r="M51" s="4"/>
      <c r="N51" s="4"/>
      <c r="O51" s="4"/>
      <c r="P51" s="4"/>
    </row>
    <row r="52" spans="1:16" ht="13.5" customHeight="1">
      <c r="A52" s="4"/>
      <c r="D52" s="4"/>
      <c r="E52" s="4"/>
      <c r="G52" s="4"/>
      <c r="H52" s="4"/>
      <c r="I52" s="4"/>
      <c r="J52" s="4"/>
      <c r="K52" s="4"/>
      <c r="L52" s="4"/>
      <c r="M52" s="4"/>
      <c r="N52" s="4"/>
      <c r="O52" s="4"/>
      <c r="P52" s="4"/>
    </row>
    <row r="53" spans="1:16" ht="13.5" customHeight="1">
      <c r="A53" s="4"/>
      <c r="D53" s="4"/>
      <c r="E53" s="4"/>
      <c r="G53" s="4"/>
      <c r="H53" s="4"/>
      <c r="I53" s="4"/>
      <c r="J53" s="4"/>
      <c r="K53" s="4"/>
      <c r="L53" s="4"/>
      <c r="M53" s="4"/>
      <c r="N53" s="4"/>
      <c r="O53" s="4"/>
      <c r="P53" s="4"/>
    </row>
    <row r="54" spans="1:16" ht="13.5" customHeight="1">
      <c r="A54" s="4"/>
      <c r="D54" s="4"/>
      <c r="E54" s="4"/>
      <c r="G54" s="4"/>
      <c r="H54" s="4"/>
      <c r="I54" s="4"/>
      <c r="J54" s="4"/>
      <c r="K54" s="4"/>
      <c r="L54" s="4"/>
      <c r="M54" s="4"/>
      <c r="N54" s="4"/>
      <c r="O54" s="4"/>
      <c r="P54" s="4"/>
    </row>
    <row r="55" spans="1:16" ht="13.5" customHeight="1">
      <c r="A55" s="4"/>
      <c r="D55" s="4"/>
      <c r="E55" s="4"/>
      <c r="G55" s="4"/>
      <c r="H55" s="4"/>
      <c r="I55" s="4"/>
      <c r="J55" s="4"/>
      <c r="K55" s="4"/>
      <c r="L55" s="4"/>
      <c r="M55" s="4"/>
      <c r="N55" s="4"/>
      <c r="O55" s="4"/>
      <c r="P55" s="4"/>
    </row>
    <row r="56" spans="1:16" ht="13.5" customHeight="1">
      <c r="A56" s="4"/>
      <c r="D56" s="4"/>
      <c r="E56" s="4"/>
      <c r="G56" s="4"/>
      <c r="H56" s="4"/>
      <c r="I56" s="4"/>
      <c r="J56" s="4"/>
      <c r="K56" s="4"/>
      <c r="L56" s="4"/>
      <c r="M56" s="4"/>
      <c r="N56" s="4"/>
      <c r="O56" s="4"/>
      <c r="P56" s="4"/>
    </row>
    <row r="57" spans="1:16" ht="13.5" customHeight="1">
      <c r="A57" s="4"/>
      <c r="D57" s="4"/>
      <c r="E57" s="4"/>
      <c r="G57" s="4"/>
      <c r="H57" s="4"/>
      <c r="I57" s="4"/>
      <c r="J57" s="4"/>
      <c r="K57" s="4"/>
      <c r="L57" s="4"/>
      <c r="M57" s="4"/>
      <c r="N57" s="4"/>
      <c r="O57" s="4"/>
      <c r="P57" s="4"/>
    </row>
    <row r="58" spans="1:16" ht="13.5" customHeight="1">
      <c r="A58" s="4"/>
      <c r="D58" s="4"/>
      <c r="E58" s="4"/>
      <c r="G58" s="4"/>
      <c r="H58" s="4"/>
      <c r="I58" s="4"/>
      <c r="J58" s="4"/>
      <c r="K58" s="4"/>
      <c r="L58" s="4"/>
      <c r="M58" s="4"/>
      <c r="N58" s="4"/>
      <c r="O58" s="4"/>
      <c r="P58" s="4"/>
    </row>
    <row r="59" spans="1:16" ht="13.5" customHeight="1">
      <c r="A59" s="4"/>
      <c r="D59" s="4"/>
      <c r="E59" s="4"/>
      <c r="G59" s="4"/>
      <c r="H59" s="4"/>
      <c r="I59" s="4"/>
      <c r="J59" s="4"/>
      <c r="K59" s="4"/>
      <c r="L59" s="4"/>
      <c r="M59" s="4"/>
      <c r="N59" s="4"/>
      <c r="O59" s="4"/>
      <c r="P59" s="4"/>
    </row>
    <row r="60" spans="1:16" ht="13.5" customHeight="1">
      <c r="A60" s="4"/>
      <c r="D60" s="4"/>
      <c r="E60" s="4"/>
      <c r="G60" s="4"/>
      <c r="H60" s="4"/>
      <c r="I60" s="4"/>
      <c r="J60" s="4"/>
      <c r="K60" s="4"/>
      <c r="L60" s="4"/>
      <c r="M60" s="4"/>
      <c r="N60" s="4"/>
      <c r="O60" s="4"/>
      <c r="P60" s="4"/>
    </row>
    <row r="61" spans="1:16" ht="13.5" customHeight="1">
      <c r="A61" s="4"/>
      <c r="D61" s="4"/>
      <c r="E61" s="4"/>
      <c r="G61" s="4"/>
      <c r="H61" s="4"/>
      <c r="I61" s="4"/>
      <c r="J61" s="4"/>
      <c r="K61" s="4"/>
      <c r="L61" s="4"/>
      <c r="M61" s="4"/>
      <c r="N61" s="4"/>
      <c r="O61" s="4"/>
      <c r="P61" s="4"/>
    </row>
    <row r="62" spans="1:16" ht="13.5" customHeight="1">
      <c r="A62" s="4"/>
      <c r="D62" s="4"/>
      <c r="E62" s="4"/>
      <c r="G62" s="4"/>
      <c r="H62" s="4"/>
      <c r="I62" s="4"/>
      <c r="J62" s="4"/>
      <c r="K62" s="4"/>
      <c r="L62" s="4"/>
      <c r="M62" s="4"/>
      <c r="N62" s="4"/>
      <c r="O62" s="4"/>
      <c r="P62" s="4"/>
    </row>
    <row r="63" spans="1:16" ht="13.5" customHeight="1">
      <c r="A63" s="4"/>
      <c r="D63" s="4"/>
      <c r="E63" s="4"/>
      <c r="G63" s="4"/>
      <c r="H63" s="4"/>
      <c r="I63" s="4"/>
      <c r="J63" s="4"/>
      <c r="K63" s="4"/>
      <c r="L63" s="4"/>
      <c r="M63" s="4"/>
      <c r="N63" s="4"/>
      <c r="O63" s="4"/>
      <c r="P63" s="4"/>
    </row>
    <row r="64" spans="1:16" ht="13.5" customHeight="1">
      <c r="A64" s="4"/>
      <c r="D64" s="4"/>
      <c r="E64" s="4"/>
      <c r="G64" s="4"/>
      <c r="H64" s="4"/>
      <c r="I64" s="4"/>
      <c r="J64" s="4"/>
      <c r="K64" s="4"/>
      <c r="L64" s="4"/>
      <c r="M64" s="4"/>
      <c r="N64" s="4"/>
      <c r="O64" s="4"/>
      <c r="P64" s="4"/>
    </row>
    <row r="65" spans="1:16" ht="13.5" customHeight="1">
      <c r="A65" s="4"/>
      <c r="D65" s="4"/>
      <c r="E65" s="4"/>
      <c r="G65" s="4"/>
      <c r="H65" s="4"/>
      <c r="I65" s="4"/>
      <c r="J65" s="4"/>
      <c r="K65" s="4"/>
      <c r="L65" s="4"/>
      <c r="M65" s="4"/>
      <c r="N65" s="4"/>
      <c r="O65" s="4"/>
      <c r="P65" s="4"/>
    </row>
    <row r="66" spans="1:16" ht="13.5" customHeight="1">
      <c r="A66" s="4"/>
      <c r="D66" s="4"/>
      <c r="E66" s="4"/>
      <c r="G66" s="4"/>
      <c r="H66" s="4"/>
      <c r="I66" s="4"/>
      <c r="J66" s="4"/>
      <c r="K66" s="4"/>
      <c r="L66" s="4"/>
      <c r="M66" s="4"/>
      <c r="N66" s="4"/>
      <c r="O66" s="4"/>
      <c r="P66" s="4"/>
    </row>
    <row r="67" spans="1:16" ht="13.5" customHeight="1">
      <c r="A67" s="4"/>
      <c r="D67" s="4"/>
      <c r="E67" s="4"/>
      <c r="G67" s="4"/>
      <c r="H67" s="4"/>
      <c r="I67" s="4"/>
      <c r="J67" s="4"/>
      <c r="K67" s="4"/>
      <c r="L67" s="4"/>
      <c r="M67" s="4"/>
      <c r="N67" s="4"/>
      <c r="O67" s="4"/>
      <c r="P67" s="4"/>
    </row>
    <row r="68" spans="1:16" ht="13.5" customHeight="1">
      <c r="A68" s="4"/>
      <c r="D68" s="4"/>
      <c r="E68" s="4"/>
      <c r="G68" s="4"/>
      <c r="H68" s="4"/>
      <c r="I68" s="4"/>
      <c r="J68" s="4"/>
      <c r="K68" s="4"/>
      <c r="L68" s="4"/>
      <c r="M68" s="4"/>
      <c r="N68" s="4"/>
      <c r="O68" s="4"/>
      <c r="P68" s="4"/>
    </row>
    <row r="69" spans="1:16" ht="13.5" customHeight="1">
      <c r="A69" s="4"/>
      <c r="D69" s="4"/>
      <c r="E69" s="4"/>
      <c r="G69" s="4"/>
      <c r="H69" s="4"/>
      <c r="I69" s="4"/>
      <c r="J69" s="4"/>
      <c r="K69" s="4"/>
      <c r="L69" s="4"/>
      <c r="M69" s="4"/>
      <c r="N69" s="4"/>
      <c r="O69" s="4"/>
      <c r="P69" s="4"/>
    </row>
    <row r="70" spans="1:16" ht="13.5" customHeight="1">
      <c r="A70" s="4"/>
      <c r="D70" s="4"/>
      <c r="E70" s="4"/>
      <c r="G70" s="4"/>
      <c r="H70" s="4"/>
      <c r="I70" s="4"/>
      <c r="J70" s="4"/>
      <c r="K70" s="4"/>
      <c r="L70" s="4"/>
      <c r="M70" s="4"/>
      <c r="N70" s="4"/>
      <c r="O70" s="4"/>
      <c r="P70" s="4"/>
    </row>
    <row r="71" spans="1:16" ht="13.5" customHeight="1">
      <c r="A71" s="4"/>
      <c r="D71" s="4"/>
      <c r="E71" s="4"/>
      <c r="G71" s="4"/>
      <c r="H71" s="4"/>
      <c r="I71" s="4"/>
      <c r="J71" s="4"/>
      <c r="K71" s="4"/>
      <c r="L71" s="4"/>
      <c r="M71" s="4"/>
      <c r="N71" s="4"/>
      <c r="O71" s="4"/>
      <c r="P71" s="4"/>
    </row>
    <row r="72" spans="1:16" ht="13.5" customHeight="1">
      <c r="A72" s="4"/>
      <c r="D72" s="4"/>
      <c r="E72" s="4"/>
      <c r="G72" s="4"/>
      <c r="H72" s="4"/>
      <c r="I72" s="4"/>
      <c r="J72" s="4"/>
      <c r="K72" s="4"/>
      <c r="L72" s="4"/>
      <c r="M72" s="4"/>
      <c r="N72" s="4"/>
      <c r="O72" s="4"/>
      <c r="P72" s="4"/>
    </row>
    <row r="73" spans="1:16" ht="13.5" customHeight="1">
      <c r="A73" s="4"/>
      <c r="D73" s="4"/>
      <c r="E73" s="4"/>
      <c r="G73" s="4"/>
      <c r="H73" s="4"/>
      <c r="I73" s="4"/>
      <c r="J73" s="4"/>
      <c r="K73" s="4"/>
      <c r="L73" s="4"/>
      <c r="M73" s="4"/>
      <c r="N73" s="4"/>
      <c r="O73" s="4"/>
      <c r="P73" s="4"/>
    </row>
    <row r="74" spans="1:16" ht="13.5" customHeight="1">
      <c r="A74" s="4"/>
      <c r="D74" s="4"/>
      <c r="E74" s="4"/>
      <c r="G74" s="4"/>
      <c r="H74" s="4"/>
      <c r="I74" s="4"/>
      <c r="J74" s="4"/>
      <c r="K74" s="4"/>
      <c r="L74" s="4"/>
      <c r="M74" s="4"/>
      <c r="N74" s="4"/>
      <c r="O74" s="4"/>
      <c r="P74" s="4"/>
    </row>
    <row r="75" spans="1:16" ht="13.5" customHeight="1">
      <c r="A75" s="4"/>
      <c r="D75" s="4"/>
      <c r="E75" s="4"/>
      <c r="G75" s="4"/>
      <c r="H75" s="4"/>
      <c r="I75" s="4"/>
      <c r="J75" s="4"/>
      <c r="K75" s="4"/>
      <c r="L75" s="4"/>
      <c r="M75" s="4"/>
      <c r="N75" s="4"/>
      <c r="O75" s="4"/>
      <c r="P75" s="4"/>
    </row>
    <row r="76" spans="1:16" ht="13.5" customHeight="1">
      <c r="A76" s="4"/>
      <c r="D76" s="4"/>
      <c r="E76" s="4"/>
      <c r="G76" s="4"/>
      <c r="H76" s="4"/>
      <c r="I76" s="4"/>
      <c r="J76" s="4"/>
      <c r="K76" s="4"/>
      <c r="L76" s="4"/>
      <c r="M76" s="4"/>
      <c r="N76" s="4"/>
      <c r="O76" s="4"/>
      <c r="P76" s="4"/>
    </row>
    <row r="77" spans="1:16" ht="13.5" customHeight="1">
      <c r="A77" s="4"/>
      <c r="D77" s="4"/>
      <c r="E77" s="4"/>
      <c r="G77" s="4"/>
      <c r="H77" s="4"/>
      <c r="I77" s="4"/>
      <c r="J77" s="4"/>
      <c r="K77" s="4"/>
      <c r="L77" s="4"/>
      <c r="M77" s="4"/>
      <c r="N77" s="4"/>
      <c r="O77" s="4"/>
      <c r="P77" s="4"/>
    </row>
    <row r="78" spans="1:16" ht="13.5" customHeight="1">
      <c r="A78" s="4"/>
      <c r="D78" s="4"/>
      <c r="E78" s="4"/>
      <c r="G78" s="4"/>
      <c r="H78" s="4"/>
      <c r="I78" s="4"/>
      <c r="J78" s="4"/>
      <c r="K78" s="4"/>
      <c r="L78" s="4"/>
      <c r="M78" s="4"/>
      <c r="N78" s="4"/>
      <c r="O78" s="4"/>
      <c r="P78" s="4"/>
    </row>
    <row r="79" spans="1:16" ht="13.5" customHeight="1">
      <c r="A79" s="4"/>
      <c r="D79" s="4"/>
      <c r="E79" s="4"/>
      <c r="G79" s="4"/>
      <c r="H79" s="4"/>
      <c r="I79" s="4"/>
      <c r="J79" s="4"/>
      <c r="K79" s="4"/>
      <c r="L79" s="4"/>
      <c r="M79" s="4"/>
      <c r="N79" s="4"/>
      <c r="O79" s="4"/>
      <c r="P79" s="4"/>
    </row>
    <row r="80" spans="1:16" ht="13.5" customHeight="1">
      <c r="A80" s="4"/>
      <c r="D80" s="4"/>
      <c r="E80" s="4"/>
      <c r="G80" s="4"/>
      <c r="H80" s="4"/>
      <c r="I80" s="4"/>
      <c r="J80" s="4"/>
      <c r="K80" s="4"/>
      <c r="L80" s="4"/>
      <c r="M80" s="4"/>
      <c r="N80" s="4"/>
      <c r="O80" s="4"/>
      <c r="P80" s="4"/>
    </row>
    <row r="81" spans="1:16" ht="13.5" customHeight="1">
      <c r="A81" s="4"/>
      <c r="D81" s="4"/>
      <c r="E81" s="4"/>
      <c r="G81" s="4"/>
      <c r="H81" s="4"/>
      <c r="I81" s="4"/>
      <c r="J81" s="4"/>
      <c r="K81" s="4"/>
      <c r="L81" s="4"/>
      <c r="M81" s="4"/>
      <c r="N81" s="4"/>
      <c r="O81" s="4"/>
      <c r="P81" s="4"/>
    </row>
    <row r="82" spans="1:16" ht="13.5" customHeight="1">
      <c r="A82" s="4"/>
      <c r="D82" s="4"/>
      <c r="E82" s="4"/>
      <c r="G82" s="4"/>
      <c r="H82" s="4"/>
      <c r="I82" s="4"/>
      <c r="J82" s="4"/>
      <c r="K82" s="4"/>
      <c r="L82" s="4"/>
      <c r="M82" s="4"/>
      <c r="N82" s="4"/>
      <c r="O82" s="4"/>
      <c r="P82" s="4"/>
    </row>
    <row r="83" spans="1:16" ht="13.5" customHeight="1">
      <c r="A83" s="4"/>
      <c r="D83" s="4"/>
      <c r="E83" s="4"/>
      <c r="G83" s="4"/>
      <c r="H83" s="4"/>
      <c r="I83" s="4"/>
      <c r="J83" s="4"/>
      <c r="K83" s="4"/>
      <c r="L83" s="4"/>
      <c r="M83" s="4"/>
      <c r="N83" s="4"/>
      <c r="O83" s="4"/>
      <c r="P83" s="4"/>
    </row>
    <row r="84" spans="1:16" ht="13.5" customHeight="1">
      <c r="A84" s="4"/>
      <c r="D84" s="4"/>
      <c r="E84" s="4"/>
      <c r="G84" s="4"/>
      <c r="H84" s="4"/>
      <c r="I84" s="4"/>
      <c r="J84" s="4"/>
      <c r="K84" s="4"/>
      <c r="L84" s="4"/>
      <c r="M84" s="4"/>
      <c r="N84" s="4"/>
      <c r="O84" s="4"/>
      <c r="P84" s="4"/>
    </row>
    <row r="85" spans="1:16" ht="13.5" customHeight="1">
      <c r="A85" s="4"/>
      <c r="D85" s="4"/>
      <c r="E85" s="4"/>
      <c r="G85" s="4"/>
      <c r="H85" s="4"/>
      <c r="I85" s="4"/>
      <c r="J85" s="4"/>
      <c r="K85" s="4"/>
      <c r="L85" s="4"/>
      <c r="M85" s="4"/>
      <c r="N85" s="4"/>
      <c r="O85" s="4"/>
      <c r="P85" s="4"/>
    </row>
    <row r="86" spans="1:16" ht="13.5" customHeight="1">
      <c r="A86" s="4"/>
      <c r="D86" s="4"/>
      <c r="E86" s="4"/>
      <c r="G86" s="4"/>
      <c r="H86" s="4"/>
      <c r="I86" s="4"/>
      <c r="J86" s="4"/>
      <c r="K86" s="4"/>
      <c r="L86" s="4"/>
      <c r="M86" s="4"/>
      <c r="N86" s="4"/>
      <c r="O86" s="4"/>
      <c r="P86" s="4"/>
    </row>
    <row r="87" spans="1:16" ht="13.5" customHeight="1">
      <c r="A87" s="4"/>
      <c r="D87" s="4"/>
      <c r="E87" s="4"/>
      <c r="G87" s="4"/>
      <c r="H87" s="4"/>
      <c r="I87" s="4"/>
      <c r="J87" s="4"/>
      <c r="K87" s="4"/>
      <c r="L87" s="4"/>
      <c r="M87" s="4"/>
      <c r="N87" s="4"/>
      <c r="O87" s="4"/>
      <c r="P87" s="4"/>
    </row>
    <row r="88" spans="1:16" ht="13.5" customHeight="1">
      <c r="A88" s="4"/>
      <c r="D88" s="4"/>
      <c r="E88" s="4"/>
      <c r="G88" s="4"/>
      <c r="H88" s="4"/>
      <c r="I88" s="4"/>
      <c r="J88" s="4"/>
      <c r="K88" s="4"/>
      <c r="L88" s="4"/>
      <c r="M88" s="4"/>
      <c r="N88" s="4"/>
      <c r="O88" s="4"/>
      <c r="P88" s="4"/>
    </row>
    <row r="89" spans="1:16" ht="13.5" customHeight="1">
      <c r="A89" s="4"/>
      <c r="D89" s="4"/>
      <c r="E89" s="4"/>
      <c r="G89" s="4"/>
      <c r="H89" s="4"/>
      <c r="I89" s="4"/>
      <c r="J89" s="4"/>
      <c r="K89" s="4"/>
      <c r="L89" s="4"/>
      <c r="M89" s="4"/>
      <c r="N89" s="4"/>
      <c r="O89" s="4"/>
      <c r="P89" s="4"/>
    </row>
    <row r="90" spans="1:16" ht="13.5" customHeight="1">
      <c r="A90" s="4"/>
      <c r="D90" s="4"/>
      <c r="E90" s="4"/>
      <c r="G90" s="4"/>
      <c r="H90" s="4"/>
      <c r="I90" s="4"/>
      <c r="J90" s="4"/>
      <c r="K90" s="4"/>
      <c r="L90" s="4"/>
      <c r="M90" s="4"/>
      <c r="N90" s="4"/>
      <c r="O90" s="4"/>
      <c r="P90" s="4"/>
    </row>
    <row r="91" spans="1:16" ht="13.5" customHeight="1">
      <c r="A91" s="4"/>
      <c r="D91" s="4"/>
      <c r="E91" s="4"/>
      <c r="G91" s="4"/>
      <c r="H91" s="4"/>
      <c r="I91" s="4"/>
      <c r="J91" s="4"/>
      <c r="K91" s="4"/>
      <c r="L91" s="4"/>
      <c r="M91" s="4"/>
      <c r="N91" s="4"/>
      <c r="O91" s="4"/>
      <c r="P91" s="4"/>
    </row>
    <row r="92" spans="1:16" ht="13.5" customHeight="1">
      <c r="A92" s="4"/>
      <c r="D92" s="4"/>
      <c r="E92" s="4"/>
      <c r="G92" s="4"/>
      <c r="H92" s="4"/>
      <c r="I92" s="4"/>
      <c r="J92" s="4"/>
      <c r="K92" s="4"/>
      <c r="L92" s="4"/>
      <c r="M92" s="4"/>
      <c r="N92" s="4"/>
      <c r="O92" s="4"/>
      <c r="P92" s="4"/>
    </row>
    <row r="93" spans="1:16" ht="13.5" customHeight="1">
      <c r="A93" s="4"/>
      <c r="D93" s="4"/>
      <c r="E93" s="4"/>
      <c r="G93" s="4"/>
      <c r="H93" s="4"/>
      <c r="I93" s="4"/>
      <c r="J93" s="4"/>
      <c r="K93" s="4"/>
      <c r="L93" s="4"/>
      <c r="M93" s="4"/>
      <c r="N93" s="4"/>
      <c r="O93" s="4"/>
      <c r="P93" s="4"/>
    </row>
    <row r="94" spans="1:16" ht="13.5" customHeight="1">
      <c r="A94" s="4"/>
      <c r="D94" s="4"/>
      <c r="E94" s="4"/>
      <c r="G94" s="4"/>
      <c r="H94" s="4"/>
      <c r="I94" s="4"/>
      <c r="J94" s="4"/>
      <c r="K94" s="4"/>
      <c r="L94" s="4"/>
      <c r="M94" s="4"/>
      <c r="N94" s="4"/>
      <c r="O94" s="4"/>
      <c r="P94" s="4"/>
    </row>
    <row r="95" spans="1:16" ht="13.5" customHeight="1">
      <c r="A95" s="4"/>
      <c r="D95" s="4"/>
      <c r="E95" s="4"/>
      <c r="G95" s="4"/>
      <c r="H95" s="4"/>
      <c r="I95" s="4"/>
      <c r="J95" s="4"/>
      <c r="K95" s="4"/>
      <c r="L95" s="4"/>
      <c r="M95" s="4"/>
      <c r="N95" s="4"/>
      <c r="O95" s="4"/>
      <c r="P95" s="4"/>
    </row>
    <row r="96" spans="1:16" ht="13.5" customHeight="1">
      <c r="A96" s="4"/>
      <c r="D96" s="4"/>
      <c r="E96" s="4"/>
      <c r="G96" s="4"/>
      <c r="H96" s="4"/>
      <c r="I96" s="4"/>
      <c r="J96" s="4"/>
      <c r="K96" s="4"/>
      <c r="L96" s="4"/>
      <c r="M96" s="4"/>
      <c r="N96" s="4"/>
      <c r="O96" s="4"/>
      <c r="P96" s="4"/>
    </row>
    <row r="97" spans="1:16" ht="13.5" customHeight="1">
      <c r="A97" s="4"/>
      <c r="D97" s="4"/>
      <c r="E97" s="4"/>
      <c r="G97" s="4"/>
      <c r="H97" s="4"/>
      <c r="I97" s="4"/>
      <c r="J97" s="4"/>
      <c r="K97" s="4"/>
      <c r="L97" s="4"/>
      <c r="M97" s="4"/>
      <c r="N97" s="4"/>
      <c r="O97" s="4"/>
      <c r="P97" s="4"/>
    </row>
    <row r="98" spans="1:16" ht="13.5" customHeight="1">
      <c r="A98" s="4"/>
      <c r="D98" s="4"/>
      <c r="E98" s="4"/>
      <c r="G98" s="4"/>
      <c r="H98" s="4"/>
      <c r="I98" s="4"/>
      <c r="J98" s="4"/>
      <c r="K98" s="4"/>
      <c r="L98" s="4"/>
      <c r="M98" s="4"/>
      <c r="N98" s="4"/>
      <c r="O98" s="4"/>
      <c r="P98" s="4"/>
    </row>
    <row r="99" spans="1:16" ht="13.5" customHeight="1">
      <c r="A99" s="4"/>
      <c r="D99" s="4"/>
      <c r="E99" s="4"/>
      <c r="G99" s="4"/>
      <c r="H99" s="4"/>
      <c r="I99" s="4"/>
      <c r="J99" s="4"/>
      <c r="K99" s="4"/>
      <c r="L99" s="4"/>
      <c r="M99" s="4"/>
      <c r="N99" s="4"/>
      <c r="O99" s="4"/>
      <c r="P99" s="4"/>
    </row>
    <row r="100" spans="1:16" ht="13.5" customHeight="1">
      <c r="A100" s="4"/>
      <c r="D100" s="4"/>
      <c r="E100" s="4"/>
      <c r="G100" s="4"/>
      <c r="H100" s="4"/>
      <c r="I100" s="4"/>
      <c r="J100" s="4"/>
      <c r="K100" s="4"/>
      <c r="L100" s="4"/>
      <c r="M100" s="4"/>
      <c r="N100" s="4"/>
      <c r="O100" s="4"/>
      <c r="P100" s="4"/>
    </row>
    <row r="101" spans="1:16" ht="13.5" customHeight="1">
      <c r="A101" s="4"/>
      <c r="D101" s="4"/>
      <c r="E101" s="4"/>
      <c r="G101" s="4"/>
      <c r="H101" s="4"/>
      <c r="I101" s="4"/>
      <c r="J101" s="4"/>
      <c r="K101" s="4"/>
      <c r="L101" s="4"/>
      <c r="M101" s="4"/>
      <c r="N101" s="4"/>
      <c r="O101" s="4"/>
      <c r="P101" s="4"/>
    </row>
    <row r="102" spans="1:16" ht="13.5" customHeight="1">
      <c r="A102" s="4"/>
      <c r="D102" s="4"/>
      <c r="E102" s="4"/>
      <c r="G102" s="4"/>
      <c r="H102" s="4"/>
      <c r="I102" s="4"/>
      <c r="J102" s="4"/>
      <c r="K102" s="4"/>
      <c r="L102" s="4"/>
      <c r="M102" s="4"/>
      <c r="N102" s="4"/>
      <c r="O102" s="4"/>
      <c r="P102" s="4"/>
    </row>
    <row r="103" spans="1:16" ht="13.5" customHeight="1">
      <c r="A103" s="4"/>
      <c r="D103" s="4"/>
      <c r="E103" s="4"/>
      <c r="G103" s="4"/>
      <c r="H103" s="4"/>
      <c r="I103" s="4"/>
      <c r="J103" s="4"/>
      <c r="K103" s="4"/>
      <c r="L103" s="4"/>
      <c r="M103" s="4"/>
      <c r="N103" s="4"/>
      <c r="O103" s="4"/>
      <c r="P103" s="4"/>
    </row>
    <row r="104" spans="1:16" ht="13.5" customHeight="1">
      <c r="A104" s="4"/>
      <c r="D104" s="4"/>
      <c r="E104" s="4"/>
      <c r="G104" s="4"/>
      <c r="H104" s="4"/>
      <c r="I104" s="4"/>
      <c r="J104" s="4"/>
      <c r="K104" s="4"/>
      <c r="L104" s="4"/>
      <c r="M104" s="4"/>
      <c r="N104" s="4"/>
      <c r="O104" s="4"/>
      <c r="P104" s="4"/>
    </row>
    <row r="105" spans="1:16" ht="13.5" customHeight="1">
      <c r="A105" s="4"/>
      <c r="D105" s="4"/>
      <c r="E105" s="4"/>
      <c r="G105" s="4"/>
      <c r="H105" s="4"/>
      <c r="I105" s="4"/>
      <c r="J105" s="4"/>
      <c r="K105" s="4"/>
      <c r="L105" s="4"/>
      <c r="M105" s="4"/>
      <c r="N105" s="4"/>
      <c r="O105" s="4"/>
      <c r="P105" s="4"/>
    </row>
    <row r="106" spans="1:16" ht="13.5" customHeight="1">
      <c r="A106" s="4"/>
      <c r="D106" s="4"/>
      <c r="E106" s="4"/>
      <c r="G106" s="4"/>
      <c r="H106" s="4"/>
      <c r="I106" s="4"/>
      <c r="J106" s="4"/>
      <c r="K106" s="4"/>
      <c r="L106" s="4"/>
      <c r="M106" s="4"/>
      <c r="N106" s="4"/>
      <c r="O106" s="4"/>
      <c r="P106" s="4"/>
    </row>
    <row r="107" spans="1:16" ht="13.5" customHeight="1">
      <c r="A107" s="4"/>
      <c r="D107" s="4"/>
      <c r="E107" s="4"/>
      <c r="G107" s="4"/>
      <c r="H107" s="4"/>
      <c r="I107" s="4"/>
      <c r="J107" s="4"/>
      <c r="K107" s="4"/>
      <c r="L107" s="4"/>
      <c r="M107" s="4"/>
      <c r="N107" s="4"/>
      <c r="O107" s="4"/>
      <c r="P107" s="4"/>
    </row>
    <row r="108" spans="1:16" ht="13.5" customHeight="1">
      <c r="A108" s="4"/>
      <c r="D108" s="4"/>
      <c r="E108" s="4"/>
      <c r="G108" s="4"/>
      <c r="H108" s="4"/>
      <c r="I108" s="4"/>
      <c r="J108" s="4"/>
      <c r="K108" s="4"/>
      <c r="L108" s="4"/>
      <c r="M108" s="4"/>
      <c r="N108" s="4"/>
      <c r="O108" s="4"/>
      <c r="P108" s="4"/>
    </row>
    <row r="109" spans="1:16" ht="13.5" customHeight="1">
      <c r="A109" s="4"/>
      <c r="D109" s="4"/>
      <c r="E109" s="4"/>
      <c r="G109" s="4"/>
      <c r="H109" s="4"/>
      <c r="I109" s="4"/>
      <c r="J109" s="4"/>
      <c r="K109" s="4"/>
      <c r="L109" s="4"/>
      <c r="M109" s="4"/>
      <c r="N109" s="4"/>
      <c r="O109" s="4"/>
      <c r="P109" s="4"/>
    </row>
    <row r="110" spans="1:16" ht="13.5" customHeight="1">
      <c r="A110" s="4"/>
      <c r="D110" s="4"/>
      <c r="E110" s="4"/>
      <c r="G110" s="4"/>
      <c r="H110" s="4"/>
      <c r="I110" s="4"/>
      <c r="J110" s="4"/>
      <c r="K110" s="4"/>
      <c r="L110" s="4"/>
      <c r="M110" s="4"/>
      <c r="N110" s="4"/>
      <c r="O110" s="4"/>
      <c r="P110" s="4"/>
    </row>
    <row r="111" spans="1:16" ht="13.5" customHeight="1">
      <c r="A111" s="4"/>
      <c r="D111" s="4"/>
      <c r="E111" s="4"/>
      <c r="G111" s="4"/>
      <c r="H111" s="4"/>
      <c r="I111" s="4"/>
      <c r="J111" s="4"/>
      <c r="K111" s="4"/>
      <c r="L111" s="4"/>
      <c r="M111" s="4"/>
      <c r="N111" s="4"/>
      <c r="O111" s="4"/>
      <c r="P111" s="4"/>
    </row>
  </sheetData>
  <sheetProtection formatCells="0" formatColumns="0"/>
  <autoFilter ref="D2:E27" xr:uid="{00000000-0001-0000-0200-000000000000}"/>
  <dataConsolidate/>
  <phoneticPr fontId="13" type="noConversion"/>
  <conditionalFormatting sqref="G2:N2">
    <cfRule type="cellIs" dxfId="31" priority="170" operator="equal">
      <formula>"UNUSED"</formula>
    </cfRule>
  </conditionalFormatting>
  <conditionalFormatting sqref="D49:E102">
    <cfRule type="colorScale" priority="590">
      <colorScale>
        <cfvo type="min"/>
        <cfvo type="percentile" val="50"/>
        <cfvo type="max"/>
        <color rgb="FF63BE7B"/>
        <color rgb="FFFFEB84"/>
        <color rgb="FFF8696B"/>
      </colorScale>
    </cfRule>
  </conditionalFormatting>
  <conditionalFormatting sqref="D3:E48">
    <cfRule type="colorScale" priority="592">
      <colorScale>
        <cfvo type="min"/>
        <cfvo type="percentile" val="50"/>
        <cfvo type="max"/>
        <color rgb="FF63BE7B"/>
        <color rgb="FFFFEB84"/>
        <color rgb="FFF8696B"/>
      </colorScale>
    </cfRule>
  </conditionalFormatting>
  <conditionalFormatting sqref="G3:N27">
    <cfRule type="cellIs" dxfId="30" priority="1" operator="notEqual">
      <formula>"x"</formula>
    </cfRule>
  </conditionalFormatting>
  <dataValidations count="1">
    <dataValidation type="list" allowBlank="1" showInputMessage="1" showErrorMessage="1" sqref="I44 G45:N102 G3:N27" xr:uid="{1A781656-750B-46E3-811B-07BF0BB9E5B0}">
      <formula1>" ,x"</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7948316-0E2C-4D09-84E4-2397631DF668}">
          <x14:formula1>
            <xm:f>Constantes!#REF!</xm:f>
          </x14:formula1>
          <xm:sqref>D44:E102</xm:sqref>
        </x14:dataValidation>
        <x14:dataValidation type="list" allowBlank="1" showInputMessage="1" showErrorMessage="1" xr:uid="{D6BCADF4-6DA0-496F-BE19-A05871425E5D}">
          <x14:formula1>
            <xm:f>Criterios!$B$4:$B$7</xm:f>
          </x14:formula1>
          <xm:sqref>D3:E27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8"/>
  <dimension ref="A1:FM110"/>
  <sheetViews>
    <sheetView zoomScale="85" zoomScaleNormal="85" workbookViewId="0">
      <pane xSplit="3" ySplit="3" topLeftCell="D4" activePane="bottomRight" state="frozen"/>
      <selection pane="bottomRight" activeCell="X1" activeCellId="8" sqref="J1:J1048576 A14:XFD14 R1:R1048576 S1:S1048576 T1:T1048576 U1:U1048576 V1:V1048576 W1:W1048576 X1:X1048576"/>
      <selection pane="bottomLeft"/>
      <selection pane="topRight"/>
    </sheetView>
  </sheetViews>
  <sheetFormatPr defaultColWidth="0" defaultRowHeight="15" customHeight="1" zeroHeight="1"/>
  <cols>
    <col min="1" max="1" width="3.28515625" style="11" customWidth="1"/>
    <col min="2" max="2" width="11.42578125" style="10" customWidth="1"/>
    <col min="3" max="3" width="58.42578125" style="2" bestFit="1" customWidth="1"/>
    <col min="4" max="4" width="3.7109375" style="15" bestFit="1" customWidth="1"/>
    <col min="5" max="6" width="3.7109375" style="2" bestFit="1" customWidth="1"/>
    <col min="7" max="7" width="6.7109375" style="2" customWidth="1"/>
    <col min="8" max="8" width="6.42578125" style="2" customWidth="1"/>
    <col min="9" max="9" width="6.5703125" style="2" customWidth="1"/>
    <col min="10" max="10" width="6" style="2" customWidth="1"/>
    <col min="11" max="11" width="5.85546875" style="2" bestFit="1" customWidth="1"/>
    <col min="12" max="12" width="5.85546875" style="2" customWidth="1"/>
    <col min="13" max="17" width="5.85546875" style="2" bestFit="1" customWidth="1"/>
    <col min="18" max="29" width="3.140625" style="2" customWidth="1"/>
    <col min="30" max="30" width="6.7109375" style="2" customWidth="1"/>
    <col min="31" max="31" width="5.140625" style="2" customWidth="1"/>
    <col min="32" max="39" width="6.42578125" style="19" customWidth="1"/>
    <col min="40" max="40" width="3.42578125" style="2" customWidth="1"/>
    <col min="41" max="44" width="18" style="2" customWidth="1"/>
    <col min="45" max="124" width="10.85546875" style="2" customWidth="1"/>
    <col min="125" max="126" width="18" style="2" customWidth="1"/>
    <col min="127" max="169" width="0" style="2" hidden="1" customWidth="1"/>
    <col min="170" max="16384" width="11.42578125" style="2" hidden="1"/>
  </cols>
  <sheetData>
    <row r="1" spans="1:40" s="10" customFormat="1" ht="33.75" customHeight="1">
      <c r="A1" s="60" t="s">
        <v>305</v>
      </c>
      <c r="B1" s="60" t="s">
        <v>305</v>
      </c>
      <c r="C1" s="34" t="s">
        <v>306</v>
      </c>
      <c r="D1" s="35" t="str" cm="1">
        <f t="array" ref="D1:AE3">TRANSPOSE(Datos_SPIKA!B3:D30)</f>
        <v>AS01</v>
      </c>
      <c r="E1" s="35" t="str">
        <v>AS02</v>
      </c>
      <c r="F1" s="35" t="str">
        <v>AS03</v>
      </c>
      <c r="G1" s="35" t="str">
        <v>AS04</v>
      </c>
      <c r="H1" s="35" t="str">
        <v>AS05</v>
      </c>
      <c r="I1" s="35" t="str">
        <v>AS06</v>
      </c>
      <c r="J1" s="35" t="str">
        <v>AS07</v>
      </c>
      <c r="K1" s="35" t="str">
        <v>AS08</v>
      </c>
      <c r="L1" s="35" t="str">
        <v>AS09</v>
      </c>
      <c r="M1" s="35" t="str">
        <v>AS10</v>
      </c>
      <c r="N1" s="35" t="str">
        <v>AS11</v>
      </c>
      <c r="O1" s="35" t="str">
        <v>AS12</v>
      </c>
      <c r="P1" s="35" t="str">
        <v>AS13</v>
      </c>
      <c r="Q1" s="35" t="str">
        <v>AS14</v>
      </c>
      <c r="R1" s="35" t="str">
        <v>AS15</v>
      </c>
      <c r="S1" s="35" t="str">
        <v>AS16</v>
      </c>
      <c r="T1" s="35" t="str">
        <v>AS17</v>
      </c>
      <c r="U1" s="35" t="str">
        <v>AS18</v>
      </c>
      <c r="V1" s="35" t="str">
        <v>AS19</v>
      </c>
      <c r="W1" s="35" t="str">
        <v>AS20</v>
      </c>
      <c r="X1" s="35" t="str">
        <v>AS21</v>
      </c>
      <c r="Y1" s="35" t="str">
        <v>AS22</v>
      </c>
      <c r="Z1" s="35" t="str">
        <v>AS23</v>
      </c>
      <c r="AA1" s="35" t="str">
        <v>AS24</v>
      </c>
      <c r="AB1" s="35" t="str">
        <v>AS25</v>
      </c>
      <c r="AC1" s="35" t="str">
        <v>AS26</v>
      </c>
      <c r="AD1" s="35" t="str">
        <v>AS27</v>
      </c>
      <c r="AE1" s="35" t="str">
        <v>AS28</v>
      </c>
      <c r="AF1" s="7"/>
      <c r="AG1" s="7"/>
      <c r="AH1" s="7"/>
      <c r="AI1" s="7"/>
      <c r="AJ1" s="7"/>
      <c r="AK1" s="7"/>
      <c r="AL1" s="7"/>
      <c r="AM1" s="7"/>
      <c r="AN1" s="8"/>
    </row>
    <row r="2" spans="1:40" s="1" customFormat="1" ht="153" customHeight="1">
      <c r="A2" s="60" t="s">
        <v>305</v>
      </c>
      <c r="B2" s="60" t="s">
        <v>305</v>
      </c>
      <c r="C2" s="33" t="s">
        <v>307</v>
      </c>
      <c r="D2" s="16" t="str">
        <v>Personal Directivo</v>
      </c>
      <c r="E2" s="16" t="str">
        <v>Usuario Final</v>
      </c>
      <c r="F2" s="16" t="str">
        <v>Usuarios administradores</v>
      </c>
      <c r="G2" s="16" t="str">
        <v>Usuarios Cloud</v>
      </c>
      <c r="H2" s="16" t="str">
        <v>Proveedores Desarrollo</v>
      </c>
      <c r="I2" s="16" t="str">
        <v>Proveedores Infraestructura y Comunicaciones</v>
      </c>
      <c r="J2" s="16" t="str">
        <v>Red inalámbrica</v>
      </c>
      <c r="K2" s="16" t="str">
        <v>Proxy CloudFare (VRcardio)</v>
      </c>
      <c r="L2" s="16" t="str">
        <v>WAF</v>
      </c>
      <c r="M2" s="16" t="str">
        <v>Elementos de soporte de red (switch, modens, hubs, router, WAP)</v>
      </c>
      <c r="N2" s="16" t="str">
        <v>Maquina de Salto</v>
      </c>
      <c r="O2" s="16" t="str">
        <v>Desktop</v>
      </c>
      <c r="P2" s="16" t="str">
        <v>Laptop</v>
      </c>
      <c r="Q2" s="16" t="str">
        <v>Mobile</v>
      </c>
      <c r="R2" s="16" t="str">
        <v xml:space="preserve">DNS </v>
      </c>
      <c r="S2" s="16" t="str">
        <v>Aplicaciones de escritorio</v>
      </c>
      <c r="T2" s="16" t="str">
        <v>VR-CARDIO</v>
      </c>
      <c r="U2" s="16" t="str">
        <v>Visual Cardio</v>
      </c>
      <c r="V2" s="16" t="str">
        <v>Magallanes</v>
      </c>
      <c r="W2" s="16" t="str">
        <v>Plataforma comercial</v>
      </c>
      <c r="X2" s="16" t="str">
        <v>SFTP</v>
      </c>
      <c r="Y2" s="16" t="str">
        <v xml:space="preserve">Sedes </v>
      </c>
      <c r="Z2" s="16" t="str">
        <v>Salas técnicas</v>
      </c>
      <c r="AA2" s="16" t="str">
        <v>Datos de negocio</v>
      </c>
      <c r="AB2" s="16" t="str">
        <v>Datos de gestión interna</v>
      </c>
      <c r="AC2" s="16" t="str">
        <v>Datos de carácter personal</v>
      </c>
      <c r="AD2" s="16" t="str">
        <v>Copias de seguridad</v>
      </c>
      <c r="AE2" s="16" t="str">
        <v>Registros de actividad (logs)</v>
      </c>
      <c r="AN2" s="3"/>
    </row>
    <row r="3" spans="1:40" s="1" customFormat="1" ht="103.9" customHeight="1">
      <c r="A3" s="60" t="s">
        <v>305</v>
      </c>
      <c r="B3" s="60" t="s">
        <v>305</v>
      </c>
      <c r="C3" s="33" t="s">
        <v>308</v>
      </c>
      <c r="D3" s="13" t="str">
        <v>[P] Personal</v>
      </c>
      <c r="E3" s="13" t="str">
        <v>[P] Personal</v>
      </c>
      <c r="F3" s="13" t="str">
        <v>[P] Personal</v>
      </c>
      <c r="G3" s="13" t="str">
        <v>[P] Personal</v>
      </c>
      <c r="H3" s="13" t="str">
        <v>[PRV] Proveedores</v>
      </c>
      <c r="I3" s="13" t="str">
        <v>[PRV] Proveedores</v>
      </c>
      <c r="J3" s="13" t="str">
        <v>[COM] Comunicaciones</v>
      </c>
      <c r="K3" s="13" t="str">
        <v>[SE] Servicios Externos</v>
      </c>
      <c r="L3" s="13" t="str">
        <v>[HW] Hardware</v>
      </c>
      <c r="M3" s="13" t="str">
        <v>[HW] Hardware</v>
      </c>
      <c r="N3" s="13" t="str">
        <v>[HW] Hardware</v>
      </c>
      <c r="O3" s="13" t="str">
        <v>[HW] Hardware</v>
      </c>
      <c r="P3" s="13" t="str">
        <v>[HW] Hardware</v>
      </c>
      <c r="Q3" s="13" t="str">
        <v>[HW] Hardware</v>
      </c>
      <c r="R3" s="13" t="str">
        <v>[SW] Software</v>
      </c>
      <c r="S3" s="13" t="str">
        <v>[SW] Software</v>
      </c>
      <c r="T3" s="13" t="str">
        <v>[SW] Software</v>
      </c>
      <c r="U3" s="13" t="str">
        <v>[SW] Software</v>
      </c>
      <c r="V3" s="13" t="str">
        <v>[SW] Software</v>
      </c>
      <c r="W3" s="13" t="str">
        <v>[SW] Software</v>
      </c>
      <c r="X3" s="13" t="str">
        <v>[SW] Software</v>
      </c>
      <c r="Y3" s="13" t="str">
        <v>[L] Ubicaciones</v>
      </c>
      <c r="Z3" s="13" t="str">
        <v>[L] Ubicaciones</v>
      </c>
      <c r="AA3" s="13" t="str">
        <v>[D] Datos</v>
      </c>
      <c r="AB3" s="13" t="str">
        <v>[D] Datos</v>
      </c>
      <c r="AC3" s="13" t="str">
        <v>[D] Datos</v>
      </c>
      <c r="AD3" s="13" t="str">
        <v>[D] Datos</v>
      </c>
      <c r="AE3" s="13" t="str">
        <v>[D] Datos</v>
      </c>
      <c r="AF3" s="80" t="str" cm="1">
        <f t="array" ref="AF3:AM3">TRANSPOSE(Datos_SPIKA!I3:I10)</f>
        <v>[D] Datos</v>
      </c>
      <c r="AG3" s="80" t="str">
        <v>[SW] Software</v>
      </c>
      <c r="AH3" s="80" t="str">
        <v>[HW] Hardware</v>
      </c>
      <c r="AI3" s="80" t="str">
        <v>[COM] Comunicaciones</v>
      </c>
      <c r="AJ3" s="80" t="str">
        <v>[L] Ubicaciones</v>
      </c>
      <c r="AK3" s="80" t="str">
        <v>[P] Personal</v>
      </c>
      <c r="AL3" s="80" t="str">
        <v>[PRV] Proveedores</v>
      </c>
      <c r="AM3" s="80" t="str">
        <v>[SE] Servicios Externos</v>
      </c>
      <c r="AN3" s="3"/>
    </row>
    <row r="4" spans="1:40" ht="16.5" customHeight="1">
      <c r="B4" s="66" t="s">
        <v>3</v>
      </c>
      <c r="C4" s="146" t="s">
        <v>309</v>
      </c>
      <c r="D4" s="147"/>
      <c r="E4" s="147"/>
      <c r="F4" s="147"/>
      <c r="G4" s="147"/>
      <c r="H4" s="147"/>
      <c r="I4" s="147"/>
      <c r="J4" s="147"/>
      <c r="K4" s="147"/>
      <c r="L4" s="147"/>
      <c r="M4" s="147"/>
      <c r="N4" s="147"/>
      <c r="O4" s="147"/>
      <c r="P4" s="147"/>
      <c r="Q4" s="147"/>
      <c r="R4" s="147"/>
      <c r="S4" s="147"/>
      <c r="T4" s="147"/>
      <c r="U4" s="147"/>
      <c r="V4" s="147"/>
      <c r="W4" s="147"/>
      <c r="X4" s="147"/>
      <c r="Y4" s="147"/>
      <c r="Z4" s="147"/>
      <c r="AA4" s="147"/>
      <c r="AB4" s="147"/>
      <c r="AC4" s="147"/>
      <c r="AD4" s="147"/>
      <c r="AF4" s="148"/>
      <c r="AG4" s="149"/>
      <c r="AH4" s="149"/>
      <c r="AI4" s="149"/>
      <c r="AJ4" s="149"/>
      <c r="AK4" s="149"/>
      <c r="AL4" s="149"/>
      <c r="AM4" s="150"/>
    </row>
    <row r="5" spans="1:40" s="18" customFormat="1" ht="17.25" customHeight="1">
      <c r="A5" s="17">
        <v>2</v>
      </c>
      <c r="B5" s="6" t="str">
        <f>'Amenazas vs Taxonomías'!B3</f>
        <v>TH01</v>
      </c>
      <c r="C5" s="12" t="str">
        <f>VLOOKUP(B5,'Amenazas vs Taxonomías'!B3:C111,2,0)</f>
        <v>[Desastre] Fuego, agua o desastres naturales</v>
      </c>
      <c r="D5" s="38">
        <f>HLOOKUP(D$3,'Amenazas vs Taxonomías'!$G$2:$N$102,$A5,0)</f>
        <v>0</v>
      </c>
      <c r="E5" s="38">
        <f>HLOOKUP(E$3,'Amenazas vs Taxonomías'!$G$2:$N$102,$A5,0)</f>
        <v>0</v>
      </c>
      <c r="F5" s="38">
        <f>HLOOKUP(F$3,'Amenazas vs Taxonomías'!$G$2:$N$102,$A5,0)</f>
        <v>0</v>
      </c>
      <c r="G5" s="38">
        <f>HLOOKUP(G$3,'Amenazas vs Taxonomías'!$G$2:$N$102,$A5,0)</f>
        <v>0</v>
      </c>
      <c r="H5" s="38">
        <f>HLOOKUP(H$3,'Amenazas vs Taxonomías'!$G$2:$N$102,$A5,0)</f>
        <v>0</v>
      </c>
      <c r="I5" s="38">
        <f>HLOOKUP(I$3,'Amenazas vs Taxonomías'!$G$2:$N$102,$A5,0)</f>
        <v>0</v>
      </c>
      <c r="J5" s="38">
        <f>HLOOKUP(J$3,'Amenazas vs Taxonomías'!$G$2:$N$102,$A5,0)</f>
        <v>0</v>
      </c>
      <c r="K5" s="38">
        <f>HLOOKUP(K$3,'Amenazas vs Taxonomías'!$G$2:$N$102,$A5,0)</f>
        <v>0</v>
      </c>
      <c r="L5" s="38" t="str">
        <f>HLOOKUP(L$3,'Amenazas vs Taxonomías'!$G$2:$N$102,$A5,0)</f>
        <v>x</v>
      </c>
      <c r="M5" s="38" t="str">
        <f>HLOOKUP(M$3,'Amenazas vs Taxonomías'!$G$2:$N$102,$A5,0)</f>
        <v>x</v>
      </c>
      <c r="N5" s="38" t="str">
        <f>HLOOKUP(N$3,'Amenazas vs Taxonomías'!$G$2:$N$102,$A5,0)</f>
        <v>x</v>
      </c>
      <c r="O5" s="38" t="str">
        <f>HLOOKUP(O$3,'Amenazas vs Taxonomías'!$G$2:$N$102,$A5,0)</f>
        <v>x</v>
      </c>
      <c r="P5" s="38" t="str">
        <f>HLOOKUP(P$3,'Amenazas vs Taxonomías'!$G$2:$N$102,$A5,0)</f>
        <v>x</v>
      </c>
      <c r="Q5" s="38" t="str">
        <f>HLOOKUP(Q$3,'Amenazas vs Taxonomías'!$G$2:$N$102,$A5,0)</f>
        <v>x</v>
      </c>
      <c r="R5" s="38">
        <f>HLOOKUP(R$3,'Amenazas vs Taxonomías'!$G$2:$N$102,$A5,0)</f>
        <v>0</v>
      </c>
      <c r="S5" s="38">
        <f>HLOOKUP(S$3,'Amenazas vs Taxonomías'!$G$2:$N$102,$A5,0)</f>
        <v>0</v>
      </c>
      <c r="T5" s="38">
        <f>HLOOKUP(T$3,'Amenazas vs Taxonomías'!$G$2:$N$102,$A5,0)</f>
        <v>0</v>
      </c>
      <c r="U5" s="38">
        <f>HLOOKUP(U$3,'Amenazas vs Taxonomías'!$G$2:$N$102,$A5,0)</f>
        <v>0</v>
      </c>
      <c r="V5" s="38">
        <f>HLOOKUP(V$3,'Amenazas vs Taxonomías'!$G$2:$N$102,$A5,0)</f>
        <v>0</v>
      </c>
      <c r="W5" s="38">
        <f>HLOOKUP(W$3,'Amenazas vs Taxonomías'!$G$2:$N$102,$A5,0)</f>
        <v>0</v>
      </c>
      <c r="X5" s="38">
        <f>HLOOKUP(X$3,'Amenazas vs Taxonomías'!$G$2:$N$102,$A5,0)</f>
        <v>0</v>
      </c>
      <c r="Y5" s="38" t="str">
        <f>HLOOKUP(Y$3,'Amenazas vs Taxonomías'!$G$2:$N$102,$A5,0)</f>
        <v>x</v>
      </c>
      <c r="Z5" s="38" t="str">
        <f>HLOOKUP(Z$3,'Amenazas vs Taxonomías'!$G$2:$N$102,$A5,0)</f>
        <v>x</v>
      </c>
      <c r="AA5" s="38">
        <f>HLOOKUP(AA$3,'Amenazas vs Taxonomías'!$G$2:$L$102,$A5,0)</f>
        <v>0</v>
      </c>
      <c r="AB5" s="38">
        <f>HLOOKUP(AB$3,'Amenazas vs Taxonomías'!$G$2:$L$102,$A5,0)</f>
        <v>0</v>
      </c>
      <c r="AC5" s="38">
        <f>HLOOKUP(AC$3,'Amenazas vs Taxonomías'!$G$2:$L$102,$A5,0)</f>
        <v>0</v>
      </c>
      <c r="AD5" s="38">
        <f>HLOOKUP(AD$3,'Amenazas vs Taxonomías'!$G$2:$L$102,$A5,0)</f>
        <v>0</v>
      </c>
      <c r="AE5" s="38">
        <f>HLOOKUP(AE$3,'Amenazas vs Taxonomías'!$G$2:$L$102,$A5,0)</f>
        <v>0</v>
      </c>
      <c r="AF5" s="39">
        <f>COUNTIFS($D5:$AD5,"x",$D$3:$AD$3,"="&amp;AF$3)</f>
        <v>0</v>
      </c>
      <c r="AG5" s="39">
        <f t="shared" ref="AG5:AM14" si="0">COUNTIFS($D5:$AD5,"=x",$D$3:$AD$3,"="&amp;AG$3)</f>
        <v>0</v>
      </c>
      <c r="AH5" s="39">
        <f>COUNTIFS($D5:$AD5,"=x",$D$3:$AD$3,"="&amp;AH$3)</f>
        <v>6</v>
      </c>
      <c r="AI5" s="39">
        <f t="shared" si="0"/>
        <v>0</v>
      </c>
      <c r="AJ5" s="39">
        <f t="shared" si="0"/>
        <v>2</v>
      </c>
      <c r="AK5" s="39">
        <f t="shared" si="0"/>
        <v>0</v>
      </c>
      <c r="AL5" s="39">
        <f t="shared" si="0"/>
        <v>0</v>
      </c>
      <c r="AM5" s="39">
        <f t="shared" si="0"/>
        <v>0</v>
      </c>
    </row>
    <row r="6" spans="1:40" s="18" customFormat="1" ht="17.25" customHeight="1">
      <c r="A6" s="17">
        <v>3</v>
      </c>
      <c r="B6" s="6" t="str">
        <f>'Amenazas vs Taxonomías'!B4</f>
        <v>TH02</v>
      </c>
      <c r="C6" s="12" t="str">
        <f>VLOOKUP(B6,'Amenazas vs Taxonomías'!B4:C112,2,0)</f>
        <v>[Actividad malintencionada / abuso] Fuga de información</v>
      </c>
      <c r="D6" s="38">
        <f>HLOOKUP(D$3,'Amenazas vs Taxonomías'!$G$2:$N$102,$A6,0)</f>
        <v>0</v>
      </c>
      <c r="E6" s="38">
        <f>HLOOKUP(E$3,'Amenazas vs Taxonomías'!$G$2:$N$102,$A6,0)</f>
        <v>0</v>
      </c>
      <c r="F6" s="38">
        <f>HLOOKUP(F$3,'Amenazas vs Taxonomías'!$G$2:$N$102,$A6,0)</f>
        <v>0</v>
      </c>
      <c r="G6" s="38">
        <f>HLOOKUP(G$3,'Amenazas vs Taxonomías'!$G$2:$N$102,$A6,0)</f>
        <v>0</v>
      </c>
      <c r="H6" s="38" t="str">
        <f>HLOOKUP(H$3,'Amenazas vs Taxonomías'!$G$2:$N$102,$A6,0)</f>
        <v>x</v>
      </c>
      <c r="I6" s="38" t="str">
        <f>HLOOKUP(I$3,'Amenazas vs Taxonomías'!$G$2:$N$102,$A6,0)</f>
        <v>x</v>
      </c>
      <c r="J6" s="38">
        <f>HLOOKUP(J$3,'Amenazas vs Taxonomías'!$G$2:$N$102,$A6,0)</f>
        <v>0</v>
      </c>
      <c r="K6" s="38">
        <f>HLOOKUP(K$3,'Amenazas vs Taxonomías'!$G$2:$N$102,$A6,0)</f>
        <v>0</v>
      </c>
      <c r="L6" s="38">
        <f>HLOOKUP(L$3,'Amenazas vs Taxonomías'!$G$2:$L$102,$A6,0)</f>
        <v>0</v>
      </c>
      <c r="M6" s="38">
        <f>HLOOKUP(M$3,'Amenazas vs Taxonomías'!$G$2:$L$102,$A6,0)</f>
        <v>0</v>
      </c>
      <c r="N6" s="38">
        <f>HLOOKUP(N$3,'Amenazas vs Taxonomías'!$G$2:$L$102,$A6,0)</f>
        <v>0</v>
      </c>
      <c r="O6" s="38">
        <f>HLOOKUP(O$3,'Amenazas vs Taxonomías'!$G$2:$L$102,$A6,0)</f>
        <v>0</v>
      </c>
      <c r="P6" s="38">
        <f>HLOOKUP(P$3,'Amenazas vs Taxonomías'!$G$2:$L$102,$A6,0)</f>
        <v>0</v>
      </c>
      <c r="Q6" s="38">
        <f>HLOOKUP(Q$3,'Amenazas vs Taxonomías'!$G$2:$N$102,$A6,0)</f>
        <v>0</v>
      </c>
      <c r="R6" s="38">
        <f>HLOOKUP(R$3,'Amenazas vs Taxonomías'!$G$2:$N$102,$A6,0)</f>
        <v>0</v>
      </c>
      <c r="S6" s="38">
        <f>HLOOKUP(S$3,'Amenazas vs Taxonomías'!$G$2:$N$102,$A6,0)</f>
        <v>0</v>
      </c>
      <c r="T6" s="38">
        <f>HLOOKUP(T$3,'Amenazas vs Taxonomías'!$G$2:$N$102,$A6,0)</f>
        <v>0</v>
      </c>
      <c r="U6" s="38">
        <f>HLOOKUP(U$3,'Amenazas vs Taxonomías'!$G$2:$N$102,$A6,0)</f>
        <v>0</v>
      </c>
      <c r="V6" s="38">
        <f>HLOOKUP(V$3,'Amenazas vs Taxonomías'!$G$2:$N$102,$A6,0)</f>
        <v>0</v>
      </c>
      <c r="W6" s="38">
        <f>HLOOKUP(W$3,'Amenazas vs Taxonomías'!$G$2:$N$102,$A6,0)</f>
        <v>0</v>
      </c>
      <c r="X6" s="38">
        <f>HLOOKUP(X$3,'Amenazas vs Taxonomías'!$G$2:$N$102,$A6,0)</f>
        <v>0</v>
      </c>
      <c r="Y6" s="38">
        <f>HLOOKUP(Y$3,'Amenazas vs Taxonomías'!$G$2:$N$102,$A6,0)</f>
        <v>0</v>
      </c>
      <c r="Z6" s="38">
        <f>HLOOKUP(Z$3,'Amenazas vs Taxonomías'!$G$2:$N$102,$A6,0)</f>
        <v>0</v>
      </c>
      <c r="AA6" s="38" t="str">
        <f>HLOOKUP(AA$3,'Amenazas vs Taxonomías'!$G$2:$L$102,$A6,0)</f>
        <v>x</v>
      </c>
      <c r="AB6" s="38" t="str">
        <f>HLOOKUP(AB$3,'Amenazas vs Taxonomías'!$G$2:$L$102,$A6,0)</f>
        <v>x</v>
      </c>
      <c r="AC6" s="38" t="str">
        <f>HLOOKUP(AC$3,'Amenazas vs Taxonomías'!$G$2:$L$102,$A6,0)</f>
        <v>x</v>
      </c>
      <c r="AD6" s="38" t="str">
        <f>HLOOKUP(AD$3,'Amenazas vs Taxonomías'!$G$2:$L$102,$A6,0)</f>
        <v>x</v>
      </c>
      <c r="AE6" s="38" t="str">
        <f>HLOOKUP(AE$3,'Amenazas vs Taxonomías'!$G$2:$L$102,$A6,0)</f>
        <v>x</v>
      </c>
      <c r="AF6" s="39">
        <f t="shared" ref="AF6:AF29" si="1">COUNTIFS($D6:$AD6,"=x",$D$3:$AD$3,"="&amp;AF$3)</f>
        <v>4</v>
      </c>
      <c r="AG6" s="39">
        <f t="shared" si="0"/>
        <v>0</v>
      </c>
      <c r="AH6" s="39">
        <f t="shared" si="0"/>
        <v>0</v>
      </c>
      <c r="AI6" s="39">
        <f t="shared" si="0"/>
        <v>0</v>
      </c>
      <c r="AJ6" s="39">
        <f t="shared" si="0"/>
        <v>0</v>
      </c>
      <c r="AK6" s="39">
        <f t="shared" si="0"/>
        <v>0</v>
      </c>
      <c r="AL6" s="39">
        <f t="shared" si="0"/>
        <v>2</v>
      </c>
      <c r="AM6" s="39">
        <f t="shared" si="0"/>
        <v>0</v>
      </c>
    </row>
    <row r="7" spans="1:40" s="18" customFormat="1" ht="17.25" customHeight="1">
      <c r="A7" s="17">
        <v>4</v>
      </c>
      <c r="B7" s="6" t="str">
        <f>'Amenazas vs Taxonomías'!B5</f>
        <v>TH03</v>
      </c>
      <c r="C7" s="12" t="str">
        <f>VLOOKUP(B7,'Amenazas vs Taxonomías'!B5:C113,2,0)</f>
        <v>[Actividad malintencionada / abuso] Introducción de falsa información</v>
      </c>
      <c r="D7" s="38">
        <f>HLOOKUP(D$3,'Amenazas vs Taxonomías'!$G$2:$N$102,$A7,0)</f>
        <v>0</v>
      </c>
      <c r="E7" s="38">
        <f>HLOOKUP(E$3,'Amenazas vs Taxonomías'!$G$2:$N$102,$A7,0)</f>
        <v>0</v>
      </c>
      <c r="F7" s="38">
        <f>HLOOKUP(F$3,'Amenazas vs Taxonomías'!$G$2:$N$102,$A7,0)</f>
        <v>0</v>
      </c>
      <c r="G7" s="38">
        <f>HLOOKUP(G$3,'Amenazas vs Taxonomías'!$G$2:$N$102,$A7,0)</f>
        <v>0</v>
      </c>
      <c r="H7" s="38">
        <f>HLOOKUP(H$3,'Amenazas vs Taxonomías'!$G$2:$N$102,$A7,0)</f>
        <v>0</v>
      </c>
      <c r="I7" s="38">
        <f>HLOOKUP(I$3,'Amenazas vs Taxonomías'!$G$2:$N$102,$A7,0)</f>
        <v>0</v>
      </c>
      <c r="J7" s="38">
        <f>HLOOKUP(J$3,'Amenazas vs Taxonomías'!$G$2:$N$102,$A7,0)</f>
        <v>0</v>
      </c>
      <c r="K7" s="38">
        <f>HLOOKUP(K$3,'Amenazas vs Taxonomías'!$G$2:$N$102,$A7,0)</f>
        <v>0</v>
      </c>
      <c r="L7" s="38">
        <f>HLOOKUP(L$3,'Amenazas vs Taxonomías'!$G$2:$L$102,$A7,0)</f>
        <v>0</v>
      </c>
      <c r="M7" s="38">
        <f>HLOOKUP(M$3,'Amenazas vs Taxonomías'!$G$2:$L$102,$A7,0)</f>
        <v>0</v>
      </c>
      <c r="N7" s="38">
        <f>HLOOKUP(N$3,'Amenazas vs Taxonomías'!$G$2:$L$102,$A7,0)</f>
        <v>0</v>
      </c>
      <c r="O7" s="38">
        <f>HLOOKUP(O$3,'Amenazas vs Taxonomías'!$G$2:$L$102,$A7,0)</f>
        <v>0</v>
      </c>
      <c r="P7" s="38">
        <f>HLOOKUP(P$3,'Amenazas vs Taxonomías'!$G$2:$L$102,$A7,0)</f>
        <v>0</v>
      </c>
      <c r="Q7" s="38">
        <f>HLOOKUP(Q$3,'Amenazas vs Taxonomías'!$G$2:$N$102,$A7,0)</f>
        <v>0</v>
      </c>
      <c r="R7" s="38">
        <f>HLOOKUP(R$3,'Amenazas vs Taxonomías'!$G$2:$N$102,$A7,0)</f>
        <v>0</v>
      </c>
      <c r="S7" s="38">
        <f>HLOOKUP(S$3,'Amenazas vs Taxonomías'!$G$2:$N$102,$A7,0)</f>
        <v>0</v>
      </c>
      <c r="T7" s="38">
        <f>HLOOKUP(T$3,'Amenazas vs Taxonomías'!$G$2:$N$102,$A7,0)</f>
        <v>0</v>
      </c>
      <c r="U7" s="38">
        <f>HLOOKUP(U$3,'Amenazas vs Taxonomías'!$G$2:$N$102,$A7,0)</f>
        <v>0</v>
      </c>
      <c r="V7" s="38">
        <f>HLOOKUP(V$3,'Amenazas vs Taxonomías'!$G$2:$N$102,$A7,0)</f>
        <v>0</v>
      </c>
      <c r="W7" s="38">
        <f>HLOOKUP(W$3,'Amenazas vs Taxonomías'!$G$2:$N$102,$A7,0)</f>
        <v>0</v>
      </c>
      <c r="X7" s="38">
        <f>HLOOKUP(X$3,'Amenazas vs Taxonomías'!$G$2:$N$102,$A7,0)</f>
        <v>0</v>
      </c>
      <c r="Y7" s="38">
        <f>HLOOKUP(Y$3,'Amenazas vs Taxonomías'!$G$2:$N$102,$A7,0)</f>
        <v>0</v>
      </c>
      <c r="Z7" s="38">
        <f>HLOOKUP(Z$3,'Amenazas vs Taxonomías'!$G$2:$N$102,$A7,0)</f>
        <v>0</v>
      </c>
      <c r="AA7" s="38" t="str">
        <f>HLOOKUP(AA$3,'Amenazas vs Taxonomías'!$G$2:$L$102,$A7,0)</f>
        <v>x</v>
      </c>
      <c r="AB7" s="38" t="str">
        <f>HLOOKUP(AB$3,'Amenazas vs Taxonomías'!$G$2:$L$102,$A7,0)</f>
        <v>x</v>
      </c>
      <c r="AC7" s="38" t="str">
        <f>HLOOKUP(AC$3,'Amenazas vs Taxonomías'!$G$2:$L$102,$A7,0)</f>
        <v>x</v>
      </c>
      <c r="AD7" s="38" t="str">
        <f>HLOOKUP(AD$3,'Amenazas vs Taxonomías'!$G$2:$L$102,$A7,0)</f>
        <v>x</v>
      </c>
      <c r="AE7" s="38" t="str">
        <f>HLOOKUP(AE$3,'Amenazas vs Taxonomías'!$G$2:$L$102,$A7,0)</f>
        <v>x</v>
      </c>
      <c r="AF7" s="39">
        <f t="shared" si="1"/>
        <v>4</v>
      </c>
      <c r="AG7" s="39">
        <f t="shared" si="0"/>
        <v>0</v>
      </c>
      <c r="AH7" s="39">
        <f t="shared" si="0"/>
        <v>0</v>
      </c>
      <c r="AI7" s="39">
        <f t="shared" si="0"/>
        <v>0</v>
      </c>
      <c r="AJ7" s="39">
        <f t="shared" si="0"/>
        <v>0</v>
      </c>
      <c r="AK7" s="39">
        <f t="shared" si="0"/>
        <v>0</v>
      </c>
      <c r="AL7" s="39">
        <f t="shared" si="0"/>
        <v>0</v>
      </c>
      <c r="AM7" s="39">
        <f t="shared" si="0"/>
        <v>0</v>
      </c>
    </row>
    <row r="8" spans="1:40" s="18" customFormat="1" ht="17.25" customHeight="1">
      <c r="A8" s="17">
        <v>5</v>
      </c>
      <c r="B8" s="6" t="str">
        <f>'Amenazas vs Taxonomías'!B6</f>
        <v>TH04</v>
      </c>
      <c r="C8" s="12" t="str">
        <f>VLOOKUP(B8,'Amenazas vs Taxonomías'!B6:C114,2,0)</f>
        <v>[Actividad malintencionada / abuso] Alteración de la información</v>
      </c>
      <c r="D8" s="38">
        <f>HLOOKUP(D$3,'Amenazas vs Taxonomías'!$G$2:$N$102,$A8,0)</f>
        <v>0</v>
      </c>
      <c r="E8" s="38">
        <f>HLOOKUP(E$3,'Amenazas vs Taxonomías'!$G$2:$N$102,$A8,0)</f>
        <v>0</v>
      </c>
      <c r="F8" s="38">
        <f>HLOOKUP(F$3,'Amenazas vs Taxonomías'!$G$2:$N$102,$A8,0)</f>
        <v>0</v>
      </c>
      <c r="G8" s="38">
        <f>HLOOKUP(G$3,'Amenazas vs Taxonomías'!$G$2:$N$102,$A8,0)</f>
        <v>0</v>
      </c>
      <c r="H8" s="38">
        <f>HLOOKUP(H$3,'Amenazas vs Taxonomías'!$G$2:$N$102,$A8,0)</f>
        <v>0</v>
      </c>
      <c r="I8" s="38">
        <f>HLOOKUP(I$3,'Amenazas vs Taxonomías'!$G$2:$N$102,$A8,0)</f>
        <v>0</v>
      </c>
      <c r="J8" s="38">
        <f>HLOOKUP(J$3,'Amenazas vs Taxonomías'!$G$2:$N$102,$A8,0)</f>
        <v>0</v>
      </c>
      <c r="K8" s="38">
        <f>HLOOKUP(K$3,'Amenazas vs Taxonomías'!$G$2:$N$102,$A8,0)</f>
        <v>0</v>
      </c>
      <c r="L8" s="38">
        <f>HLOOKUP(L$3,'Amenazas vs Taxonomías'!$G$2:$L$102,$A8,0)</f>
        <v>0</v>
      </c>
      <c r="M8" s="38">
        <f>HLOOKUP(M$3,'Amenazas vs Taxonomías'!$G$2:$L$102,$A8,0)</f>
        <v>0</v>
      </c>
      <c r="N8" s="38">
        <f>HLOOKUP(N$3,'Amenazas vs Taxonomías'!$G$2:$L$102,$A8,0)</f>
        <v>0</v>
      </c>
      <c r="O8" s="38">
        <f>HLOOKUP(O$3,'Amenazas vs Taxonomías'!$G$2:$L$102,$A8,0)</f>
        <v>0</v>
      </c>
      <c r="P8" s="38">
        <f>HLOOKUP(P$3,'Amenazas vs Taxonomías'!$G$2:$L$102,$A8,0)</f>
        <v>0</v>
      </c>
      <c r="Q8" s="38">
        <f>HLOOKUP(Q$3,'Amenazas vs Taxonomías'!$G$2:$N$102,$A8,0)</f>
        <v>0</v>
      </c>
      <c r="R8" s="38">
        <f>HLOOKUP(R$3,'Amenazas vs Taxonomías'!$G$2:$N$102,$A8,0)</f>
        <v>0</v>
      </c>
      <c r="S8" s="38">
        <f>HLOOKUP(S$3,'Amenazas vs Taxonomías'!$G$2:$N$102,$A8,0)</f>
        <v>0</v>
      </c>
      <c r="T8" s="38">
        <f>HLOOKUP(T$3,'Amenazas vs Taxonomías'!$G$2:$N$102,$A8,0)</f>
        <v>0</v>
      </c>
      <c r="U8" s="38">
        <f>HLOOKUP(U$3,'Amenazas vs Taxonomías'!$G$2:$N$102,$A8,0)</f>
        <v>0</v>
      </c>
      <c r="V8" s="38">
        <f>HLOOKUP(V$3,'Amenazas vs Taxonomías'!$G$2:$N$102,$A8,0)</f>
        <v>0</v>
      </c>
      <c r="W8" s="38">
        <f>HLOOKUP(W$3,'Amenazas vs Taxonomías'!$G$2:$N$102,$A8,0)</f>
        <v>0</v>
      </c>
      <c r="X8" s="38">
        <f>HLOOKUP(X$3,'Amenazas vs Taxonomías'!$G$2:$N$102,$A8,0)</f>
        <v>0</v>
      </c>
      <c r="Y8" s="38">
        <f>HLOOKUP(Y$3,'Amenazas vs Taxonomías'!$G$2:$N$102,$A8,0)</f>
        <v>0</v>
      </c>
      <c r="Z8" s="38">
        <f>HLOOKUP(Z$3,'Amenazas vs Taxonomías'!$G$2:$N$102,$A8,0)</f>
        <v>0</v>
      </c>
      <c r="AA8" s="38" t="str">
        <f>HLOOKUP(AA$3,'Amenazas vs Taxonomías'!$G$2:$L$102,$A8,0)</f>
        <v>x</v>
      </c>
      <c r="AB8" s="38" t="str">
        <f>HLOOKUP(AB$3,'Amenazas vs Taxonomías'!$G$2:$L$102,$A8,0)</f>
        <v>x</v>
      </c>
      <c r="AC8" s="38" t="str">
        <f>HLOOKUP(AC$3,'Amenazas vs Taxonomías'!$G$2:$L$102,$A8,0)</f>
        <v>x</v>
      </c>
      <c r="AD8" s="38" t="str">
        <f>HLOOKUP(AD$3,'Amenazas vs Taxonomías'!$G$2:$L$102,$A8,0)</f>
        <v>x</v>
      </c>
      <c r="AE8" s="38" t="str">
        <f>HLOOKUP(AE$3,'Amenazas vs Taxonomías'!$G$2:$L$102,$A8,0)</f>
        <v>x</v>
      </c>
      <c r="AF8" s="39">
        <f t="shared" si="1"/>
        <v>4</v>
      </c>
      <c r="AG8" s="39">
        <f t="shared" si="0"/>
        <v>0</v>
      </c>
      <c r="AH8" s="39">
        <f t="shared" si="0"/>
        <v>0</v>
      </c>
      <c r="AI8" s="39">
        <f t="shared" si="0"/>
        <v>0</v>
      </c>
      <c r="AJ8" s="39">
        <f t="shared" si="0"/>
        <v>0</v>
      </c>
      <c r="AK8" s="39">
        <f t="shared" si="0"/>
        <v>0</v>
      </c>
      <c r="AL8" s="39">
        <f t="shared" si="0"/>
        <v>0</v>
      </c>
      <c r="AM8" s="39">
        <f t="shared" si="0"/>
        <v>0</v>
      </c>
    </row>
    <row r="9" spans="1:40" s="18" customFormat="1" ht="17.25" customHeight="1">
      <c r="A9" s="17">
        <v>6</v>
      </c>
      <c r="B9" s="6" t="str">
        <f>'Amenazas vs Taxonomías'!B7</f>
        <v>TH05</v>
      </c>
      <c r="C9" s="12" t="str">
        <f>VLOOKUP(B9,'Amenazas vs Taxonomías'!B7:C115,2,0)</f>
        <v>[Actividad malintencionada / abuso] Destrucción de información</v>
      </c>
      <c r="D9" s="38">
        <f>HLOOKUP(D$3,'Amenazas vs Taxonomías'!$G$2:$N$102,$A9,0)</f>
        <v>0</v>
      </c>
      <c r="E9" s="38">
        <f>HLOOKUP(E$3,'Amenazas vs Taxonomías'!$G$2:$N$102,$A9,0)</f>
        <v>0</v>
      </c>
      <c r="F9" s="38">
        <f>HLOOKUP(F$3,'Amenazas vs Taxonomías'!$G$2:$N$102,$A9,0)</f>
        <v>0</v>
      </c>
      <c r="G9" s="38">
        <f>HLOOKUP(G$3,'Amenazas vs Taxonomías'!$G$2:$N$102,$A9,0)</f>
        <v>0</v>
      </c>
      <c r="H9" s="38">
        <f>HLOOKUP(H$3,'Amenazas vs Taxonomías'!$G$2:$N$102,$A9,0)</f>
        <v>0</v>
      </c>
      <c r="I9" s="38">
        <f>HLOOKUP(I$3,'Amenazas vs Taxonomías'!$G$2:$N$102,$A9,0)</f>
        <v>0</v>
      </c>
      <c r="J9" s="38">
        <f>HLOOKUP(J$3,'Amenazas vs Taxonomías'!$G$2:$N$102,$A9,0)</f>
        <v>0</v>
      </c>
      <c r="K9" s="38">
        <f>HLOOKUP(K$3,'Amenazas vs Taxonomías'!$G$2:$N$102,$A9,0)</f>
        <v>0</v>
      </c>
      <c r="L9" s="38">
        <f>HLOOKUP(L$3,'Amenazas vs Taxonomías'!$G$2:$L$102,$A9,0)</f>
        <v>0</v>
      </c>
      <c r="M9" s="38">
        <f>HLOOKUP(M$3,'Amenazas vs Taxonomías'!$G$2:$L$102,$A9,0)</f>
        <v>0</v>
      </c>
      <c r="N9" s="38">
        <f>HLOOKUP(N$3,'Amenazas vs Taxonomías'!$G$2:$L$102,$A9,0)</f>
        <v>0</v>
      </c>
      <c r="O9" s="38">
        <f>HLOOKUP(O$3,'Amenazas vs Taxonomías'!$G$2:$L$102,$A9,0)</f>
        <v>0</v>
      </c>
      <c r="P9" s="38">
        <f>HLOOKUP(P$3,'Amenazas vs Taxonomías'!$G$2:$L$102,$A9,0)</f>
        <v>0</v>
      </c>
      <c r="Q9" s="38">
        <f>HLOOKUP(Q$3,'Amenazas vs Taxonomías'!$G$2:$N$102,$A9,0)</f>
        <v>0</v>
      </c>
      <c r="R9" s="38">
        <f>HLOOKUP(R$3,'Amenazas vs Taxonomías'!$G$2:$N$102,$A9,0)</f>
        <v>0</v>
      </c>
      <c r="S9" s="38">
        <f>HLOOKUP(S$3,'Amenazas vs Taxonomías'!$G$2:$N$102,$A9,0)</f>
        <v>0</v>
      </c>
      <c r="T9" s="38">
        <f>HLOOKUP(T$3,'Amenazas vs Taxonomías'!$G$2:$N$102,$A9,0)</f>
        <v>0</v>
      </c>
      <c r="U9" s="38">
        <f>HLOOKUP(U$3,'Amenazas vs Taxonomías'!$G$2:$N$102,$A9,0)</f>
        <v>0</v>
      </c>
      <c r="V9" s="38">
        <f>HLOOKUP(V$3,'Amenazas vs Taxonomías'!$G$2:$N$102,$A9,0)</f>
        <v>0</v>
      </c>
      <c r="W9" s="38">
        <f>HLOOKUP(W$3,'Amenazas vs Taxonomías'!$G$2:$N$102,$A9,0)</f>
        <v>0</v>
      </c>
      <c r="X9" s="38">
        <f>HLOOKUP(X$3,'Amenazas vs Taxonomías'!$G$2:$N$102,$A9,0)</f>
        <v>0</v>
      </c>
      <c r="Y9" s="38">
        <f>HLOOKUP(Y$3,'Amenazas vs Taxonomías'!$G$2:$N$102,$A9,0)</f>
        <v>0</v>
      </c>
      <c r="Z9" s="38">
        <f>HLOOKUP(Z$3,'Amenazas vs Taxonomías'!$G$2:$N$102,$A9,0)</f>
        <v>0</v>
      </c>
      <c r="AA9" s="38" t="str">
        <f>HLOOKUP(AA$3,'Amenazas vs Taxonomías'!$G$2:$L$102,$A9,0)</f>
        <v>x</v>
      </c>
      <c r="AB9" s="38" t="str">
        <f>HLOOKUP(AB$3,'Amenazas vs Taxonomías'!$G$2:$L$102,$A9,0)</f>
        <v>x</v>
      </c>
      <c r="AC9" s="38" t="str">
        <f>HLOOKUP(AC$3,'Amenazas vs Taxonomías'!$G$2:$L$102,$A9,0)</f>
        <v>x</v>
      </c>
      <c r="AD9" s="38" t="str">
        <f>HLOOKUP(AD$3,'Amenazas vs Taxonomías'!$G$2:$L$102,$A9,0)</f>
        <v>x</v>
      </c>
      <c r="AE9" s="38" t="str">
        <f>HLOOKUP(AE$3,'Amenazas vs Taxonomías'!$G$2:$L$102,$A9,0)</f>
        <v>x</v>
      </c>
      <c r="AF9" s="39">
        <f t="shared" si="1"/>
        <v>4</v>
      </c>
      <c r="AG9" s="39">
        <f t="shared" si="0"/>
        <v>0</v>
      </c>
      <c r="AH9" s="39">
        <f t="shared" si="0"/>
        <v>0</v>
      </c>
      <c r="AI9" s="39">
        <f t="shared" si="0"/>
        <v>0</v>
      </c>
      <c r="AJ9" s="39">
        <f t="shared" si="0"/>
        <v>0</v>
      </c>
      <c r="AK9" s="39">
        <f t="shared" si="0"/>
        <v>0</v>
      </c>
      <c r="AL9" s="39">
        <f t="shared" si="0"/>
        <v>0</v>
      </c>
      <c r="AM9" s="39">
        <f t="shared" si="0"/>
        <v>0</v>
      </c>
    </row>
    <row r="10" spans="1:40" s="18" customFormat="1" ht="17.25" customHeight="1">
      <c r="A10" s="17">
        <v>7</v>
      </c>
      <c r="B10" s="6" t="str">
        <f>'Amenazas vs Taxonomías'!B8</f>
        <v>TH06</v>
      </c>
      <c r="C10" s="12" t="str">
        <f>VLOOKUP(B10,'Amenazas vs Taxonomías'!B8:C116,2,0)</f>
        <v>[Actividad malintencionada / abuso] Interceptación de información (escucha)</v>
      </c>
      <c r="D10" s="38">
        <f>HLOOKUP(D$3,'Amenazas vs Taxonomías'!$G$2:$N$102,$A10,0)</f>
        <v>0</v>
      </c>
      <c r="E10" s="38">
        <f>HLOOKUP(E$3,'Amenazas vs Taxonomías'!$G$2:$N$102,$A10,0)</f>
        <v>0</v>
      </c>
      <c r="F10" s="38">
        <f>HLOOKUP(F$3,'Amenazas vs Taxonomías'!$G$2:$N$102,$A10,0)</f>
        <v>0</v>
      </c>
      <c r="G10" s="38">
        <f>HLOOKUP(G$3,'Amenazas vs Taxonomías'!$G$2:$N$102,$A10,0)</f>
        <v>0</v>
      </c>
      <c r="H10" s="38">
        <f>HLOOKUP(H$3,'Amenazas vs Taxonomías'!$G$2:$N$102,$A10,0)</f>
        <v>0</v>
      </c>
      <c r="I10" s="38">
        <f>HLOOKUP(I$3,'Amenazas vs Taxonomías'!$G$2:$N$102,$A10,0)</f>
        <v>0</v>
      </c>
      <c r="J10" s="38">
        <f>HLOOKUP(J$3,'Amenazas vs Taxonomías'!$G$2:$N$102,$A10,0)</f>
        <v>0</v>
      </c>
      <c r="K10" s="38">
        <f>HLOOKUP(K$3,'Amenazas vs Taxonomías'!$G$2:$N$102,$A10,0)</f>
        <v>0</v>
      </c>
      <c r="L10" s="38">
        <f>HLOOKUP(L$3,'Amenazas vs Taxonomías'!$G$2:$L$102,$A10,0)</f>
        <v>0</v>
      </c>
      <c r="M10" s="38">
        <f>HLOOKUP(M$3,'Amenazas vs Taxonomías'!$G$2:$L$102,$A10,0)</f>
        <v>0</v>
      </c>
      <c r="N10" s="38">
        <f>HLOOKUP(N$3,'Amenazas vs Taxonomías'!$G$2:$L$102,$A10,0)</f>
        <v>0</v>
      </c>
      <c r="O10" s="38">
        <f>HLOOKUP(O$3,'Amenazas vs Taxonomías'!$G$2:$L$102,$A10,0)</f>
        <v>0</v>
      </c>
      <c r="P10" s="38">
        <f>HLOOKUP(P$3,'Amenazas vs Taxonomías'!$G$2:$L$102,$A10,0)</f>
        <v>0</v>
      </c>
      <c r="Q10" s="38">
        <f>HLOOKUP(Q$3,'Amenazas vs Taxonomías'!$G$2:$N$102,$A10,0)</f>
        <v>0</v>
      </c>
      <c r="R10" s="38">
        <f>HLOOKUP(R$3,'Amenazas vs Taxonomías'!$G$2:$N$102,$A10,0)</f>
        <v>0</v>
      </c>
      <c r="S10" s="38">
        <f>HLOOKUP(S$3,'Amenazas vs Taxonomías'!$G$2:$N$102,$A10,0)</f>
        <v>0</v>
      </c>
      <c r="T10" s="38">
        <f>HLOOKUP(T$3,'Amenazas vs Taxonomías'!$G$2:$N$102,$A10,0)</f>
        <v>0</v>
      </c>
      <c r="U10" s="38">
        <f>HLOOKUP(U$3,'Amenazas vs Taxonomías'!$G$2:$N$102,$A10,0)</f>
        <v>0</v>
      </c>
      <c r="V10" s="38">
        <f>HLOOKUP(V$3,'Amenazas vs Taxonomías'!$G$2:$N$102,$A10,0)</f>
        <v>0</v>
      </c>
      <c r="W10" s="38">
        <f>HLOOKUP(W$3,'Amenazas vs Taxonomías'!$G$2:$N$102,$A10,0)</f>
        <v>0</v>
      </c>
      <c r="X10" s="38">
        <f>HLOOKUP(X$3,'Amenazas vs Taxonomías'!$G$2:$N$102,$A10,0)</f>
        <v>0</v>
      </c>
      <c r="Y10" s="38">
        <f>HLOOKUP(Y$3,'Amenazas vs Taxonomías'!$G$2:$N$102,$A10,0)</f>
        <v>0</v>
      </c>
      <c r="Z10" s="38">
        <f>HLOOKUP(Z$3,'Amenazas vs Taxonomías'!$G$2:$N$102,$A10,0)</f>
        <v>0</v>
      </c>
      <c r="AA10" s="38" t="str">
        <f>HLOOKUP(AA$3,'Amenazas vs Taxonomías'!$G$2:$L$102,$A10,0)</f>
        <v>x</v>
      </c>
      <c r="AB10" s="38" t="str">
        <f>HLOOKUP(AB$3,'Amenazas vs Taxonomías'!$G$2:$L$102,$A10,0)</f>
        <v>x</v>
      </c>
      <c r="AC10" s="38" t="str">
        <f>HLOOKUP(AC$3,'Amenazas vs Taxonomías'!$G$2:$L$102,$A10,0)</f>
        <v>x</v>
      </c>
      <c r="AD10" s="38" t="str">
        <f>HLOOKUP(AD$3,'Amenazas vs Taxonomías'!$G$2:$L$102,$A10,0)</f>
        <v>x</v>
      </c>
      <c r="AE10" s="38" t="str">
        <f>HLOOKUP(AE$3,'Amenazas vs Taxonomías'!$G$2:$L$102,$A10,0)</f>
        <v>x</v>
      </c>
      <c r="AF10" s="39">
        <f t="shared" si="1"/>
        <v>4</v>
      </c>
      <c r="AG10" s="39">
        <f t="shared" si="0"/>
        <v>0</v>
      </c>
      <c r="AH10" s="39">
        <f t="shared" si="0"/>
        <v>0</v>
      </c>
      <c r="AI10" s="39">
        <f t="shared" si="0"/>
        <v>0</v>
      </c>
      <c r="AJ10" s="39">
        <f t="shared" si="0"/>
        <v>0</v>
      </c>
      <c r="AK10" s="39">
        <f t="shared" si="0"/>
        <v>0</v>
      </c>
      <c r="AL10" s="39">
        <f t="shared" si="0"/>
        <v>0</v>
      </c>
      <c r="AM10" s="39">
        <f t="shared" si="0"/>
        <v>0</v>
      </c>
    </row>
    <row r="11" spans="1:40" s="18" customFormat="1" ht="17.25" customHeight="1">
      <c r="A11" s="17">
        <v>8</v>
      </c>
      <c r="B11" s="6" t="str">
        <f>'Amenazas vs Taxonomías'!B9</f>
        <v>TH07</v>
      </c>
      <c r="C11" s="12" t="str">
        <f>VLOOKUP(B11,'Amenazas vs Taxonomías'!B9:C117,2,0)</f>
        <v>[Malfuncionamiento] Corte del suministro eléctrico</v>
      </c>
      <c r="D11" s="38">
        <f>HLOOKUP(D$3,'Amenazas vs Taxonomías'!$G$2:$N$102,$A11,0)</f>
        <v>0</v>
      </c>
      <c r="E11" s="38">
        <f>HLOOKUP(E$3,'Amenazas vs Taxonomías'!$G$2:$N$102,$A11,0)</f>
        <v>0</v>
      </c>
      <c r="F11" s="38">
        <f>HLOOKUP(F$3,'Amenazas vs Taxonomías'!$G$2:$N$102,$A11,0)</f>
        <v>0</v>
      </c>
      <c r="G11" s="38">
        <f>HLOOKUP(G$3,'Amenazas vs Taxonomías'!$G$2:$N$102,$A11,0)</f>
        <v>0</v>
      </c>
      <c r="H11" s="38">
        <f>HLOOKUP(H$3,'Amenazas vs Taxonomías'!$G$2:$N$102,$A11,0)</f>
        <v>0</v>
      </c>
      <c r="I11" s="38">
        <f>HLOOKUP(I$3,'Amenazas vs Taxonomías'!$G$2:$N$102,$A11,0)</f>
        <v>0</v>
      </c>
      <c r="J11" s="38">
        <f>HLOOKUP(J$3,'Amenazas vs Taxonomías'!$G$2:$N$102,$A11,0)</f>
        <v>0</v>
      </c>
      <c r="K11" s="38">
        <f>HLOOKUP(K$3,'Amenazas vs Taxonomías'!$G$2:$N$102,$A11,0)</f>
        <v>0</v>
      </c>
      <c r="L11" s="38" t="str">
        <f>HLOOKUP(L$3,'Amenazas vs Taxonomías'!$G$2:$L$102,$A11,0)</f>
        <v>x</v>
      </c>
      <c r="M11" s="38" t="str">
        <f>HLOOKUP(M$3,'Amenazas vs Taxonomías'!$G$2:$L$102,$A11,0)</f>
        <v>x</v>
      </c>
      <c r="N11" s="38" t="str">
        <f>HLOOKUP(N$3,'Amenazas vs Taxonomías'!$G$2:$L$102,$A11,0)</f>
        <v>x</v>
      </c>
      <c r="O11" s="38" t="str">
        <f>HLOOKUP(O$3,'Amenazas vs Taxonomías'!$G$2:$L$102,$A11,0)</f>
        <v>x</v>
      </c>
      <c r="P11" s="38" t="str">
        <f>HLOOKUP(P$3,'Amenazas vs Taxonomías'!$G$2:$L$102,$A11,0)</f>
        <v>x</v>
      </c>
      <c r="Q11" s="38" t="str">
        <f>HLOOKUP(Q$3,'Amenazas vs Taxonomías'!$G$2:$N$102,$A11,0)</f>
        <v>x</v>
      </c>
      <c r="R11" s="38">
        <f>HLOOKUP(R$3,'Amenazas vs Taxonomías'!$G$2:$N$102,$A11,0)</f>
        <v>0</v>
      </c>
      <c r="S11" s="38">
        <f>HLOOKUP(S$3,'Amenazas vs Taxonomías'!$G$2:$N$102,$A11,0)</f>
        <v>0</v>
      </c>
      <c r="T11" s="38">
        <f>HLOOKUP(T$3,'Amenazas vs Taxonomías'!$G$2:$N$102,$A11,0)</f>
        <v>0</v>
      </c>
      <c r="U11" s="38">
        <f>HLOOKUP(U$3,'Amenazas vs Taxonomías'!$G$2:$N$102,$A11,0)</f>
        <v>0</v>
      </c>
      <c r="V11" s="38">
        <f>HLOOKUP(V$3,'Amenazas vs Taxonomías'!$G$2:$N$102,$A11,0)</f>
        <v>0</v>
      </c>
      <c r="W11" s="38">
        <f>HLOOKUP(W$3,'Amenazas vs Taxonomías'!$G$2:$N$102,$A11,0)</f>
        <v>0</v>
      </c>
      <c r="X11" s="38">
        <f>HLOOKUP(X$3,'Amenazas vs Taxonomías'!$G$2:$N$102,$A11,0)</f>
        <v>0</v>
      </c>
      <c r="Y11" s="38" t="str">
        <f>HLOOKUP(Y$3,'Amenazas vs Taxonomías'!$G$2:$N$102,$A11,0)</f>
        <v>x</v>
      </c>
      <c r="Z11" s="38" t="str">
        <f>HLOOKUP(Z$3,'Amenazas vs Taxonomías'!$G$2:$N$102,$A11,0)</f>
        <v>x</v>
      </c>
      <c r="AA11" s="38">
        <f>HLOOKUP(AA$3,'Amenazas vs Taxonomías'!$G$2:$L$102,$A11,0)</f>
        <v>0</v>
      </c>
      <c r="AB11" s="38">
        <f>HLOOKUP(AB$3,'Amenazas vs Taxonomías'!$G$2:$L$102,$A11,0)</f>
        <v>0</v>
      </c>
      <c r="AC11" s="38">
        <f>HLOOKUP(AC$3,'Amenazas vs Taxonomías'!$G$2:$L$102,$A11,0)</f>
        <v>0</v>
      </c>
      <c r="AD11" s="38">
        <f>HLOOKUP(AD$3,'Amenazas vs Taxonomías'!$G$2:$L$102,$A11,0)</f>
        <v>0</v>
      </c>
      <c r="AE11" s="38">
        <f>HLOOKUP(AE$3,'Amenazas vs Taxonomías'!$G$2:$L$102,$A11,0)</f>
        <v>0</v>
      </c>
      <c r="AF11" s="39">
        <f t="shared" si="1"/>
        <v>0</v>
      </c>
      <c r="AG11" s="39">
        <f t="shared" si="0"/>
        <v>0</v>
      </c>
      <c r="AH11" s="39">
        <f t="shared" si="0"/>
        <v>6</v>
      </c>
      <c r="AI11" s="39">
        <f t="shared" si="0"/>
        <v>0</v>
      </c>
      <c r="AJ11" s="39">
        <f t="shared" si="0"/>
        <v>2</v>
      </c>
      <c r="AK11" s="39">
        <f t="shared" si="0"/>
        <v>0</v>
      </c>
      <c r="AL11" s="39">
        <f t="shared" si="0"/>
        <v>0</v>
      </c>
      <c r="AM11" s="39">
        <f t="shared" si="0"/>
        <v>0</v>
      </c>
    </row>
    <row r="12" spans="1:40" s="18" customFormat="1" ht="17.25" customHeight="1">
      <c r="A12" s="17">
        <v>9</v>
      </c>
      <c r="B12" s="6" t="str">
        <f>'Amenazas vs Taxonomías'!B10</f>
        <v>TH08</v>
      </c>
      <c r="C12" s="12" t="str">
        <f>VLOOKUP(B12,'Amenazas vs Taxonomías'!B10:C118,2,0)</f>
        <v>[Desastre] Condiciones inadecuadas de temperatura o humedad</v>
      </c>
      <c r="D12" s="38">
        <f>HLOOKUP(D$3,'Amenazas vs Taxonomías'!$G$2:$N$102,$A12,0)</f>
        <v>0</v>
      </c>
      <c r="E12" s="38">
        <f>HLOOKUP(E$3,'Amenazas vs Taxonomías'!$G$2:$N$102,$A12,0)</f>
        <v>0</v>
      </c>
      <c r="F12" s="38">
        <f>HLOOKUP(F$3,'Amenazas vs Taxonomías'!$G$2:$N$102,$A12,0)</f>
        <v>0</v>
      </c>
      <c r="G12" s="38">
        <f>HLOOKUP(G$3,'Amenazas vs Taxonomías'!$G$2:$N$102,$A12,0)</f>
        <v>0</v>
      </c>
      <c r="H12" s="38">
        <f>HLOOKUP(H$3,'Amenazas vs Taxonomías'!$G$2:$N$102,$A12,0)</f>
        <v>0</v>
      </c>
      <c r="I12" s="38">
        <f>HLOOKUP(I$3,'Amenazas vs Taxonomías'!$G$2:$N$102,$A12,0)</f>
        <v>0</v>
      </c>
      <c r="J12" s="38">
        <f>HLOOKUP(J$3,'Amenazas vs Taxonomías'!$G$2:$N$102,$A12,0)</f>
        <v>0</v>
      </c>
      <c r="K12" s="38">
        <f>HLOOKUP(K$3,'Amenazas vs Taxonomías'!$G$2:$N$102,$A12,0)</f>
        <v>0</v>
      </c>
      <c r="L12" s="38" t="str">
        <f>HLOOKUP(L$3,'Amenazas vs Taxonomías'!$G$2:$L$102,$A12,0)</f>
        <v>x</v>
      </c>
      <c r="M12" s="38" t="str">
        <f>HLOOKUP(M$3,'Amenazas vs Taxonomías'!$G$2:$L$102,$A12,0)</f>
        <v>x</v>
      </c>
      <c r="N12" s="38" t="str">
        <f>HLOOKUP(N$3,'Amenazas vs Taxonomías'!$G$2:$L$102,$A12,0)</f>
        <v>x</v>
      </c>
      <c r="O12" s="38" t="str">
        <f>HLOOKUP(O$3,'Amenazas vs Taxonomías'!$G$2:$L$102,$A12,0)</f>
        <v>x</v>
      </c>
      <c r="P12" s="38" t="str">
        <f>HLOOKUP(P$3,'Amenazas vs Taxonomías'!$G$2:$L$102,$A12,0)</f>
        <v>x</v>
      </c>
      <c r="Q12" s="38" t="str">
        <f>HLOOKUP(Q$3,'Amenazas vs Taxonomías'!$G$2:$N$102,$A12,0)</f>
        <v>x</v>
      </c>
      <c r="R12" s="38">
        <f>HLOOKUP(R$3,'Amenazas vs Taxonomías'!$G$2:$N$102,$A12,0)</f>
        <v>0</v>
      </c>
      <c r="S12" s="38">
        <f>HLOOKUP(S$3,'Amenazas vs Taxonomías'!$G$2:$N$102,$A12,0)</f>
        <v>0</v>
      </c>
      <c r="T12" s="38">
        <f>HLOOKUP(T$3,'Amenazas vs Taxonomías'!$G$2:$N$102,$A12,0)</f>
        <v>0</v>
      </c>
      <c r="U12" s="38">
        <f>HLOOKUP(U$3,'Amenazas vs Taxonomías'!$G$2:$N$102,$A12,0)</f>
        <v>0</v>
      </c>
      <c r="V12" s="38">
        <f>HLOOKUP(V$3,'Amenazas vs Taxonomías'!$G$2:$N$102,$A12,0)</f>
        <v>0</v>
      </c>
      <c r="W12" s="38">
        <f>HLOOKUP(W$3,'Amenazas vs Taxonomías'!$G$2:$N$102,$A12,0)</f>
        <v>0</v>
      </c>
      <c r="X12" s="38">
        <f>HLOOKUP(X$3,'Amenazas vs Taxonomías'!$G$2:$N$102,$A12,0)</f>
        <v>0</v>
      </c>
      <c r="Y12" s="38">
        <f>HLOOKUP(Y$3,'Amenazas vs Taxonomías'!$G$2:$N$102,$A12,0)</f>
        <v>0</v>
      </c>
      <c r="Z12" s="38">
        <f>HLOOKUP(Z$3,'Amenazas vs Taxonomías'!$G$2:$N$102,$A12,0)</f>
        <v>0</v>
      </c>
      <c r="AA12" s="38">
        <f>HLOOKUP(AA$3,'Amenazas vs Taxonomías'!$G$2:$L$102,$A12,0)</f>
        <v>0</v>
      </c>
      <c r="AB12" s="38">
        <f>HLOOKUP(AB$3,'Amenazas vs Taxonomías'!$G$2:$L$102,$A12,0)</f>
        <v>0</v>
      </c>
      <c r="AC12" s="38">
        <f>HLOOKUP(AC$3,'Amenazas vs Taxonomías'!$G$2:$L$102,$A12,0)</f>
        <v>0</v>
      </c>
      <c r="AD12" s="38">
        <f>HLOOKUP(AD$3,'Amenazas vs Taxonomías'!$G$2:$L$102,$A12,0)</f>
        <v>0</v>
      </c>
      <c r="AE12" s="38">
        <f>HLOOKUP(AE$3,'Amenazas vs Taxonomías'!$G$2:$L$102,$A12,0)</f>
        <v>0</v>
      </c>
      <c r="AF12" s="39">
        <f t="shared" si="1"/>
        <v>0</v>
      </c>
      <c r="AG12" s="39">
        <f t="shared" si="0"/>
        <v>0</v>
      </c>
      <c r="AH12" s="39">
        <f t="shared" si="0"/>
        <v>6</v>
      </c>
      <c r="AI12" s="39">
        <f t="shared" si="0"/>
        <v>0</v>
      </c>
      <c r="AJ12" s="39">
        <f t="shared" si="0"/>
        <v>0</v>
      </c>
      <c r="AK12" s="39">
        <f t="shared" si="0"/>
        <v>0</v>
      </c>
      <c r="AL12" s="39">
        <f t="shared" si="0"/>
        <v>0</v>
      </c>
      <c r="AM12" s="39">
        <f t="shared" si="0"/>
        <v>0</v>
      </c>
    </row>
    <row r="13" spans="1:40" s="18" customFormat="1" ht="17.25" customHeight="1">
      <c r="A13" s="17">
        <v>10</v>
      </c>
      <c r="B13" s="6" t="str">
        <f>'Amenazas vs Taxonomías'!B11</f>
        <v>TH09</v>
      </c>
      <c r="C13" s="12" t="str">
        <f>VLOOKUP(B13,'Amenazas vs Taxonomías'!B11:C119,2,0)</f>
        <v>[Malfuncionamiento] Fallo de servicios de comunicaciones</v>
      </c>
      <c r="D13" s="38">
        <f>HLOOKUP(D$3,'Amenazas vs Taxonomías'!$G$2:$N$102,$A13,0)</f>
        <v>0</v>
      </c>
      <c r="E13" s="38">
        <f>HLOOKUP(E$3,'Amenazas vs Taxonomías'!$G$2:$N$102,$A13,0)</f>
        <v>0</v>
      </c>
      <c r="F13" s="38">
        <f>HLOOKUP(F$3,'Amenazas vs Taxonomías'!$G$2:$N$102,$A13,0)</f>
        <v>0</v>
      </c>
      <c r="G13" s="38">
        <f>HLOOKUP(G$3,'Amenazas vs Taxonomías'!$G$2:$N$102,$A13,0)</f>
        <v>0</v>
      </c>
      <c r="H13" s="38">
        <f>HLOOKUP(H$3,'Amenazas vs Taxonomías'!$G$2:$N$102,$A13,0)</f>
        <v>0</v>
      </c>
      <c r="I13" s="38">
        <f>HLOOKUP(I$3,'Amenazas vs Taxonomías'!$G$2:$N$102,$A13,0)</f>
        <v>0</v>
      </c>
      <c r="J13" s="38" t="str">
        <f>HLOOKUP(J$3,'Amenazas vs Taxonomías'!$G$2:$N$102,$A13,0)</f>
        <v>x</v>
      </c>
      <c r="K13" s="38">
        <f>HLOOKUP(K$3,'Amenazas vs Taxonomías'!$G$2:$N$102,$A13,0)</f>
        <v>0</v>
      </c>
      <c r="L13" s="38">
        <f>HLOOKUP(L$3,'Amenazas vs Taxonomías'!$G$2:$L$102,$A13,0)</f>
        <v>0</v>
      </c>
      <c r="M13" s="38">
        <f>HLOOKUP(M$3,'Amenazas vs Taxonomías'!$G$2:$L$102,$A13,0)</f>
        <v>0</v>
      </c>
      <c r="N13" s="38">
        <f>HLOOKUP(N$3,'Amenazas vs Taxonomías'!$G$2:$L$102,$A13,0)</f>
        <v>0</v>
      </c>
      <c r="O13" s="38">
        <f>HLOOKUP(O$3,'Amenazas vs Taxonomías'!$G$2:$L$102,$A13,0)</f>
        <v>0</v>
      </c>
      <c r="P13" s="38">
        <f>HLOOKUP(P$3,'Amenazas vs Taxonomías'!$G$2:$L$102,$A13,0)</f>
        <v>0</v>
      </c>
      <c r="Q13" s="38">
        <f>HLOOKUP(Q$3,'Amenazas vs Taxonomías'!$G$2:$N$102,$A13,0)</f>
        <v>0</v>
      </c>
      <c r="R13" s="38">
        <f>HLOOKUP(R$3,'Amenazas vs Taxonomías'!$G$2:$N$102,$A13,0)</f>
        <v>0</v>
      </c>
      <c r="S13" s="38">
        <f>HLOOKUP(S$3,'Amenazas vs Taxonomías'!$G$2:$N$102,$A13,0)</f>
        <v>0</v>
      </c>
      <c r="T13" s="38">
        <f>HLOOKUP(T$3,'Amenazas vs Taxonomías'!$G$2:$N$102,$A13,0)</f>
        <v>0</v>
      </c>
      <c r="U13" s="38">
        <f>HLOOKUP(U$3,'Amenazas vs Taxonomías'!$G$2:$N$102,$A13,0)</f>
        <v>0</v>
      </c>
      <c r="V13" s="38">
        <f>HLOOKUP(V$3,'Amenazas vs Taxonomías'!$G$2:$N$102,$A13,0)</f>
        <v>0</v>
      </c>
      <c r="W13" s="38">
        <f>HLOOKUP(W$3,'Amenazas vs Taxonomías'!$G$2:$N$102,$A13,0)</f>
        <v>0</v>
      </c>
      <c r="X13" s="38">
        <f>HLOOKUP(X$3,'Amenazas vs Taxonomías'!$G$2:$N$102,$A13,0)</f>
        <v>0</v>
      </c>
      <c r="Y13" s="38">
        <f>HLOOKUP(Y$3,'Amenazas vs Taxonomías'!$G$2:$N$102,$A13,0)</f>
        <v>0</v>
      </c>
      <c r="Z13" s="38">
        <f>HLOOKUP(Z$3,'Amenazas vs Taxonomías'!$G$2:$N$102,$A13,0)</f>
        <v>0</v>
      </c>
      <c r="AA13" s="38">
        <f>HLOOKUP(AA$3,'Amenazas vs Taxonomías'!$G$2:$L$102,$A13,0)</f>
        <v>0</v>
      </c>
      <c r="AB13" s="38">
        <f>HLOOKUP(AB$3,'Amenazas vs Taxonomías'!$G$2:$L$102,$A13,0)</f>
        <v>0</v>
      </c>
      <c r="AC13" s="38">
        <f>HLOOKUP(AC$3,'Amenazas vs Taxonomías'!$G$2:$L$102,$A13,0)</f>
        <v>0</v>
      </c>
      <c r="AD13" s="38">
        <f>HLOOKUP(AD$3,'Amenazas vs Taxonomías'!$G$2:$L$102,$A13,0)</f>
        <v>0</v>
      </c>
      <c r="AE13" s="38">
        <f>HLOOKUP(AE$3,'Amenazas vs Taxonomías'!$G$2:$L$102,$A13,0)</f>
        <v>0</v>
      </c>
      <c r="AF13" s="39">
        <f t="shared" si="1"/>
        <v>0</v>
      </c>
      <c r="AG13" s="39">
        <f t="shared" si="0"/>
        <v>0</v>
      </c>
      <c r="AH13" s="39">
        <f t="shared" si="0"/>
        <v>0</v>
      </c>
      <c r="AI13" s="39">
        <f t="shared" si="0"/>
        <v>1</v>
      </c>
      <c r="AJ13" s="39">
        <f t="shared" si="0"/>
        <v>0</v>
      </c>
      <c r="AK13" s="39">
        <f t="shared" si="0"/>
        <v>0</v>
      </c>
      <c r="AL13" s="39">
        <f t="shared" si="0"/>
        <v>0</v>
      </c>
      <c r="AM13" s="39">
        <f t="shared" si="0"/>
        <v>0</v>
      </c>
    </row>
    <row r="14" spans="1:40" s="18" customFormat="1" ht="17.25" customHeight="1">
      <c r="A14" s="17">
        <v>11</v>
      </c>
      <c r="B14" s="6" t="str">
        <f>'Amenazas vs Taxonomías'!B12</f>
        <v>TH10</v>
      </c>
      <c r="C14" s="12" t="str">
        <f>VLOOKUP(B14,'Amenazas vs Taxonomías'!B12:C120,2,0)</f>
        <v>[Indisponibilidad del recurso] Interrupción de servicios y suministros esenciales</v>
      </c>
      <c r="D14" s="38">
        <f>HLOOKUP(D$3,'Amenazas vs Taxonomías'!$G$2:$N$102,$A14,0)</f>
        <v>0</v>
      </c>
      <c r="E14" s="38">
        <f>HLOOKUP(E$3,'Amenazas vs Taxonomías'!$G$2:$N$102,$A14,0)</f>
        <v>0</v>
      </c>
      <c r="F14" s="38">
        <f>HLOOKUP(F$3,'Amenazas vs Taxonomías'!$G$2:$N$102,$A14,0)</f>
        <v>0</v>
      </c>
      <c r="G14" s="38">
        <f>HLOOKUP(G$3,'Amenazas vs Taxonomías'!$G$2:$N$102,$A14,0)</f>
        <v>0</v>
      </c>
      <c r="H14" s="38">
        <f>HLOOKUP(H$3,'Amenazas vs Taxonomías'!$G$2:$N$102,$A14,0)</f>
        <v>0</v>
      </c>
      <c r="I14" s="38">
        <f>HLOOKUP(I$3,'Amenazas vs Taxonomías'!$G$2:$N$102,$A14,0)</f>
        <v>0</v>
      </c>
      <c r="J14" s="38" t="str">
        <f>HLOOKUP(J$3,'Amenazas vs Taxonomías'!$G$2:$N$102,$A14,0)</f>
        <v>x</v>
      </c>
      <c r="K14" s="38">
        <f>HLOOKUP(K$3,'Amenazas vs Taxonomías'!$G$2:$N$102,$A14,0)</f>
        <v>0</v>
      </c>
      <c r="L14" s="38">
        <f>HLOOKUP(L$3,'Amenazas vs Taxonomías'!$G$2:$L$102,$A14,0)</f>
        <v>0</v>
      </c>
      <c r="M14" s="38">
        <f>HLOOKUP(M$3,'Amenazas vs Taxonomías'!$G$2:$L$102,$A14,0)</f>
        <v>0</v>
      </c>
      <c r="N14" s="38">
        <f>HLOOKUP(N$3,'Amenazas vs Taxonomías'!$G$2:$L$102,$A14,0)</f>
        <v>0</v>
      </c>
      <c r="O14" s="38">
        <f>HLOOKUP(O$3,'Amenazas vs Taxonomías'!$G$2:$L$102,$A14,0)</f>
        <v>0</v>
      </c>
      <c r="P14" s="38">
        <f>HLOOKUP(P$3,'Amenazas vs Taxonomías'!$G$2:$L$102,$A14,0)</f>
        <v>0</v>
      </c>
      <c r="Q14" s="38">
        <f>HLOOKUP(Q$3,'Amenazas vs Taxonomías'!$G$2:$N$102,$A14,0)</f>
        <v>0</v>
      </c>
      <c r="R14" s="38" t="str">
        <f>HLOOKUP(R$3,'Amenazas vs Taxonomías'!$G$2:$N$102,$A14,0)</f>
        <v>x</v>
      </c>
      <c r="S14" s="38" t="str">
        <f>HLOOKUP(S$3,'Amenazas vs Taxonomías'!$G$2:$N$102,$A14,0)</f>
        <v>x</v>
      </c>
      <c r="T14" s="38" t="str">
        <f>HLOOKUP(T$3,'Amenazas vs Taxonomías'!$G$2:$N$102,$A14,0)</f>
        <v>x</v>
      </c>
      <c r="U14" s="38" t="str">
        <f>HLOOKUP(U$3,'Amenazas vs Taxonomías'!$G$2:$N$102,$A14,0)</f>
        <v>x</v>
      </c>
      <c r="V14" s="38" t="str">
        <f>HLOOKUP(V$3,'Amenazas vs Taxonomías'!$G$2:$N$102,$A14,0)</f>
        <v>x</v>
      </c>
      <c r="W14" s="38" t="str">
        <f>HLOOKUP(W$3,'Amenazas vs Taxonomías'!$G$2:$N$102,$A14,0)</f>
        <v>x</v>
      </c>
      <c r="X14" s="38" t="str">
        <f>HLOOKUP(X$3,'Amenazas vs Taxonomías'!$G$2:$N$102,$A14,0)</f>
        <v>x</v>
      </c>
      <c r="Y14" s="38">
        <f>HLOOKUP(Y$3,'Amenazas vs Taxonomías'!$G$2:$N$102,$A14,0)</f>
        <v>0</v>
      </c>
      <c r="Z14" s="38">
        <f>HLOOKUP(Z$3,'Amenazas vs Taxonomías'!$G$2:$N$102,$A14,0)</f>
        <v>0</v>
      </c>
      <c r="AA14" s="38">
        <f>HLOOKUP(AA$3,'Amenazas vs Taxonomías'!$G$2:$L$102,$A14,0)</f>
        <v>0</v>
      </c>
      <c r="AB14" s="38">
        <f>HLOOKUP(AB$3,'Amenazas vs Taxonomías'!$G$2:$L$102,$A14,0)</f>
        <v>0</v>
      </c>
      <c r="AC14" s="38">
        <f>HLOOKUP(AC$3,'Amenazas vs Taxonomías'!$G$2:$L$102,$A14,0)</f>
        <v>0</v>
      </c>
      <c r="AD14" s="38">
        <f>HLOOKUP(AD$3,'Amenazas vs Taxonomías'!$G$2:$L$102,$A14,0)</f>
        <v>0</v>
      </c>
      <c r="AE14" s="38">
        <f>HLOOKUP(AE$3,'Amenazas vs Taxonomías'!$G$2:$L$102,$A14,0)</f>
        <v>0</v>
      </c>
      <c r="AF14" s="39">
        <f t="shared" si="1"/>
        <v>0</v>
      </c>
      <c r="AG14" s="39">
        <f t="shared" si="0"/>
        <v>7</v>
      </c>
      <c r="AH14" s="39">
        <f t="shared" si="0"/>
        <v>0</v>
      </c>
      <c r="AI14" s="39">
        <f t="shared" si="0"/>
        <v>1</v>
      </c>
      <c r="AJ14" s="39">
        <f t="shared" si="0"/>
        <v>0</v>
      </c>
      <c r="AK14" s="39">
        <f t="shared" si="0"/>
        <v>0</v>
      </c>
      <c r="AL14" s="39">
        <f t="shared" si="0"/>
        <v>0</v>
      </c>
      <c r="AM14" s="39">
        <f t="shared" si="0"/>
        <v>0</v>
      </c>
    </row>
    <row r="15" spans="1:40" s="18" customFormat="1" ht="17.25" customHeight="1">
      <c r="A15" s="17">
        <v>12</v>
      </c>
      <c r="B15" s="6" t="str">
        <f>'Amenazas vs Taxonomías'!B13</f>
        <v>TH11</v>
      </c>
      <c r="C15" s="12" t="str">
        <f>VLOOKUP(B15,'Amenazas vs Taxonomías'!B13:C121,2,0)</f>
        <v>[Desastre] Desastres industriales</v>
      </c>
      <c r="D15" s="38" t="str">
        <f>HLOOKUP(D$3,'Amenazas vs Taxonomías'!$G$2:$N$102,$A15,0)</f>
        <v>x</v>
      </c>
      <c r="E15" s="38" t="str">
        <f>HLOOKUP(E$3,'Amenazas vs Taxonomías'!$G$2:$N$102,$A15,0)</f>
        <v>x</v>
      </c>
      <c r="F15" s="38" t="str">
        <f>HLOOKUP(F$3,'Amenazas vs Taxonomías'!$G$2:$N$102,$A15,0)</f>
        <v>x</v>
      </c>
      <c r="G15" s="38" t="str">
        <f>HLOOKUP(G$3,'Amenazas vs Taxonomías'!$G$2:$N$102,$A15,0)</f>
        <v>x</v>
      </c>
      <c r="H15" s="38">
        <f>HLOOKUP(H$3,'Amenazas vs Taxonomías'!$G$2:$N$102,$A15,0)</f>
        <v>0</v>
      </c>
      <c r="I15" s="38">
        <f>HLOOKUP(I$3,'Amenazas vs Taxonomías'!$G$2:$N$102,$A15,0)</f>
        <v>0</v>
      </c>
      <c r="J15" s="38">
        <f>HLOOKUP(J$3,'Amenazas vs Taxonomías'!$G$2:$N$102,$A15,0)</f>
        <v>0</v>
      </c>
      <c r="K15" s="38">
        <f>HLOOKUP(K$3,'Amenazas vs Taxonomías'!$G$2:$N$102,$A15,0)</f>
        <v>0</v>
      </c>
      <c r="L15" s="38" t="str">
        <f>HLOOKUP(L$3,'Amenazas vs Taxonomías'!$G$2:$L$102,$A15,0)</f>
        <v>x</v>
      </c>
      <c r="M15" s="38" t="str">
        <f>HLOOKUP(M$3,'Amenazas vs Taxonomías'!$G$2:$L$102,$A15,0)</f>
        <v>x</v>
      </c>
      <c r="N15" s="38" t="str">
        <f>HLOOKUP(N$3,'Amenazas vs Taxonomías'!$G$2:$L$102,$A15,0)</f>
        <v>x</v>
      </c>
      <c r="O15" s="38" t="str">
        <f>HLOOKUP(O$3,'Amenazas vs Taxonomías'!$G$2:$L$102,$A15,0)</f>
        <v>x</v>
      </c>
      <c r="P15" s="38" t="str">
        <f>HLOOKUP(P$3,'Amenazas vs Taxonomías'!$G$2:$L$102,$A15,0)</f>
        <v>x</v>
      </c>
      <c r="Q15" s="38" t="str">
        <f>HLOOKUP(Q$3,'Amenazas vs Taxonomías'!$G$2:$N$102,$A15,0)</f>
        <v>x</v>
      </c>
      <c r="R15" s="38">
        <f>HLOOKUP(R$3,'Amenazas vs Taxonomías'!$G$2:$N$102,$A15,0)</f>
        <v>0</v>
      </c>
      <c r="S15" s="38">
        <f>HLOOKUP(S$3,'Amenazas vs Taxonomías'!$G$2:$N$102,$A15,0)</f>
        <v>0</v>
      </c>
      <c r="T15" s="38">
        <f>HLOOKUP(T$3,'Amenazas vs Taxonomías'!$G$2:$N$102,$A15,0)</f>
        <v>0</v>
      </c>
      <c r="U15" s="38">
        <f>HLOOKUP(U$3,'Amenazas vs Taxonomías'!$G$2:$N$102,$A15,0)</f>
        <v>0</v>
      </c>
      <c r="V15" s="38">
        <f>HLOOKUP(V$3,'Amenazas vs Taxonomías'!$G$2:$N$102,$A15,0)</f>
        <v>0</v>
      </c>
      <c r="W15" s="38">
        <f>HLOOKUP(W$3,'Amenazas vs Taxonomías'!$G$2:$N$102,$A15,0)</f>
        <v>0</v>
      </c>
      <c r="X15" s="38">
        <f>HLOOKUP(X$3,'Amenazas vs Taxonomías'!$G$2:$N$102,$A15,0)</f>
        <v>0</v>
      </c>
      <c r="Y15" s="38" t="str">
        <f>HLOOKUP(Y$3,'Amenazas vs Taxonomías'!$G$2:$N$102,$A15,0)</f>
        <v>x</v>
      </c>
      <c r="Z15" s="38" t="str">
        <f>HLOOKUP(Z$3,'Amenazas vs Taxonomías'!$G$2:$N$102,$A15,0)</f>
        <v>x</v>
      </c>
      <c r="AA15" s="38">
        <f>HLOOKUP(AA$3,'Amenazas vs Taxonomías'!$G$2:$L$102,$A15,0)</f>
        <v>0</v>
      </c>
      <c r="AB15" s="38">
        <f>HLOOKUP(AB$3,'Amenazas vs Taxonomías'!$G$2:$L$102,$A15,0)</f>
        <v>0</v>
      </c>
      <c r="AC15" s="38">
        <f>HLOOKUP(AC$3,'Amenazas vs Taxonomías'!$G$2:$L$102,$A15,0)</f>
        <v>0</v>
      </c>
      <c r="AD15" s="38">
        <f>HLOOKUP(AD$3,'Amenazas vs Taxonomías'!$G$2:$L$102,$A15,0)</f>
        <v>0</v>
      </c>
      <c r="AE15" s="38">
        <f>HLOOKUP(AE$3,'Amenazas vs Taxonomías'!$G$2:$L$102,$A15,0)</f>
        <v>0</v>
      </c>
      <c r="AF15" s="39">
        <f t="shared" si="1"/>
        <v>0</v>
      </c>
      <c r="AG15" s="39">
        <f t="shared" ref="AG15:AM29" si="2">COUNTIFS($D15:$AD15,"=x",$D$3:$AD$3,"="&amp;AG$3)</f>
        <v>0</v>
      </c>
      <c r="AH15" s="39">
        <f t="shared" si="2"/>
        <v>6</v>
      </c>
      <c r="AI15" s="39">
        <f t="shared" si="2"/>
        <v>0</v>
      </c>
      <c r="AJ15" s="39">
        <f t="shared" si="2"/>
        <v>2</v>
      </c>
      <c r="AK15" s="39">
        <f t="shared" si="2"/>
        <v>4</v>
      </c>
      <c r="AL15" s="39">
        <f t="shared" si="2"/>
        <v>0</v>
      </c>
      <c r="AM15" s="39">
        <f t="shared" si="2"/>
        <v>0</v>
      </c>
    </row>
    <row r="16" spans="1:40" s="18" customFormat="1" ht="17.25" customHeight="1">
      <c r="A16" s="17">
        <v>13</v>
      </c>
      <c r="B16" s="6" t="str">
        <f>'Amenazas vs Taxonomías'!B14</f>
        <v>TH12</v>
      </c>
      <c r="C16" s="12" t="str">
        <f>VLOOKUP(B16,'Amenazas vs Taxonomías'!B14:C122,2,0)</f>
        <v>[Daños accidentales] Errores de los usuarios</v>
      </c>
      <c r="D16" s="38" t="str">
        <f>HLOOKUP(D$3,'Amenazas vs Taxonomías'!$G$2:$N$102,$A16,0)</f>
        <v>x</v>
      </c>
      <c r="E16" s="38" t="str">
        <f>HLOOKUP(E$3,'Amenazas vs Taxonomías'!$G$2:$N$102,$A16,0)</f>
        <v>x</v>
      </c>
      <c r="F16" s="38" t="str">
        <f>HLOOKUP(F$3,'Amenazas vs Taxonomías'!$G$2:$N$102,$A16,0)</f>
        <v>x</v>
      </c>
      <c r="G16" s="38" t="str">
        <f>HLOOKUP(G$3,'Amenazas vs Taxonomías'!$G$2:$N$102,$A16,0)</f>
        <v>x</v>
      </c>
      <c r="H16" s="38">
        <f>HLOOKUP(H$3,'Amenazas vs Taxonomías'!$G$2:$N$102,$A16,0)</f>
        <v>0</v>
      </c>
      <c r="I16" s="38">
        <f>HLOOKUP(I$3,'Amenazas vs Taxonomías'!$G$2:$N$102,$A16,0)</f>
        <v>0</v>
      </c>
      <c r="J16" s="38">
        <f>HLOOKUP(J$3,'Amenazas vs Taxonomías'!$G$2:$N$102,$A16,0)</f>
        <v>0</v>
      </c>
      <c r="K16" s="38">
        <f>HLOOKUP(K$3,'Amenazas vs Taxonomías'!$G$2:$N$102,$A16,0)</f>
        <v>0</v>
      </c>
      <c r="L16" s="38">
        <f>HLOOKUP(L$3,'Amenazas vs Taxonomías'!$G$2:$L$102,$A16,0)</f>
        <v>0</v>
      </c>
      <c r="M16" s="38">
        <f>HLOOKUP(M$3,'Amenazas vs Taxonomías'!$G$2:$L$102,$A16,0)</f>
        <v>0</v>
      </c>
      <c r="N16" s="38">
        <f>HLOOKUP(N$3,'Amenazas vs Taxonomías'!$G$2:$L$102,$A16,0)</f>
        <v>0</v>
      </c>
      <c r="O16" s="38">
        <f>HLOOKUP(O$3,'Amenazas vs Taxonomías'!$G$2:$L$102,$A16,0)</f>
        <v>0</v>
      </c>
      <c r="P16" s="38">
        <f>HLOOKUP(P$3,'Amenazas vs Taxonomías'!$G$2:$L$102,$A16,0)</f>
        <v>0</v>
      </c>
      <c r="Q16" s="38">
        <f>HLOOKUP(Q$3,'Amenazas vs Taxonomías'!$G$2:$N$102,$A16,0)</f>
        <v>0</v>
      </c>
      <c r="R16" s="38">
        <f>HLOOKUP(R$3,'Amenazas vs Taxonomías'!$G$2:$N$102,$A16,0)</f>
        <v>0</v>
      </c>
      <c r="S16" s="38">
        <f>HLOOKUP(S$3,'Amenazas vs Taxonomías'!$G$2:$N$102,$A16,0)</f>
        <v>0</v>
      </c>
      <c r="T16" s="38">
        <f>HLOOKUP(T$3,'Amenazas vs Taxonomías'!$G$2:$N$102,$A16,0)</f>
        <v>0</v>
      </c>
      <c r="U16" s="38">
        <f>HLOOKUP(U$3,'Amenazas vs Taxonomías'!$G$2:$N$102,$A16,0)</f>
        <v>0</v>
      </c>
      <c r="V16" s="38">
        <f>HLOOKUP(V$3,'Amenazas vs Taxonomías'!$G$2:$N$102,$A16,0)</f>
        <v>0</v>
      </c>
      <c r="W16" s="38">
        <f>HLOOKUP(W$3,'Amenazas vs Taxonomías'!$G$2:$N$102,$A16,0)</f>
        <v>0</v>
      </c>
      <c r="X16" s="38">
        <f>HLOOKUP(X$3,'Amenazas vs Taxonomías'!$G$2:$N$102,$A16,0)</f>
        <v>0</v>
      </c>
      <c r="Y16" s="38">
        <f>HLOOKUP(Y$3,'Amenazas vs Taxonomías'!$G$2:$N$102,$A16,0)</f>
        <v>0</v>
      </c>
      <c r="Z16" s="38">
        <f>HLOOKUP(Z$3,'Amenazas vs Taxonomías'!$G$2:$N$102,$A16,0)</f>
        <v>0</v>
      </c>
      <c r="AA16" s="38">
        <f>HLOOKUP(AA$3,'Amenazas vs Taxonomías'!$G$2:$L$102,$A16,0)</f>
        <v>0</v>
      </c>
      <c r="AB16" s="38">
        <f>HLOOKUP(AB$3,'Amenazas vs Taxonomías'!$G$2:$L$102,$A16,0)</f>
        <v>0</v>
      </c>
      <c r="AC16" s="38">
        <f>HLOOKUP(AC$3,'Amenazas vs Taxonomías'!$G$2:$L$102,$A16,0)</f>
        <v>0</v>
      </c>
      <c r="AD16" s="38">
        <f>HLOOKUP(AD$3,'Amenazas vs Taxonomías'!$G$2:$L$102,$A16,0)</f>
        <v>0</v>
      </c>
      <c r="AE16" s="38">
        <f>HLOOKUP(AE$3,'Amenazas vs Taxonomías'!$G$2:$L$102,$A16,0)</f>
        <v>0</v>
      </c>
      <c r="AF16" s="39">
        <f t="shared" si="1"/>
        <v>0</v>
      </c>
      <c r="AG16" s="39">
        <f t="shared" si="2"/>
        <v>0</v>
      </c>
      <c r="AH16" s="39">
        <f t="shared" si="2"/>
        <v>0</v>
      </c>
      <c r="AI16" s="39">
        <f t="shared" si="2"/>
        <v>0</v>
      </c>
      <c r="AJ16" s="39">
        <f t="shared" si="2"/>
        <v>0</v>
      </c>
      <c r="AK16" s="39">
        <f t="shared" si="2"/>
        <v>4</v>
      </c>
      <c r="AL16" s="39">
        <f t="shared" si="2"/>
        <v>0</v>
      </c>
      <c r="AM16" s="39">
        <f t="shared" si="2"/>
        <v>0</v>
      </c>
    </row>
    <row r="17" spans="1:39" s="18" customFormat="1" ht="17.25" customHeight="1">
      <c r="A17" s="17">
        <v>14</v>
      </c>
      <c r="B17" s="6" t="str">
        <f>'Amenazas vs Taxonomías'!B15</f>
        <v>TH13</v>
      </c>
      <c r="C17" s="12" t="str">
        <f>VLOOKUP(B17,'Amenazas vs Taxonomías'!B15:C123,2,0)</f>
        <v>[Daños accidentales] Errores del administrador</v>
      </c>
      <c r="D17" s="38" t="str">
        <f>HLOOKUP(D$3,'Amenazas vs Taxonomías'!$G$2:$N$102,$A17,0)</f>
        <v>x</v>
      </c>
      <c r="E17" s="38" t="str">
        <f>HLOOKUP(E$3,'Amenazas vs Taxonomías'!$G$2:$N$102,$A17,0)</f>
        <v>x</v>
      </c>
      <c r="F17" s="38" t="str">
        <f>HLOOKUP(F$3,'Amenazas vs Taxonomías'!$G$2:$N$102,$A17,0)</f>
        <v>x</v>
      </c>
      <c r="G17" s="38" t="str">
        <f>HLOOKUP(G$3,'Amenazas vs Taxonomías'!$G$2:$N$102,$A17,0)</f>
        <v>x</v>
      </c>
      <c r="H17" s="38">
        <f>HLOOKUP(H$3,'Amenazas vs Taxonomías'!$G$2:$N$102,$A17,0)</f>
        <v>0</v>
      </c>
      <c r="I17" s="38">
        <f>HLOOKUP(I$3,'Amenazas vs Taxonomías'!$G$2:$N$102,$A17,0)</f>
        <v>0</v>
      </c>
      <c r="J17" s="38">
        <f>HLOOKUP(J$3,'Amenazas vs Taxonomías'!$G$2:$N$102,$A17,0)</f>
        <v>0</v>
      </c>
      <c r="K17" s="38">
        <f>HLOOKUP(K$3,'Amenazas vs Taxonomías'!$G$2:$N$102,$A17,0)</f>
        <v>0</v>
      </c>
      <c r="L17" s="38">
        <f>HLOOKUP(L$3,'Amenazas vs Taxonomías'!$G$2:$L$102,$A17,0)</f>
        <v>0</v>
      </c>
      <c r="M17" s="38">
        <f>HLOOKUP(M$3,'Amenazas vs Taxonomías'!$G$2:$L$102,$A17,0)</f>
        <v>0</v>
      </c>
      <c r="N17" s="38">
        <f>HLOOKUP(N$3,'Amenazas vs Taxonomías'!$G$2:$L$102,$A17,0)</f>
        <v>0</v>
      </c>
      <c r="O17" s="38">
        <f>HLOOKUP(O$3,'Amenazas vs Taxonomías'!$G$2:$L$102,$A17,0)</f>
        <v>0</v>
      </c>
      <c r="P17" s="38">
        <f>HLOOKUP(P$3,'Amenazas vs Taxonomías'!$G$2:$L$102,$A17,0)</f>
        <v>0</v>
      </c>
      <c r="Q17" s="38">
        <f>HLOOKUP(Q$3,'Amenazas vs Taxonomías'!$G$2:$N$102,$A17,0)</f>
        <v>0</v>
      </c>
      <c r="R17" s="38">
        <f>HLOOKUP(R$3,'Amenazas vs Taxonomías'!$G$2:$N$102,$A17,0)</f>
        <v>0</v>
      </c>
      <c r="S17" s="38">
        <f>HLOOKUP(S$3,'Amenazas vs Taxonomías'!$G$2:$N$102,$A17,0)</f>
        <v>0</v>
      </c>
      <c r="T17" s="38">
        <f>HLOOKUP(T$3,'Amenazas vs Taxonomías'!$G$2:$N$102,$A17,0)</f>
        <v>0</v>
      </c>
      <c r="U17" s="38">
        <f>HLOOKUP(U$3,'Amenazas vs Taxonomías'!$G$2:$N$102,$A17,0)</f>
        <v>0</v>
      </c>
      <c r="V17" s="38">
        <f>HLOOKUP(V$3,'Amenazas vs Taxonomías'!$G$2:$N$102,$A17,0)</f>
        <v>0</v>
      </c>
      <c r="W17" s="38">
        <f>HLOOKUP(W$3,'Amenazas vs Taxonomías'!$G$2:$N$102,$A17,0)</f>
        <v>0</v>
      </c>
      <c r="X17" s="38">
        <f>HLOOKUP(X$3,'Amenazas vs Taxonomías'!$G$2:$N$102,$A17,0)</f>
        <v>0</v>
      </c>
      <c r="Y17" s="38">
        <f>HLOOKUP(Y$3,'Amenazas vs Taxonomías'!$G$2:$N$102,$A17,0)</f>
        <v>0</v>
      </c>
      <c r="Z17" s="38">
        <f>HLOOKUP(Z$3,'Amenazas vs Taxonomías'!$G$2:$N$102,$A17,0)</f>
        <v>0</v>
      </c>
      <c r="AA17" s="38">
        <f>HLOOKUP(AA$3,'Amenazas vs Taxonomías'!$G$2:$L$102,$A17,0)</f>
        <v>0</v>
      </c>
      <c r="AB17" s="38">
        <f>HLOOKUP(AB$3,'Amenazas vs Taxonomías'!$G$2:$L$102,$A17,0)</f>
        <v>0</v>
      </c>
      <c r="AC17" s="38">
        <f>HLOOKUP(AC$3,'Amenazas vs Taxonomías'!$G$2:$L$102,$A17,0)</f>
        <v>0</v>
      </c>
      <c r="AD17" s="38">
        <f>HLOOKUP(AD$3,'Amenazas vs Taxonomías'!$G$2:$L$102,$A17,0)</f>
        <v>0</v>
      </c>
      <c r="AE17" s="38">
        <f>HLOOKUP(AE$3,'Amenazas vs Taxonomías'!$G$2:$L$102,$A17,0)</f>
        <v>0</v>
      </c>
      <c r="AF17" s="39">
        <f t="shared" si="1"/>
        <v>0</v>
      </c>
      <c r="AG17" s="39">
        <f t="shared" si="2"/>
        <v>0</v>
      </c>
      <c r="AH17" s="39">
        <f t="shared" si="2"/>
        <v>0</v>
      </c>
      <c r="AI17" s="39">
        <f t="shared" si="2"/>
        <v>0</v>
      </c>
      <c r="AJ17" s="39">
        <f t="shared" si="2"/>
        <v>0</v>
      </c>
      <c r="AK17" s="39">
        <f t="shared" si="2"/>
        <v>4</v>
      </c>
      <c r="AL17" s="39">
        <f t="shared" si="2"/>
        <v>0</v>
      </c>
      <c r="AM17" s="39">
        <f t="shared" si="2"/>
        <v>0</v>
      </c>
    </row>
    <row r="18" spans="1:39" s="18" customFormat="1" ht="17.25" customHeight="1">
      <c r="A18" s="17">
        <v>15</v>
      </c>
      <c r="B18" s="6" t="str">
        <f>'Amenazas vs Taxonomías'!B16</f>
        <v>TH14</v>
      </c>
      <c r="C18" s="12" t="str">
        <f>VLOOKUP(B18,'Amenazas vs Taxonomías'!B16:C124,2,0)</f>
        <v>[Daños accidentales] Errores de configuración</v>
      </c>
      <c r="D18" s="38">
        <f>HLOOKUP(D$3,'Amenazas vs Taxonomías'!$G$2:$N$102,$A18,0)</f>
        <v>0</v>
      </c>
      <c r="E18" s="38">
        <f>HLOOKUP(E$3,'Amenazas vs Taxonomías'!$G$2:$N$102,$A18,0)</f>
        <v>0</v>
      </c>
      <c r="F18" s="38">
        <f>HLOOKUP(F$3,'Amenazas vs Taxonomías'!$G$2:$N$102,$A18,0)</f>
        <v>0</v>
      </c>
      <c r="G18" s="38">
        <f>HLOOKUP(G$3,'Amenazas vs Taxonomías'!$G$2:$N$102,$A18,0)</f>
        <v>0</v>
      </c>
      <c r="H18" s="38">
        <f>HLOOKUP(H$3,'Amenazas vs Taxonomías'!$G$2:$N$102,$A18,0)</f>
        <v>0</v>
      </c>
      <c r="I18" s="38">
        <f>HLOOKUP(I$3,'Amenazas vs Taxonomías'!$G$2:$N$102,$A18,0)</f>
        <v>0</v>
      </c>
      <c r="J18" s="38">
        <f>HLOOKUP(J$3,'Amenazas vs Taxonomías'!$G$2:$N$102,$A18,0)</f>
        <v>0</v>
      </c>
      <c r="K18" s="38">
        <f>HLOOKUP(K$3,'Amenazas vs Taxonomías'!$G$2:$N$102,$A18,0)</f>
        <v>0</v>
      </c>
      <c r="L18" s="38" t="str">
        <f>HLOOKUP(L$3,'Amenazas vs Taxonomías'!$G$2:$L$102,$A18,0)</f>
        <v>x</v>
      </c>
      <c r="M18" s="38" t="str">
        <f>HLOOKUP(M$3,'Amenazas vs Taxonomías'!$G$2:$L$102,$A18,0)</f>
        <v>x</v>
      </c>
      <c r="N18" s="38" t="str">
        <f>HLOOKUP(N$3,'Amenazas vs Taxonomías'!$G$2:$L$102,$A18,0)</f>
        <v>x</v>
      </c>
      <c r="O18" s="38" t="str">
        <f>HLOOKUP(O$3,'Amenazas vs Taxonomías'!$G$2:$L$102,$A18,0)</f>
        <v>x</v>
      </c>
      <c r="P18" s="38" t="str">
        <f>HLOOKUP(P$3,'Amenazas vs Taxonomías'!$G$2:$L$102,$A18,0)</f>
        <v>x</v>
      </c>
      <c r="Q18" s="38" t="str">
        <f>HLOOKUP(Q$3,'Amenazas vs Taxonomías'!$G$2:$N$102,$A18,0)</f>
        <v>x</v>
      </c>
      <c r="R18" s="38" t="str">
        <f>HLOOKUP(R$3,'Amenazas vs Taxonomías'!$G$2:$N$102,$A18,0)</f>
        <v>x</v>
      </c>
      <c r="S18" s="38" t="str">
        <f>HLOOKUP(S$3,'Amenazas vs Taxonomías'!$G$2:$N$102,$A18,0)</f>
        <v>x</v>
      </c>
      <c r="T18" s="38" t="str">
        <f>HLOOKUP(T$3,'Amenazas vs Taxonomías'!$G$2:$N$102,$A18,0)</f>
        <v>x</v>
      </c>
      <c r="U18" s="38" t="str">
        <f>HLOOKUP(U$3,'Amenazas vs Taxonomías'!$G$2:$N$102,$A18,0)</f>
        <v>x</v>
      </c>
      <c r="V18" s="38" t="str">
        <f>HLOOKUP(V$3,'Amenazas vs Taxonomías'!$G$2:$N$102,$A18,0)</f>
        <v>x</v>
      </c>
      <c r="W18" s="38" t="str">
        <f>HLOOKUP(W$3,'Amenazas vs Taxonomías'!$G$2:$N$102,$A18,0)</f>
        <v>x</v>
      </c>
      <c r="X18" s="38" t="str">
        <f>HLOOKUP(X$3,'Amenazas vs Taxonomías'!$G$2:$N$102,$A18,0)</f>
        <v>x</v>
      </c>
      <c r="Y18" s="38">
        <f>HLOOKUP(Y$3,'Amenazas vs Taxonomías'!$G$2:$N$102,$A18,0)</f>
        <v>0</v>
      </c>
      <c r="Z18" s="38">
        <f>HLOOKUP(Z$3,'Amenazas vs Taxonomías'!$G$2:$N$102,$A18,0)</f>
        <v>0</v>
      </c>
      <c r="AA18" s="38">
        <f>HLOOKUP(AA$3,'Amenazas vs Taxonomías'!$G$2:$L$102,$A18,0)</f>
        <v>0</v>
      </c>
      <c r="AB18" s="38">
        <f>HLOOKUP(AB$3,'Amenazas vs Taxonomías'!$G$2:$L$102,$A18,0)</f>
        <v>0</v>
      </c>
      <c r="AC18" s="38">
        <f>HLOOKUP(AC$3,'Amenazas vs Taxonomías'!$G$2:$L$102,$A18,0)</f>
        <v>0</v>
      </c>
      <c r="AD18" s="38">
        <f>HLOOKUP(AD$3,'Amenazas vs Taxonomías'!$G$2:$L$102,$A18,0)</f>
        <v>0</v>
      </c>
      <c r="AE18" s="38">
        <f>HLOOKUP(AE$3,'Amenazas vs Taxonomías'!$G$2:$L$102,$A18,0)</f>
        <v>0</v>
      </c>
      <c r="AF18" s="39">
        <f t="shared" si="1"/>
        <v>0</v>
      </c>
      <c r="AG18" s="39">
        <f t="shared" si="2"/>
        <v>7</v>
      </c>
      <c r="AH18" s="39">
        <f t="shared" si="2"/>
        <v>6</v>
      </c>
      <c r="AI18" s="39">
        <f t="shared" si="2"/>
        <v>0</v>
      </c>
      <c r="AJ18" s="39">
        <f t="shared" si="2"/>
        <v>0</v>
      </c>
      <c r="AK18" s="39">
        <f t="shared" si="2"/>
        <v>0</v>
      </c>
      <c r="AL18" s="39">
        <f t="shared" si="2"/>
        <v>0</v>
      </c>
      <c r="AM18" s="39">
        <f t="shared" si="2"/>
        <v>0</v>
      </c>
    </row>
    <row r="19" spans="1:39" s="18" customFormat="1" ht="17.25" customHeight="1">
      <c r="A19" s="17">
        <v>16</v>
      </c>
      <c r="B19" s="6" t="str">
        <f>'Amenazas vs Taxonomías'!B17</f>
        <v>TH15</v>
      </c>
      <c r="C19" s="12" t="str">
        <f>VLOOKUP(B19,'Amenazas vs Taxonomías'!B17:C125,2,0)</f>
        <v>[Daños accidentales] Degradación de los soportes de almacenamiento de la información</v>
      </c>
      <c r="D19" s="38">
        <f>HLOOKUP(D$3,'Amenazas vs Taxonomías'!$G$2:$N$102,$A19,0)</f>
        <v>0</v>
      </c>
      <c r="E19" s="38">
        <f>HLOOKUP(E$3,'Amenazas vs Taxonomías'!$G$2:$N$102,$A19,0)</f>
        <v>0</v>
      </c>
      <c r="F19" s="38">
        <f>HLOOKUP(F$3,'Amenazas vs Taxonomías'!$G$2:$N$102,$A19,0)</f>
        <v>0</v>
      </c>
      <c r="G19" s="38">
        <f>HLOOKUP(G$3,'Amenazas vs Taxonomías'!$G$2:$N$102,$A19,0)</f>
        <v>0</v>
      </c>
      <c r="H19" s="38">
        <f>HLOOKUP(H$3,'Amenazas vs Taxonomías'!$G$2:$N$102,$A19,0)</f>
        <v>0</v>
      </c>
      <c r="I19" s="38">
        <f>HLOOKUP(I$3,'Amenazas vs Taxonomías'!$G$2:$N$102,$A19,0)</f>
        <v>0</v>
      </c>
      <c r="J19" s="38">
        <f>HLOOKUP(J$3,'Amenazas vs Taxonomías'!$G$2:$N$102,$A19,0)</f>
        <v>0</v>
      </c>
      <c r="K19" s="38">
        <f>HLOOKUP(K$3,'Amenazas vs Taxonomías'!$G$2:$N$102,$A19,0)</f>
        <v>0</v>
      </c>
      <c r="L19" s="38">
        <f>HLOOKUP(L$3,'Amenazas vs Taxonomías'!$G$2:$L$102,$A19,0)</f>
        <v>0</v>
      </c>
      <c r="M19" s="38">
        <f>HLOOKUP(M$3,'Amenazas vs Taxonomías'!$G$2:$L$102,$A19,0)</f>
        <v>0</v>
      </c>
      <c r="N19" s="38">
        <f>HLOOKUP(N$3,'Amenazas vs Taxonomías'!$G$2:$L$102,$A19,0)</f>
        <v>0</v>
      </c>
      <c r="O19" s="38">
        <f>HLOOKUP(O$3,'Amenazas vs Taxonomías'!$G$2:$L$102,$A19,0)</f>
        <v>0</v>
      </c>
      <c r="P19" s="38">
        <f>HLOOKUP(P$3,'Amenazas vs Taxonomías'!$G$2:$L$102,$A19,0)</f>
        <v>0</v>
      </c>
      <c r="Q19" s="38">
        <f>HLOOKUP(Q$3,'Amenazas vs Taxonomías'!$G$2:$N$102,$A19,0)</f>
        <v>0</v>
      </c>
      <c r="R19" s="38">
        <f>HLOOKUP(R$3,'Amenazas vs Taxonomías'!$G$2:$N$102,$A19,0)</f>
        <v>0</v>
      </c>
      <c r="S19" s="38">
        <f>HLOOKUP(S$3,'Amenazas vs Taxonomías'!$G$2:$N$102,$A19,0)</f>
        <v>0</v>
      </c>
      <c r="T19" s="38">
        <f>HLOOKUP(T$3,'Amenazas vs Taxonomías'!$G$2:$N$102,$A19,0)</f>
        <v>0</v>
      </c>
      <c r="U19" s="38">
        <f>HLOOKUP(U$3,'Amenazas vs Taxonomías'!$G$2:$N$102,$A19,0)</f>
        <v>0</v>
      </c>
      <c r="V19" s="38">
        <f>HLOOKUP(V$3,'Amenazas vs Taxonomías'!$G$2:$N$102,$A19,0)</f>
        <v>0</v>
      </c>
      <c r="W19" s="38">
        <f>HLOOKUP(W$3,'Amenazas vs Taxonomías'!$G$2:$N$102,$A19,0)</f>
        <v>0</v>
      </c>
      <c r="X19" s="38">
        <f>HLOOKUP(X$3,'Amenazas vs Taxonomías'!$G$2:$N$102,$A19,0)</f>
        <v>0</v>
      </c>
      <c r="Y19" s="38">
        <f>HLOOKUP(Y$3,'Amenazas vs Taxonomías'!$G$2:$N$102,$A19,0)</f>
        <v>0</v>
      </c>
      <c r="Z19" s="38">
        <f>HLOOKUP(Z$3,'Amenazas vs Taxonomías'!$G$2:$N$102,$A19,0)</f>
        <v>0</v>
      </c>
      <c r="AA19" s="38" t="str">
        <f>HLOOKUP(AA$3,'Amenazas vs Taxonomías'!$G$2:$L$102,$A19,0)</f>
        <v>x</v>
      </c>
      <c r="AB19" s="38" t="str">
        <f>HLOOKUP(AB$3,'Amenazas vs Taxonomías'!$G$2:$L$102,$A19,0)</f>
        <v>x</v>
      </c>
      <c r="AC19" s="38" t="str">
        <f>HLOOKUP(AC$3,'Amenazas vs Taxonomías'!$G$2:$L$102,$A19,0)</f>
        <v>x</v>
      </c>
      <c r="AD19" s="38" t="str">
        <f>HLOOKUP(AD$3,'Amenazas vs Taxonomías'!$G$2:$L$102,$A19,0)</f>
        <v>x</v>
      </c>
      <c r="AE19" s="38" t="str">
        <f>HLOOKUP(AE$3,'Amenazas vs Taxonomías'!$G$2:$L$102,$A19,0)</f>
        <v>x</v>
      </c>
      <c r="AF19" s="39">
        <f t="shared" si="1"/>
        <v>4</v>
      </c>
      <c r="AG19" s="39">
        <f t="shared" si="2"/>
        <v>0</v>
      </c>
      <c r="AH19" s="39">
        <f t="shared" si="2"/>
        <v>0</v>
      </c>
      <c r="AI19" s="39">
        <f t="shared" si="2"/>
        <v>0</v>
      </c>
      <c r="AJ19" s="39">
        <f t="shared" si="2"/>
        <v>0</v>
      </c>
      <c r="AK19" s="39">
        <f t="shared" si="2"/>
        <v>0</v>
      </c>
      <c r="AL19" s="39">
        <f t="shared" si="2"/>
        <v>0</v>
      </c>
      <c r="AM19" s="39">
        <f t="shared" si="2"/>
        <v>0</v>
      </c>
    </row>
    <row r="20" spans="1:39" s="18" customFormat="1" ht="17.25" customHeight="1">
      <c r="A20" s="17">
        <v>17</v>
      </c>
      <c r="B20" s="6" t="str">
        <f>'Amenazas vs Taxonomías'!B18</f>
        <v>TH16</v>
      </c>
      <c r="C20" s="12" t="str">
        <f>VLOOKUP(B20,'Amenazas vs Taxonomías'!B18:C126,2,0)</f>
        <v>[Actividad malintencionada / abuso] Instalación de software dañino</v>
      </c>
      <c r="D20" s="38">
        <f>HLOOKUP(D$3,'Amenazas vs Taxonomías'!$G$2:$N$102,$A20,0)</f>
        <v>0</v>
      </c>
      <c r="E20" s="38">
        <f>HLOOKUP(E$3,'Amenazas vs Taxonomías'!$G$2:$N$102,$A20,0)</f>
        <v>0</v>
      </c>
      <c r="F20" s="38">
        <f>HLOOKUP(F$3,'Amenazas vs Taxonomías'!$G$2:$N$102,$A20,0)</f>
        <v>0</v>
      </c>
      <c r="G20" s="38">
        <f>HLOOKUP(G$3,'Amenazas vs Taxonomías'!$G$2:$N$102,$A20,0)</f>
        <v>0</v>
      </c>
      <c r="H20" s="38" t="str">
        <f>HLOOKUP(H$3,'Amenazas vs Taxonomías'!$G$2:$N$102,$A20,0)</f>
        <v>x</v>
      </c>
      <c r="I20" s="38" t="str">
        <f>HLOOKUP(I$3,'Amenazas vs Taxonomías'!$G$2:$N$102,$A20,0)</f>
        <v>x</v>
      </c>
      <c r="J20" s="38">
        <f>HLOOKUP(J$3,'Amenazas vs Taxonomías'!$G$2:$N$102,$A20,0)</f>
        <v>0</v>
      </c>
      <c r="K20" s="38">
        <f>HLOOKUP(K$3,'Amenazas vs Taxonomías'!$G$2:$N$102,$A20,0)</f>
        <v>0</v>
      </c>
      <c r="L20" s="38">
        <f>HLOOKUP(L$3,'Amenazas vs Taxonomías'!$G$2:$L$102,$A20,0)</f>
        <v>0</v>
      </c>
      <c r="M20" s="38">
        <f>HLOOKUP(M$3,'Amenazas vs Taxonomías'!$G$2:$L$102,$A20,0)</f>
        <v>0</v>
      </c>
      <c r="N20" s="38">
        <f>HLOOKUP(N$3,'Amenazas vs Taxonomías'!$G$2:$L$102,$A20,0)</f>
        <v>0</v>
      </c>
      <c r="O20" s="38">
        <f>HLOOKUP(O$3,'Amenazas vs Taxonomías'!$G$2:$L$102,$A20,0)</f>
        <v>0</v>
      </c>
      <c r="P20" s="38">
        <f>HLOOKUP(P$3,'Amenazas vs Taxonomías'!$G$2:$L$102,$A20,0)</f>
        <v>0</v>
      </c>
      <c r="Q20" s="38">
        <f>HLOOKUP(Q$3,'Amenazas vs Taxonomías'!$G$2:$N$102,$A20,0)</f>
        <v>0</v>
      </c>
      <c r="R20" s="38" t="str">
        <f>HLOOKUP(R$3,'Amenazas vs Taxonomías'!$G$2:$N$102,$A20,0)</f>
        <v>x</v>
      </c>
      <c r="S20" s="38" t="str">
        <f>HLOOKUP(S$3,'Amenazas vs Taxonomías'!$G$2:$N$102,$A20,0)</f>
        <v>x</v>
      </c>
      <c r="T20" s="38" t="str">
        <f>HLOOKUP(T$3,'Amenazas vs Taxonomías'!$G$2:$N$102,$A20,0)</f>
        <v>x</v>
      </c>
      <c r="U20" s="38" t="str">
        <f>HLOOKUP(U$3,'Amenazas vs Taxonomías'!$G$2:$N$102,$A20,0)</f>
        <v>x</v>
      </c>
      <c r="V20" s="38" t="str">
        <f>HLOOKUP(V$3,'Amenazas vs Taxonomías'!$G$2:$N$102,$A20,0)</f>
        <v>x</v>
      </c>
      <c r="W20" s="38" t="str">
        <f>HLOOKUP(W$3,'Amenazas vs Taxonomías'!$G$2:$N$102,$A20,0)</f>
        <v>x</v>
      </c>
      <c r="X20" s="38" t="str">
        <f>HLOOKUP(X$3,'Amenazas vs Taxonomías'!$G$2:$N$102,$A20,0)</f>
        <v>x</v>
      </c>
      <c r="Y20" s="38">
        <f>HLOOKUP(Y$3,'Amenazas vs Taxonomías'!$G$2:$N$102,$A20,0)</f>
        <v>0</v>
      </c>
      <c r="Z20" s="38">
        <f>HLOOKUP(Z$3,'Amenazas vs Taxonomías'!$G$2:$N$102,$A20,0)</f>
        <v>0</v>
      </c>
      <c r="AA20" s="38">
        <f>HLOOKUP(AA$3,'Amenazas vs Taxonomías'!$G$2:$L$102,$A20,0)</f>
        <v>0</v>
      </c>
      <c r="AB20" s="38">
        <f>HLOOKUP(AB$3,'Amenazas vs Taxonomías'!$G$2:$L$102,$A20,0)</f>
        <v>0</v>
      </c>
      <c r="AC20" s="38">
        <f>HLOOKUP(AC$3,'Amenazas vs Taxonomías'!$G$2:$L$102,$A20,0)</f>
        <v>0</v>
      </c>
      <c r="AD20" s="38">
        <f>HLOOKUP(AD$3,'Amenazas vs Taxonomías'!$G$2:$L$102,$A20,0)</f>
        <v>0</v>
      </c>
      <c r="AE20" s="38">
        <f>HLOOKUP(AE$3,'Amenazas vs Taxonomías'!$G$2:$L$102,$A20,0)</f>
        <v>0</v>
      </c>
      <c r="AF20" s="39">
        <f t="shared" si="1"/>
        <v>0</v>
      </c>
      <c r="AG20" s="39">
        <f t="shared" si="2"/>
        <v>7</v>
      </c>
      <c r="AH20" s="39">
        <f t="shared" si="2"/>
        <v>0</v>
      </c>
      <c r="AI20" s="39">
        <f t="shared" si="2"/>
        <v>0</v>
      </c>
      <c r="AJ20" s="39">
        <f t="shared" si="2"/>
        <v>0</v>
      </c>
      <c r="AK20" s="39">
        <f t="shared" si="2"/>
        <v>0</v>
      </c>
      <c r="AL20" s="39">
        <f t="shared" si="2"/>
        <v>2</v>
      </c>
      <c r="AM20" s="39">
        <f t="shared" si="2"/>
        <v>0</v>
      </c>
    </row>
    <row r="21" spans="1:39" s="18" customFormat="1" ht="17.25" customHeight="1">
      <c r="A21" s="17">
        <v>18</v>
      </c>
      <c r="B21" s="6" t="str">
        <f>'Amenazas vs Taxonomías'!B19</f>
        <v>TH17</v>
      </c>
      <c r="C21" s="12" t="str">
        <f>VLOOKUP(B21,'Amenazas vs Taxonomías'!B19:C127,2,0)</f>
        <v>[Daños accidentales] Errores de mantenimiento / actualización de programas (software)</v>
      </c>
      <c r="D21" s="38">
        <f>HLOOKUP(D$3,'Amenazas vs Taxonomías'!$G$2:$N$102,$A21,0)</f>
        <v>0</v>
      </c>
      <c r="E21" s="38">
        <f>HLOOKUP(E$3,'Amenazas vs Taxonomías'!$G$2:$N$102,$A21,0)</f>
        <v>0</v>
      </c>
      <c r="F21" s="38">
        <f>HLOOKUP(F$3,'Amenazas vs Taxonomías'!$G$2:$N$102,$A21,0)</f>
        <v>0</v>
      </c>
      <c r="G21" s="38">
        <f>HLOOKUP(G$3,'Amenazas vs Taxonomías'!$G$2:$N$102,$A21,0)</f>
        <v>0</v>
      </c>
      <c r="H21" s="38" t="str">
        <f>HLOOKUP(H$3,'Amenazas vs Taxonomías'!$G$2:$N$102,$A21,0)</f>
        <v>x</v>
      </c>
      <c r="I21" s="38" t="str">
        <f>HLOOKUP(I$3,'Amenazas vs Taxonomías'!$G$2:$N$102,$A21,0)</f>
        <v>x</v>
      </c>
      <c r="J21" s="38">
        <f>HLOOKUP(J$3,'Amenazas vs Taxonomías'!$G$2:$N$102,$A21,0)</f>
        <v>0</v>
      </c>
      <c r="K21" s="38" t="str">
        <f>HLOOKUP(K$3,'Amenazas vs Taxonomías'!$G$2:$N$102,$A21,0)</f>
        <v>x</v>
      </c>
      <c r="L21" s="38" t="str">
        <f>HLOOKUP(L$3,'Amenazas vs Taxonomías'!$G$2:$L$102,$A21,0)</f>
        <v>x</v>
      </c>
      <c r="M21" s="38" t="str">
        <f>HLOOKUP(M$3,'Amenazas vs Taxonomías'!$G$2:$L$102,$A21,0)</f>
        <v>x</v>
      </c>
      <c r="N21" s="38" t="str">
        <f>HLOOKUP(N$3,'Amenazas vs Taxonomías'!$G$2:$L$102,$A21,0)</f>
        <v>x</v>
      </c>
      <c r="O21" s="38" t="str">
        <f>HLOOKUP(O$3,'Amenazas vs Taxonomías'!$G$2:$L$102,$A21,0)</f>
        <v>x</v>
      </c>
      <c r="P21" s="38" t="str">
        <f>HLOOKUP(P$3,'Amenazas vs Taxonomías'!$G$2:$L$102,$A21,0)</f>
        <v>x</v>
      </c>
      <c r="Q21" s="38" t="str">
        <f>HLOOKUP(Q$3,'Amenazas vs Taxonomías'!$G$2:$N$102,$A21,0)</f>
        <v>x</v>
      </c>
      <c r="R21" s="38" t="str">
        <f>HLOOKUP(R$3,'Amenazas vs Taxonomías'!$G$2:$N$102,$A21,0)</f>
        <v>x</v>
      </c>
      <c r="S21" s="38" t="str">
        <f>HLOOKUP(S$3,'Amenazas vs Taxonomías'!$G$2:$N$102,$A21,0)</f>
        <v>x</v>
      </c>
      <c r="T21" s="38" t="str">
        <f>HLOOKUP(T$3,'Amenazas vs Taxonomías'!$G$2:$N$102,$A21,0)</f>
        <v>x</v>
      </c>
      <c r="U21" s="38" t="str">
        <f>HLOOKUP(U$3,'Amenazas vs Taxonomías'!$G$2:$N$102,$A21,0)</f>
        <v>x</v>
      </c>
      <c r="V21" s="38" t="str">
        <f>HLOOKUP(V$3,'Amenazas vs Taxonomías'!$G$2:$N$102,$A21,0)</f>
        <v>x</v>
      </c>
      <c r="W21" s="38" t="str">
        <f>HLOOKUP(W$3,'Amenazas vs Taxonomías'!$G$2:$N$102,$A21,0)</f>
        <v>x</v>
      </c>
      <c r="X21" s="38" t="str">
        <f>HLOOKUP(X$3,'Amenazas vs Taxonomías'!$G$2:$N$102,$A21,0)</f>
        <v>x</v>
      </c>
      <c r="Y21" s="38">
        <f>HLOOKUP(Y$3,'Amenazas vs Taxonomías'!$G$2:$N$102,$A21,0)</f>
        <v>0</v>
      </c>
      <c r="Z21" s="38">
        <f>HLOOKUP(Z$3,'Amenazas vs Taxonomías'!$G$2:$N$102,$A21,0)</f>
        <v>0</v>
      </c>
      <c r="AA21" s="38">
        <f>HLOOKUP(AA$3,'Amenazas vs Taxonomías'!$G$2:$L$102,$A21,0)</f>
        <v>0</v>
      </c>
      <c r="AB21" s="38">
        <f>HLOOKUP(AB$3,'Amenazas vs Taxonomías'!$G$2:$L$102,$A21,0)</f>
        <v>0</v>
      </c>
      <c r="AC21" s="38">
        <f>HLOOKUP(AC$3,'Amenazas vs Taxonomías'!$G$2:$L$102,$A21,0)</f>
        <v>0</v>
      </c>
      <c r="AD21" s="38">
        <f>HLOOKUP(AD$3,'Amenazas vs Taxonomías'!$G$2:$L$102,$A21,0)</f>
        <v>0</v>
      </c>
      <c r="AE21" s="38">
        <f>HLOOKUP(AE$3,'Amenazas vs Taxonomías'!$G$2:$L$102,$A21,0)</f>
        <v>0</v>
      </c>
      <c r="AF21" s="39">
        <f t="shared" si="1"/>
        <v>0</v>
      </c>
      <c r="AG21" s="39">
        <f t="shared" si="2"/>
        <v>7</v>
      </c>
      <c r="AH21" s="39">
        <f t="shared" si="2"/>
        <v>6</v>
      </c>
      <c r="AI21" s="39">
        <f t="shared" si="2"/>
        <v>0</v>
      </c>
      <c r="AJ21" s="39">
        <f t="shared" si="2"/>
        <v>0</v>
      </c>
      <c r="AK21" s="39">
        <f t="shared" si="2"/>
        <v>0</v>
      </c>
      <c r="AL21" s="39">
        <f t="shared" si="2"/>
        <v>2</v>
      </c>
      <c r="AM21" s="39">
        <f t="shared" si="2"/>
        <v>1</v>
      </c>
    </row>
    <row r="22" spans="1:39" s="18" customFormat="1" ht="17.25" customHeight="1">
      <c r="A22" s="17">
        <v>19</v>
      </c>
      <c r="B22" s="6" t="str">
        <f>'Amenazas vs Taxonomías'!B20</f>
        <v>TH18</v>
      </c>
      <c r="C22" s="12" t="str">
        <f>VLOOKUP(B22,'Amenazas vs Taxonomías'!B20:C128,2,0)</f>
        <v>[Indisponibilidad del recurso] Caída del sistema por sobrecarga</v>
      </c>
      <c r="D22" s="38">
        <f>HLOOKUP(D$3,'Amenazas vs Taxonomías'!$G$2:$N$102,$A22,0)</f>
        <v>0</v>
      </c>
      <c r="E22" s="38">
        <f>HLOOKUP(E$3,'Amenazas vs Taxonomías'!$G$2:$N$102,$A22,0)</f>
        <v>0</v>
      </c>
      <c r="F22" s="38">
        <f>HLOOKUP(F$3,'Amenazas vs Taxonomías'!$G$2:$N$102,$A22,0)</f>
        <v>0</v>
      </c>
      <c r="G22" s="38">
        <f>HLOOKUP(G$3,'Amenazas vs Taxonomías'!$G$2:$N$102,$A22,0)</f>
        <v>0</v>
      </c>
      <c r="H22" s="38">
        <f>HLOOKUP(H$3,'Amenazas vs Taxonomías'!$G$2:$N$102,$A22,0)</f>
        <v>0</v>
      </c>
      <c r="I22" s="38">
        <f>HLOOKUP(I$3,'Amenazas vs Taxonomías'!$G$2:$N$102,$A22,0)</f>
        <v>0</v>
      </c>
      <c r="J22" s="38">
        <f>HLOOKUP(J$3,'Amenazas vs Taxonomías'!$G$2:$N$102,$A22,0)</f>
        <v>0</v>
      </c>
      <c r="K22" s="38">
        <f>HLOOKUP(K$3,'Amenazas vs Taxonomías'!$G$2:$N$102,$A22,0)</f>
        <v>0</v>
      </c>
      <c r="L22" s="38" t="str">
        <f>HLOOKUP(L$3,'Amenazas vs Taxonomías'!$G$2:$L$102,$A22,0)</f>
        <v>x</v>
      </c>
      <c r="M22" s="38" t="str">
        <f>HLOOKUP(M$3,'Amenazas vs Taxonomías'!$G$2:$L$102,$A22,0)</f>
        <v>x</v>
      </c>
      <c r="N22" s="38" t="str">
        <f>HLOOKUP(N$3,'Amenazas vs Taxonomías'!$G$2:$L$102,$A22,0)</f>
        <v>x</v>
      </c>
      <c r="O22" s="38" t="str">
        <f>HLOOKUP(O$3,'Amenazas vs Taxonomías'!$G$2:$L$102,$A22,0)</f>
        <v>x</v>
      </c>
      <c r="P22" s="38" t="str">
        <f>HLOOKUP(P$3,'Amenazas vs Taxonomías'!$G$2:$L$102,$A22,0)</f>
        <v>x</v>
      </c>
      <c r="Q22" s="38" t="str">
        <f>HLOOKUP(Q$3,'Amenazas vs Taxonomías'!$G$2:$N$102,$A22,0)</f>
        <v>x</v>
      </c>
      <c r="R22" s="38">
        <f>HLOOKUP(R$3,'Amenazas vs Taxonomías'!$G$2:$N$102,$A22,0)</f>
        <v>0</v>
      </c>
      <c r="S22" s="38">
        <f>HLOOKUP(S$3,'Amenazas vs Taxonomías'!$G$2:$N$102,$A22,0)</f>
        <v>0</v>
      </c>
      <c r="T22" s="38">
        <f>HLOOKUP(T$3,'Amenazas vs Taxonomías'!$G$2:$N$102,$A22,0)</f>
        <v>0</v>
      </c>
      <c r="U22" s="38">
        <f>HLOOKUP(U$3,'Amenazas vs Taxonomías'!$G$2:$N$102,$A22,0)</f>
        <v>0</v>
      </c>
      <c r="V22" s="38">
        <f>HLOOKUP(V$3,'Amenazas vs Taxonomías'!$G$2:$N$102,$A22,0)</f>
        <v>0</v>
      </c>
      <c r="W22" s="38">
        <f>HLOOKUP(W$3,'Amenazas vs Taxonomías'!$G$2:$N$102,$A22,0)</f>
        <v>0</v>
      </c>
      <c r="X22" s="38">
        <f>HLOOKUP(X$3,'Amenazas vs Taxonomías'!$G$2:$N$102,$A22,0)</f>
        <v>0</v>
      </c>
      <c r="Y22" s="38">
        <f>HLOOKUP(Y$3,'Amenazas vs Taxonomías'!$G$2:$N$102,$A22,0)</f>
        <v>0</v>
      </c>
      <c r="Z22" s="38">
        <f>HLOOKUP(Z$3,'Amenazas vs Taxonomías'!$G$2:$N$102,$A22,0)</f>
        <v>0</v>
      </c>
      <c r="AA22" s="38">
        <f>HLOOKUP(AA$3,'Amenazas vs Taxonomías'!$G$2:$L$102,$A22,0)</f>
        <v>0</v>
      </c>
      <c r="AB22" s="38">
        <f>HLOOKUP(AB$3,'Amenazas vs Taxonomías'!$G$2:$L$102,$A22,0)</f>
        <v>0</v>
      </c>
      <c r="AC22" s="38">
        <f>HLOOKUP(AC$3,'Amenazas vs Taxonomías'!$G$2:$L$102,$A22,0)</f>
        <v>0</v>
      </c>
      <c r="AD22" s="38">
        <f>HLOOKUP(AD$3,'Amenazas vs Taxonomías'!$G$2:$L$102,$A22,0)</f>
        <v>0</v>
      </c>
      <c r="AE22" s="38">
        <f>HLOOKUP(AE$3,'Amenazas vs Taxonomías'!$G$2:$L$102,$A22,0)</f>
        <v>0</v>
      </c>
      <c r="AF22" s="39">
        <f t="shared" si="1"/>
        <v>0</v>
      </c>
      <c r="AG22" s="39">
        <f t="shared" si="2"/>
        <v>0</v>
      </c>
      <c r="AH22" s="39">
        <f t="shared" si="2"/>
        <v>6</v>
      </c>
      <c r="AI22" s="39">
        <f t="shared" si="2"/>
        <v>0</v>
      </c>
      <c r="AJ22" s="39">
        <f t="shared" si="2"/>
        <v>0</v>
      </c>
      <c r="AK22" s="39">
        <f t="shared" si="2"/>
        <v>0</v>
      </c>
      <c r="AL22" s="39">
        <f t="shared" si="2"/>
        <v>0</v>
      </c>
      <c r="AM22" s="39">
        <f t="shared" si="2"/>
        <v>0</v>
      </c>
    </row>
    <row r="23" spans="1:39" s="18" customFormat="1" ht="17.25" customHeight="1">
      <c r="A23" s="17">
        <v>20</v>
      </c>
      <c r="B23" s="6" t="str">
        <f>'Amenazas vs Taxonomías'!B21</f>
        <v>TH19</v>
      </c>
      <c r="C23" s="12" t="str">
        <f>VLOOKUP(B23,'Amenazas vs Taxonomías'!B21:C129,2,0)</f>
        <v>[Daños accidentales] Pérdida de equipos</v>
      </c>
      <c r="D23" s="38">
        <f>HLOOKUP(D$3,'Amenazas vs Taxonomías'!$G$2:$N$102,$A23,0)</f>
        <v>0</v>
      </c>
      <c r="E23" s="38">
        <f>HLOOKUP(E$3,'Amenazas vs Taxonomías'!$G$2:$N$102,$A23,0)</f>
        <v>0</v>
      </c>
      <c r="F23" s="38">
        <f>HLOOKUP(F$3,'Amenazas vs Taxonomías'!$G$2:$N$102,$A23,0)</f>
        <v>0</v>
      </c>
      <c r="G23" s="38">
        <f>HLOOKUP(G$3,'Amenazas vs Taxonomías'!$G$2:$N$102,$A23,0)</f>
        <v>0</v>
      </c>
      <c r="H23" s="38">
        <f>HLOOKUP(H$3,'Amenazas vs Taxonomías'!$G$2:$N$102,$A23,0)</f>
        <v>0</v>
      </c>
      <c r="I23" s="38">
        <f>HLOOKUP(I$3,'Amenazas vs Taxonomías'!$G$2:$N$102,$A23,0)</f>
        <v>0</v>
      </c>
      <c r="J23" s="38">
        <f>HLOOKUP(J$3,'Amenazas vs Taxonomías'!$G$2:$N$102,$A23,0)</f>
        <v>0</v>
      </c>
      <c r="K23" s="38">
        <f>HLOOKUP(K$3,'Amenazas vs Taxonomías'!$G$2:$N$102,$A23,0)</f>
        <v>0</v>
      </c>
      <c r="L23" s="38" t="str">
        <f>HLOOKUP(L$3,'Amenazas vs Taxonomías'!$G$2:$L$102,$A23,0)</f>
        <v>x</v>
      </c>
      <c r="M23" s="38" t="str">
        <f>HLOOKUP(M$3,'Amenazas vs Taxonomías'!$G$2:$L$102,$A23,0)</f>
        <v>x</v>
      </c>
      <c r="N23" s="38" t="str">
        <f>HLOOKUP(N$3,'Amenazas vs Taxonomías'!$G$2:$L$102,$A23,0)</f>
        <v>x</v>
      </c>
      <c r="O23" s="38" t="str">
        <f>HLOOKUP(O$3,'Amenazas vs Taxonomías'!$G$2:$L$102,$A23,0)</f>
        <v>x</v>
      </c>
      <c r="P23" s="38" t="str">
        <f>HLOOKUP(P$3,'Amenazas vs Taxonomías'!$G$2:$L$102,$A23,0)</f>
        <v>x</v>
      </c>
      <c r="Q23" s="38" t="str">
        <f>HLOOKUP(Q$3,'Amenazas vs Taxonomías'!$G$2:$N$102,$A23,0)</f>
        <v>x</v>
      </c>
      <c r="R23" s="38">
        <f>HLOOKUP(R$3,'Amenazas vs Taxonomías'!$G$2:$N$102,$A23,0)</f>
        <v>0</v>
      </c>
      <c r="S23" s="38">
        <f>HLOOKUP(S$3,'Amenazas vs Taxonomías'!$G$2:$N$102,$A23,0)</f>
        <v>0</v>
      </c>
      <c r="T23" s="38">
        <f>HLOOKUP(T$3,'Amenazas vs Taxonomías'!$G$2:$N$102,$A23,0)</f>
        <v>0</v>
      </c>
      <c r="U23" s="38">
        <f>HLOOKUP(U$3,'Amenazas vs Taxonomías'!$G$2:$N$102,$A23,0)</f>
        <v>0</v>
      </c>
      <c r="V23" s="38">
        <f>HLOOKUP(V$3,'Amenazas vs Taxonomías'!$G$2:$N$102,$A23,0)</f>
        <v>0</v>
      </c>
      <c r="W23" s="38">
        <f>HLOOKUP(W$3,'Amenazas vs Taxonomías'!$G$2:$N$102,$A23,0)</f>
        <v>0</v>
      </c>
      <c r="X23" s="38">
        <f>HLOOKUP(X$3,'Amenazas vs Taxonomías'!$G$2:$N$102,$A23,0)</f>
        <v>0</v>
      </c>
      <c r="Y23" s="38">
        <f>HLOOKUP(Y$3,'Amenazas vs Taxonomías'!$G$2:$N$102,$A23,0)</f>
        <v>0</v>
      </c>
      <c r="Z23" s="38">
        <f>HLOOKUP(Z$3,'Amenazas vs Taxonomías'!$G$2:$N$102,$A23,0)</f>
        <v>0</v>
      </c>
      <c r="AA23" s="38">
        <f>HLOOKUP(AA$3,'Amenazas vs Taxonomías'!$G$2:$L$102,$A23,0)</f>
        <v>0</v>
      </c>
      <c r="AB23" s="38">
        <f>HLOOKUP(AB$3,'Amenazas vs Taxonomías'!$G$2:$L$102,$A23,0)</f>
        <v>0</v>
      </c>
      <c r="AC23" s="38">
        <f>HLOOKUP(AC$3,'Amenazas vs Taxonomías'!$G$2:$L$102,$A23,0)</f>
        <v>0</v>
      </c>
      <c r="AD23" s="38">
        <f>HLOOKUP(AD$3,'Amenazas vs Taxonomías'!$G$2:$L$102,$A23,0)</f>
        <v>0</v>
      </c>
      <c r="AE23" s="38">
        <f>HLOOKUP(AE$3,'Amenazas vs Taxonomías'!$G$2:$L$102,$A23,0)</f>
        <v>0</v>
      </c>
      <c r="AF23" s="39">
        <f t="shared" si="1"/>
        <v>0</v>
      </c>
      <c r="AG23" s="39">
        <f t="shared" si="2"/>
        <v>0</v>
      </c>
      <c r="AH23" s="39">
        <f t="shared" si="2"/>
        <v>6</v>
      </c>
      <c r="AI23" s="39">
        <f t="shared" si="2"/>
        <v>0</v>
      </c>
      <c r="AJ23" s="39">
        <f t="shared" si="2"/>
        <v>0</v>
      </c>
      <c r="AK23" s="39">
        <f t="shared" si="2"/>
        <v>0</v>
      </c>
      <c r="AL23" s="39">
        <f t="shared" si="2"/>
        <v>0</v>
      </c>
      <c r="AM23" s="39">
        <f t="shared" si="2"/>
        <v>0</v>
      </c>
    </row>
    <row r="24" spans="1:39" s="18" customFormat="1" ht="17.25" customHeight="1">
      <c r="A24" s="17">
        <v>21</v>
      </c>
      <c r="B24" s="6" t="str">
        <f>'Amenazas vs Taxonomías'!B22</f>
        <v>TH20</v>
      </c>
      <c r="C24" s="12" t="str">
        <f>VLOOKUP(B24,'Amenazas vs Taxonomías'!B22:C130,2,0)</f>
        <v>[Indisponibilidad del recurso] Indisponibilidad del personal</v>
      </c>
      <c r="D24" s="38" t="str">
        <f>HLOOKUP(D$3,'Amenazas vs Taxonomías'!$G$2:$N$102,$A24,0)</f>
        <v>x</v>
      </c>
      <c r="E24" s="38" t="str">
        <f>HLOOKUP(E$3,'Amenazas vs Taxonomías'!$G$2:$N$102,$A24,0)</f>
        <v>x</v>
      </c>
      <c r="F24" s="38" t="str">
        <f>HLOOKUP(F$3,'Amenazas vs Taxonomías'!$G$2:$N$102,$A24,0)</f>
        <v>x</v>
      </c>
      <c r="G24" s="38" t="str">
        <f>HLOOKUP(G$3,'Amenazas vs Taxonomías'!$G$2:$N$102,$A24,0)</f>
        <v>x</v>
      </c>
      <c r="H24" s="38">
        <f>HLOOKUP(H$3,'Amenazas vs Taxonomías'!$G$2:$N$102,$A24,0)</f>
        <v>0</v>
      </c>
      <c r="I24" s="38">
        <f>HLOOKUP(I$3,'Amenazas vs Taxonomías'!$G$2:$N$102,$A24,0)</f>
        <v>0</v>
      </c>
      <c r="J24" s="38">
        <f>HLOOKUP(J$3,'Amenazas vs Taxonomías'!$G$2:$N$102,$A24,0)</f>
        <v>0</v>
      </c>
      <c r="K24" s="38" t="str">
        <f>HLOOKUP(K$3,'Amenazas vs Taxonomías'!$G$2:$N$102,$A24,0)</f>
        <v>x</v>
      </c>
      <c r="L24" s="38">
        <f>HLOOKUP(L$3,'Amenazas vs Taxonomías'!$G$2:$L$102,$A24,0)</f>
        <v>0</v>
      </c>
      <c r="M24" s="38">
        <f>HLOOKUP(M$3,'Amenazas vs Taxonomías'!$G$2:$L$102,$A24,0)</f>
        <v>0</v>
      </c>
      <c r="N24" s="38">
        <f>HLOOKUP(N$3,'Amenazas vs Taxonomías'!$G$2:$L$102,$A24,0)</f>
        <v>0</v>
      </c>
      <c r="O24" s="38">
        <f>HLOOKUP(O$3,'Amenazas vs Taxonomías'!$G$2:$L$102,$A24,0)</f>
        <v>0</v>
      </c>
      <c r="P24" s="38">
        <f>HLOOKUP(P$3,'Amenazas vs Taxonomías'!$G$2:$L$102,$A24,0)</f>
        <v>0</v>
      </c>
      <c r="Q24" s="38">
        <f>HLOOKUP(Q$3,'Amenazas vs Taxonomías'!$G$2:$N$102,$A24,0)</f>
        <v>0</v>
      </c>
      <c r="R24" s="38">
        <f>HLOOKUP(R$3,'Amenazas vs Taxonomías'!$G$2:$N$102,$A24,0)</f>
        <v>0</v>
      </c>
      <c r="S24" s="38">
        <f>HLOOKUP(S$3,'Amenazas vs Taxonomías'!$G$2:$N$102,$A24,0)</f>
        <v>0</v>
      </c>
      <c r="T24" s="38">
        <f>HLOOKUP(T$3,'Amenazas vs Taxonomías'!$G$2:$N$102,$A24,0)</f>
        <v>0</v>
      </c>
      <c r="U24" s="38">
        <f>HLOOKUP(U$3,'Amenazas vs Taxonomías'!$G$2:$N$102,$A24,0)</f>
        <v>0</v>
      </c>
      <c r="V24" s="38">
        <f>HLOOKUP(V$3,'Amenazas vs Taxonomías'!$G$2:$N$102,$A24,0)</f>
        <v>0</v>
      </c>
      <c r="W24" s="38">
        <f>HLOOKUP(W$3,'Amenazas vs Taxonomías'!$G$2:$N$102,$A24,0)</f>
        <v>0</v>
      </c>
      <c r="X24" s="38">
        <f>HLOOKUP(X$3,'Amenazas vs Taxonomías'!$G$2:$N$102,$A24,0)</f>
        <v>0</v>
      </c>
      <c r="Y24" s="38">
        <f>HLOOKUP(Y$3,'Amenazas vs Taxonomías'!$G$2:$N$102,$A24,0)</f>
        <v>0</v>
      </c>
      <c r="Z24" s="38">
        <f>HLOOKUP(Z$3,'Amenazas vs Taxonomías'!$G$2:$N$102,$A24,0)</f>
        <v>0</v>
      </c>
      <c r="AA24" s="38">
        <f>HLOOKUP(AA$3,'Amenazas vs Taxonomías'!$G$2:$L$102,$A24,0)</f>
        <v>0</v>
      </c>
      <c r="AB24" s="38">
        <f>HLOOKUP(AB$3,'Amenazas vs Taxonomías'!$G$2:$L$102,$A24,0)</f>
        <v>0</v>
      </c>
      <c r="AC24" s="38">
        <f>HLOOKUP(AC$3,'Amenazas vs Taxonomías'!$G$2:$L$102,$A24,0)</f>
        <v>0</v>
      </c>
      <c r="AD24" s="38">
        <f>HLOOKUP(AD$3,'Amenazas vs Taxonomías'!$G$2:$L$102,$A24,0)</f>
        <v>0</v>
      </c>
      <c r="AE24" s="38">
        <f>HLOOKUP(AE$3,'Amenazas vs Taxonomías'!$G$2:$L$102,$A24,0)</f>
        <v>0</v>
      </c>
      <c r="AF24" s="39">
        <f t="shared" si="1"/>
        <v>0</v>
      </c>
      <c r="AG24" s="39">
        <f t="shared" si="2"/>
        <v>0</v>
      </c>
      <c r="AH24" s="39">
        <f t="shared" si="2"/>
        <v>0</v>
      </c>
      <c r="AI24" s="39">
        <f t="shared" si="2"/>
        <v>0</v>
      </c>
      <c r="AJ24" s="39">
        <f t="shared" si="2"/>
        <v>0</v>
      </c>
      <c r="AK24" s="39">
        <f t="shared" si="2"/>
        <v>4</v>
      </c>
      <c r="AL24" s="39">
        <f t="shared" si="2"/>
        <v>0</v>
      </c>
      <c r="AM24" s="39">
        <f t="shared" si="2"/>
        <v>1</v>
      </c>
    </row>
    <row r="25" spans="1:39" s="18" customFormat="1" ht="17.25" customHeight="1">
      <c r="A25" s="17">
        <v>22</v>
      </c>
      <c r="B25" s="6" t="str">
        <f>'Amenazas vs Taxonomías'!B23</f>
        <v>TH21</v>
      </c>
      <c r="C25" s="12" t="str">
        <f>VLOOKUP(B25,'Amenazas vs Taxonomías'!B23:C131,2,0)</f>
        <v>[Actividad malintencionada / abuso] Abuso de privilegios de acceso</v>
      </c>
      <c r="D25" s="38">
        <f>HLOOKUP(D$3,'Amenazas vs Taxonomías'!$G$2:$N$102,$A25,0)</f>
        <v>0</v>
      </c>
      <c r="E25" s="38">
        <f>HLOOKUP(E$3,'Amenazas vs Taxonomías'!$G$2:$N$102,$A25,0)</f>
        <v>0</v>
      </c>
      <c r="F25" s="38">
        <f>HLOOKUP(F$3,'Amenazas vs Taxonomías'!$G$2:$N$102,$A25,0)</f>
        <v>0</v>
      </c>
      <c r="G25" s="38">
        <f>HLOOKUP(G$3,'Amenazas vs Taxonomías'!$G$2:$N$102,$A25,0)</f>
        <v>0</v>
      </c>
      <c r="H25" s="38" t="str">
        <f>HLOOKUP(H$3,'Amenazas vs Taxonomías'!$G$2:$N$102,$A25,0)</f>
        <v>x</v>
      </c>
      <c r="I25" s="38" t="str">
        <f>HLOOKUP(I$3,'Amenazas vs Taxonomías'!$G$2:$N$102,$A25,0)</f>
        <v>x</v>
      </c>
      <c r="J25" s="38">
        <f>HLOOKUP(J$3,'Amenazas vs Taxonomías'!$G$2:$N$102,$A25,0)</f>
        <v>0</v>
      </c>
      <c r="K25" s="38">
        <f>HLOOKUP(K$3,'Amenazas vs Taxonomías'!$G$2:$N$102,$A25,0)</f>
        <v>0</v>
      </c>
      <c r="L25" s="38">
        <f>HLOOKUP(L$3,'Amenazas vs Taxonomías'!$G$2:$L$102,$A25,0)</f>
        <v>0</v>
      </c>
      <c r="M25" s="38">
        <f>HLOOKUP(M$3,'Amenazas vs Taxonomías'!$G$2:$L$102,$A25,0)</f>
        <v>0</v>
      </c>
      <c r="N25" s="38">
        <f>HLOOKUP(N$3,'Amenazas vs Taxonomías'!$G$2:$L$102,$A25,0)</f>
        <v>0</v>
      </c>
      <c r="O25" s="38">
        <f>HLOOKUP(O$3,'Amenazas vs Taxonomías'!$G$2:$L$102,$A25,0)</f>
        <v>0</v>
      </c>
      <c r="P25" s="38">
        <f>HLOOKUP(P$3,'Amenazas vs Taxonomías'!$G$2:$L$102,$A25,0)</f>
        <v>0</v>
      </c>
      <c r="Q25" s="38">
        <f>HLOOKUP(Q$3,'Amenazas vs Taxonomías'!$G$2:$N$102,$A25,0)</f>
        <v>0</v>
      </c>
      <c r="R25" s="38" t="str">
        <f>HLOOKUP(R$3,'Amenazas vs Taxonomías'!$G$2:$N$102,$A25,0)</f>
        <v>x</v>
      </c>
      <c r="S25" s="38" t="str">
        <f>HLOOKUP(S$3,'Amenazas vs Taxonomías'!$G$2:$N$102,$A25,0)</f>
        <v>x</v>
      </c>
      <c r="T25" s="38" t="str">
        <f>HLOOKUP(T$3,'Amenazas vs Taxonomías'!$G$2:$N$102,$A25,0)</f>
        <v>x</v>
      </c>
      <c r="U25" s="38" t="str">
        <f>HLOOKUP(U$3,'Amenazas vs Taxonomías'!$G$2:$N$102,$A25,0)</f>
        <v>x</v>
      </c>
      <c r="V25" s="38" t="str">
        <f>HLOOKUP(V$3,'Amenazas vs Taxonomías'!$G$2:$N$102,$A25,0)</f>
        <v>x</v>
      </c>
      <c r="W25" s="38" t="str">
        <f>HLOOKUP(W$3,'Amenazas vs Taxonomías'!$G$2:$N$102,$A25,0)</f>
        <v>x</v>
      </c>
      <c r="X25" s="38" t="str">
        <f>HLOOKUP(X$3,'Amenazas vs Taxonomías'!$G$2:$N$102,$A25,0)</f>
        <v>x</v>
      </c>
      <c r="Y25" s="38" t="str">
        <f>HLOOKUP(Y$3,'Amenazas vs Taxonomías'!$G$2:$N$102,$A25,0)</f>
        <v>x</v>
      </c>
      <c r="Z25" s="38" t="str">
        <f>HLOOKUP(Z$3,'Amenazas vs Taxonomías'!$G$2:$N$102,$A25,0)</f>
        <v>x</v>
      </c>
      <c r="AA25" s="38">
        <f>HLOOKUP(AA$3,'Amenazas vs Taxonomías'!$G$2:$L$102,$A25,0)</f>
        <v>0</v>
      </c>
      <c r="AB25" s="38">
        <f>HLOOKUP(AB$3,'Amenazas vs Taxonomías'!$G$2:$L$102,$A25,0)</f>
        <v>0</v>
      </c>
      <c r="AC25" s="38">
        <f>HLOOKUP(AC$3,'Amenazas vs Taxonomías'!$G$2:$L$102,$A25,0)</f>
        <v>0</v>
      </c>
      <c r="AD25" s="38">
        <f>HLOOKUP(AD$3,'Amenazas vs Taxonomías'!$G$2:$L$102,$A25,0)</f>
        <v>0</v>
      </c>
      <c r="AE25" s="38">
        <f>HLOOKUP(AE$3,'Amenazas vs Taxonomías'!$G$2:$L$102,$A25,0)</f>
        <v>0</v>
      </c>
      <c r="AF25" s="39">
        <f t="shared" si="1"/>
        <v>0</v>
      </c>
      <c r="AG25" s="39">
        <f t="shared" si="2"/>
        <v>7</v>
      </c>
      <c r="AH25" s="39">
        <f t="shared" si="2"/>
        <v>0</v>
      </c>
      <c r="AI25" s="39">
        <f t="shared" si="2"/>
        <v>0</v>
      </c>
      <c r="AJ25" s="39">
        <f t="shared" si="2"/>
        <v>2</v>
      </c>
      <c r="AK25" s="39">
        <f t="shared" si="2"/>
        <v>0</v>
      </c>
      <c r="AL25" s="39">
        <f t="shared" si="2"/>
        <v>2</v>
      </c>
      <c r="AM25" s="39">
        <f t="shared" si="2"/>
        <v>0</v>
      </c>
    </row>
    <row r="26" spans="1:39" s="18" customFormat="1" ht="17.25" customHeight="1">
      <c r="A26" s="17">
        <v>23</v>
      </c>
      <c r="B26" s="6" t="str">
        <f>'Amenazas vs Taxonomías'!B24</f>
        <v>TH22</v>
      </c>
      <c r="C26" s="12" t="str">
        <f>VLOOKUP(B26,'Amenazas vs Taxonomías'!B24:C132,2,0)</f>
        <v>[Actividad malintencionada / abuso] Acceso no autorizado</v>
      </c>
      <c r="D26" s="38">
        <f>HLOOKUP(D$3,'Amenazas vs Taxonomías'!$G$2:$N$102,$A26,0)</f>
        <v>0</v>
      </c>
      <c r="E26" s="38">
        <f>HLOOKUP(E$3,'Amenazas vs Taxonomías'!$G$2:$N$102,$A26,0)</f>
        <v>0</v>
      </c>
      <c r="F26" s="38">
        <f>HLOOKUP(F$3,'Amenazas vs Taxonomías'!$G$2:$N$102,$A26,0)</f>
        <v>0</v>
      </c>
      <c r="G26" s="38">
        <f>HLOOKUP(G$3,'Amenazas vs Taxonomías'!$G$2:$N$102,$A26,0)</f>
        <v>0</v>
      </c>
      <c r="H26" s="38" t="str">
        <f>HLOOKUP(H$3,'Amenazas vs Taxonomías'!$G$2:$N$102,$A26,0)</f>
        <v>x</v>
      </c>
      <c r="I26" s="38" t="str">
        <f>HLOOKUP(I$3,'Amenazas vs Taxonomías'!$G$2:$N$102,$A26,0)</f>
        <v>x</v>
      </c>
      <c r="J26" s="38" t="str">
        <f>HLOOKUP(J$3,'Amenazas vs Taxonomías'!$G$2:$N$102,$A26,0)</f>
        <v>x</v>
      </c>
      <c r="K26" s="38">
        <f>HLOOKUP(K$3,'Amenazas vs Taxonomías'!$G$2:$N$102,$A26,0)</f>
        <v>0</v>
      </c>
      <c r="L26" s="38" t="str">
        <f>HLOOKUP(L$3,'Amenazas vs Taxonomías'!$G$2:$L$102,$A26,0)</f>
        <v>x</v>
      </c>
      <c r="M26" s="38" t="str">
        <f>HLOOKUP(M$3,'Amenazas vs Taxonomías'!$G$2:$L$102,$A26,0)</f>
        <v>x</v>
      </c>
      <c r="N26" s="38" t="str">
        <f>HLOOKUP(N$3,'Amenazas vs Taxonomías'!$G$2:$L$102,$A26,0)</f>
        <v>x</v>
      </c>
      <c r="O26" s="38" t="str">
        <f>HLOOKUP(O$3,'Amenazas vs Taxonomías'!$G$2:$L$102,$A26,0)</f>
        <v>x</v>
      </c>
      <c r="P26" s="38" t="str">
        <f>HLOOKUP(P$3,'Amenazas vs Taxonomías'!$G$2:$L$102,$A26,0)</f>
        <v>x</v>
      </c>
      <c r="Q26" s="38" t="str">
        <f>HLOOKUP(Q$3,'Amenazas vs Taxonomías'!$G$2:$N$102,$A26,0)</f>
        <v>x</v>
      </c>
      <c r="R26" s="38" t="str">
        <f>HLOOKUP(R$3,'Amenazas vs Taxonomías'!$G$2:$N$102,$A26,0)</f>
        <v>x</v>
      </c>
      <c r="S26" s="38" t="str">
        <f>HLOOKUP(S$3,'Amenazas vs Taxonomías'!$G$2:$N$102,$A26,0)</f>
        <v>x</v>
      </c>
      <c r="T26" s="38" t="str">
        <f>HLOOKUP(T$3,'Amenazas vs Taxonomías'!$G$2:$N$102,$A26,0)</f>
        <v>x</v>
      </c>
      <c r="U26" s="38" t="str">
        <f>HLOOKUP(U$3,'Amenazas vs Taxonomías'!$G$2:$N$102,$A26,0)</f>
        <v>x</v>
      </c>
      <c r="V26" s="38" t="str">
        <f>HLOOKUP(V$3,'Amenazas vs Taxonomías'!$G$2:$N$102,$A26,0)</f>
        <v>x</v>
      </c>
      <c r="W26" s="38" t="str">
        <f>HLOOKUP(W$3,'Amenazas vs Taxonomías'!$G$2:$N$102,$A26,0)</f>
        <v>x</v>
      </c>
      <c r="X26" s="38" t="str">
        <f>HLOOKUP(X$3,'Amenazas vs Taxonomías'!$G$2:$N$102,$A26,0)</f>
        <v>x</v>
      </c>
      <c r="Y26" s="38" t="str">
        <f>HLOOKUP(Y$3,'Amenazas vs Taxonomías'!$G$2:$N$102,$A26,0)</f>
        <v>x</v>
      </c>
      <c r="Z26" s="38" t="str">
        <f>HLOOKUP(Z$3,'Amenazas vs Taxonomías'!$G$2:$N$102,$A26,0)</f>
        <v>x</v>
      </c>
      <c r="AA26" s="38">
        <f>HLOOKUP(AA$3,'Amenazas vs Taxonomías'!$G$2:$L$102,$A26,0)</f>
        <v>0</v>
      </c>
      <c r="AB26" s="38">
        <f>HLOOKUP(AB$3,'Amenazas vs Taxonomías'!$G$2:$L$102,$A26,0)</f>
        <v>0</v>
      </c>
      <c r="AC26" s="38">
        <f>HLOOKUP(AC$3,'Amenazas vs Taxonomías'!$G$2:$L$102,$A26,0)</f>
        <v>0</v>
      </c>
      <c r="AD26" s="38">
        <f>HLOOKUP(AD$3,'Amenazas vs Taxonomías'!$G$2:$L$102,$A26,0)</f>
        <v>0</v>
      </c>
      <c r="AE26" s="38">
        <f>HLOOKUP(AE$3,'Amenazas vs Taxonomías'!$G$2:$L$102,$A26,0)</f>
        <v>0</v>
      </c>
      <c r="AF26" s="39">
        <f t="shared" si="1"/>
        <v>0</v>
      </c>
      <c r="AG26" s="39">
        <f t="shared" si="2"/>
        <v>7</v>
      </c>
      <c r="AH26" s="39">
        <f t="shared" si="2"/>
        <v>6</v>
      </c>
      <c r="AI26" s="39">
        <f t="shared" si="2"/>
        <v>1</v>
      </c>
      <c r="AJ26" s="39">
        <f t="shared" si="2"/>
        <v>2</v>
      </c>
      <c r="AK26" s="39">
        <f t="shared" si="2"/>
        <v>0</v>
      </c>
      <c r="AL26" s="39">
        <f t="shared" si="2"/>
        <v>2</v>
      </c>
      <c r="AM26" s="39">
        <f t="shared" si="2"/>
        <v>0</v>
      </c>
    </row>
    <row r="27" spans="1:39" s="18" customFormat="1" ht="17.25" customHeight="1">
      <c r="A27" s="17">
        <v>24</v>
      </c>
      <c r="B27" s="6" t="str">
        <f>'Amenazas vs Taxonomías'!B25</f>
        <v>TH23</v>
      </c>
      <c r="C27" s="12" t="str">
        <f>VLOOKUP(B27,'Amenazas vs Taxonomías'!B25:C133,2,0)</f>
        <v>[Actividad malintencionada / abuso] Denegación de servicio</v>
      </c>
      <c r="D27" s="38">
        <f>HLOOKUP(D$3,'Amenazas vs Taxonomías'!$G$2:$N$102,$A27,0)</f>
        <v>0</v>
      </c>
      <c r="E27" s="38">
        <f>HLOOKUP(E$3,'Amenazas vs Taxonomías'!$G$2:$N$102,$A27,0)</f>
        <v>0</v>
      </c>
      <c r="F27" s="38">
        <f>HLOOKUP(F$3,'Amenazas vs Taxonomías'!$G$2:$N$102,$A27,0)</f>
        <v>0</v>
      </c>
      <c r="G27" s="38">
        <f>HLOOKUP(G$3,'Amenazas vs Taxonomías'!$G$2:$N$102,$A27,0)</f>
        <v>0</v>
      </c>
      <c r="H27" s="38" t="str">
        <f>HLOOKUP(H$3,'Amenazas vs Taxonomías'!$G$2:$N$102,$A27,0)</f>
        <v>x</v>
      </c>
      <c r="I27" s="38" t="str">
        <f>HLOOKUP(I$3,'Amenazas vs Taxonomías'!$G$2:$N$102,$A27,0)</f>
        <v>x</v>
      </c>
      <c r="J27" s="38" t="str">
        <f>HLOOKUP(J$3,'Amenazas vs Taxonomías'!$G$2:$N$102,$A27,0)</f>
        <v>x</v>
      </c>
      <c r="K27" s="38">
        <f>HLOOKUP(K$3,'Amenazas vs Taxonomías'!$G$2:$N$102,$A27,0)</f>
        <v>0</v>
      </c>
      <c r="L27" s="38" t="str">
        <f>HLOOKUP(L$3,'Amenazas vs Taxonomías'!$G$2:$L$102,$A27,0)</f>
        <v>x</v>
      </c>
      <c r="M27" s="38" t="str">
        <f>HLOOKUP(M$3,'Amenazas vs Taxonomías'!$G$2:$L$102,$A27,0)</f>
        <v>x</v>
      </c>
      <c r="N27" s="38" t="str">
        <f>HLOOKUP(N$3,'Amenazas vs Taxonomías'!$G$2:$L$102,$A27,0)</f>
        <v>x</v>
      </c>
      <c r="O27" s="38" t="str">
        <f>HLOOKUP(O$3,'Amenazas vs Taxonomías'!$G$2:$L$102,$A27,0)</f>
        <v>x</v>
      </c>
      <c r="P27" s="38" t="str">
        <f>HLOOKUP(P$3,'Amenazas vs Taxonomías'!$G$2:$L$102,$A27,0)</f>
        <v>x</v>
      </c>
      <c r="Q27" s="38" t="str">
        <f>HLOOKUP(Q$3,'Amenazas vs Taxonomías'!$G$2:$N$102,$A27,0)</f>
        <v>x</v>
      </c>
      <c r="R27" s="38" t="str">
        <f>HLOOKUP(R$3,'Amenazas vs Taxonomías'!$G$2:$N$102,$A27,0)</f>
        <v>x</v>
      </c>
      <c r="S27" s="38" t="str">
        <f>HLOOKUP(S$3,'Amenazas vs Taxonomías'!$G$2:$N$102,$A27,0)</f>
        <v>x</v>
      </c>
      <c r="T27" s="38" t="str">
        <f>HLOOKUP(T$3,'Amenazas vs Taxonomías'!$G$2:$N$102,$A27,0)</f>
        <v>x</v>
      </c>
      <c r="U27" s="38" t="str">
        <f>HLOOKUP(U$3,'Amenazas vs Taxonomías'!$G$2:$N$102,$A27,0)</f>
        <v>x</v>
      </c>
      <c r="V27" s="38" t="str">
        <f>HLOOKUP(V$3,'Amenazas vs Taxonomías'!$G$2:$N$102,$A27,0)</f>
        <v>x</v>
      </c>
      <c r="W27" s="38" t="str">
        <f>HLOOKUP(W$3,'Amenazas vs Taxonomías'!$G$2:$N$102,$A27,0)</f>
        <v>x</v>
      </c>
      <c r="X27" s="38" t="str">
        <f>HLOOKUP(X$3,'Amenazas vs Taxonomías'!$G$2:$N$102,$A27,0)</f>
        <v>x</v>
      </c>
      <c r="Y27" s="38">
        <f>HLOOKUP(Y$3,'Amenazas vs Taxonomías'!$G$2:$N$102,$A27,0)</f>
        <v>0</v>
      </c>
      <c r="Z27" s="38">
        <f>HLOOKUP(Z$3,'Amenazas vs Taxonomías'!$G$2:$N$102,$A27,0)</f>
        <v>0</v>
      </c>
      <c r="AA27" s="38">
        <f>HLOOKUP(AA$3,'Amenazas vs Taxonomías'!$G$2:$L$102,$A27,0)</f>
        <v>0</v>
      </c>
      <c r="AB27" s="38">
        <f>HLOOKUP(AB$3,'Amenazas vs Taxonomías'!$G$2:$L$102,$A27,0)</f>
        <v>0</v>
      </c>
      <c r="AC27" s="38">
        <f>HLOOKUP(AC$3,'Amenazas vs Taxonomías'!$G$2:$L$102,$A27,0)</f>
        <v>0</v>
      </c>
      <c r="AD27" s="38">
        <f>HLOOKUP(AD$3,'Amenazas vs Taxonomías'!$G$2:$L$102,$A27,0)</f>
        <v>0</v>
      </c>
      <c r="AE27" s="38">
        <f>HLOOKUP(AE$3,'Amenazas vs Taxonomías'!$G$2:$L$102,$A27,0)</f>
        <v>0</v>
      </c>
      <c r="AF27" s="39">
        <f t="shared" si="1"/>
        <v>0</v>
      </c>
      <c r="AG27" s="39">
        <f t="shared" si="2"/>
        <v>7</v>
      </c>
      <c r="AH27" s="39">
        <f t="shared" si="2"/>
        <v>6</v>
      </c>
      <c r="AI27" s="39">
        <f t="shared" si="2"/>
        <v>1</v>
      </c>
      <c r="AJ27" s="39">
        <f t="shared" si="2"/>
        <v>0</v>
      </c>
      <c r="AK27" s="39">
        <f t="shared" si="2"/>
        <v>0</v>
      </c>
      <c r="AL27" s="39">
        <f t="shared" si="2"/>
        <v>2</v>
      </c>
      <c r="AM27" s="39">
        <f t="shared" si="2"/>
        <v>0</v>
      </c>
    </row>
    <row r="28" spans="1:39" s="18" customFormat="1" ht="17.25" customHeight="1">
      <c r="A28" s="17">
        <v>25</v>
      </c>
      <c r="B28" s="6" t="str">
        <f>'Amenazas vs Taxonomías'!B26</f>
        <v>TH24</v>
      </c>
      <c r="C28" s="12" t="str">
        <f>VLOOKUP(B28,'Amenazas vs Taxonomías'!B26:C134,2,0)</f>
        <v>[Actividad malintencionada / abuso] Extorsión</v>
      </c>
      <c r="D28" s="38" t="str">
        <f>HLOOKUP(D$3,'Amenazas vs Taxonomías'!$G$2:$N$102,$A28,0)</f>
        <v>x</v>
      </c>
      <c r="E28" s="38" t="str">
        <f>HLOOKUP(E$3,'Amenazas vs Taxonomías'!$G$2:$N$102,$A28,0)</f>
        <v>x</v>
      </c>
      <c r="F28" s="38" t="str">
        <f>HLOOKUP(F$3,'Amenazas vs Taxonomías'!$G$2:$N$102,$A28,0)</f>
        <v>x</v>
      </c>
      <c r="G28" s="38" t="str">
        <f>HLOOKUP(G$3,'Amenazas vs Taxonomías'!$G$2:$N$102,$A28,0)</f>
        <v>x</v>
      </c>
      <c r="H28" s="38">
        <f>HLOOKUP(H$3,'Amenazas vs Taxonomías'!$G$2:$N$102,$A28,0)</f>
        <v>0</v>
      </c>
      <c r="I28" s="38">
        <f>HLOOKUP(I$3,'Amenazas vs Taxonomías'!$G$2:$N$102,$A28,0)</f>
        <v>0</v>
      </c>
      <c r="J28" s="38">
        <f>HLOOKUP(J$3,'Amenazas vs Taxonomías'!$G$2:$N$102,$A28,0)</f>
        <v>0</v>
      </c>
      <c r="K28" s="38" t="str">
        <f>HLOOKUP(K$3,'Amenazas vs Taxonomías'!$G$2:$N$102,$A28,0)</f>
        <v>x</v>
      </c>
      <c r="L28" s="38">
        <f>HLOOKUP(L$3,'Amenazas vs Taxonomías'!$G$2:$L$102,$A28,0)</f>
        <v>0</v>
      </c>
      <c r="M28" s="38">
        <f>HLOOKUP(M$3,'Amenazas vs Taxonomías'!$G$2:$L$102,$A28,0)</f>
        <v>0</v>
      </c>
      <c r="N28" s="38">
        <f>HLOOKUP(N$3,'Amenazas vs Taxonomías'!$G$2:$L$102,$A28,0)</f>
        <v>0</v>
      </c>
      <c r="O28" s="38">
        <f>HLOOKUP(O$3,'Amenazas vs Taxonomías'!$G$2:$L$102,$A28,0)</f>
        <v>0</v>
      </c>
      <c r="P28" s="38">
        <f>HLOOKUP(P$3,'Amenazas vs Taxonomías'!$G$2:$L$102,$A28,0)</f>
        <v>0</v>
      </c>
      <c r="Q28" s="38">
        <f>HLOOKUP(Q$3,'Amenazas vs Taxonomías'!$G$2:$N$102,$A28,0)</f>
        <v>0</v>
      </c>
      <c r="R28" s="38">
        <f>HLOOKUP(R$3,'Amenazas vs Taxonomías'!$G$2:$N$102,$A28,0)</f>
        <v>0</v>
      </c>
      <c r="S28" s="38">
        <f>HLOOKUP(S$3,'Amenazas vs Taxonomías'!$G$2:$N$102,$A28,0)</f>
        <v>0</v>
      </c>
      <c r="T28" s="38">
        <f>HLOOKUP(T$3,'Amenazas vs Taxonomías'!$G$2:$N$102,$A28,0)</f>
        <v>0</v>
      </c>
      <c r="U28" s="38">
        <f>HLOOKUP(U$3,'Amenazas vs Taxonomías'!$G$2:$N$102,$A28,0)</f>
        <v>0</v>
      </c>
      <c r="V28" s="38">
        <f>HLOOKUP(V$3,'Amenazas vs Taxonomías'!$G$2:$N$102,$A28,0)</f>
        <v>0</v>
      </c>
      <c r="W28" s="38">
        <f>HLOOKUP(W$3,'Amenazas vs Taxonomías'!$G$2:$N$102,$A28,0)</f>
        <v>0</v>
      </c>
      <c r="X28" s="38">
        <f>HLOOKUP(X$3,'Amenazas vs Taxonomías'!$G$2:$N$102,$A28,0)</f>
        <v>0</v>
      </c>
      <c r="Y28" s="38">
        <f>HLOOKUP(Y$3,'Amenazas vs Taxonomías'!$G$2:$N$102,$A28,0)</f>
        <v>0</v>
      </c>
      <c r="Z28" s="38">
        <f>HLOOKUP(Z$3,'Amenazas vs Taxonomías'!$G$2:$N$102,$A28,0)</f>
        <v>0</v>
      </c>
      <c r="AA28" s="38">
        <f>HLOOKUP(AA$3,'Amenazas vs Taxonomías'!$G$2:$L$102,$A28,0)</f>
        <v>0</v>
      </c>
      <c r="AB28" s="38">
        <f>HLOOKUP(AB$3,'Amenazas vs Taxonomías'!$G$2:$L$102,$A28,0)</f>
        <v>0</v>
      </c>
      <c r="AC28" s="38">
        <f>HLOOKUP(AC$3,'Amenazas vs Taxonomías'!$G$2:$L$102,$A28,0)</f>
        <v>0</v>
      </c>
      <c r="AD28" s="38">
        <f>HLOOKUP(AD$3,'Amenazas vs Taxonomías'!$G$2:$L$102,$A28,0)</f>
        <v>0</v>
      </c>
      <c r="AE28" s="38">
        <f>HLOOKUP(AE$3,'Amenazas vs Taxonomías'!$G$2:$L$102,$A28,0)</f>
        <v>0</v>
      </c>
      <c r="AF28" s="39">
        <f t="shared" si="1"/>
        <v>0</v>
      </c>
      <c r="AG28" s="39">
        <f t="shared" si="2"/>
        <v>0</v>
      </c>
      <c r="AH28" s="39">
        <f t="shared" si="2"/>
        <v>0</v>
      </c>
      <c r="AI28" s="39">
        <f t="shared" si="2"/>
        <v>0</v>
      </c>
      <c r="AJ28" s="39">
        <f t="shared" si="2"/>
        <v>0</v>
      </c>
      <c r="AK28" s="39">
        <f t="shared" si="2"/>
        <v>4</v>
      </c>
      <c r="AL28" s="39">
        <f t="shared" si="2"/>
        <v>0</v>
      </c>
      <c r="AM28" s="39">
        <f t="shared" si="2"/>
        <v>1</v>
      </c>
    </row>
    <row r="29" spans="1:39" s="18" customFormat="1" ht="17.25" customHeight="1">
      <c r="A29" s="17">
        <v>26</v>
      </c>
      <c r="B29" s="6" t="str">
        <f>'Amenazas vs Taxonomías'!B27</f>
        <v>TH25</v>
      </c>
      <c r="C29" s="12" t="str">
        <f>VLOOKUP(B29,'Amenazas vs Taxonomías'!B27:C135,2,0)</f>
        <v>[Actividad malintencionada / abuso] Ingeniería social</v>
      </c>
      <c r="D29" s="38" t="str">
        <f>HLOOKUP(D$3,'Amenazas vs Taxonomías'!$G$2:$N$102,$A29,0)</f>
        <v>x</v>
      </c>
      <c r="E29" s="38" t="str">
        <f>HLOOKUP(E$3,'Amenazas vs Taxonomías'!$G$2:$N$102,$A29,0)</f>
        <v>x</v>
      </c>
      <c r="F29" s="38" t="str">
        <f>HLOOKUP(F$3,'Amenazas vs Taxonomías'!$G$2:$N$102,$A29,0)</f>
        <v>x</v>
      </c>
      <c r="G29" s="38" t="str">
        <f>HLOOKUP(G$3,'Amenazas vs Taxonomías'!$G$2:$N$102,$A29,0)</f>
        <v>x</v>
      </c>
      <c r="H29" s="38">
        <f>HLOOKUP(H$3,'Amenazas vs Taxonomías'!$G$2:$N$102,$A29,0)</f>
        <v>0</v>
      </c>
      <c r="I29" s="38">
        <f>HLOOKUP(I$3,'Amenazas vs Taxonomías'!$G$2:$N$102,$A29,0)</f>
        <v>0</v>
      </c>
      <c r="J29" s="38">
        <f>HLOOKUP(J$3,'Amenazas vs Taxonomías'!$G$2:$N$102,$A29,0)</f>
        <v>0</v>
      </c>
      <c r="K29" s="38" t="str">
        <f>HLOOKUP(K$3,'Amenazas vs Taxonomías'!$G$2:$N$102,$A29,0)</f>
        <v>x</v>
      </c>
      <c r="L29" s="38">
        <f>HLOOKUP(L$3,'Amenazas vs Taxonomías'!$G$2:$L$102,$A29,0)</f>
        <v>0</v>
      </c>
      <c r="M29" s="38">
        <f>HLOOKUP(M$3,'Amenazas vs Taxonomías'!$G$2:$L$102,$A29,0)</f>
        <v>0</v>
      </c>
      <c r="N29" s="38">
        <f>HLOOKUP(N$3,'Amenazas vs Taxonomías'!$G$2:$L$102,$A29,0)</f>
        <v>0</v>
      </c>
      <c r="O29" s="38">
        <f>HLOOKUP(O$3,'Amenazas vs Taxonomías'!$G$2:$L$102,$A29,0)</f>
        <v>0</v>
      </c>
      <c r="P29" s="38">
        <f>HLOOKUP(P$3,'Amenazas vs Taxonomías'!$G$2:$L$102,$A29,0)</f>
        <v>0</v>
      </c>
      <c r="Q29" s="38">
        <f>HLOOKUP(Q$3,'Amenazas vs Taxonomías'!$G$2:$N$102,$A29,0)</f>
        <v>0</v>
      </c>
      <c r="R29" s="38">
        <f>HLOOKUP(R$3,'Amenazas vs Taxonomías'!$G$2:$N$102,$A29,0)</f>
        <v>0</v>
      </c>
      <c r="S29" s="38">
        <f>HLOOKUP(S$3,'Amenazas vs Taxonomías'!$G$2:$N$102,$A29,0)</f>
        <v>0</v>
      </c>
      <c r="T29" s="38">
        <f>HLOOKUP(T$3,'Amenazas vs Taxonomías'!$G$2:$N$102,$A29,0)</f>
        <v>0</v>
      </c>
      <c r="U29" s="38">
        <f>HLOOKUP(U$3,'Amenazas vs Taxonomías'!$G$2:$N$102,$A29,0)</f>
        <v>0</v>
      </c>
      <c r="V29" s="38">
        <f>HLOOKUP(V$3,'Amenazas vs Taxonomías'!$G$2:$N$102,$A29,0)</f>
        <v>0</v>
      </c>
      <c r="W29" s="38">
        <f>HLOOKUP(W$3,'Amenazas vs Taxonomías'!$G$2:$N$102,$A29,0)</f>
        <v>0</v>
      </c>
      <c r="X29" s="38">
        <f>HLOOKUP(X$3,'Amenazas vs Taxonomías'!$G$2:$N$102,$A29,0)</f>
        <v>0</v>
      </c>
      <c r="Y29" s="38">
        <f>HLOOKUP(Y$3,'Amenazas vs Taxonomías'!$G$2:$N$102,$A29,0)</f>
        <v>0</v>
      </c>
      <c r="Z29" s="38">
        <f>HLOOKUP(Z$3,'Amenazas vs Taxonomías'!$G$2:$N$102,$A29,0)</f>
        <v>0</v>
      </c>
      <c r="AA29" s="38">
        <f>HLOOKUP(AA$3,'Amenazas vs Taxonomías'!$G$2:$L$102,$A29,0)</f>
        <v>0</v>
      </c>
      <c r="AB29" s="38">
        <f>HLOOKUP(AB$3,'Amenazas vs Taxonomías'!$G$2:$L$102,$A29,0)</f>
        <v>0</v>
      </c>
      <c r="AC29" s="38">
        <f>HLOOKUP(AC$3,'Amenazas vs Taxonomías'!$G$2:$L$102,$A29,0)</f>
        <v>0</v>
      </c>
      <c r="AD29" s="38">
        <f>HLOOKUP(AD$3,'Amenazas vs Taxonomías'!$G$2:$L$102,$A29,0)</f>
        <v>0</v>
      </c>
      <c r="AE29" s="38">
        <f>HLOOKUP(AE$3,'Amenazas vs Taxonomías'!$G$2:$L$102,$A29,0)</f>
        <v>0</v>
      </c>
      <c r="AF29" s="39">
        <f t="shared" si="1"/>
        <v>0</v>
      </c>
      <c r="AG29" s="39">
        <f t="shared" si="2"/>
        <v>0</v>
      </c>
      <c r="AH29" s="39">
        <f t="shared" si="2"/>
        <v>0</v>
      </c>
      <c r="AI29" s="39">
        <f t="shared" si="2"/>
        <v>0</v>
      </c>
      <c r="AJ29" s="39">
        <f t="shared" si="2"/>
        <v>0</v>
      </c>
      <c r="AK29" s="39">
        <f t="shared" si="2"/>
        <v>4</v>
      </c>
      <c r="AL29" s="39">
        <f t="shared" si="2"/>
        <v>0</v>
      </c>
      <c r="AM29" s="39">
        <f t="shared" si="2"/>
        <v>1</v>
      </c>
    </row>
    <row r="30" spans="1:39" ht="20.25" customHeight="1">
      <c r="D30" s="36">
        <f t="shared" ref="D30:AE30" si="3">COUNTIF(D5:D29,"=x")</f>
        <v>6</v>
      </c>
      <c r="E30" s="36">
        <f t="shared" si="3"/>
        <v>6</v>
      </c>
      <c r="F30" s="36">
        <f t="shared" si="3"/>
        <v>6</v>
      </c>
      <c r="G30" s="36">
        <f t="shared" si="3"/>
        <v>6</v>
      </c>
      <c r="H30" s="36">
        <f t="shared" ref="H30:K30" si="4">COUNTIF(H5:H29,"=x")</f>
        <v>6</v>
      </c>
      <c r="I30" s="36">
        <f t="shared" si="4"/>
        <v>6</v>
      </c>
      <c r="J30" s="36">
        <f t="shared" si="4"/>
        <v>4</v>
      </c>
      <c r="K30" s="36">
        <f t="shared" si="4"/>
        <v>4</v>
      </c>
      <c r="L30" s="36">
        <f t="shared" si="3"/>
        <v>10</v>
      </c>
      <c r="M30" s="36">
        <f t="shared" si="3"/>
        <v>10</v>
      </c>
      <c r="N30" s="36">
        <f t="shared" si="3"/>
        <v>10</v>
      </c>
      <c r="O30" s="36">
        <f t="shared" si="3"/>
        <v>10</v>
      </c>
      <c r="P30" s="36">
        <f t="shared" si="3"/>
        <v>10</v>
      </c>
      <c r="Q30" s="36">
        <f t="shared" si="3"/>
        <v>10</v>
      </c>
      <c r="R30" s="36">
        <f t="shared" si="3"/>
        <v>7</v>
      </c>
      <c r="S30" s="36">
        <f t="shared" si="3"/>
        <v>7</v>
      </c>
      <c r="T30" s="36">
        <f t="shared" si="3"/>
        <v>7</v>
      </c>
      <c r="U30" s="36">
        <f t="shared" si="3"/>
        <v>7</v>
      </c>
      <c r="V30" s="36">
        <f t="shared" si="3"/>
        <v>7</v>
      </c>
      <c r="W30" s="36">
        <f t="shared" si="3"/>
        <v>7</v>
      </c>
      <c r="X30" s="36">
        <f t="shared" si="3"/>
        <v>7</v>
      </c>
      <c r="Y30" s="36">
        <f t="shared" si="3"/>
        <v>5</v>
      </c>
      <c r="Z30" s="36">
        <f t="shared" si="3"/>
        <v>5</v>
      </c>
      <c r="AA30" s="36">
        <f t="shared" si="3"/>
        <v>6</v>
      </c>
      <c r="AB30" s="36">
        <f t="shared" si="3"/>
        <v>6</v>
      </c>
      <c r="AC30" s="36">
        <f t="shared" si="3"/>
        <v>6</v>
      </c>
      <c r="AD30" s="36">
        <f t="shared" si="3"/>
        <v>6</v>
      </c>
      <c r="AE30" s="36">
        <f t="shared" si="3"/>
        <v>6</v>
      </c>
    </row>
    <row r="31" spans="1:39" ht="14.45" hidden="1"/>
    <row r="32" spans="1:39" ht="14.45" hidden="1"/>
    <row r="33" ht="14.45" hidden="1"/>
    <row r="34" ht="14.45" hidden="1"/>
    <row r="35" ht="14.45" hidden="1"/>
    <row r="36" ht="14.45" hidden="1"/>
    <row r="37" ht="14.45" hidden="1"/>
    <row r="38" ht="14.45" hidden="1"/>
    <row r="39" ht="14.45" hidden="1"/>
    <row r="40" ht="14.45" hidden="1"/>
    <row r="41" ht="14.45" hidden="1"/>
    <row r="42" ht="14.45" hidden="1"/>
    <row r="43" ht="14.45" hidden="1"/>
    <row r="44" ht="14.45" hidden="1"/>
    <row r="45" ht="14.45" hidden="1"/>
    <row r="46" ht="14.45" hidden="1"/>
    <row r="47" ht="14.45" hidden="1"/>
    <row r="48" ht="14.45" hidden="1"/>
    <row r="49" ht="14.45" hidden="1"/>
    <row r="50" ht="14.45" hidden="1"/>
    <row r="51" ht="14.45" hidden="1"/>
    <row r="52" ht="14.45" hidden="1"/>
    <row r="53" ht="14.45" hidden="1"/>
    <row r="54" ht="14.45" hidden="1"/>
    <row r="55" ht="14.45" hidden="1"/>
    <row r="56" ht="14.45" hidden="1"/>
    <row r="57" ht="14.45" hidden="1"/>
    <row r="58" ht="14.45" hidden="1"/>
    <row r="59" ht="14.45" hidden="1"/>
    <row r="60" ht="14.45" hidden="1"/>
    <row r="61" ht="14.45" hidden="1"/>
    <row r="62" ht="14.45" hidden="1"/>
    <row r="63" ht="14.45" hidden="1"/>
    <row r="64" ht="14.45" hidden="1"/>
    <row r="65" ht="14.45" hidden="1"/>
    <row r="66" ht="14.45" hidden="1"/>
    <row r="67" ht="14.45" hidden="1"/>
    <row r="68" ht="14.45" hidden="1"/>
    <row r="69" ht="14.45" hidden="1"/>
    <row r="70" ht="14.45" hidden="1"/>
    <row r="71" ht="14.45" hidden="1"/>
    <row r="72" ht="14.45" hidden="1"/>
    <row r="73" ht="14.45" hidden="1"/>
    <row r="74" ht="14.45" hidden="1"/>
    <row r="75" ht="14.45" hidden="1"/>
    <row r="76" ht="14.45" hidden="1"/>
    <row r="77" ht="14.45" hidden="1"/>
    <row r="78" ht="14.45" hidden="1"/>
    <row r="79" ht="14.45" hidden="1"/>
    <row r="80" ht="14.45" hidden="1"/>
    <row r="81" ht="14.45" hidden="1"/>
    <row r="82" ht="14.45" hidden="1"/>
    <row r="83" ht="14.45" hidden="1"/>
    <row r="84" ht="14.45" hidden="1"/>
    <row r="85" ht="14.45" hidden="1"/>
    <row r="86" ht="14.45" hidden="1"/>
    <row r="87" ht="14.45" hidden="1"/>
    <row r="88" ht="14.45" hidden="1"/>
    <row r="89" ht="14.45" hidden="1"/>
    <row r="90" ht="14.45" hidden="1"/>
    <row r="91" ht="14.45" hidden="1"/>
    <row r="92" ht="14.45" hidden="1"/>
    <row r="93" ht="14.45" hidden="1"/>
    <row r="94" ht="14.45" hidden="1"/>
    <row r="95" ht="14.45" hidden="1"/>
    <row r="96" ht="14.45" hidden="1"/>
    <row r="97" ht="14.45" hidden="1"/>
    <row r="98" ht="14.45" hidden="1"/>
    <row r="99" ht="14.45" hidden="1"/>
    <row r="100" ht="14.45" hidden="1"/>
    <row r="101" ht="14.45" hidden="1"/>
    <row r="102" ht="14.45" hidden="1"/>
    <row r="103" ht="14.45" hidden="1"/>
    <row r="104" ht="14.45" hidden="1"/>
    <row r="105" ht="14.45" hidden="1"/>
    <row r="106" ht="14.45" hidden="1"/>
    <row r="107" ht="14.45" hidden="1"/>
    <row r="108" ht="14.45" hidden="1"/>
    <row r="109" ht="14.45" hidden="1"/>
    <row r="110" ht="14.45" hidden="1"/>
  </sheetData>
  <sheetProtection formatCells="0" formatColumns="0"/>
  <mergeCells count="2">
    <mergeCell ref="C4:AD4"/>
    <mergeCell ref="AF4:AM4"/>
  </mergeCells>
  <conditionalFormatting sqref="C2:C3">
    <cfRule type="containsText" dxfId="29" priority="100" stopIfTrue="1" operator="containsText" text="papel">
      <formula>NOT(ISERROR(SEARCH("papel",C2)))</formula>
    </cfRule>
    <cfRule type="containsText" dxfId="28" priority="101" operator="containsText" text="[PROV]">
      <formula>NOT(ISERROR(SEARCH("[PROV]",C2)))</formula>
    </cfRule>
    <cfRule type="containsText" dxfId="27" priority="102" stopIfTrue="1" operator="containsText" text="[LOC]">
      <formula>NOT(ISERROR(SEARCH("[LOC]",C2)))</formula>
    </cfRule>
    <cfRule type="containsText" dxfId="26" priority="103" stopIfTrue="1" operator="containsText" text="[IT]">
      <formula>NOT(ISERROR(SEARCH("[IT]",C2)))</formula>
    </cfRule>
    <cfRule type="containsText" dxfId="25" priority="104" stopIfTrue="1" operator="containsText" text="[SLOG]">
      <formula>NOT(ISERROR(SEARCH("[SLOG]",C2)))</formula>
    </cfRule>
    <cfRule type="containsText" dxfId="24" priority="105" stopIfTrue="1" operator="containsText" text="[SFIS]">
      <formula>NOT(ISERROR(SEARCH("[SFIS]",C2)))</formula>
    </cfRule>
    <cfRule type="containsText" dxfId="23" priority="106" stopIfTrue="1" operator="containsText" text="[APP]">
      <formula>NOT(ISERROR(SEARCH("[APP]",C2)))</formula>
    </cfRule>
    <cfRule type="containsErrors" dxfId="22" priority="107" stopIfTrue="1">
      <formula>ISERROR(C2)</formula>
    </cfRule>
  </conditionalFormatting>
  <conditionalFormatting sqref="D3:AE3">
    <cfRule type="containsText" dxfId="21" priority="71" operator="containsText" text="[COMM]">
      <formula>NOT(ISERROR(SEARCH("[COMM]",D3)))</formula>
    </cfRule>
    <cfRule type="containsText" dxfId="20" priority="72" operator="containsText" text="[P]">
      <formula>NOT(ISERROR(SEARCH("[P]",D3)))</formula>
    </cfRule>
    <cfRule type="containsText" dxfId="19" priority="73" operator="containsText" text="[L]">
      <formula>NOT(ISERROR(SEARCH("[L]",D3)))</formula>
    </cfRule>
    <cfRule type="containsText" dxfId="18" priority="74" operator="containsText" text="[COM]">
      <formula>NOT(ISERROR(SEARCH("[COM]",D3)))</formula>
    </cfRule>
    <cfRule type="containsText" dxfId="17" priority="75" operator="containsText" text="[D]">
      <formula>NOT(ISERROR(SEARCH("[D]",D3)))</formula>
    </cfRule>
    <cfRule type="containsText" dxfId="16" priority="76" operator="containsText" text="[HW]">
      <formula>NOT(ISERROR(SEARCH("[HW]",D3)))</formula>
    </cfRule>
    <cfRule type="containsText" dxfId="15" priority="77" operator="containsText" text="[SW]">
      <formula>NOT(ISERROR(SEARCH("[SW]",D3)))</formula>
    </cfRule>
  </conditionalFormatting>
  <conditionalFormatting sqref="D2:AE2">
    <cfRule type="containsText" dxfId="14" priority="36" operator="containsText" text="[P]">
      <formula>NOT(ISERROR(SEARCH("[P]",D2)))</formula>
    </cfRule>
    <cfRule type="containsText" dxfId="13" priority="37" operator="containsText" text="[L]">
      <formula>NOT(ISERROR(SEARCH("[L]",D2)))</formula>
    </cfRule>
    <cfRule type="containsText" dxfId="12" priority="38" operator="containsText" text="[COM]">
      <formula>NOT(ISERROR(SEARCH("[COM]",D2)))</formula>
    </cfRule>
    <cfRule type="containsText" dxfId="11" priority="39" operator="containsText" text="[D]">
      <formula>NOT(ISERROR(SEARCH("[D]",D2)))</formula>
    </cfRule>
    <cfRule type="containsText" dxfId="10" priority="40" operator="containsText" text="[HW]">
      <formula>NOT(ISERROR(SEARCH("[HW]",D2)))</formula>
    </cfRule>
    <cfRule type="containsText" dxfId="9" priority="41" operator="containsText" text="[SW]">
      <formula>NOT(ISERROR(SEARCH("[SW]",D2)))</formula>
    </cfRule>
  </conditionalFormatting>
  <conditionalFormatting sqref="B5:C29">
    <cfRule type="expression" dxfId="8" priority="29">
      <formula>MOD(ROW(),2)=1</formula>
    </cfRule>
  </conditionalFormatting>
  <conditionalFormatting sqref="D5:AE29">
    <cfRule type="cellIs" dxfId="7" priority="1" operator="notEqual">
      <formula>"x"</formula>
    </cfRule>
  </conditionalFormatting>
  <conditionalFormatting sqref="AF5:AM29">
    <cfRule type="colorScale" priority="618">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0">
    <pageSetUpPr fitToPage="1"/>
  </sheetPr>
  <dimension ref="A1:DA411"/>
  <sheetViews>
    <sheetView showGridLines="0" zoomScale="85" zoomScaleNormal="87" workbookViewId="0">
      <pane xSplit="3" ySplit="4" topLeftCell="AB5" activePane="bottomRight" state="frozen"/>
      <selection pane="bottomRight" activeCell="AB2" sqref="AB2"/>
      <selection pane="bottomLeft" activeCell="A5" sqref="A5"/>
      <selection pane="topRight" activeCell="E1" sqref="E1"/>
    </sheetView>
  </sheetViews>
  <sheetFormatPr defaultColWidth="0" defaultRowHeight="0" customHeight="1" zeroHeight="1"/>
  <cols>
    <col min="1" max="1" width="7.7109375" style="87" customWidth="1"/>
    <col min="2" max="2" width="6.28515625" style="88" customWidth="1"/>
    <col min="3" max="3" width="38.85546875" style="21" customWidth="1"/>
    <col min="4" max="4" width="5" style="97" bestFit="1" customWidth="1"/>
    <col min="5" max="5" width="6.28515625" style="97" bestFit="1" customWidth="1"/>
    <col min="6" max="28" width="5" style="97" bestFit="1" customWidth="1"/>
    <col min="29" max="29" width="12.28515625" style="31" customWidth="1"/>
    <col min="30" max="105" width="10.85546875" style="31" customWidth="1"/>
    <col min="106" max="16384" width="11.42578125" style="31" hidden="1"/>
  </cols>
  <sheetData>
    <row r="1" spans="1:29" ht="17.25" customHeight="1">
      <c r="C1" s="31"/>
      <c r="D1" s="89"/>
      <c r="E1" s="89"/>
      <c r="F1" s="89"/>
      <c r="G1" s="89"/>
      <c r="H1" s="89"/>
      <c r="I1" s="89"/>
      <c r="J1" s="89"/>
      <c r="K1" s="89"/>
      <c r="L1" s="89"/>
      <c r="M1" s="89"/>
      <c r="N1" s="89"/>
      <c r="O1" s="89"/>
      <c r="P1" s="89"/>
      <c r="Q1" s="89"/>
      <c r="R1" s="89"/>
      <c r="S1" s="89"/>
      <c r="T1" s="89"/>
      <c r="U1" s="89"/>
      <c r="V1" s="89"/>
      <c r="W1" s="89"/>
      <c r="X1" s="89"/>
      <c r="Y1" s="89"/>
      <c r="Z1" s="89"/>
      <c r="AA1" s="89"/>
      <c r="AB1" s="89"/>
      <c r="AC1" s="90"/>
    </row>
    <row r="2" spans="1:29" s="92" customFormat="1" ht="17.25" customHeight="1">
      <c r="A2" s="87"/>
      <c r="B2" s="88"/>
      <c r="C2" s="91"/>
      <c r="D2" s="81" t="str" cm="1">
        <f t="array" ref="D2:AB3">TRANSPOSE(Datos_SPIKA!K3:L27)</f>
        <v>TH01</v>
      </c>
      <c r="E2" s="81" t="str">
        <v>TH02</v>
      </c>
      <c r="F2" s="81" t="str">
        <v>TH03</v>
      </c>
      <c r="G2" s="81" t="str">
        <v>TH04</v>
      </c>
      <c r="H2" s="81" t="str">
        <v>TH05</v>
      </c>
      <c r="I2" s="81" t="str">
        <v>TH06</v>
      </c>
      <c r="J2" s="81" t="str">
        <v>TH07</v>
      </c>
      <c r="K2" s="81" t="str">
        <v>TH08</v>
      </c>
      <c r="L2" s="81" t="str">
        <v>TH09</v>
      </c>
      <c r="M2" s="81" t="str">
        <v>TH10</v>
      </c>
      <c r="N2" s="81" t="str">
        <v>TH11</v>
      </c>
      <c r="O2" s="81" t="str">
        <v>TH12</v>
      </c>
      <c r="P2" s="81" t="str">
        <v>TH13</v>
      </c>
      <c r="Q2" s="81" t="str">
        <v>TH14</v>
      </c>
      <c r="R2" s="81" t="str">
        <v>TH15</v>
      </c>
      <c r="S2" s="81" t="str">
        <v>TH16</v>
      </c>
      <c r="T2" s="81" t="str">
        <v>TH17</v>
      </c>
      <c r="U2" s="81" t="str">
        <v>TH18</v>
      </c>
      <c r="V2" s="81" t="str">
        <v>TH19</v>
      </c>
      <c r="W2" s="81" t="str">
        <v>TH20</v>
      </c>
      <c r="X2" s="81" t="str">
        <v>TH21</v>
      </c>
      <c r="Y2" s="81" t="str">
        <v>TH22</v>
      </c>
      <c r="Z2" s="81" t="str">
        <v>TH23</v>
      </c>
      <c r="AA2" s="81" t="str">
        <v>TH24</v>
      </c>
      <c r="AB2" s="81" t="str">
        <v>TH25</v>
      </c>
    </row>
    <row r="3" spans="1:29" s="96" customFormat="1" ht="104.25" customHeight="1">
      <c r="A3" s="93"/>
      <c r="B3" s="94"/>
      <c r="C3" s="31"/>
      <c r="D3" s="95" t="str">
        <v>[Desastre] Fuego, agua o desastres naturales</v>
      </c>
      <c r="E3" s="95" t="str">
        <v>[Actividad malintencionada / abuso] Fuga de información</v>
      </c>
      <c r="F3" s="95" t="str">
        <v>[Actividad malintencionada / abuso] Introducción de falsa información</v>
      </c>
      <c r="G3" s="95" t="str">
        <v>[Actividad malintencionada / abuso] Alteración de la información</v>
      </c>
      <c r="H3" s="95" t="str">
        <v>[Actividad malintencionada / abuso] Destrucción de información</v>
      </c>
      <c r="I3" s="95" t="str">
        <v>[Actividad malintencionada / abuso] Interceptación de información (escucha)</v>
      </c>
      <c r="J3" s="95" t="str">
        <v>[Malfuncionamiento] Corte del suministro eléctrico</v>
      </c>
      <c r="K3" s="95" t="str">
        <v>[Desastre] Condiciones inadecuadas de temperatura o humedad</v>
      </c>
      <c r="L3" s="95" t="str">
        <v>[Malfuncionamiento] Fallo de servicios de comunicaciones</v>
      </c>
      <c r="M3" s="95" t="str">
        <v>[Indisponibilidad del recurso] Interrupción de servicios y suministros esenciales</v>
      </c>
      <c r="N3" s="95" t="str">
        <v>[Desastre] Desastres industriales</v>
      </c>
      <c r="O3" s="95" t="str">
        <v>[Daños accidentales] Errores de los usuarios</v>
      </c>
      <c r="P3" s="95" t="str">
        <v>[Daños accidentales] Errores del administrador</v>
      </c>
      <c r="Q3" s="95" t="str">
        <v>[Daños accidentales] Errores de configuración</v>
      </c>
      <c r="R3" s="95" t="str">
        <v>[Daños accidentales] Degradación de los soportes de almacenamiento de la información</v>
      </c>
      <c r="S3" s="95" t="str">
        <v>[Actividad malintencionada / abuso] Instalación de software dañino</v>
      </c>
      <c r="T3" s="95" t="str">
        <v>[Daños accidentales] Errores de mantenimiento / actualización de programas (software)</v>
      </c>
      <c r="U3" s="95" t="str">
        <v>[Indisponibilidad del recurso] Caída del sistema por sobrecarga</v>
      </c>
      <c r="V3" s="95" t="str">
        <v>[Daños accidentales] Pérdida de equipos</v>
      </c>
      <c r="W3" s="95" t="str">
        <v>[Indisponibilidad del recurso] Indisponibilidad del personal</v>
      </c>
      <c r="X3" s="95" t="str">
        <v>[Actividad malintencionada / abuso] Abuso de privilegios de acceso</v>
      </c>
      <c r="Y3" s="95" t="str">
        <v>[Actividad malintencionada / abuso] Acceso no autorizado</v>
      </c>
      <c r="Z3" s="95" t="str">
        <v>[Actividad malintencionada / abuso] Denegación de servicio</v>
      </c>
      <c r="AA3" s="95" t="str">
        <v>[Actividad malintencionada / abuso] Extorsión</v>
      </c>
      <c r="AB3" s="95" t="str">
        <v>[Actividad malintencionada / abuso] Ingeniería social</v>
      </c>
    </row>
    <row r="4" spans="1:29" ht="28.5" customHeight="1">
      <c r="A4" s="132">
        <f>SUM(D4:AB4)</f>
        <v>73.872381827576547</v>
      </c>
      <c r="B4" s="66" t="s">
        <v>3</v>
      </c>
      <c r="C4" s="66" t="s">
        <v>310</v>
      </c>
      <c r="D4" s="111">
        <f>AVERAGE(D5:D85)</f>
        <v>2.9629629629629628</v>
      </c>
      <c r="E4" s="111">
        <f t="shared" ref="D4:AB4" si="0">AVERAGE(E5:E85)</f>
        <v>2.9629629629629628</v>
      </c>
      <c r="F4" s="111">
        <f t="shared" si="0"/>
        <v>2.906779661016949</v>
      </c>
      <c r="G4" s="111">
        <f t="shared" si="0"/>
        <v>2.9375</v>
      </c>
      <c r="H4" s="111">
        <f t="shared" si="0"/>
        <v>2.90625</v>
      </c>
      <c r="I4" s="111">
        <f t="shared" si="0"/>
        <v>2.9893617021276597</v>
      </c>
      <c r="J4" s="111">
        <f t="shared" si="0"/>
        <v>2.8833333333333333</v>
      </c>
      <c r="K4" s="111">
        <f t="shared" si="0"/>
        <v>2.9193548387096775</v>
      </c>
      <c r="L4" s="111">
        <f t="shared" si="0"/>
        <v>2.9390243902439024</v>
      </c>
      <c r="M4" s="111">
        <f t="shared" si="0"/>
        <v>2.9148936170212765</v>
      </c>
      <c r="N4" s="111">
        <f t="shared" si="0"/>
        <v>2.9375</v>
      </c>
      <c r="O4" s="111">
        <f t="shared" si="0"/>
        <v>2.9615384615384617</v>
      </c>
      <c r="P4" s="111">
        <f t="shared" si="0"/>
        <v>2.9607843137254903</v>
      </c>
      <c r="Q4" s="111">
        <f t="shared" si="0"/>
        <v>3</v>
      </c>
      <c r="R4" s="111">
        <f t="shared" si="0"/>
        <v>3</v>
      </c>
      <c r="S4" s="111">
        <f t="shared" si="0"/>
        <v>2.8877551020408165</v>
      </c>
      <c r="T4" s="111">
        <f t="shared" si="0"/>
        <v>3.0689655172413794</v>
      </c>
      <c r="U4" s="111">
        <f t="shared" si="0"/>
        <v>3.0526315789473686</v>
      </c>
      <c r="V4" s="111">
        <f t="shared" si="0"/>
        <v>2.9729729729729728</v>
      </c>
      <c r="W4" s="111">
        <f t="shared" si="0"/>
        <v>2.95</v>
      </c>
      <c r="X4" s="111">
        <f t="shared" si="0"/>
        <v>2.9736842105263159</v>
      </c>
      <c r="Y4" s="111">
        <f t="shared" si="0"/>
        <v>2.9482758620689653</v>
      </c>
      <c r="Z4" s="111">
        <f t="shared" si="0"/>
        <v>2.9166666666666665</v>
      </c>
      <c r="AA4" s="111">
        <f t="shared" si="0"/>
        <v>2.96</v>
      </c>
      <c r="AB4" s="111">
        <f t="shared" si="0"/>
        <v>2.9591836734693877</v>
      </c>
    </row>
    <row r="5" spans="1:29" ht="28.5" customHeight="1">
      <c r="A5" s="93">
        <f t="shared" ref="A5:A36" si="1">COUNTA(D5:AB5)</f>
        <v>25</v>
      </c>
      <c r="B5" s="20" t="s">
        <v>21</v>
      </c>
      <c r="C5" s="37" t="str">
        <f>VLOOKUP(B5,Datos_SPIKA!N3:P83,2,0)</f>
        <v>Políticas de seguridad de la información</v>
      </c>
      <c r="D5" s="61">
        <f>VLOOKUP($B5,Datos_SPIKA!$N$3:$P$83,3,FALSE)</f>
        <v>3</v>
      </c>
      <c r="E5" s="61">
        <f>VLOOKUP($B5,Datos_SPIKA!$N$3:$P$83,3,FALSE)</f>
        <v>3</v>
      </c>
      <c r="F5" s="61">
        <f>VLOOKUP($B5,Datos_SPIKA!$N$3:$P$83,3,FALSE)</f>
        <v>3</v>
      </c>
      <c r="G5" s="61">
        <f>VLOOKUP($B5,Datos_SPIKA!$N$3:$P$83,3,FALSE)</f>
        <v>3</v>
      </c>
      <c r="H5" s="134">
        <f>VLOOKUP($B5,Datos_SPIKA!$N$3:$P$83,3,FALSE)</f>
        <v>3</v>
      </c>
      <c r="I5" s="133">
        <f>VLOOKUP($B5,Datos_SPIKA!$N$3:$P$83,3,FALSE)</f>
        <v>3</v>
      </c>
      <c r="J5" s="61">
        <f>VLOOKUP($B5,Datos_SPIKA!$N$3:$P$83,3,FALSE)</f>
        <v>3</v>
      </c>
      <c r="K5" s="61">
        <f>VLOOKUP($B5,Datos_SPIKA!$N$3:$P$83,3,FALSE)</f>
        <v>3</v>
      </c>
      <c r="L5" s="61">
        <f>VLOOKUP($B5,Datos_SPIKA!$N$3:$P$83,3,FALSE)</f>
        <v>3</v>
      </c>
      <c r="M5" s="61">
        <f>VLOOKUP($B5,Datos_SPIKA!$N$3:$P$83,3,FALSE)</f>
        <v>3</v>
      </c>
      <c r="N5" s="61">
        <f>VLOOKUP($B5,Datos_SPIKA!$N$3:$P$83,3,FALSE)</f>
        <v>3</v>
      </c>
      <c r="O5" s="61">
        <f>VLOOKUP($B5,Datos_SPIKA!$N$3:$P$83,3,FALSE)</f>
        <v>3</v>
      </c>
      <c r="P5" s="61">
        <f>VLOOKUP($B5,Datos_SPIKA!$N$3:$P$83,3,FALSE)</f>
        <v>3</v>
      </c>
      <c r="Q5" s="61">
        <f>VLOOKUP($B5,Datos_SPIKA!$N$3:$P$83,3,FALSE)</f>
        <v>3</v>
      </c>
      <c r="R5" s="61">
        <f>VLOOKUP($B5,Datos_SPIKA!$N$3:$P$83,3,FALSE)</f>
        <v>3</v>
      </c>
      <c r="S5" s="61">
        <f>VLOOKUP($B5,Datos_SPIKA!$N$3:$P$83,3,FALSE)</f>
        <v>3</v>
      </c>
      <c r="T5" s="61">
        <f>VLOOKUP($B5,Datos_SPIKA!$N$3:$P$83,3,FALSE)</f>
        <v>3</v>
      </c>
      <c r="U5" s="61">
        <f>VLOOKUP($B5,Datos_SPIKA!$N$3:$P$83,3,FALSE)</f>
        <v>3</v>
      </c>
      <c r="V5" s="61">
        <f>VLOOKUP($B5,Datos_SPIKA!$N$3:$P$83,3,FALSE)</f>
        <v>3</v>
      </c>
      <c r="W5" s="61">
        <f>VLOOKUP($B5,Datos_SPIKA!$N$3:$P$83,3,FALSE)</f>
        <v>3</v>
      </c>
      <c r="X5" s="61">
        <f>VLOOKUP($B5,Datos_SPIKA!$N$3:$P$83,3,FALSE)</f>
        <v>3</v>
      </c>
      <c r="Y5" s="61">
        <f>VLOOKUP($B5,Datos_SPIKA!$N$3:$P$83,3,FALSE)</f>
        <v>3</v>
      </c>
      <c r="Z5" s="61">
        <f>VLOOKUP($B5,Datos_SPIKA!$N$3:$P$83,3,FALSE)</f>
        <v>3</v>
      </c>
      <c r="AA5" s="61">
        <f>VLOOKUP($B5,Datos_SPIKA!$N$3:$P$83,3,FALSE)</f>
        <v>3</v>
      </c>
      <c r="AB5" s="61">
        <f>VLOOKUP($B5,Datos_SPIKA!$N$3:$P$83,3,FALSE)</f>
        <v>3</v>
      </c>
    </row>
    <row r="6" spans="1:29" ht="28.5" customHeight="1">
      <c r="A6" s="93">
        <f t="shared" si="1"/>
        <v>25</v>
      </c>
      <c r="B6" s="20" t="s">
        <v>29</v>
      </c>
      <c r="C6" s="37" t="str">
        <f>VLOOKUP(B6,Datos_SPIKA!N4:P84,2,0)</f>
        <v>Roles y segregación de responsabilidades</v>
      </c>
      <c r="D6" s="61">
        <f>VLOOKUP($B6,Datos_SPIKA!$N$3:$P$83,3,FALSE)</f>
        <v>3.5</v>
      </c>
      <c r="E6" s="61">
        <f>VLOOKUP($B6,Datos_SPIKA!$N$3:$P$83,3,FALSE)</f>
        <v>3.5</v>
      </c>
      <c r="F6" s="61">
        <f>VLOOKUP($B6,Datos_SPIKA!$N$3:$P$83,3,FALSE)</f>
        <v>3.5</v>
      </c>
      <c r="G6" s="61">
        <f>VLOOKUP($B6,Datos_SPIKA!$N$3:$P$83,3,FALSE)</f>
        <v>3.5</v>
      </c>
      <c r="H6" s="61">
        <f>VLOOKUP($B6,Datos_SPIKA!$N$3:$P$83,3,FALSE)</f>
        <v>3.5</v>
      </c>
      <c r="I6" s="61">
        <f>VLOOKUP($B6,Datos_SPIKA!$N$3:$P$83,3,FALSE)</f>
        <v>3.5</v>
      </c>
      <c r="J6" s="61">
        <f>VLOOKUP($B6,Datos_SPIKA!$N$3:$P$83,3,FALSE)</f>
        <v>3.5</v>
      </c>
      <c r="K6" s="61">
        <f>VLOOKUP($B6,Datos_SPIKA!$N$3:$P$83,3,FALSE)</f>
        <v>3.5</v>
      </c>
      <c r="L6" s="61">
        <f>VLOOKUP($B6,Datos_SPIKA!$N$3:$P$83,3,FALSE)</f>
        <v>3.5</v>
      </c>
      <c r="M6" s="61">
        <f>VLOOKUP($B6,Datos_SPIKA!$N$3:$P$83,3,FALSE)</f>
        <v>3.5</v>
      </c>
      <c r="N6" s="61">
        <f>VLOOKUP($B6,Datos_SPIKA!$N$3:$P$83,3,FALSE)</f>
        <v>3.5</v>
      </c>
      <c r="O6" s="61">
        <f>VLOOKUP($B6,Datos_SPIKA!$N$3:$P$83,3,FALSE)</f>
        <v>3.5</v>
      </c>
      <c r="P6" s="61">
        <f>VLOOKUP($B6,Datos_SPIKA!$N$3:$P$83,3,FALSE)</f>
        <v>3.5</v>
      </c>
      <c r="Q6" s="61">
        <f>VLOOKUP($B6,Datos_SPIKA!$N$3:$P$83,3,FALSE)</f>
        <v>3.5</v>
      </c>
      <c r="R6" s="61">
        <f>VLOOKUP($B6,Datos_SPIKA!$N$3:$P$83,3,FALSE)</f>
        <v>3.5</v>
      </c>
      <c r="S6" s="61">
        <f>VLOOKUP($B6,Datos_SPIKA!$N$3:$P$83,3,FALSE)</f>
        <v>3.5</v>
      </c>
      <c r="T6" s="61">
        <f>VLOOKUP($B6,Datos_SPIKA!$N$3:$P$83,3,FALSE)</f>
        <v>3.5</v>
      </c>
      <c r="U6" s="61">
        <f>VLOOKUP($B6,Datos_SPIKA!$N$3:$P$83,3,FALSE)</f>
        <v>3.5</v>
      </c>
      <c r="V6" s="61">
        <f>VLOOKUP($B6,Datos_SPIKA!$N$3:$P$83,3,FALSE)</f>
        <v>3.5</v>
      </c>
      <c r="W6" s="61">
        <f>VLOOKUP($B6,Datos_SPIKA!$N$3:$P$83,3,FALSE)</f>
        <v>3.5</v>
      </c>
      <c r="X6" s="61">
        <f>VLOOKUP($B6,Datos_SPIKA!$N$3:$P$83,3,FALSE)</f>
        <v>3.5</v>
      </c>
      <c r="Y6" s="61">
        <f>VLOOKUP($B6,Datos_SPIKA!$N$3:$P$83,3,FALSE)</f>
        <v>3.5</v>
      </c>
      <c r="Z6" s="61">
        <f>VLOOKUP($B6,Datos_SPIKA!$N$3:$P$83,3,FALSE)</f>
        <v>3.5</v>
      </c>
      <c r="AA6" s="61">
        <f>VLOOKUP($B6,Datos_SPIKA!$N$3:$P$83,3,FALSE)</f>
        <v>3.5</v>
      </c>
      <c r="AB6" s="61">
        <f>VLOOKUP($B6,Datos_SPIKA!$N$3:$P$83,3,FALSE)</f>
        <v>3.5</v>
      </c>
    </row>
    <row r="7" spans="1:29" ht="28.5" customHeight="1">
      <c r="A7" s="93">
        <f t="shared" si="1"/>
        <v>16</v>
      </c>
      <c r="B7" s="20" t="s">
        <v>37</v>
      </c>
      <c r="C7" s="37" t="str">
        <f>VLOOKUP(B7,Datos_SPIKA!N5:P85,2,0)</f>
        <v>Contacto con las autoridades y grupos de interés</v>
      </c>
      <c r="D7" s="61">
        <f>VLOOKUP($B7,Datos_SPIKA!$N$3:$P$83,3,FALSE)</f>
        <v>2</v>
      </c>
      <c r="E7" s="61">
        <f>VLOOKUP($B7,Datos_SPIKA!$N$3:$P$83,3,FALSE)</f>
        <v>2</v>
      </c>
      <c r="F7" s="61">
        <f>VLOOKUP($B7,Datos_SPIKA!$N$3:$P$83,3,FALSE)</f>
        <v>2</v>
      </c>
      <c r="G7" s="61">
        <f>VLOOKUP($B7,Datos_SPIKA!$N$3:$P$83,3,FALSE)</f>
        <v>2</v>
      </c>
      <c r="H7" s="61">
        <f>VLOOKUP($B7,Datos_SPIKA!$N$3:$P$83,3,FALSE)</f>
        <v>2</v>
      </c>
      <c r="I7" s="61"/>
      <c r="J7" s="61">
        <f>VLOOKUP($B7,Datos_SPIKA!$N$3:$P$83,3,FALSE)</f>
        <v>2</v>
      </c>
      <c r="K7" s="61"/>
      <c r="L7" s="61">
        <f>VLOOKUP($B7,Datos_SPIKA!$N$3:$P$83,3,FALSE)</f>
        <v>2</v>
      </c>
      <c r="M7" s="61">
        <f>VLOOKUP($B7,Datos_SPIKA!$N$3:$P$83,3,FALSE)</f>
        <v>2</v>
      </c>
      <c r="N7" s="61">
        <f>VLOOKUP($B7,Datos_SPIKA!$N$3:$P$83,3,FALSE)</f>
        <v>2</v>
      </c>
      <c r="O7" s="61"/>
      <c r="P7" s="61"/>
      <c r="Q7" s="61"/>
      <c r="R7" s="61"/>
      <c r="S7" s="61">
        <f>VLOOKUP($B7,Datos_SPIKA!$N$3:$P$83,3,FALSE)</f>
        <v>2</v>
      </c>
      <c r="T7" s="61"/>
      <c r="U7" s="61">
        <f>VLOOKUP($B7,Datos_SPIKA!$N$3:$P$83,3,FALSE)</f>
        <v>2</v>
      </c>
      <c r="V7" s="61">
        <f>VLOOKUP($B7,Datos_SPIKA!$N$3:$P$83,3,FALSE)</f>
        <v>2</v>
      </c>
      <c r="W7" s="61">
        <f>VLOOKUP($B7,Datos_SPIKA!$N$3:$P$83,3,FALSE)</f>
        <v>2</v>
      </c>
      <c r="X7" s="61"/>
      <c r="Y7" s="61"/>
      <c r="Z7" s="61">
        <f>VLOOKUP($B7,Datos_SPIKA!$N$3:$P$83,3,FALSE)</f>
        <v>2</v>
      </c>
      <c r="AA7" s="61">
        <f>VLOOKUP($B7,Datos_SPIKA!$N$3:$P$83,3,FALSE)</f>
        <v>2</v>
      </c>
      <c r="AB7" s="61">
        <f>VLOOKUP($B7,Datos_SPIKA!$N$3:$P$83,3,FALSE)</f>
        <v>2</v>
      </c>
    </row>
    <row r="8" spans="1:29" ht="28.5" customHeight="1">
      <c r="A8" s="93">
        <f t="shared" si="1"/>
        <v>25</v>
      </c>
      <c r="B8" s="20" t="s">
        <v>46</v>
      </c>
      <c r="C8" s="37" t="str">
        <f>VLOOKUP(B8,Datos_SPIKA!N6:P86,2,0)</f>
        <v>Inteligencia de amenazas</v>
      </c>
      <c r="D8" s="61">
        <f>VLOOKUP($B8,Datos_SPIKA!$N$3:$P$83,3,FALSE)</f>
        <v>2</v>
      </c>
      <c r="E8" s="61">
        <f>VLOOKUP($B8,Datos_SPIKA!$N$3:$P$83,3,FALSE)</f>
        <v>2</v>
      </c>
      <c r="F8" s="61">
        <f>VLOOKUP($B8,Datos_SPIKA!$N$3:$P$83,3,FALSE)</f>
        <v>2</v>
      </c>
      <c r="G8" s="61">
        <f>VLOOKUP($B8,Datos_SPIKA!$N$3:$P$83,3,FALSE)</f>
        <v>2</v>
      </c>
      <c r="H8" s="61">
        <f>VLOOKUP($B8,Datos_SPIKA!$N$3:$P$83,3,FALSE)</f>
        <v>2</v>
      </c>
      <c r="I8" s="61">
        <f>VLOOKUP($B8,Datos_SPIKA!$N$3:$P$83,3,FALSE)</f>
        <v>2</v>
      </c>
      <c r="J8" s="61">
        <f>VLOOKUP($B8,Datos_SPIKA!$N$3:$P$83,3,FALSE)</f>
        <v>2</v>
      </c>
      <c r="K8" s="61">
        <f>VLOOKUP($B8,Datos_SPIKA!$N$3:$P$83,3,FALSE)</f>
        <v>2</v>
      </c>
      <c r="L8" s="61">
        <f>VLOOKUP($B8,Datos_SPIKA!$N$3:$P$83,3,FALSE)</f>
        <v>2</v>
      </c>
      <c r="M8" s="61">
        <f>VLOOKUP($B8,Datos_SPIKA!$N$3:$P$83,3,FALSE)</f>
        <v>2</v>
      </c>
      <c r="N8" s="61">
        <f>VLOOKUP($B8,Datos_SPIKA!$N$3:$P$83,3,FALSE)</f>
        <v>2</v>
      </c>
      <c r="O8" s="61">
        <f>VLOOKUP($B8,Datos_SPIKA!$N$3:$P$83,3,FALSE)</f>
        <v>2</v>
      </c>
      <c r="P8" s="61">
        <f>VLOOKUP($B8,Datos_SPIKA!$N$3:$P$83,3,FALSE)</f>
        <v>2</v>
      </c>
      <c r="Q8" s="61">
        <f>VLOOKUP($B8,Datos_SPIKA!$N$3:$P$83,3,FALSE)</f>
        <v>2</v>
      </c>
      <c r="R8" s="61">
        <f>VLOOKUP($B8,Datos_SPIKA!$N$3:$P$83,3,FALSE)</f>
        <v>2</v>
      </c>
      <c r="S8" s="61">
        <f>VLOOKUP($B8,Datos_SPIKA!$N$3:$P$83,3,FALSE)</f>
        <v>2</v>
      </c>
      <c r="T8" s="61">
        <f>VLOOKUP($B8,Datos_SPIKA!$N$3:$P$83,3,FALSE)</f>
        <v>2</v>
      </c>
      <c r="U8" s="61">
        <f>VLOOKUP($B8,Datos_SPIKA!$N$3:$P$83,3,FALSE)</f>
        <v>2</v>
      </c>
      <c r="V8" s="61">
        <f>VLOOKUP($B8,Datos_SPIKA!$N$3:$P$83,3,FALSE)</f>
        <v>2</v>
      </c>
      <c r="W8" s="61">
        <f>VLOOKUP($B8,Datos_SPIKA!$N$3:$P$83,3,FALSE)</f>
        <v>2</v>
      </c>
      <c r="X8" s="61">
        <f>VLOOKUP($B8,Datos_SPIKA!$N$3:$P$83,3,FALSE)</f>
        <v>2</v>
      </c>
      <c r="Y8" s="61">
        <f>VLOOKUP($B8,Datos_SPIKA!$N$3:$P$83,3,FALSE)</f>
        <v>2</v>
      </c>
      <c r="Z8" s="61">
        <f>VLOOKUP($B8,Datos_SPIKA!$N$3:$P$83,3,FALSE)</f>
        <v>2</v>
      </c>
      <c r="AA8" s="61">
        <f>VLOOKUP($B8,Datos_SPIKA!$N$3:$P$83,3,FALSE)</f>
        <v>2</v>
      </c>
      <c r="AB8" s="61">
        <f>VLOOKUP($B8,Datos_SPIKA!$N$3:$P$83,3,FALSE)</f>
        <v>2</v>
      </c>
    </row>
    <row r="9" spans="1:29" ht="28.5" customHeight="1">
      <c r="A9" s="93">
        <f t="shared" si="1"/>
        <v>16</v>
      </c>
      <c r="B9" s="20" t="s">
        <v>55</v>
      </c>
      <c r="C9" s="37" t="str">
        <f>VLOOKUP(B9,Datos_SPIKA!N7:P87,2,0)</f>
        <v>Seguridad de la información en la gestión de proyectos</v>
      </c>
      <c r="D9" s="61"/>
      <c r="E9" s="61">
        <f>VLOOKUP($B9,Datos_SPIKA!$N$3:$P$83,3,FALSE)</f>
        <v>3</v>
      </c>
      <c r="F9" s="61">
        <f>VLOOKUP($B9,Datos_SPIKA!$N$3:$P$83,3,FALSE)</f>
        <v>3</v>
      </c>
      <c r="G9" s="61">
        <f>VLOOKUP($B9,Datos_SPIKA!$N$3:$P$83,3,FALSE)</f>
        <v>3</v>
      </c>
      <c r="H9" s="61">
        <f>VLOOKUP($B9,Datos_SPIKA!$N$3:$P$83,3,FALSE)</f>
        <v>3</v>
      </c>
      <c r="I9" s="61">
        <f>VLOOKUP($B9,Datos_SPIKA!$N$3:$P$83,3,FALSE)</f>
        <v>3</v>
      </c>
      <c r="J9" s="61"/>
      <c r="K9" s="61"/>
      <c r="L9" s="61">
        <f>VLOOKUP($B9,Datos_SPIKA!$N$3:$P$83,3,FALSE)</f>
        <v>3</v>
      </c>
      <c r="M9" s="61">
        <f>VLOOKUP($B9,Datos_SPIKA!$N$3:$P$83,3,FALSE)</f>
        <v>3</v>
      </c>
      <c r="N9" s="61"/>
      <c r="O9" s="61">
        <f>VLOOKUP($B9,Datos_SPIKA!$N$3:$P$83,3,FALSE)</f>
        <v>3</v>
      </c>
      <c r="P9" s="61">
        <f>VLOOKUP($B9,Datos_SPIKA!$N$3:$P$83,3,FALSE)</f>
        <v>3</v>
      </c>
      <c r="Q9" s="61">
        <f>VLOOKUP($B9,Datos_SPIKA!$N$3:$P$83,3,FALSE)</f>
        <v>3</v>
      </c>
      <c r="R9" s="61">
        <f>VLOOKUP($B9,Datos_SPIKA!$N$3:$P$83,3,FALSE)</f>
        <v>3</v>
      </c>
      <c r="S9" s="61">
        <f>VLOOKUP($B9,Datos_SPIKA!$N$3:$P$83,3,FALSE)</f>
        <v>3</v>
      </c>
      <c r="T9" s="61">
        <f>VLOOKUP($B9,Datos_SPIKA!$N$3:$P$83,3,FALSE)</f>
        <v>3</v>
      </c>
      <c r="U9" s="61"/>
      <c r="V9" s="61"/>
      <c r="W9" s="61"/>
      <c r="X9" s="61">
        <f>VLOOKUP($B9,Datos_SPIKA!$N$3:$P$83,3,FALSE)</f>
        <v>3</v>
      </c>
      <c r="Y9" s="61">
        <f>VLOOKUP($B9,Datos_SPIKA!$N$3:$P$83,3,FALSE)</f>
        <v>3</v>
      </c>
      <c r="Z9" s="61">
        <f>VLOOKUP($B9,Datos_SPIKA!$N$3:$P$83,3,FALSE)</f>
        <v>3</v>
      </c>
      <c r="AA9" s="61"/>
      <c r="AB9" s="61"/>
    </row>
    <row r="10" spans="1:29" ht="28.5" customHeight="1">
      <c r="A10" s="93">
        <f t="shared" si="1"/>
        <v>12</v>
      </c>
      <c r="B10" s="20" t="s">
        <v>62</v>
      </c>
      <c r="C10" s="37" t="str">
        <f>VLOOKUP(B10,Datos_SPIKA!N8:P88,2,0)</f>
        <v xml:space="preserve">Inventario de información y otros activos </v>
      </c>
      <c r="D10" s="61">
        <f>VLOOKUP($B10,Datos_SPIKA!$N$3:$P$83,3,FALSE)</f>
        <v>4</v>
      </c>
      <c r="E10" s="61"/>
      <c r="F10" s="61">
        <f>VLOOKUP($B10,Datos_SPIKA!$N$3:$P$83,3,FALSE)</f>
        <v>4</v>
      </c>
      <c r="G10" s="61">
        <f>VLOOKUP($B10,Datos_SPIKA!$N$3:$P$83,3,FALSE)</f>
        <v>4</v>
      </c>
      <c r="H10" s="61">
        <f>VLOOKUP($B10,Datos_SPIKA!$N$3:$P$83,3,FALSE)</f>
        <v>4</v>
      </c>
      <c r="I10" s="61"/>
      <c r="J10" s="61"/>
      <c r="K10" s="61"/>
      <c r="L10" s="61"/>
      <c r="M10" s="61"/>
      <c r="N10" s="61">
        <f>VLOOKUP($B10,Datos_SPIKA!$N$3:$P$83,3,FALSE)</f>
        <v>4</v>
      </c>
      <c r="O10" s="61">
        <f>VLOOKUP($B10,Datos_SPIKA!$N$3:$P$83,3,FALSE)</f>
        <v>4</v>
      </c>
      <c r="P10" s="61">
        <f>VLOOKUP($B10,Datos_SPIKA!$N$3:$P$83,3,FALSE)</f>
        <v>4</v>
      </c>
      <c r="Q10" s="61">
        <f>VLOOKUP($B10,Datos_SPIKA!$N$3:$P$83,3,FALSE)</f>
        <v>4</v>
      </c>
      <c r="R10" s="61"/>
      <c r="S10" s="61"/>
      <c r="T10" s="61">
        <f>VLOOKUP($B10,Datos_SPIKA!$N$3:$P$83,3,FALSE)</f>
        <v>4</v>
      </c>
      <c r="U10" s="61">
        <f>VLOOKUP($B10,Datos_SPIKA!$N$3:$P$83,3,FALSE)</f>
        <v>4</v>
      </c>
      <c r="V10" s="61">
        <f>VLOOKUP($B10,Datos_SPIKA!$N$3:$P$83,3,FALSE)</f>
        <v>4</v>
      </c>
      <c r="W10" s="61">
        <f>VLOOKUP($B10,Datos_SPIKA!$N$3:$P$83,3,FALSE)</f>
        <v>4</v>
      </c>
      <c r="X10" s="61"/>
      <c r="Y10" s="61"/>
      <c r="Z10" s="61"/>
      <c r="AA10" s="61"/>
      <c r="AB10" s="61"/>
    </row>
    <row r="11" spans="1:29" ht="28.5" customHeight="1">
      <c r="A11" s="93">
        <f t="shared" si="1"/>
        <v>17</v>
      </c>
      <c r="B11" s="20" t="s">
        <v>70</v>
      </c>
      <c r="C11" s="37" t="str">
        <f>VLOOKUP(B11,Datos_SPIKA!N9:P89,2,0)</f>
        <v>Uso aceptable de la información y otros activos</v>
      </c>
      <c r="D11" s="61"/>
      <c r="E11" s="61">
        <f>VLOOKUP($B11,Datos_SPIKA!$N$3:$P$83,3,FALSE)</f>
        <v>3.5</v>
      </c>
      <c r="F11" s="61"/>
      <c r="G11" s="61">
        <f>VLOOKUP($B11,Datos_SPIKA!$N$3:$P$83,3,FALSE)</f>
        <v>3.5</v>
      </c>
      <c r="H11" s="61"/>
      <c r="I11" s="61">
        <f>VLOOKUP($B11,Datos_SPIKA!$N$3:$P$83,3,FALSE)</f>
        <v>3.5</v>
      </c>
      <c r="J11" s="61">
        <f>VLOOKUP($B11,Datos_SPIKA!$N$3:$P$83,3,FALSE)</f>
        <v>3.5</v>
      </c>
      <c r="K11" s="61">
        <f>VLOOKUP($B11,Datos_SPIKA!$N$3:$P$83,3,FALSE)</f>
        <v>3.5</v>
      </c>
      <c r="L11" s="61"/>
      <c r="M11" s="61"/>
      <c r="N11" s="61"/>
      <c r="O11" s="61">
        <f>VLOOKUP($B11,Datos_SPIKA!$N$3:$P$83,3,FALSE)</f>
        <v>3.5</v>
      </c>
      <c r="P11" s="61">
        <f>VLOOKUP($B11,Datos_SPIKA!$N$3:$P$83,3,FALSE)</f>
        <v>3.5</v>
      </c>
      <c r="Q11" s="61">
        <f>VLOOKUP($B11,Datos_SPIKA!$N$3:$P$83,3,FALSE)</f>
        <v>3.5</v>
      </c>
      <c r="R11" s="61">
        <f>VLOOKUP($B11,Datos_SPIKA!$N$3:$P$83,3,FALSE)</f>
        <v>3.5</v>
      </c>
      <c r="S11" s="61">
        <f>VLOOKUP($B11,Datos_SPIKA!$N$3:$P$83,3,FALSE)</f>
        <v>3.5</v>
      </c>
      <c r="T11" s="61">
        <f>VLOOKUP($B11,Datos_SPIKA!$N$3:$P$83,3,FALSE)</f>
        <v>3.5</v>
      </c>
      <c r="U11" s="61">
        <f>VLOOKUP($B11,Datos_SPIKA!$N$3:$P$83,3,FALSE)</f>
        <v>3.5</v>
      </c>
      <c r="V11" s="61">
        <f>VLOOKUP($B11,Datos_SPIKA!$N$3:$P$83,3,FALSE)</f>
        <v>3.5</v>
      </c>
      <c r="W11" s="61"/>
      <c r="X11" s="61">
        <f>VLOOKUP($B11,Datos_SPIKA!$N$3:$P$83,3,FALSE)</f>
        <v>3.5</v>
      </c>
      <c r="Y11" s="61">
        <f>VLOOKUP($B11,Datos_SPIKA!$N$3:$P$83,3,FALSE)</f>
        <v>3.5</v>
      </c>
      <c r="Z11" s="61"/>
      <c r="AA11" s="61">
        <f>VLOOKUP($B11,Datos_SPIKA!$N$3:$P$83,3,FALSE)</f>
        <v>3.5</v>
      </c>
      <c r="AB11" s="61">
        <f>VLOOKUP($B11,Datos_SPIKA!$N$3:$P$83,3,FALSE)</f>
        <v>3.5</v>
      </c>
    </row>
    <row r="12" spans="1:29" ht="28.5" customHeight="1">
      <c r="A12" s="93">
        <f t="shared" si="1"/>
        <v>9</v>
      </c>
      <c r="B12" s="20" t="s">
        <v>78</v>
      </c>
      <c r="C12" s="37" t="str">
        <f>VLOOKUP(B12,Datos_SPIKA!N10:P90,2,0)</f>
        <v>Devolución de activos</v>
      </c>
      <c r="D12" s="61"/>
      <c r="E12" s="61">
        <f>VLOOKUP($B12,Datos_SPIKA!$N$3:$P$83,3,FALSE)</f>
        <v>3</v>
      </c>
      <c r="F12" s="61">
        <f>VLOOKUP($B12,Datos_SPIKA!$N$3:$P$83,3,FALSE)</f>
        <v>3</v>
      </c>
      <c r="G12" s="61">
        <f>VLOOKUP($B12,Datos_SPIKA!$N$3:$P$83,3,FALSE)</f>
        <v>3</v>
      </c>
      <c r="H12" s="61">
        <f>VLOOKUP($B12,Datos_SPIKA!$N$3:$P$83,3,FALSE)</f>
        <v>3</v>
      </c>
      <c r="I12" s="61"/>
      <c r="J12" s="61"/>
      <c r="K12" s="61"/>
      <c r="L12" s="61"/>
      <c r="M12" s="61"/>
      <c r="N12" s="61"/>
      <c r="O12" s="61"/>
      <c r="P12" s="61"/>
      <c r="Q12" s="61"/>
      <c r="R12" s="61"/>
      <c r="S12" s="61">
        <f>VLOOKUP($B12,Datos_SPIKA!$N$3:$P$83,3,FALSE)</f>
        <v>3</v>
      </c>
      <c r="T12" s="61"/>
      <c r="U12" s="61"/>
      <c r="V12" s="61">
        <f>VLOOKUP($B12,Datos_SPIKA!$N$3:$P$83,3,FALSE)</f>
        <v>3</v>
      </c>
      <c r="W12" s="61"/>
      <c r="X12" s="61">
        <f>VLOOKUP($B12,Datos_SPIKA!$N$3:$P$83,3,FALSE)</f>
        <v>3</v>
      </c>
      <c r="Y12" s="61">
        <f>VLOOKUP($B12,Datos_SPIKA!$N$3:$P$83,3,FALSE)</f>
        <v>3</v>
      </c>
      <c r="Z12" s="61"/>
      <c r="AA12" s="61">
        <f>VLOOKUP($B12,Datos_SPIKA!$N$3:$P$83,3,FALSE)</f>
        <v>3</v>
      </c>
      <c r="AB12" s="61"/>
    </row>
    <row r="13" spans="1:29" ht="28.5" customHeight="1">
      <c r="A13" s="93">
        <f t="shared" si="1"/>
        <v>13</v>
      </c>
      <c r="B13" s="20" t="s">
        <v>84</v>
      </c>
      <c r="C13" s="37" t="str">
        <f>VLOOKUP(B13,Datos_SPIKA!N11:P91,2,0)</f>
        <v>Clasificación y etiquetado de la información</v>
      </c>
      <c r="D13" s="61">
        <f>VLOOKUP($B13,Datos_SPIKA!$N$3:$P$83,3,FALSE)</f>
        <v>3</v>
      </c>
      <c r="E13" s="61">
        <f>VLOOKUP($B13,Datos_SPIKA!$N$3:$P$83,3,FALSE)</f>
        <v>3</v>
      </c>
      <c r="F13" s="61">
        <f>VLOOKUP($B13,Datos_SPIKA!$N$3:$P$83,3,FALSE)</f>
        <v>3</v>
      </c>
      <c r="G13" s="61">
        <f>VLOOKUP($B13,Datos_SPIKA!$N$3:$P$83,3,FALSE)</f>
        <v>3</v>
      </c>
      <c r="H13" s="61">
        <f>VLOOKUP($B13,Datos_SPIKA!$N$3:$P$83,3,FALSE)</f>
        <v>3</v>
      </c>
      <c r="I13" s="61"/>
      <c r="J13" s="61"/>
      <c r="K13" s="61"/>
      <c r="L13" s="61"/>
      <c r="M13" s="61"/>
      <c r="N13" s="61">
        <f>VLOOKUP($B13,Datos_SPIKA!$N$3:$P$83,3,FALSE)</f>
        <v>3</v>
      </c>
      <c r="O13" s="61">
        <f>VLOOKUP($B13,Datos_SPIKA!$N$3:$P$83,3,FALSE)</f>
        <v>3</v>
      </c>
      <c r="P13" s="61">
        <f>VLOOKUP($B13,Datos_SPIKA!$N$3:$P$83,3,FALSE)</f>
        <v>3</v>
      </c>
      <c r="Q13" s="61"/>
      <c r="R13" s="61"/>
      <c r="S13" s="61"/>
      <c r="T13" s="61">
        <f>VLOOKUP($B13,Datos_SPIKA!$N$3:$P$83,3,FALSE)</f>
        <v>3</v>
      </c>
      <c r="U13" s="61"/>
      <c r="V13" s="61"/>
      <c r="W13" s="61"/>
      <c r="X13" s="61">
        <f>VLOOKUP($B13,Datos_SPIKA!$N$3:$P$83,3,FALSE)</f>
        <v>3</v>
      </c>
      <c r="Y13" s="61">
        <f>VLOOKUP($B13,Datos_SPIKA!$N$3:$P$83,3,FALSE)</f>
        <v>3</v>
      </c>
      <c r="Z13" s="61"/>
      <c r="AA13" s="61">
        <f>VLOOKUP($B13,Datos_SPIKA!$N$3:$P$83,3,FALSE)</f>
        <v>3</v>
      </c>
      <c r="AB13" s="61">
        <f>VLOOKUP($B13,Datos_SPIKA!$N$3:$P$83,3,FALSE)</f>
        <v>3</v>
      </c>
    </row>
    <row r="14" spans="1:29" ht="28.5" customHeight="1">
      <c r="A14" s="93">
        <f t="shared" si="1"/>
        <v>10</v>
      </c>
      <c r="B14" s="20" t="s">
        <v>90</v>
      </c>
      <c r="C14" s="37" t="str">
        <f>VLOOKUP(B14,Datos_SPIKA!N12:P92,2,0)</f>
        <v>Transferencia de información</v>
      </c>
      <c r="D14" s="61"/>
      <c r="E14" s="61">
        <f>VLOOKUP($B14,Datos_SPIKA!$N$3:$P$83,3,FALSE)</f>
        <v>3.5</v>
      </c>
      <c r="F14" s="61">
        <f>VLOOKUP($B14,Datos_SPIKA!$N$3:$P$83,3,FALSE)</f>
        <v>3.5</v>
      </c>
      <c r="G14" s="61">
        <f>VLOOKUP($B14,Datos_SPIKA!$N$3:$P$83,3,FALSE)</f>
        <v>3.5</v>
      </c>
      <c r="H14" s="61"/>
      <c r="I14" s="61">
        <f>VLOOKUP($B14,Datos_SPIKA!$N$3:$P$83,3,FALSE)</f>
        <v>3.5</v>
      </c>
      <c r="J14" s="61"/>
      <c r="K14" s="61"/>
      <c r="L14" s="61"/>
      <c r="M14" s="61"/>
      <c r="N14" s="61"/>
      <c r="O14" s="61">
        <f>VLOOKUP($B14,Datos_SPIKA!$N$3:$P$83,3,FALSE)</f>
        <v>3.5</v>
      </c>
      <c r="P14" s="61">
        <f>VLOOKUP($B14,Datos_SPIKA!$N$3:$P$83,3,FALSE)</f>
        <v>3.5</v>
      </c>
      <c r="Q14" s="61">
        <f>VLOOKUP($B14,Datos_SPIKA!$N$3:$P$83,3,FALSE)</f>
        <v>3.5</v>
      </c>
      <c r="R14" s="61"/>
      <c r="S14" s="61"/>
      <c r="T14" s="61"/>
      <c r="U14" s="61">
        <f>VLOOKUP($B14,Datos_SPIKA!$N$3:$P$83,3,FALSE)</f>
        <v>3.5</v>
      </c>
      <c r="V14" s="61"/>
      <c r="W14" s="61"/>
      <c r="X14" s="61"/>
      <c r="Y14" s="61"/>
      <c r="Z14" s="61"/>
      <c r="AA14" s="61">
        <f>VLOOKUP($B14,Datos_SPIKA!$N$3:$P$83,3,FALSE)</f>
        <v>3.5</v>
      </c>
      <c r="AB14" s="61">
        <f>VLOOKUP($B14,Datos_SPIKA!$N$3:$P$83,3,FALSE)</f>
        <v>3.5</v>
      </c>
    </row>
    <row r="15" spans="1:29" ht="28.5" customHeight="1">
      <c r="A15" s="93">
        <f t="shared" si="1"/>
        <v>11</v>
      </c>
      <c r="B15" s="20" t="s">
        <v>96</v>
      </c>
      <c r="C15" s="37" t="str">
        <f>VLOOKUP(B15,Datos_SPIKA!N13:P93,2,0)</f>
        <v>Gestión de identidades y control de acceso</v>
      </c>
      <c r="D15" s="61"/>
      <c r="E15" s="61"/>
      <c r="F15" s="61">
        <f>VLOOKUP($B15,Datos_SPIKA!$N$3:$P$83,3,FALSE)</f>
        <v>3</v>
      </c>
      <c r="G15" s="61">
        <f>VLOOKUP($B15,Datos_SPIKA!$N$3:$P$83,3,FALSE)</f>
        <v>3</v>
      </c>
      <c r="H15" s="61">
        <f>VLOOKUP($B15,Datos_SPIKA!$N$3:$P$83,3,FALSE)</f>
        <v>3</v>
      </c>
      <c r="I15" s="61"/>
      <c r="J15" s="61"/>
      <c r="K15" s="61"/>
      <c r="L15" s="61"/>
      <c r="M15" s="61"/>
      <c r="N15" s="61"/>
      <c r="O15" s="61">
        <f>VLOOKUP($B15,Datos_SPIKA!$N$3:$P$83,3,FALSE)</f>
        <v>3</v>
      </c>
      <c r="P15" s="61">
        <f>VLOOKUP($B15,Datos_SPIKA!$N$3:$P$83,3,FALSE)</f>
        <v>3</v>
      </c>
      <c r="Q15" s="61"/>
      <c r="R15" s="61"/>
      <c r="S15" s="61">
        <f>VLOOKUP($B15,Datos_SPIKA!$N$3:$P$83,3,FALSE)</f>
        <v>3</v>
      </c>
      <c r="T15" s="61"/>
      <c r="U15" s="61"/>
      <c r="V15" s="61">
        <f>VLOOKUP($B15,Datos_SPIKA!$N$3:$P$83,3,FALSE)</f>
        <v>3</v>
      </c>
      <c r="W15" s="61"/>
      <c r="X15" s="61">
        <f>VLOOKUP($B15,Datos_SPIKA!$N$3:$P$83,3,FALSE)</f>
        <v>3</v>
      </c>
      <c r="Y15" s="61">
        <f>VLOOKUP($B15,Datos_SPIKA!$N$3:$P$83,3,FALSE)</f>
        <v>3</v>
      </c>
      <c r="Z15" s="61"/>
      <c r="AA15" s="61">
        <f>VLOOKUP($B15,Datos_SPIKA!$N$3:$P$83,3,FALSE)</f>
        <v>3</v>
      </c>
      <c r="AB15" s="61">
        <f>VLOOKUP($B15,Datos_SPIKA!$N$3:$P$83,3,FALSE)</f>
        <v>3</v>
      </c>
    </row>
    <row r="16" spans="1:29" ht="28.5" customHeight="1">
      <c r="A16" s="93">
        <f t="shared" si="1"/>
        <v>8</v>
      </c>
      <c r="B16" s="20" t="s">
        <v>102</v>
      </c>
      <c r="C16" s="37" t="str">
        <f>VLOOKUP(B16,Datos_SPIKA!N14:P94,2,0)</f>
        <v>Información de autenticación</v>
      </c>
      <c r="D16" s="61"/>
      <c r="E16" s="61">
        <f>VLOOKUP($B16,Datos_SPIKA!$N$3:$P$83,3,FALSE)</f>
        <v>3</v>
      </c>
      <c r="F16" s="61"/>
      <c r="G16" s="61"/>
      <c r="H16" s="61"/>
      <c r="I16" s="61">
        <f>VLOOKUP($B16,Datos_SPIKA!$N$3:$P$83,3,FALSE)</f>
        <v>3</v>
      </c>
      <c r="J16" s="61"/>
      <c r="K16" s="61"/>
      <c r="L16" s="61"/>
      <c r="M16" s="61"/>
      <c r="N16" s="61">
        <f>VLOOKUP($B16,Datos_SPIKA!$N$3:$P$83,3,FALSE)</f>
        <v>3</v>
      </c>
      <c r="O16" s="61"/>
      <c r="P16" s="61"/>
      <c r="Q16" s="61">
        <f>VLOOKUP($B16,Datos_SPIKA!$N$3:$P$83,3,FALSE)</f>
        <v>3</v>
      </c>
      <c r="R16" s="61"/>
      <c r="S16" s="61">
        <f>VLOOKUP($B16,Datos_SPIKA!$N$3:$P$83,3,FALSE)</f>
        <v>3</v>
      </c>
      <c r="T16" s="61"/>
      <c r="U16" s="61"/>
      <c r="V16" s="61"/>
      <c r="W16" s="61"/>
      <c r="X16" s="61"/>
      <c r="Y16" s="61">
        <f>VLOOKUP($B16,Datos_SPIKA!$N$3:$P$83,3,FALSE)</f>
        <v>3</v>
      </c>
      <c r="Z16" s="61"/>
      <c r="AA16" s="61">
        <f>VLOOKUP($B16,Datos_SPIKA!$N$3:$P$83,3,FALSE)</f>
        <v>3</v>
      </c>
      <c r="AB16" s="61">
        <f>VLOOKUP($B16,Datos_SPIKA!$N$3:$P$83,3,FALSE)</f>
        <v>3</v>
      </c>
    </row>
    <row r="17" spans="1:28" ht="28.5" customHeight="1">
      <c r="A17" s="93">
        <f t="shared" si="1"/>
        <v>16</v>
      </c>
      <c r="B17" s="20" t="s">
        <v>108</v>
      </c>
      <c r="C17" s="37" t="str">
        <f>VLOOKUP(B17,Datos_SPIKA!N15:P95,2,0)</f>
        <v>Derechos de acceso</v>
      </c>
      <c r="D17" s="61"/>
      <c r="E17" s="61">
        <f>VLOOKUP($B17,Datos_SPIKA!$N$3:$P$83,3,FALSE)</f>
        <v>3</v>
      </c>
      <c r="F17" s="61">
        <f>VLOOKUP($B17,Datos_SPIKA!$N$3:$P$83,3,FALSE)</f>
        <v>3</v>
      </c>
      <c r="G17" s="61">
        <f>VLOOKUP($B17,Datos_SPIKA!$N$3:$P$83,3,FALSE)</f>
        <v>3</v>
      </c>
      <c r="H17" s="61">
        <f>VLOOKUP($B17,Datos_SPIKA!$N$3:$P$83,3,FALSE)</f>
        <v>3</v>
      </c>
      <c r="I17" s="61">
        <f>VLOOKUP($B17,Datos_SPIKA!$N$3:$P$83,3,FALSE)</f>
        <v>3</v>
      </c>
      <c r="J17" s="61"/>
      <c r="K17" s="61"/>
      <c r="L17" s="61"/>
      <c r="M17" s="61">
        <f>VLOOKUP($B17,Datos_SPIKA!$N$3:$P$83,3,FALSE)</f>
        <v>3</v>
      </c>
      <c r="N17" s="61"/>
      <c r="O17" s="61">
        <f>VLOOKUP($B17,Datos_SPIKA!$N$3:$P$83,3,FALSE)</f>
        <v>3</v>
      </c>
      <c r="P17" s="61">
        <f>VLOOKUP($B17,Datos_SPIKA!$N$3:$P$83,3,FALSE)</f>
        <v>3</v>
      </c>
      <c r="Q17" s="61">
        <f>VLOOKUP($B17,Datos_SPIKA!$N$3:$P$83,3,FALSE)</f>
        <v>3</v>
      </c>
      <c r="R17" s="61"/>
      <c r="S17" s="61">
        <f>VLOOKUP($B17,Datos_SPIKA!$N$3:$P$83,3,FALSE)</f>
        <v>3</v>
      </c>
      <c r="T17" s="61"/>
      <c r="U17" s="61"/>
      <c r="V17" s="61">
        <f>VLOOKUP($B17,Datos_SPIKA!$N$3:$P$83,3,FALSE)</f>
        <v>3</v>
      </c>
      <c r="W17" s="61"/>
      <c r="X17" s="61">
        <f>VLOOKUP($B17,Datos_SPIKA!$N$3:$P$83,3,FALSE)</f>
        <v>3</v>
      </c>
      <c r="Y17" s="61">
        <f>VLOOKUP($B17,Datos_SPIKA!$N$3:$P$83,3,FALSE)</f>
        <v>3</v>
      </c>
      <c r="Z17" s="61">
        <f>VLOOKUP($B17,Datos_SPIKA!$N$3:$P$83,3,FALSE)</f>
        <v>3</v>
      </c>
      <c r="AA17" s="61">
        <f>VLOOKUP($B17,Datos_SPIKA!$N$3:$P$83,3,FALSE)</f>
        <v>3</v>
      </c>
      <c r="AB17" s="61">
        <f>VLOOKUP($B17,Datos_SPIKA!$N$3:$P$83,3,FALSE)</f>
        <v>3</v>
      </c>
    </row>
    <row r="18" spans="1:28" ht="28.5" customHeight="1">
      <c r="A18" s="93">
        <f t="shared" si="1"/>
        <v>25</v>
      </c>
      <c r="B18" s="20" t="s">
        <v>114</v>
      </c>
      <c r="C18" s="37" t="str">
        <f>VLOOKUP(B18,Datos_SPIKA!N16:P96,2,0)</f>
        <v>Gestión de la seguridad de la información en relaciones con terceros</v>
      </c>
      <c r="D18" s="61">
        <f>VLOOKUP($B18,Datos_SPIKA!$N$3:$P$83,3,FALSE)</f>
        <v>3</v>
      </c>
      <c r="E18" s="61">
        <f>VLOOKUP($B18,Datos_SPIKA!$N$3:$P$83,3,FALSE)</f>
        <v>3</v>
      </c>
      <c r="F18" s="61">
        <f>VLOOKUP($B18,Datos_SPIKA!$N$3:$P$83,3,FALSE)</f>
        <v>3</v>
      </c>
      <c r="G18" s="61">
        <f>VLOOKUP($B18,Datos_SPIKA!$N$3:$P$83,3,FALSE)</f>
        <v>3</v>
      </c>
      <c r="H18" s="61">
        <f>VLOOKUP($B18,Datos_SPIKA!$N$3:$P$83,3,FALSE)</f>
        <v>3</v>
      </c>
      <c r="I18" s="61">
        <f>VLOOKUP($B18,Datos_SPIKA!$N$3:$P$83,3,FALSE)</f>
        <v>3</v>
      </c>
      <c r="J18" s="61">
        <f>VLOOKUP($B18,Datos_SPIKA!$N$3:$P$83,3,FALSE)</f>
        <v>3</v>
      </c>
      <c r="K18" s="61">
        <f>VLOOKUP($B18,Datos_SPIKA!$N$3:$P$83,3,FALSE)</f>
        <v>3</v>
      </c>
      <c r="L18" s="61">
        <f>VLOOKUP($B18,Datos_SPIKA!$N$3:$P$83,3,FALSE)</f>
        <v>3</v>
      </c>
      <c r="M18" s="61">
        <f>VLOOKUP($B18,Datos_SPIKA!$N$3:$P$83,3,FALSE)</f>
        <v>3</v>
      </c>
      <c r="N18" s="61">
        <f>VLOOKUP($B18,Datos_SPIKA!$N$3:$P$83,3,FALSE)</f>
        <v>3</v>
      </c>
      <c r="O18" s="61">
        <f>VLOOKUP($B18,Datos_SPIKA!$N$3:$P$83,3,FALSE)</f>
        <v>3</v>
      </c>
      <c r="P18" s="61">
        <f>VLOOKUP($B18,Datos_SPIKA!$N$3:$P$83,3,FALSE)</f>
        <v>3</v>
      </c>
      <c r="Q18" s="61">
        <f>VLOOKUP($B18,Datos_SPIKA!$N$3:$P$83,3,FALSE)</f>
        <v>3</v>
      </c>
      <c r="R18" s="61">
        <f>VLOOKUP($B18,Datos_SPIKA!$N$3:$P$83,3,FALSE)</f>
        <v>3</v>
      </c>
      <c r="S18" s="61">
        <f>VLOOKUP($B18,Datos_SPIKA!$N$3:$P$83,3,FALSE)</f>
        <v>3</v>
      </c>
      <c r="T18" s="61">
        <f>VLOOKUP($B18,Datos_SPIKA!$N$3:$P$83,3,FALSE)</f>
        <v>3</v>
      </c>
      <c r="U18" s="61">
        <f>VLOOKUP($B18,Datos_SPIKA!$N$3:$P$83,3,FALSE)</f>
        <v>3</v>
      </c>
      <c r="V18" s="61">
        <f>VLOOKUP($B18,Datos_SPIKA!$N$3:$P$83,3,FALSE)</f>
        <v>3</v>
      </c>
      <c r="W18" s="61">
        <f>VLOOKUP($B18,Datos_SPIKA!$N$3:$P$83,3,FALSE)</f>
        <v>3</v>
      </c>
      <c r="X18" s="61">
        <f>VLOOKUP($B18,Datos_SPIKA!$N$3:$P$83,3,FALSE)</f>
        <v>3</v>
      </c>
      <c r="Y18" s="61">
        <f>VLOOKUP($B18,Datos_SPIKA!$N$3:$P$83,3,FALSE)</f>
        <v>3</v>
      </c>
      <c r="Z18" s="61">
        <f>VLOOKUP($B18,Datos_SPIKA!$N$3:$P$83,3,FALSE)</f>
        <v>3</v>
      </c>
      <c r="AA18" s="61">
        <f>VLOOKUP($B18,Datos_SPIKA!$N$3:$P$83,3,FALSE)</f>
        <v>3</v>
      </c>
      <c r="AB18" s="61">
        <f>VLOOKUP($B18,Datos_SPIKA!$N$3:$P$83,3,FALSE)</f>
        <v>3</v>
      </c>
    </row>
    <row r="19" spans="1:28" ht="28.5" customHeight="1">
      <c r="A19" s="93">
        <f t="shared" si="1"/>
        <v>25</v>
      </c>
      <c r="B19" s="20" t="s">
        <v>120</v>
      </c>
      <c r="C19" s="37" t="str">
        <f>VLOOKUP(B19,Datos_SPIKA!N17:P97,2,0)</f>
        <v>Monitorización, revisión y gestión del cambio de servicios de terceros</v>
      </c>
      <c r="D19" s="61">
        <f>VLOOKUP($B19,Datos_SPIKA!$N$3:$P$83,3,FALSE)</f>
        <v>3</v>
      </c>
      <c r="E19" s="61">
        <f>VLOOKUP($B19,Datos_SPIKA!$N$3:$P$83,3,FALSE)</f>
        <v>3</v>
      </c>
      <c r="F19" s="61">
        <f>VLOOKUP($B19,Datos_SPIKA!$N$3:$P$83,3,FALSE)</f>
        <v>3</v>
      </c>
      <c r="G19" s="61">
        <f>VLOOKUP($B19,Datos_SPIKA!$N$3:$P$83,3,FALSE)</f>
        <v>3</v>
      </c>
      <c r="H19" s="61">
        <f>VLOOKUP($B19,Datos_SPIKA!$N$3:$P$83,3,FALSE)</f>
        <v>3</v>
      </c>
      <c r="I19" s="61">
        <f>VLOOKUP($B19,Datos_SPIKA!$N$3:$P$83,3,FALSE)</f>
        <v>3</v>
      </c>
      <c r="J19" s="61">
        <f>VLOOKUP($B19,Datos_SPIKA!$N$3:$P$83,3,FALSE)</f>
        <v>3</v>
      </c>
      <c r="K19" s="61">
        <f>VLOOKUP($B19,Datos_SPIKA!$N$3:$P$83,3,FALSE)</f>
        <v>3</v>
      </c>
      <c r="L19" s="61">
        <f>VLOOKUP($B19,Datos_SPIKA!$N$3:$P$83,3,FALSE)</f>
        <v>3</v>
      </c>
      <c r="M19" s="61">
        <f>VLOOKUP($B19,Datos_SPIKA!$N$3:$P$83,3,FALSE)</f>
        <v>3</v>
      </c>
      <c r="N19" s="61">
        <f>VLOOKUP($B19,Datos_SPIKA!$N$3:$P$83,3,FALSE)</f>
        <v>3</v>
      </c>
      <c r="O19" s="61">
        <f>VLOOKUP($B19,Datos_SPIKA!$N$3:$P$83,3,FALSE)</f>
        <v>3</v>
      </c>
      <c r="P19" s="61">
        <f>VLOOKUP($B19,Datos_SPIKA!$N$3:$P$83,3,FALSE)</f>
        <v>3</v>
      </c>
      <c r="Q19" s="61">
        <f>VLOOKUP($B19,Datos_SPIKA!$N$3:$P$83,3,FALSE)</f>
        <v>3</v>
      </c>
      <c r="R19" s="61">
        <f>VLOOKUP($B19,Datos_SPIKA!$N$3:$P$83,3,FALSE)</f>
        <v>3</v>
      </c>
      <c r="S19" s="61">
        <f>VLOOKUP($B19,Datos_SPIKA!$N$3:$P$83,3,FALSE)</f>
        <v>3</v>
      </c>
      <c r="T19" s="61">
        <f>VLOOKUP($B19,Datos_SPIKA!$N$3:$P$83,3,FALSE)</f>
        <v>3</v>
      </c>
      <c r="U19" s="61">
        <f>VLOOKUP($B19,Datos_SPIKA!$N$3:$P$83,3,FALSE)</f>
        <v>3</v>
      </c>
      <c r="V19" s="61">
        <f>VLOOKUP($B19,Datos_SPIKA!$N$3:$P$83,3,FALSE)</f>
        <v>3</v>
      </c>
      <c r="W19" s="61">
        <f>VLOOKUP($B19,Datos_SPIKA!$N$3:$P$83,3,FALSE)</f>
        <v>3</v>
      </c>
      <c r="X19" s="61">
        <f>VLOOKUP($B19,Datos_SPIKA!$N$3:$P$83,3,FALSE)</f>
        <v>3</v>
      </c>
      <c r="Y19" s="61">
        <f>VLOOKUP($B19,Datos_SPIKA!$N$3:$P$83,3,FALSE)</f>
        <v>3</v>
      </c>
      <c r="Z19" s="61">
        <f>VLOOKUP($B19,Datos_SPIKA!$N$3:$P$83,3,FALSE)</f>
        <v>3</v>
      </c>
      <c r="AA19" s="61">
        <f>VLOOKUP($B19,Datos_SPIKA!$N$3:$P$83,3,FALSE)</f>
        <v>3</v>
      </c>
      <c r="AB19" s="61">
        <f>VLOOKUP($B19,Datos_SPIKA!$N$3:$P$83,3,FALSE)</f>
        <v>3</v>
      </c>
    </row>
    <row r="20" spans="1:28" ht="28.5" customHeight="1">
      <c r="A20" s="93">
        <f t="shared" si="1"/>
        <v>16</v>
      </c>
      <c r="B20" s="20" t="s">
        <v>126</v>
      </c>
      <c r="C20" s="37" t="str">
        <f>VLOOKUP(B20,Datos_SPIKA!N18:P98,2,0)</f>
        <v>Seguridad de la información para el uso de servicios en cloud</v>
      </c>
      <c r="D20" s="61"/>
      <c r="E20" s="61">
        <f>VLOOKUP($B20,Datos_SPIKA!$N$3:$P$83,3,FALSE)</f>
        <v>3</v>
      </c>
      <c r="F20" s="61">
        <f>VLOOKUP($B20,Datos_SPIKA!$N$3:$P$83,3,FALSE)</f>
        <v>3</v>
      </c>
      <c r="G20" s="61">
        <f>VLOOKUP($B20,Datos_SPIKA!$N$3:$P$83,3,FALSE)</f>
        <v>3</v>
      </c>
      <c r="H20" s="61">
        <f>VLOOKUP($B20,Datos_SPIKA!$N$3:$P$83,3,FALSE)</f>
        <v>3</v>
      </c>
      <c r="I20" s="61">
        <f>VLOOKUP($B20,Datos_SPIKA!$N$3:$P$83,3,FALSE)</f>
        <v>3</v>
      </c>
      <c r="J20" s="61"/>
      <c r="K20" s="61"/>
      <c r="L20" s="61"/>
      <c r="M20" s="61">
        <f>VLOOKUP($B20,Datos_SPIKA!$N$3:$P$83,3,FALSE)</f>
        <v>3</v>
      </c>
      <c r="N20" s="61"/>
      <c r="O20" s="61">
        <f>VLOOKUP($B20,Datos_SPIKA!$N$3:$P$83,3,FALSE)</f>
        <v>3</v>
      </c>
      <c r="P20" s="61">
        <f>VLOOKUP($B20,Datos_SPIKA!$N$3:$P$83,3,FALSE)</f>
        <v>3</v>
      </c>
      <c r="Q20" s="61">
        <f>VLOOKUP($B20,Datos_SPIKA!$N$3:$P$83,3,FALSE)</f>
        <v>3</v>
      </c>
      <c r="R20" s="61">
        <f>VLOOKUP($B20,Datos_SPIKA!$N$3:$P$83,3,FALSE)</f>
        <v>3</v>
      </c>
      <c r="S20" s="61">
        <f>VLOOKUP($B20,Datos_SPIKA!$N$3:$P$83,3,FALSE)</f>
        <v>3</v>
      </c>
      <c r="T20" s="61">
        <f>VLOOKUP($B20,Datos_SPIKA!$N$3:$P$83,3,FALSE)</f>
        <v>3</v>
      </c>
      <c r="U20" s="61"/>
      <c r="V20" s="61"/>
      <c r="W20" s="61"/>
      <c r="X20" s="61">
        <f>VLOOKUP($B20,Datos_SPIKA!$N$3:$P$83,3,FALSE)</f>
        <v>3</v>
      </c>
      <c r="Y20" s="61">
        <f>VLOOKUP($B20,Datos_SPIKA!$N$3:$P$83,3,FALSE)</f>
        <v>3</v>
      </c>
      <c r="Z20" s="61"/>
      <c r="AA20" s="61">
        <f>VLOOKUP($B20,Datos_SPIKA!$N$3:$P$83,3,FALSE)</f>
        <v>3</v>
      </c>
      <c r="AB20" s="61">
        <f>VLOOKUP($B20,Datos_SPIKA!$N$3:$P$83,3,FALSE)</f>
        <v>3</v>
      </c>
    </row>
    <row r="21" spans="1:28" ht="28.5" customHeight="1">
      <c r="A21" s="93">
        <f t="shared" si="1"/>
        <v>25</v>
      </c>
      <c r="B21" s="20" t="s">
        <v>132</v>
      </c>
      <c r="C21" s="37" t="str">
        <f>VLOOKUP(B21,Datos_SPIKA!N19:P99,2,0)</f>
        <v>Planificación y respuesta para la gestión de incidentes</v>
      </c>
      <c r="D21" s="61">
        <f>VLOOKUP($B21,Datos_SPIKA!$N$3:$P$83,3,FALSE)</f>
        <v>3</v>
      </c>
      <c r="E21" s="61">
        <f>VLOOKUP($B21,Datos_SPIKA!$N$3:$P$83,3,FALSE)</f>
        <v>3</v>
      </c>
      <c r="F21" s="61">
        <f>VLOOKUP($B21,Datos_SPIKA!$N$3:$P$83,3,FALSE)</f>
        <v>3</v>
      </c>
      <c r="G21" s="61">
        <f>VLOOKUP($B21,Datos_SPIKA!$N$3:$P$83,3,FALSE)</f>
        <v>3</v>
      </c>
      <c r="H21" s="61">
        <f>VLOOKUP($B21,Datos_SPIKA!$N$3:$P$83,3,FALSE)</f>
        <v>3</v>
      </c>
      <c r="I21" s="61">
        <f>VLOOKUP($B21,Datos_SPIKA!$N$3:$P$83,3,FALSE)</f>
        <v>3</v>
      </c>
      <c r="J21" s="61">
        <f>VLOOKUP($B21,Datos_SPIKA!$N$3:$P$83,3,FALSE)</f>
        <v>3</v>
      </c>
      <c r="K21" s="61">
        <f>VLOOKUP($B21,Datos_SPIKA!$N$3:$P$83,3,FALSE)</f>
        <v>3</v>
      </c>
      <c r="L21" s="61">
        <f>VLOOKUP($B21,Datos_SPIKA!$N$3:$P$83,3,FALSE)</f>
        <v>3</v>
      </c>
      <c r="M21" s="61">
        <f>VLOOKUP($B21,Datos_SPIKA!$N$3:$P$83,3,FALSE)</f>
        <v>3</v>
      </c>
      <c r="N21" s="61">
        <f>VLOOKUP($B21,Datos_SPIKA!$N$3:$P$83,3,FALSE)</f>
        <v>3</v>
      </c>
      <c r="O21" s="61">
        <f>VLOOKUP($B21,Datos_SPIKA!$N$3:$P$83,3,FALSE)</f>
        <v>3</v>
      </c>
      <c r="P21" s="61">
        <f>VLOOKUP($B21,Datos_SPIKA!$N$3:$P$83,3,FALSE)</f>
        <v>3</v>
      </c>
      <c r="Q21" s="61">
        <f>VLOOKUP($B21,Datos_SPIKA!$N$3:$P$83,3,FALSE)</f>
        <v>3</v>
      </c>
      <c r="R21" s="61">
        <f>VLOOKUP($B21,Datos_SPIKA!$N$3:$P$83,3,FALSE)</f>
        <v>3</v>
      </c>
      <c r="S21" s="61">
        <f>VLOOKUP($B21,Datos_SPIKA!$N$3:$P$83,3,FALSE)</f>
        <v>3</v>
      </c>
      <c r="T21" s="61">
        <f>VLOOKUP($B21,Datos_SPIKA!$N$3:$P$83,3,FALSE)</f>
        <v>3</v>
      </c>
      <c r="U21" s="61">
        <f>VLOOKUP($B21,Datos_SPIKA!$N$3:$P$83,3,FALSE)</f>
        <v>3</v>
      </c>
      <c r="V21" s="61">
        <f>VLOOKUP($B21,Datos_SPIKA!$N$3:$P$83,3,FALSE)</f>
        <v>3</v>
      </c>
      <c r="W21" s="61">
        <f>VLOOKUP($B21,Datos_SPIKA!$N$3:$P$83,3,FALSE)</f>
        <v>3</v>
      </c>
      <c r="X21" s="61">
        <f>VLOOKUP($B21,Datos_SPIKA!$N$3:$P$83,3,FALSE)</f>
        <v>3</v>
      </c>
      <c r="Y21" s="61">
        <f>VLOOKUP($B21,Datos_SPIKA!$N$3:$P$83,3,FALSE)</f>
        <v>3</v>
      </c>
      <c r="Z21" s="61">
        <f>VLOOKUP($B21,Datos_SPIKA!$N$3:$P$83,3,FALSE)</f>
        <v>3</v>
      </c>
      <c r="AA21" s="61">
        <f>VLOOKUP($B21,Datos_SPIKA!$N$3:$P$83,3,FALSE)</f>
        <v>3</v>
      </c>
      <c r="AB21" s="61">
        <f>VLOOKUP($B21,Datos_SPIKA!$N$3:$P$83,3,FALSE)</f>
        <v>3</v>
      </c>
    </row>
    <row r="22" spans="1:28" ht="28.5" customHeight="1">
      <c r="A22" s="93">
        <f t="shared" si="1"/>
        <v>25</v>
      </c>
      <c r="B22" s="20" t="s">
        <v>138</v>
      </c>
      <c r="C22" s="37" t="str">
        <f>VLOOKUP(B22,Datos_SPIKA!N20:P100,2,0)</f>
        <v>Evaluación y decisión de eventos de seguridad</v>
      </c>
      <c r="D22" s="61">
        <f>VLOOKUP($B22,Datos_SPIKA!$N$3:$P$83,3,FALSE)</f>
        <v>3</v>
      </c>
      <c r="E22" s="61">
        <f>VLOOKUP($B22,Datos_SPIKA!$N$3:$P$83,3,FALSE)</f>
        <v>3</v>
      </c>
      <c r="F22" s="61">
        <f>VLOOKUP($B22,Datos_SPIKA!$N$3:$P$83,3,FALSE)</f>
        <v>3</v>
      </c>
      <c r="G22" s="61">
        <f>VLOOKUP($B22,Datos_SPIKA!$N$3:$P$83,3,FALSE)</f>
        <v>3</v>
      </c>
      <c r="H22" s="61">
        <f>VLOOKUP($B22,Datos_SPIKA!$N$3:$P$83,3,FALSE)</f>
        <v>3</v>
      </c>
      <c r="I22" s="61">
        <f>VLOOKUP($B22,Datos_SPIKA!$N$3:$P$83,3,FALSE)</f>
        <v>3</v>
      </c>
      <c r="J22" s="61">
        <f>VLOOKUP($B22,Datos_SPIKA!$N$3:$P$83,3,FALSE)</f>
        <v>3</v>
      </c>
      <c r="K22" s="61">
        <f>VLOOKUP($B22,Datos_SPIKA!$N$3:$P$83,3,FALSE)</f>
        <v>3</v>
      </c>
      <c r="L22" s="61">
        <f>VLOOKUP($B22,Datos_SPIKA!$N$3:$P$83,3,FALSE)</f>
        <v>3</v>
      </c>
      <c r="M22" s="61">
        <f>VLOOKUP($B22,Datos_SPIKA!$N$3:$P$83,3,FALSE)</f>
        <v>3</v>
      </c>
      <c r="N22" s="61">
        <f>VLOOKUP($B22,Datos_SPIKA!$N$3:$P$83,3,FALSE)</f>
        <v>3</v>
      </c>
      <c r="O22" s="61">
        <f>VLOOKUP($B22,Datos_SPIKA!$N$3:$P$83,3,FALSE)</f>
        <v>3</v>
      </c>
      <c r="P22" s="61">
        <f>VLOOKUP($B22,Datos_SPIKA!$N$3:$P$83,3,FALSE)</f>
        <v>3</v>
      </c>
      <c r="Q22" s="61">
        <f>VLOOKUP($B22,Datos_SPIKA!$N$3:$P$83,3,FALSE)</f>
        <v>3</v>
      </c>
      <c r="R22" s="61">
        <f>VLOOKUP($B22,Datos_SPIKA!$N$3:$P$83,3,FALSE)</f>
        <v>3</v>
      </c>
      <c r="S22" s="61">
        <f>VLOOKUP($B22,Datos_SPIKA!$N$3:$P$83,3,FALSE)</f>
        <v>3</v>
      </c>
      <c r="T22" s="61">
        <f>VLOOKUP($B22,Datos_SPIKA!$N$3:$P$83,3,FALSE)</f>
        <v>3</v>
      </c>
      <c r="U22" s="61">
        <f>VLOOKUP($B22,Datos_SPIKA!$N$3:$P$83,3,FALSE)</f>
        <v>3</v>
      </c>
      <c r="V22" s="61">
        <f>VLOOKUP($B22,Datos_SPIKA!$N$3:$P$83,3,FALSE)</f>
        <v>3</v>
      </c>
      <c r="W22" s="61">
        <f>VLOOKUP($B22,Datos_SPIKA!$N$3:$P$83,3,FALSE)</f>
        <v>3</v>
      </c>
      <c r="X22" s="61">
        <f>VLOOKUP($B22,Datos_SPIKA!$N$3:$P$83,3,FALSE)</f>
        <v>3</v>
      </c>
      <c r="Y22" s="61">
        <f>VLOOKUP($B22,Datos_SPIKA!$N$3:$P$83,3,FALSE)</f>
        <v>3</v>
      </c>
      <c r="Z22" s="61">
        <f>VLOOKUP($B22,Datos_SPIKA!$N$3:$P$83,3,FALSE)</f>
        <v>3</v>
      </c>
      <c r="AA22" s="61">
        <f>VLOOKUP($B22,Datos_SPIKA!$N$3:$P$83,3,FALSE)</f>
        <v>3</v>
      </c>
      <c r="AB22" s="61">
        <f>VLOOKUP($B22,Datos_SPIKA!$N$3:$P$83,3,FALSE)</f>
        <v>3</v>
      </c>
    </row>
    <row r="23" spans="1:28" ht="28.5" customHeight="1">
      <c r="A23" s="93">
        <f t="shared" si="1"/>
        <v>25</v>
      </c>
      <c r="B23" s="20" t="s">
        <v>144</v>
      </c>
      <c r="C23" s="37" t="str">
        <f>VLOOKUP(B23,Datos_SPIKA!N21:P101,2,0)</f>
        <v>Aprendizaje de los incidentes de seguridad</v>
      </c>
      <c r="D23" s="61">
        <f>VLOOKUP($B23,Datos_SPIKA!$N$3:$P$83,3,FALSE)</f>
        <v>3</v>
      </c>
      <c r="E23" s="61">
        <f>VLOOKUP($B23,Datos_SPIKA!$N$3:$P$83,3,FALSE)</f>
        <v>3</v>
      </c>
      <c r="F23" s="61">
        <f>VLOOKUP($B23,Datos_SPIKA!$N$3:$P$83,3,FALSE)</f>
        <v>3</v>
      </c>
      <c r="G23" s="61">
        <f>VLOOKUP($B23,Datos_SPIKA!$N$3:$P$83,3,FALSE)</f>
        <v>3</v>
      </c>
      <c r="H23" s="61">
        <f>VLOOKUP($B23,Datos_SPIKA!$N$3:$P$83,3,FALSE)</f>
        <v>3</v>
      </c>
      <c r="I23" s="61">
        <f>VLOOKUP($B23,Datos_SPIKA!$N$3:$P$83,3,FALSE)</f>
        <v>3</v>
      </c>
      <c r="J23" s="61">
        <f>VLOOKUP($B23,Datos_SPIKA!$N$3:$P$83,3,FALSE)</f>
        <v>3</v>
      </c>
      <c r="K23" s="61">
        <f>VLOOKUP($B23,Datos_SPIKA!$N$3:$P$83,3,FALSE)</f>
        <v>3</v>
      </c>
      <c r="L23" s="61">
        <f>VLOOKUP($B23,Datos_SPIKA!$N$3:$P$83,3,FALSE)</f>
        <v>3</v>
      </c>
      <c r="M23" s="61">
        <f>VLOOKUP($B23,Datos_SPIKA!$N$3:$P$83,3,FALSE)</f>
        <v>3</v>
      </c>
      <c r="N23" s="61">
        <f>VLOOKUP($B23,Datos_SPIKA!$N$3:$P$83,3,FALSE)</f>
        <v>3</v>
      </c>
      <c r="O23" s="61">
        <f>VLOOKUP($B23,Datos_SPIKA!$N$3:$P$83,3,FALSE)</f>
        <v>3</v>
      </c>
      <c r="P23" s="61">
        <f>VLOOKUP($B23,Datos_SPIKA!$N$3:$P$83,3,FALSE)</f>
        <v>3</v>
      </c>
      <c r="Q23" s="61">
        <f>VLOOKUP($B23,Datos_SPIKA!$N$3:$P$83,3,FALSE)</f>
        <v>3</v>
      </c>
      <c r="R23" s="61">
        <f>VLOOKUP($B23,Datos_SPIKA!$N$3:$P$83,3,FALSE)</f>
        <v>3</v>
      </c>
      <c r="S23" s="61">
        <f>VLOOKUP($B23,Datos_SPIKA!$N$3:$P$83,3,FALSE)</f>
        <v>3</v>
      </c>
      <c r="T23" s="61">
        <f>VLOOKUP($B23,Datos_SPIKA!$N$3:$P$83,3,FALSE)</f>
        <v>3</v>
      </c>
      <c r="U23" s="61">
        <f>VLOOKUP($B23,Datos_SPIKA!$N$3:$P$83,3,FALSE)</f>
        <v>3</v>
      </c>
      <c r="V23" s="61">
        <f>VLOOKUP($B23,Datos_SPIKA!$N$3:$P$83,3,FALSE)</f>
        <v>3</v>
      </c>
      <c r="W23" s="61">
        <f>VLOOKUP($B23,Datos_SPIKA!$N$3:$P$83,3,FALSE)</f>
        <v>3</v>
      </c>
      <c r="X23" s="61">
        <f>VLOOKUP($B23,Datos_SPIKA!$N$3:$P$83,3,FALSE)</f>
        <v>3</v>
      </c>
      <c r="Y23" s="61">
        <f>VLOOKUP($B23,Datos_SPIKA!$N$3:$P$83,3,FALSE)</f>
        <v>3</v>
      </c>
      <c r="Z23" s="61">
        <f>VLOOKUP($B23,Datos_SPIKA!$N$3:$P$83,3,FALSE)</f>
        <v>3</v>
      </c>
      <c r="AA23" s="61">
        <f>VLOOKUP($B23,Datos_SPIKA!$N$3:$P$83,3,FALSE)</f>
        <v>3</v>
      </c>
      <c r="AB23" s="61">
        <f>VLOOKUP($B23,Datos_SPIKA!$N$3:$P$83,3,FALSE)</f>
        <v>3</v>
      </c>
    </row>
    <row r="24" spans="1:28" ht="28.5" customHeight="1">
      <c r="A24" s="93">
        <f t="shared" si="1"/>
        <v>25</v>
      </c>
      <c r="B24" s="20" t="s">
        <v>150</v>
      </c>
      <c r="C24" s="37" t="str">
        <f>VLOOKUP(B24,Datos_SPIKA!N21:P102,2,0)</f>
        <v>Recogida de evidencias</v>
      </c>
      <c r="D24" s="61">
        <f>VLOOKUP($B24,Datos_SPIKA!$N$3:$P$83,3,FALSE)</f>
        <v>3</v>
      </c>
      <c r="E24" s="61">
        <f>VLOOKUP($B24,Datos_SPIKA!$N$3:$P$83,3,FALSE)</f>
        <v>3</v>
      </c>
      <c r="F24" s="61">
        <f>VLOOKUP($B24,Datos_SPIKA!$N$3:$P$83,3,FALSE)</f>
        <v>3</v>
      </c>
      <c r="G24" s="61">
        <f>VLOOKUP($B24,Datos_SPIKA!$N$3:$P$83,3,FALSE)</f>
        <v>3</v>
      </c>
      <c r="H24" s="61">
        <f>VLOOKUP($B24,Datos_SPIKA!$N$3:$P$83,3,FALSE)</f>
        <v>3</v>
      </c>
      <c r="I24" s="61">
        <f>VLOOKUP($B24,Datos_SPIKA!$N$3:$P$83,3,FALSE)</f>
        <v>3</v>
      </c>
      <c r="J24" s="61">
        <f>VLOOKUP($B24,Datos_SPIKA!$N$3:$P$83,3,FALSE)</f>
        <v>3</v>
      </c>
      <c r="K24" s="61">
        <f>VLOOKUP($B24,Datos_SPIKA!$N$3:$P$83,3,FALSE)</f>
        <v>3</v>
      </c>
      <c r="L24" s="61">
        <f>VLOOKUP($B24,Datos_SPIKA!$N$3:$P$83,3,FALSE)</f>
        <v>3</v>
      </c>
      <c r="M24" s="61">
        <f>VLOOKUP($B24,Datos_SPIKA!$N$3:$P$83,3,FALSE)</f>
        <v>3</v>
      </c>
      <c r="N24" s="61">
        <f>VLOOKUP($B24,Datos_SPIKA!$N$3:$P$83,3,FALSE)</f>
        <v>3</v>
      </c>
      <c r="O24" s="61">
        <f>VLOOKUP($B24,Datos_SPIKA!$N$3:$P$83,3,FALSE)</f>
        <v>3</v>
      </c>
      <c r="P24" s="61">
        <f>VLOOKUP($B24,Datos_SPIKA!$N$3:$P$83,3,FALSE)</f>
        <v>3</v>
      </c>
      <c r="Q24" s="61">
        <f>VLOOKUP($B24,Datos_SPIKA!$N$3:$P$83,3,FALSE)</f>
        <v>3</v>
      </c>
      <c r="R24" s="61">
        <f>VLOOKUP($B24,Datos_SPIKA!$N$3:$P$83,3,FALSE)</f>
        <v>3</v>
      </c>
      <c r="S24" s="61">
        <f>VLOOKUP($B24,Datos_SPIKA!$N$3:$P$83,3,FALSE)</f>
        <v>3</v>
      </c>
      <c r="T24" s="61">
        <f>VLOOKUP($B24,Datos_SPIKA!$N$3:$P$83,3,FALSE)</f>
        <v>3</v>
      </c>
      <c r="U24" s="61">
        <f>VLOOKUP($B24,Datos_SPIKA!$N$3:$P$83,3,FALSE)</f>
        <v>3</v>
      </c>
      <c r="V24" s="61">
        <f>VLOOKUP($B24,Datos_SPIKA!$N$3:$P$83,3,FALSE)</f>
        <v>3</v>
      </c>
      <c r="W24" s="61">
        <f>VLOOKUP($B24,Datos_SPIKA!$N$3:$P$83,3,FALSE)</f>
        <v>3</v>
      </c>
      <c r="X24" s="61">
        <f>VLOOKUP($B24,Datos_SPIKA!$N$3:$P$83,3,FALSE)</f>
        <v>3</v>
      </c>
      <c r="Y24" s="61">
        <f>VLOOKUP($B24,Datos_SPIKA!$N$3:$P$83,3,FALSE)</f>
        <v>3</v>
      </c>
      <c r="Z24" s="61">
        <f>VLOOKUP($B24,Datos_SPIKA!$N$3:$P$83,3,FALSE)</f>
        <v>3</v>
      </c>
      <c r="AA24" s="61">
        <f>VLOOKUP($B24,Datos_SPIKA!$N$3:$P$83,3,FALSE)</f>
        <v>3</v>
      </c>
      <c r="AB24" s="61">
        <f>VLOOKUP($B24,Datos_SPIKA!$N$3:$P$83,3,FALSE)</f>
        <v>3</v>
      </c>
    </row>
    <row r="25" spans="1:28" ht="28.5" customHeight="1">
      <c r="A25" s="93">
        <f t="shared" si="1"/>
        <v>13</v>
      </c>
      <c r="B25" s="20" t="s">
        <v>156</v>
      </c>
      <c r="C25" s="37" t="str">
        <f>VLOOKUP(B25,Datos_SPIKA!N22:P103,2,0)</f>
        <v>Seguridad de la información durante una interrupción</v>
      </c>
      <c r="D25" s="61">
        <f>VLOOKUP($B25,Datos_SPIKA!$N$3:$P$83,3,FALSE)</f>
        <v>3</v>
      </c>
      <c r="E25" s="61"/>
      <c r="F25" s="61"/>
      <c r="G25" s="61"/>
      <c r="H25" s="61"/>
      <c r="I25" s="61"/>
      <c r="J25" s="61">
        <f>VLOOKUP($B25,Datos_SPIKA!$N$3:$P$83,3,FALSE)</f>
        <v>3</v>
      </c>
      <c r="K25" s="61">
        <f>VLOOKUP($B25,Datos_SPIKA!$N$3:$P$83,3,FALSE)</f>
        <v>3</v>
      </c>
      <c r="L25" s="61">
        <f>VLOOKUP($B25,Datos_SPIKA!$N$3:$P$83,3,FALSE)</f>
        <v>3</v>
      </c>
      <c r="M25" s="61">
        <f>VLOOKUP($B25,Datos_SPIKA!$N$3:$P$83,3,FALSE)</f>
        <v>3</v>
      </c>
      <c r="N25" s="61">
        <f>VLOOKUP($B25,Datos_SPIKA!$N$3:$P$83,3,FALSE)</f>
        <v>3</v>
      </c>
      <c r="O25" s="61"/>
      <c r="P25" s="61"/>
      <c r="Q25" s="61"/>
      <c r="R25" s="61"/>
      <c r="S25" s="61">
        <f>VLOOKUP($B25,Datos_SPIKA!$N$3:$P$83,3,FALSE)</f>
        <v>3</v>
      </c>
      <c r="T25" s="61">
        <f>VLOOKUP($B25,Datos_SPIKA!$N$3:$P$83,3,FALSE)</f>
        <v>3</v>
      </c>
      <c r="U25" s="61">
        <f>VLOOKUP($B25,Datos_SPIKA!$N$3:$P$83,3,FALSE)</f>
        <v>3</v>
      </c>
      <c r="V25" s="61"/>
      <c r="W25" s="61">
        <f>VLOOKUP($B25,Datos_SPIKA!$N$3:$P$83,3,FALSE)</f>
        <v>3</v>
      </c>
      <c r="X25" s="61"/>
      <c r="Y25" s="61"/>
      <c r="Z25" s="61">
        <f>VLOOKUP($B25,Datos_SPIKA!$N$3:$P$83,3,FALSE)</f>
        <v>3</v>
      </c>
      <c r="AA25" s="61">
        <f>VLOOKUP($B25,Datos_SPIKA!$N$3:$P$83,3,FALSE)</f>
        <v>3</v>
      </c>
      <c r="AB25" s="61">
        <f>VLOOKUP($B25,Datos_SPIKA!$N$3:$P$83,3,FALSE)</f>
        <v>3</v>
      </c>
    </row>
    <row r="26" spans="1:28" ht="28.5" customHeight="1">
      <c r="A26" s="93">
        <f t="shared" si="1"/>
        <v>11</v>
      </c>
      <c r="B26" s="20" t="s">
        <v>162</v>
      </c>
      <c r="C26" s="37" t="str">
        <f>VLOOKUP(B26,Datos_SPIKA!N23:P104,2,0)</f>
        <v>Preparación de IT para la continuidad del negocio</v>
      </c>
      <c r="D26" s="61">
        <f>VLOOKUP($B26,Datos_SPIKA!$N$3:$P$83,3,FALSE)</f>
        <v>3</v>
      </c>
      <c r="E26" s="61"/>
      <c r="F26" s="61"/>
      <c r="G26" s="61"/>
      <c r="H26" s="61"/>
      <c r="I26" s="61"/>
      <c r="J26" s="61">
        <f>VLOOKUP($B26,Datos_SPIKA!$N$3:$P$83,3,FALSE)</f>
        <v>3</v>
      </c>
      <c r="K26" s="61">
        <f>VLOOKUP($B26,Datos_SPIKA!$N$3:$P$83,3,FALSE)</f>
        <v>3</v>
      </c>
      <c r="L26" s="61">
        <f>VLOOKUP($B26,Datos_SPIKA!$N$3:$P$83,3,FALSE)</f>
        <v>3</v>
      </c>
      <c r="M26" s="61">
        <f>VLOOKUP($B26,Datos_SPIKA!$N$3:$P$83,3,FALSE)</f>
        <v>3</v>
      </c>
      <c r="N26" s="61">
        <f>VLOOKUP($B26,Datos_SPIKA!$N$3:$P$83,3,FALSE)</f>
        <v>3</v>
      </c>
      <c r="O26" s="61"/>
      <c r="P26" s="61"/>
      <c r="Q26" s="61"/>
      <c r="R26" s="61"/>
      <c r="S26" s="61"/>
      <c r="T26" s="61">
        <f>VLOOKUP($B26,Datos_SPIKA!$N$3:$P$83,3,FALSE)</f>
        <v>3</v>
      </c>
      <c r="U26" s="61">
        <f>VLOOKUP($B26,Datos_SPIKA!$N$3:$P$83,3,FALSE)</f>
        <v>3</v>
      </c>
      <c r="V26" s="61">
        <f>VLOOKUP($B26,Datos_SPIKA!$N$3:$P$83,3,FALSE)</f>
        <v>3</v>
      </c>
      <c r="W26" s="61">
        <f>VLOOKUP($B26,Datos_SPIKA!$N$3:$P$83,3,FALSE)</f>
        <v>3</v>
      </c>
      <c r="X26" s="61"/>
      <c r="Y26" s="61"/>
      <c r="Z26" s="61">
        <f>VLOOKUP($B26,Datos_SPIKA!$N$3:$P$83,3,FALSE)</f>
        <v>3</v>
      </c>
      <c r="AA26" s="61"/>
      <c r="AB26" s="61"/>
    </row>
    <row r="27" spans="1:28" ht="28.5" customHeight="1">
      <c r="A27" s="93">
        <f t="shared" si="1"/>
        <v>13</v>
      </c>
      <c r="B27" s="20" t="s">
        <v>168</v>
      </c>
      <c r="C27" s="37" t="str">
        <f>VLOOKUP(B27,Datos_SPIKA!N24:P105,2,0)</f>
        <v>Requerimientos contractuales legales y regulatorios - Identificar y documentar los requisitos pertinentes</v>
      </c>
      <c r="D27" s="61"/>
      <c r="E27" s="61">
        <f>VLOOKUP($B27,Datos_SPIKA!$N$3:$P$83,3,FALSE)</f>
        <v>4</v>
      </c>
      <c r="F27" s="61">
        <f>VLOOKUP($B27,Datos_SPIKA!$N$3:$P$83,3,FALSE)</f>
        <v>4</v>
      </c>
      <c r="G27" s="61">
        <f>VLOOKUP($B27,Datos_SPIKA!$N$3:$P$83,3,FALSE)</f>
        <v>4</v>
      </c>
      <c r="H27" s="61">
        <f>VLOOKUP($B27,Datos_SPIKA!$N$3:$P$83,3,FALSE)</f>
        <v>4</v>
      </c>
      <c r="I27" s="61">
        <f>VLOOKUP($B27,Datos_SPIKA!$N$3:$P$83,3,FALSE)</f>
        <v>4</v>
      </c>
      <c r="J27" s="61"/>
      <c r="K27" s="61">
        <f>VLOOKUP($B27,Datos_SPIKA!$N$3:$P$83,3,FALSE)</f>
        <v>4</v>
      </c>
      <c r="L27" s="61">
        <f>VLOOKUP($B27,Datos_SPIKA!$N$3:$P$83,3,FALSE)</f>
        <v>4</v>
      </c>
      <c r="M27" s="61">
        <f>VLOOKUP($B27,Datos_SPIKA!$N$3:$P$83,3,FALSE)</f>
        <v>4</v>
      </c>
      <c r="N27" s="61"/>
      <c r="O27" s="61"/>
      <c r="P27" s="61"/>
      <c r="Q27" s="61"/>
      <c r="R27" s="61">
        <f>VLOOKUP($B27,Datos_SPIKA!$N$3:$P$83,3,FALSE)</f>
        <v>4</v>
      </c>
      <c r="S27" s="61"/>
      <c r="T27" s="61"/>
      <c r="U27" s="61">
        <f>VLOOKUP($B27,Datos_SPIKA!$N$3:$P$83,3,FALSE)</f>
        <v>4</v>
      </c>
      <c r="V27" s="61"/>
      <c r="W27" s="61"/>
      <c r="X27" s="61">
        <f>VLOOKUP($B27,Datos_SPIKA!$N$3:$P$83,3,FALSE)</f>
        <v>4</v>
      </c>
      <c r="Y27" s="61"/>
      <c r="Z27" s="61"/>
      <c r="AA27" s="61">
        <f>VLOOKUP($B27,Datos_SPIKA!$N$3:$P$83,3,FALSE)</f>
        <v>4</v>
      </c>
      <c r="AB27" s="61">
        <f>VLOOKUP($B27,Datos_SPIKA!$N$3:$P$83,3,FALSE)</f>
        <v>4</v>
      </c>
    </row>
    <row r="28" spans="1:28" ht="28.5" customHeight="1">
      <c r="A28" s="93">
        <f t="shared" si="1"/>
        <v>8</v>
      </c>
      <c r="B28" s="20" t="s">
        <v>174</v>
      </c>
      <c r="C28" s="37" t="str">
        <f>VLOOKUP(B28,Datos_SPIKA!N25:P106,2,0)</f>
        <v>Derechos de propiedad intelectual</v>
      </c>
      <c r="D28" s="61"/>
      <c r="E28" s="61">
        <f>VLOOKUP($B28,Datos_SPIKA!$N$3:$P$83,3,FALSE)</f>
        <v>3.5</v>
      </c>
      <c r="F28" s="61"/>
      <c r="G28" s="61">
        <f>VLOOKUP($B28,Datos_SPIKA!$N$3:$P$83,3,FALSE)</f>
        <v>3.5</v>
      </c>
      <c r="H28" s="61"/>
      <c r="I28" s="61">
        <f>VLOOKUP($B28,Datos_SPIKA!$N$3:$P$83,3,FALSE)</f>
        <v>3.5</v>
      </c>
      <c r="J28" s="61"/>
      <c r="K28" s="61"/>
      <c r="L28" s="61"/>
      <c r="M28" s="61"/>
      <c r="N28" s="61"/>
      <c r="O28" s="61"/>
      <c r="P28" s="61"/>
      <c r="Q28" s="61"/>
      <c r="R28" s="61"/>
      <c r="S28" s="61"/>
      <c r="T28" s="61"/>
      <c r="U28" s="61"/>
      <c r="V28" s="61">
        <f>VLOOKUP($B28,Datos_SPIKA!$N$3:$P$83,3,FALSE)</f>
        <v>3.5</v>
      </c>
      <c r="W28" s="61"/>
      <c r="X28" s="61">
        <f>VLOOKUP($B28,Datos_SPIKA!$N$3:$P$83,3,FALSE)</f>
        <v>3.5</v>
      </c>
      <c r="Y28" s="61">
        <f>VLOOKUP($B28,Datos_SPIKA!$N$3:$P$83,3,FALSE)</f>
        <v>3.5</v>
      </c>
      <c r="Z28" s="61"/>
      <c r="AA28" s="61">
        <f>VLOOKUP($B28,Datos_SPIKA!$N$3:$P$83,3,FALSE)</f>
        <v>3.5</v>
      </c>
      <c r="AB28" s="61">
        <f>VLOOKUP($B28,Datos_SPIKA!$N$3:$P$83,3,FALSE)</f>
        <v>3.5</v>
      </c>
    </row>
    <row r="29" spans="1:28" ht="28.5" customHeight="1">
      <c r="A29" s="93">
        <f t="shared" si="1"/>
        <v>12</v>
      </c>
      <c r="B29" s="20" t="s">
        <v>180</v>
      </c>
      <c r="C29" s="37" t="str">
        <f>VLOOKUP(B29,Datos_SPIKA!N26:P107,2,0)</f>
        <v>Protección de registros</v>
      </c>
      <c r="D29" s="61"/>
      <c r="E29" s="61">
        <f>VLOOKUP($B29,Datos_SPIKA!$N$3:$P$83,3,FALSE)</f>
        <v>3</v>
      </c>
      <c r="F29" s="61">
        <f>VLOOKUP($B29,Datos_SPIKA!$N$3:$P$83,3,FALSE)</f>
        <v>3</v>
      </c>
      <c r="G29" s="61">
        <f>VLOOKUP($B29,Datos_SPIKA!$N$3:$P$83,3,FALSE)</f>
        <v>3</v>
      </c>
      <c r="H29" s="61">
        <f>VLOOKUP($B29,Datos_SPIKA!$N$3:$P$83,3,FALSE)</f>
        <v>3</v>
      </c>
      <c r="I29" s="61">
        <f>VLOOKUP($B29,Datos_SPIKA!$N$3:$P$83,3,FALSE)</f>
        <v>3</v>
      </c>
      <c r="J29" s="61"/>
      <c r="K29" s="61"/>
      <c r="L29" s="61"/>
      <c r="M29" s="61"/>
      <c r="N29" s="61"/>
      <c r="O29" s="61">
        <f>VLOOKUP($B29,Datos_SPIKA!$N$3:$P$83,3,FALSE)</f>
        <v>3</v>
      </c>
      <c r="P29" s="61">
        <f>VLOOKUP($B29,Datos_SPIKA!$N$3:$P$83,3,FALSE)</f>
        <v>3</v>
      </c>
      <c r="Q29" s="61"/>
      <c r="R29" s="61"/>
      <c r="S29" s="61"/>
      <c r="T29" s="61"/>
      <c r="U29" s="61"/>
      <c r="V29" s="61">
        <f>VLOOKUP($B29,Datos_SPIKA!$N$3:$P$83,3,FALSE)</f>
        <v>3</v>
      </c>
      <c r="W29" s="61"/>
      <c r="X29" s="61">
        <f>VLOOKUP($B29,Datos_SPIKA!$N$3:$P$83,3,FALSE)</f>
        <v>3</v>
      </c>
      <c r="Y29" s="61">
        <f>VLOOKUP($B29,Datos_SPIKA!$N$3:$P$83,3,FALSE)</f>
        <v>3</v>
      </c>
      <c r="Z29" s="61"/>
      <c r="AA29" s="61">
        <f>VLOOKUP($B29,Datos_SPIKA!$N$3:$P$83,3,FALSE)</f>
        <v>3</v>
      </c>
      <c r="AB29" s="61">
        <f>VLOOKUP($B29,Datos_SPIKA!$N$3:$P$83,3,FALSE)</f>
        <v>3</v>
      </c>
    </row>
    <row r="30" spans="1:28" ht="28.5" customHeight="1">
      <c r="A30" s="93">
        <f t="shared" si="1"/>
        <v>8</v>
      </c>
      <c r="B30" s="20" t="s">
        <v>186</v>
      </c>
      <c r="C30" s="37" t="str">
        <f>VLOOKUP(B30,Datos_SPIKA!N27:P108,2,0)</f>
        <v>Privacidad y protección de la información personal</v>
      </c>
      <c r="D30" s="61"/>
      <c r="E30" s="61">
        <f>VLOOKUP($B30,Datos_SPIKA!$N$3:$P$83,3,FALSE)</f>
        <v>3.5</v>
      </c>
      <c r="F30" s="61"/>
      <c r="G30" s="61">
        <f>VLOOKUP($B30,Datos_SPIKA!$N$3:$P$83,3,FALSE)</f>
        <v>3.5</v>
      </c>
      <c r="H30" s="61"/>
      <c r="I30" s="61">
        <f>VLOOKUP($B30,Datos_SPIKA!$N$3:$P$83,3,FALSE)</f>
        <v>3.5</v>
      </c>
      <c r="J30" s="61"/>
      <c r="K30" s="61"/>
      <c r="L30" s="61"/>
      <c r="M30" s="61"/>
      <c r="N30" s="61"/>
      <c r="O30" s="61"/>
      <c r="P30" s="61"/>
      <c r="Q30" s="61"/>
      <c r="R30" s="61"/>
      <c r="S30" s="61"/>
      <c r="T30" s="61"/>
      <c r="U30" s="61"/>
      <c r="V30" s="61">
        <f>VLOOKUP($B30,Datos_SPIKA!$N$3:$P$83,3,FALSE)</f>
        <v>3.5</v>
      </c>
      <c r="W30" s="61"/>
      <c r="X30" s="61">
        <f>VLOOKUP($B30,Datos_SPIKA!$N$3:$P$83,3,FALSE)</f>
        <v>3.5</v>
      </c>
      <c r="Y30" s="61">
        <f>VLOOKUP($B30,Datos_SPIKA!$N$3:$P$83,3,FALSE)</f>
        <v>3.5</v>
      </c>
      <c r="Z30" s="61"/>
      <c r="AA30" s="61">
        <f>VLOOKUP($B30,Datos_SPIKA!$N$3:$P$83,3,FALSE)</f>
        <v>3.5</v>
      </c>
      <c r="AB30" s="61">
        <f>VLOOKUP($B30,Datos_SPIKA!$N$3:$P$83,3,FALSE)</f>
        <v>3.5</v>
      </c>
    </row>
    <row r="31" spans="1:28" ht="28.5" customHeight="1">
      <c r="A31" s="93">
        <f t="shared" si="1"/>
        <v>16</v>
      </c>
      <c r="B31" s="20" t="s">
        <v>190</v>
      </c>
      <c r="C31" s="37" t="str">
        <f>VLOOKUP(B31,Datos_SPIKA!N28:P109,2,0)</f>
        <v>Revisión independiente de la seguridad de la información</v>
      </c>
      <c r="D31" s="61"/>
      <c r="E31" s="61">
        <f>VLOOKUP($B31,Datos_SPIKA!$N$3:$P$83,3,FALSE)</f>
        <v>3</v>
      </c>
      <c r="F31" s="61">
        <f>VLOOKUP($B31,Datos_SPIKA!$N$3:$P$83,3,FALSE)</f>
        <v>3</v>
      </c>
      <c r="G31" s="61">
        <f>VLOOKUP($B31,Datos_SPIKA!$N$3:$P$83,3,FALSE)</f>
        <v>3</v>
      </c>
      <c r="H31" s="61">
        <f>VLOOKUP($B31,Datos_SPIKA!$N$3:$P$83,3,FALSE)</f>
        <v>3</v>
      </c>
      <c r="I31" s="61">
        <f>VLOOKUP($B31,Datos_SPIKA!$N$3:$P$83,3,FALSE)</f>
        <v>3</v>
      </c>
      <c r="J31" s="61"/>
      <c r="K31" s="61"/>
      <c r="L31" s="61">
        <f>VLOOKUP($B31,Datos_SPIKA!$N$3:$P$83,3,FALSE)</f>
        <v>3</v>
      </c>
      <c r="M31" s="61">
        <f>VLOOKUP($B31,Datos_SPIKA!$N$3:$P$83,3,FALSE)</f>
        <v>3</v>
      </c>
      <c r="N31" s="61"/>
      <c r="O31" s="61">
        <f>VLOOKUP($B31,Datos_SPIKA!$N$3:$P$83,3,FALSE)</f>
        <v>3</v>
      </c>
      <c r="P31" s="61">
        <f>VLOOKUP($B31,Datos_SPIKA!$N$3:$P$83,3,FALSE)</f>
        <v>3</v>
      </c>
      <c r="Q31" s="61">
        <f>VLOOKUP($B31,Datos_SPIKA!$N$3:$P$83,3,FALSE)</f>
        <v>3</v>
      </c>
      <c r="R31" s="61">
        <f>VLOOKUP($B31,Datos_SPIKA!$N$3:$P$83,3,FALSE)</f>
        <v>3</v>
      </c>
      <c r="S31" s="61">
        <f>VLOOKUP($B31,Datos_SPIKA!$N$3:$P$83,3,FALSE)</f>
        <v>3</v>
      </c>
      <c r="T31" s="61">
        <f>VLOOKUP($B31,Datos_SPIKA!$N$3:$P$83,3,FALSE)</f>
        <v>3</v>
      </c>
      <c r="U31" s="61"/>
      <c r="V31" s="61"/>
      <c r="W31" s="61"/>
      <c r="X31" s="61">
        <f>VLOOKUP($B31,Datos_SPIKA!$N$3:$P$83,3,FALSE)</f>
        <v>3</v>
      </c>
      <c r="Y31" s="61">
        <f>VLOOKUP($B31,Datos_SPIKA!$N$3:$P$83,3,FALSE)</f>
        <v>3</v>
      </c>
      <c r="Z31" s="61">
        <f>VLOOKUP($B31,Datos_SPIKA!$N$3:$P$83,3,FALSE)</f>
        <v>3</v>
      </c>
      <c r="AA31" s="61"/>
      <c r="AB31" s="61"/>
    </row>
    <row r="32" spans="1:28" ht="28.5" customHeight="1">
      <c r="A32" s="93">
        <f t="shared" si="1"/>
        <v>13</v>
      </c>
      <c r="B32" s="20" t="s">
        <v>194</v>
      </c>
      <c r="C32" s="37" t="str">
        <f>VLOOKUP(B32,Datos_SPIKA!N29:P110,2,0)</f>
        <v>Cumplimiento de políticas, normas, procesos operativos y estándares de seguridad</v>
      </c>
      <c r="D32" s="61"/>
      <c r="E32" s="61">
        <f>VLOOKUP($B32,Datos_SPIKA!$N$3:$P$83,3,FALSE)</f>
        <v>3</v>
      </c>
      <c r="F32" s="61">
        <f>VLOOKUP($B32,Datos_SPIKA!$N$3:$P$83,3,FALSE)</f>
        <v>3</v>
      </c>
      <c r="G32" s="61">
        <f>VLOOKUP($B32,Datos_SPIKA!$N$3:$P$83,3,FALSE)</f>
        <v>3</v>
      </c>
      <c r="H32" s="61">
        <f>VLOOKUP($B32,Datos_SPIKA!$N$3:$P$83,3,FALSE)</f>
        <v>3</v>
      </c>
      <c r="I32" s="61">
        <f>VLOOKUP($B32,Datos_SPIKA!$N$3:$P$83,3,FALSE)</f>
        <v>3</v>
      </c>
      <c r="J32" s="61"/>
      <c r="K32" s="61">
        <f>VLOOKUP($B32,Datos_SPIKA!$N$3:$P$83,3,FALSE)</f>
        <v>3</v>
      </c>
      <c r="L32" s="61">
        <f>VLOOKUP($B32,Datos_SPIKA!$N$3:$P$83,3,FALSE)</f>
        <v>3</v>
      </c>
      <c r="M32" s="61">
        <f>VLOOKUP($B32,Datos_SPIKA!$N$3:$P$83,3,FALSE)</f>
        <v>3</v>
      </c>
      <c r="N32" s="61"/>
      <c r="O32" s="61"/>
      <c r="P32" s="61"/>
      <c r="Q32" s="61"/>
      <c r="R32" s="61">
        <f>VLOOKUP($B32,Datos_SPIKA!$N$3:$P$83,3,FALSE)</f>
        <v>3</v>
      </c>
      <c r="S32" s="61"/>
      <c r="T32" s="61"/>
      <c r="U32" s="61">
        <f>VLOOKUP($B32,Datos_SPIKA!$N$3:$P$83,3,FALSE)</f>
        <v>3</v>
      </c>
      <c r="V32" s="61"/>
      <c r="W32" s="61"/>
      <c r="X32" s="61">
        <f>VLOOKUP($B32,Datos_SPIKA!$N$3:$P$83,3,FALSE)</f>
        <v>3</v>
      </c>
      <c r="Y32" s="61"/>
      <c r="Z32" s="61"/>
      <c r="AA32" s="61">
        <f>VLOOKUP($B32,Datos_SPIKA!$N$3:$P$83,3,FALSE)</f>
        <v>3</v>
      </c>
      <c r="AB32" s="61">
        <f>VLOOKUP($B32,Datos_SPIKA!$N$3:$P$83,3,FALSE)</f>
        <v>3</v>
      </c>
    </row>
    <row r="33" spans="1:28" ht="28.5" customHeight="1">
      <c r="A33" s="93">
        <f t="shared" si="1"/>
        <v>14</v>
      </c>
      <c r="B33" s="20" t="s">
        <v>196</v>
      </c>
      <c r="C33" s="37" t="str">
        <f>VLOOKUP(B33,Datos_SPIKA!N30:P111,2,0)</f>
        <v>Screening</v>
      </c>
      <c r="D33" s="61"/>
      <c r="E33" s="61">
        <f>VLOOKUP($B33,Datos_SPIKA!$N$3:$P$83,3,FALSE)</f>
        <v>3</v>
      </c>
      <c r="F33" s="61">
        <f>VLOOKUP($B33,Datos_SPIKA!$N$3:$P$83,3,FALSE)</f>
        <v>3</v>
      </c>
      <c r="G33" s="61">
        <f>VLOOKUP($B33,Datos_SPIKA!$N$3:$P$83,3,FALSE)</f>
        <v>3</v>
      </c>
      <c r="H33" s="61">
        <f>VLOOKUP($B33,Datos_SPIKA!$N$3:$P$83,3,FALSE)</f>
        <v>3</v>
      </c>
      <c r="I33" s="61">
        <f>VLOOKUP($B33,Datos_SPIKA!$N$3:$P$83,3,FALSE)</f>
        <v>3</v>
      </c>
      <c r="J33" s="61"/>
      <c r="K33" s="61"/>
      <c r="L33" s="61"/>
      <c r="M33" s="61">
        <f>VLOOKUP($B33,Datos_SPIKA!$N$3:$P$83,3,FALSE)</f>
        <v>3</v>
      </c>
      <c r="N33" s="61"/>
      <c r="O33" s="61">
        <f>VLOOKUP($B33,Datos_SPIKA!$N$3:$P$83,3,FALSE)</f>
        <v>3</v>
      </c>
      <c r="P33" s="61">
        <f>VLOOKUP($B33,Datos_SPIKA!$N$3:$P$83,3,FALSE)</f>
        <v>3</v>
      </c>
      <c r="Q33" s="61">
        <f>VLOOKUP($B33,Datos_SPIKA!$N$3:$P$83,3,FALSE)</f>
        <v>3</v>
      </c>
      <c r="R33" s="61">
        <f>VLOOKUP($B33,Datos_SPIKA!$N$3:$P$83,3,FALSE)</f>
        <v>3</v>
      </c>
      <c r="S33" s="61">
        <f>VLOOKUP($B33,Datos_SPIKA!$N$3:$P$83,3,FALSE)</f>
        <v>3</v>
      </c>
      <c r="T33" s="61">
        <f>VLOOKUP($B33,Datos_SPIKA!$N$3:$P$83,3,FALSE)</f>
        <v>3</v>
      </c>
      <c r="U33" s="61"/>
      <c r="V33" s="61"/>
      <c r="W33" s="61"/>
      <c r="X33" s="61">
        <f>VLOOKUP($B33,Datos_SPIKA!$N$3:$P$83,3,FALSE)</f>
        <v>3</v>
      </c>
      <c r="Y33" s="61">
        <f>VLOOKUP($B33,Datos_SPIKA!$N$3:$P$83,3,FALSE)</f>
        <v>3</v>
      </c>
      <c r="Z33" s="61"/>
      <c r="AA33" s="61"/>
      <c r="AB33" s="61"/>
    </row>
    <row r="34" spans="1:28" ht="28.5" customHeight="1">
      <c r="A34" s="93">
        <f t="shared" si="1"/>
        <v>9</v>
      </c>
      <c r="B34" s="20" t="s">
        <v>198</v>
      </c>
      <c r="C34" s="37" t="str">
        <f>VLOOKUP(B34,Datos_SPIKA!N31:P112,2,0)</f>
        <v xml:space="preserve">Términos y condiciones </v>
      </c>
      <c r="D34" s="61"/>
      <c r="E34" s="61"/>
      <c r="F34" s="61">
        <f>VLOOKUP($B34,Datos_SPIKA!$N$3:$P$83,3,FALSE)</f>
        <v>3</v>
      </c>
      <c r="G34" s="61">
        <f>VLOOKUP($B34,Datos_SPIKA!$N$3:$P$83,3,FALSE)</f>
        <v>3</v>
      </c>
      <c r="H34" s="61">
        <f>VLOOKUP($B34,Datos_SPIKA!$N$3:$P$83,3,FALSE)</f>
        <v>3</v>
      </c>
      <c r="I34" s="61"/>
      <c r="J34" s="61"/>
      <c r="K34" s="61"/>
      <c r="L34" s="61"/>
      <c r="M34" s="61"/>
      <c r="N34" s="61"/>
      <c r="O34" s="61">
        <f>VLOOKUP($B34,Datos_SPIKA!$N$3:$P$83,3,FALSE)</f>
        <v>3</v>
      </c>
      <c r="P34" s="61">
        <f>VLOOKUP($B34,Datos_SPIKA!$N$3:$P$83,3,FALSE)</f>
        <v>3</v>
      </c>
      <c r="Q34" s="61"/>
      <c r="R34" s="61"/>
      <c r="S34" s="61">
        <f>VLOOKUP($B34,Datos_SPIKA!$N$3:$P$83,3,FALSE)</f>
        <v>3</v>
      </c>
      <c r="T34" s="61"/>
      <c r="U34" s="61"/>
      <c r="V34" s="61">
        <f>VLOOKUP($B34,Datos_SPIKA!$N$3:$P$83,3,FALSE)</f>
        <v>3</v>
      </c>
      <c r="W34" s="61">
        <f>VLOOKUP($B34,Datos_SPIKA!$N$3:$P$83,3,FALSE)</f>
        <v>3</v>
      </c>
      <c r="X34" s="61">
        <f>VLOOKUP($B34,Datos_SPIKA!$N$3:$P$83,3,FALSE)</f>
        <v>3</v>
      </c>
      <c r="Y34" s="61"/>
      <c r="Z34" s="61"/>
      <c r="AA34" s="61"/>
      <c r="AB34" s="61"/>
    </row>
    <row r="35" spans="1:28" ht="28.5" customHeight="1">
      <c r="A35" s="93">
        <f t="shared" si="1"/>
        <v>9</v>
      </c>
      <c r="B35" s="20" t="s">
        <v>200</v>
      </c>
      <c r="C35" s="37" t="str">
        <f>VLOOKUP(B35,Datos_SPIKA!N32:P113,2,0)</f>
        <v>Concienciación y training sobre seguridad de la información</v>
      </c>
      <c r="D35" s="61"/>
      <c r="E35" s="61"/>
      <c r="F35" s="61">
        <f>VLOOKUP($B35,Datos_SPIKA!$N$3:$P$83,3,FALSE)</f>
        <v>3.5</v>
      </c>
      <c r="G35" s="61">
        <f>VLOOKUP($B35,Datos_SPIKA!$N$3:$P$83,3,FALSE)</f>
        <v>3.5</v>
      </c>
      <c r="H35" s="61">
        <f>VLOOKUP($B35,Datos_SPIKA!$N$3:$P$83,3,FALSE)</f>
        <v>3.5</v>
      </c>
      <c r="I35" s="61"/>
      <c r="J35" s="61"/>
      <c r="K35" s="61"/>
      <c r="L35" s="61"/>
      <c r="M35" s="61"/>
      <c r="N35" s="61"/>
      <c r="O35" s="61">
        <f>VLOOKUP($B35,Datos_SPIKA!$N$3:$P$83,3,FALSE)</f>
        <v>3.5</v>
      </c>
      <c r="P35" s="61">
        <f>VLOOKUP($B35,Datos_SPIKA!$N$3:$P$83,3,FALSE)</f>
        <v>3.5</v>
      </c>
      <c r="Q35" s="61"/>
      <c r="R35" s="61"/>
      <c r="S35" s="61">
        <f>VLOOKUP($B35,Datos_SPIKA!$N$3:$P$83,3,FALSE)</f>
        <v>3.5</v>
      </c>
      <c r="T35" s="61"/>
      <c r="U35" s="61"/>
      <c r="V35" s="61">
        <f>VLOOKUP($B35,Datos_SPIKA!$N$3:$P$83,3,FALSE)</f>
        <v>3.5</v>
      </c>
      <c r="W35" s="61">
        <f>VLOOKUP($B35,Datos_SPIKA!$N$3:$P$83,3,FALSE)</f>
        <v>3.5</v>
      </c>
      <c r="X35" s="61">
        <f>VLOOKUP($B35,Datos_SPIKA!$N$3:$P$83,3,FALSE)</f>
        <v>3.5</v>
      </c>
      <c r="Y35" s="61"/>
      <c r="Z35" s="61"/>
      <c r="AA35" s="61"/>
      <c r="AB35" s="61"/>
    </row>
    <row r="36" spans="1:28" ht="28.5" customHeight="1">
      <c r="A36" s="93">
        <f t="shared" si="1"/>
        <v>9</v>
      </c>
      <c r="B36" s="20" t="s">
        <v>202</v>
      </c>
      <c r="C36" s="37" t="str">
        <f>VLOOKUP(B36,Datos_SPIKA!N33:P114,2,0)</f>
        <v>Proceso disciplinario</v>
      </c>
      <c r="D36" s="61"/>
      <c r="E36" s="61"/>
      <c r="F36" s="61">
        <f>VLOOKUP($B36,Datos_SPIKA!$N$3:$P$83,3,FALSE)</f>
        <v>2</v>
      </c>
      <c r="G36" s="61">
        <f>VLOOKUP($B36,Datos_SPIKA!$N$3:$P$83,3,FALSE)</f>
        <v>2</v>
      </c>
      <c r="H36" s="61">
        <f>VLOOKUP($B36,Datos_SPIKA!$N$3:$P$83,3,FALSE)</f>
        <v>2</v>
      </c>
      <c r="I36" s="61"/>
      <c r="J36" s="61"/>
      <c r="K36" s="61"/>
      <c r="L36" s="61"/>
      <c r="M36" s="61"/>
      <c r="N36" s="61"/>
      <c r="O36" s="61">
        <f>VLOOKUP($B36,Datos_SPIKA!$N$3:$P$83,3,FALSE)</f>
        <v>2</v>
      </c>
      <c r="P36" s="61">
        <f>VLOOKUP($B36,Datos_SPIKA!$N$3:$P$83,3,FALSE)</f>
        <v>2</v>
      </c>
      <c r="Q36" s="61"/>
      <c r="R36" s="61"/>
      <c r="S36" s="61">
        <f>VLOOKUP($B36,Datos_SPIKA!$N$3:$P$83,3,FALSE)</f>
        <v>2</v>
      </c>
      <c r="T36" s="61"/>
      <c r="U36" s="61"/>
      <c r="V36" s="61">
        <f>VLOOKUP($B36,Datos_SPIKA!$N$3:$P$83,3,FALSE)</f>
        <v>2</v>
      </c>
      <c r="W36" s="61">
        <f>VLOOKUP($B36,Datos_SPIKA!$N$3:$P$83,3,FALSE)</f>
        <v>2</v>
      </c>
      <c r="X36" s="61">
        <f>VLOOKUP($B36,Datos_SPIKA!$N$3:$P$83,3,FALSE)</f>
        <v>2</v>
      </c>
      <c r="Y36" s="61"/>
      <c r="Z36" s="61"/>
      <c r="AA36" s="61"/>
      <c r="AB36" s="61"/>
    </row>
    <row r="37" spans="1:28" ht="28.5" customHeight="1">
      <c r="A37" s="93">
        <f t="shared" ref="A37:A67" si="2">COUNTA(D37:AB37)</f>
        <v>7</v>
      </c>
      <c r="B37" s="20" t="s">
        <v>204</v>
      </c>
      <c r="C37" s="37" t="str">
        <f>VLOOKUP(B37,Datos_SPIKA!N34:P115,2,0)</f>
        <v>Responsabilidades a la finalización de la relación laboral</v>
      </c>
      <c r="D37" s="61"/>
      <c r="E37" s="61">
        <f>VLOOKUP($B37,Datos_SPIKA!$N$3:$P$83,3,FALSE)</f>
        <v>3</v>
      </c>
      <c r="F37" s="61">
        <f>VLOOKUP($B37,Datos_SPIKA!$N$3:$P$83,3,FALSE)</f>
        <v>3</v>
      </c>
      <c r="G37" s="61">
        <f>VLOOKUP($B37,Datos_SPIKA!$N$3:$P$83,3,FALSE)</f>
        <v>3</v>
      </c>
      <c r="H37" s="61"/>
      <c r="I37" s="61"/>
      <c r="J37" s="61"/>
      <c r="K37" s="61"/>
      <c r="L37" s="61"/>
      <c r="M37" s="61"/>
      <c r="N37" s="61"/>
      <c r="O37" s="61"/>
      <c r="P37" s="61"/>
      <c r="Q37" s="61"/>
      <c r="R37" s="61"/>
      <c r="S37" s="61">
        <f>VLOOKUP($B37,Datos_SPIKA!$N$3:$P$83,3,FALSE)</f>
        <v>3</v>
      </c>
      <c r="T37" s="61"/>
      <c r="U37" s="61"/>
      <c r="V37" s="61">
        <f>VLOOKUP($B37,Datos_SPIKA!$N$3:$P$83,3,FALSE)</f>
        <v>3</v>
      </c>
      <c r="W37" s="61">
        <f>VLOOKUP($B37,Datos_SPIKA!$N$3:$P$83,3,FALSE)</f>
        <v>3</v>
      </c>
      <c r="X37" s="61">
        <f>VLOOKUP($B37,Datos_SPIKA!$N$3:$P$83,3,FALSE)</f>
        <v>3</v>
      </c>
      <c r="Y37" s="61"/>
      <c r="Z37" s="61"/>
      <c r="AA37" s="61"/>
      <c r="AB37" s="61"/>
    </row>
    <row r="38" spans="1:28" ht="28.5" customHeight="1">
      <c r="A38" s="93">
        <f t="shared" si="2"/>
        <v>10</v>
      </c>
      <c r="B38" s="20" t="s">
        <v>206</v>
      </c>
      <c r="C38" s="37" t="str">
        <f>VLOOKUP(B38,Datos_SPIKA!N35:P116,2,0)</f>
        <v>Confidencialidad o NDAs</v>
      </c>
      <c r="D38" s="61"/>
      <c r="E38" s="61">
        <f>VLOOKUP($B38,Datos_SPIKA!$N$3:$P$83,3,FALSE)</f>
        <v>4</v>
      </c>
      <c r="F38" s="61"/>
      <c r="G38" s="61"/>
      <c r="H38" s="61"/>
      <c r="I38" s="61">
        <f>VLOOKUP($B38,Datos_SPIKA!$N$3:$P$83,3,FALSE)</f>
        <v>4</v>
      </c>
      <c r="J38" s="61"/>
      <c r="K38" s="61"/>
      <c r="L38" s="61"/>
      <c r="M38" s="61"/>
      <c r="N38" s="61"/>
      <c r="O38" s="61">
        <f>VLOOKUP($B38,Datos_SPIKA!$N$3:$P$83,3,FALSE)</f>
        <v>4</v>
      </c>
      <c r="P38" s="61">
        <f>VLOOKUP($B38,Datos_SPIKA!$N$3:$P$83,3,FALSE)</f>
        <v>4</v>
      </c>
      <c r="Q38" s="61">
        <f>VLOOKUP($B38,Datos_SPIKA!$N$3:$P$83,3,FALSE)</f>
        <v>4</v>
      </c>
      <c r="R38" s="61"/>
      <c r="S38" s="61"/>
      <c r="T38" s="61"/>
      <c r="U38" s="61"/>
      <c r="V38" s="61">
        <f>VLOOKUP($B38,Datos_SPIKA!$N$3:$P$83,3,FALSE)</f>
        <v>4</v>
      </c>
      <c r="W38" s="61"/>
      <c r="X38" s="61">
        <f>VLOOKUP($B38,Datos_SPIKA!$N$3:$P$83,3,FALSE)</f>
        <v>4</v>
      </c>
      <c r="Y38" s="61">
        <f>VLOOKUP($B38,Datos_SPIKA!$N$3:$P$83,3,FALSE)</f>
        <v>4</v>
      </c>
      <c r="Z38" s="61"/>
      <c r="AA38" s="61">
        <f>VLOOKUP($B38,Datos_SPIKA!$N$3:$P$83,3,FALSE)</f>
        <v>4</v>
      </c>
      <c r="AB38" s="61">
        <f>VLOOKUP($B38,Datos_SPIKA!$N$3:$P$83,3,FALSE)</f>
        <v>4</v>
      </c>
    </row>
    <row r="39" spans="1:28" ht="28.5" customHeight="1">
      <c r="A39" s="93">
        <f t="shared" si="2"/>
        <v>9</v>
      </c>
      <c r="B39" s="20" t="s">
        <v>208</v>
      </c>
      <c r="C39" s="37" t="str">
        <f>VLOOKUP(B39,Datos_SPIKA!N36:P117,2,0)</f>
        <v>Teletrabajo</v>
      </c>
      <c r="D39" s="61"/>
      <c r="E39" s="61">
        <f>VLOOKUP($B39,Datos_SPIKA!$N$3:$P$83,3,FALSE)</f>
        <v>2.5</v>
      </c>
      <c r="F39" s="61"/>
      <c r="G39" s="61"/>
      <c r="H39" s="61"/>
      <c r="I39" s="61"/>
      <c r="J39" s="61">
        <f>VLOOKUP($B39,Datos_SPIKA!$N$3:$P$83,3,FALSE)</f>
        <v>2.5</v>
      </c>
      <c r="K39" s="61">
        <f>VLOOKUP($B39,Datos_SPIKA!$N$3:$P$83,3,FALSE)</f>
        <v>2.5</v>
      </c>
      <c r="L39" s="61"/>
      <c r="M39" s="61">
        <f>VLOOKUP($B39,Datos_SPIKA!$N$3:$P$83,3,FALSE)</f>
        <v>2.5</v>
      </c>
      <c r="N39" s="61">
        <f>VLOOKUP($B39,Datos_SPIKA!$N$3:$P$83,3,FALSE)</f>
        <v>2.5</v>
      </c>
      <c r="O39" s="61"/>
      <c r="P39" s="61"/>
      <c r="Q39" s="61">
        <f>VLOOKUP($B39,Datos_SPIKA!$N$3:$P$83,3,FALSE)</f>
        <v>2.5</v>
      </c>
      <c r="R39" s="61"/>
      <c r="S39" s="61"/>
      <c r="T39" s="61"/>
      <c r="U39" s="61">
        <f>VLOOKUP($B39,Datos_SPIKA!$N$3:$P$83,3,FALSE)</f>
        <v>2.5</v>
      </c>
      <c r="V39" s="61"/>
      <c r="W39" s="61"/>
      <c r="X39" s="61">
        <f>VLOOKUP($B39,Datos_SPIKA!$N$3:$P$83,3,FALSE)</f>
        <v>2.5</v>
      </c>
      <c r="Y39" s="61">
        <f>VLOOKUP($B39,Datos_SPIKA!$N$3:$P$83,3,FALSE)</f>
        <v>2.5</v>
      </c>
      <c r="Z39" s="61"/>
      <c r="AA39" s="61"/>
      <c r="AB39" s="61"/>
    </row>
    <row r="40" spans="1:28" ht="28.5" customHeight="1">
      <c r="A40" s="93">
        <f t="shared" si="2"/>
        <v>10</v>
      </c>
      <c r="B40" s="20" t="s">
        <v>210</v>
      </c>
      <c r="C40" s="37" t="str">
        <f>VLOOKUP(B40,Datos_SPIKA!N37:P118,2,0)</f>
        <v>Reporting de eventos de seguridad - Notifiación por los canales adecuados</v>
      </c>
      <c r="D40" s="61"/>
      <c r="E40" s="61">
        <f>VLOOKUP($B40,Datos_SPIKA!$N$3:$P$83,3,FALSE)</f>
        <v>3.5</v>
      </c>
      <c r="F40" s="61">
        <f>VLOOKUP($B40,Datos_SPIKA!$N$3:$P$83,3,FALSE)</f>
        <v>3.5</v>
      </c>
      <c r="G40" s="61">
        <f>VLOOKUP($B40,Datos_SPIKA!$N$3:$P$83,3,FALSE)</f>
        <v>3.5</v>
      </c>
      <c r="H40" s="61"/>
      <c r="I40" s="61">
        <f>VLOOKUP($B40,Datos_SPIKA!$N$3:$P$83,3,FALSE)</f>
        <v>3.5</v>
      </c>
      <c r="J40" s="61"/>
      <c r="K40" s="61"/>
      <c r="L40" s="61"/>
      <c r="M40" s="61"/>
      <c r="N40" s="61"/>
      <c r="O40" s="61">
        <f>VLOOKUP($B40,Datos_SPIKA!$N$3:$P$83,3,FALSE)</f>
        <v>3.5</v>
      </c>
      <c r="P40" s="61">
        <f>VLOOKUP($B40,Datos_SPIKA!$N$3:$P$83,3,FALSE)</f>
        <v>3.5</v>
      </c>
      <c r="Q40" s="61">
        <f>VLOOKUP($B40,Datos_SPIKA!$N$3:$P$83,3,FALSE)</f>
        <v>3.5</v>
      </c>
      <c r="R40" s="61"/>
      <c r="S40" s="61"/>
      <c r="T40" s="61"/>
      <c r="U40" s="61">
        <f>VLOOKUP($B40,Datos_SPIKA!$N$3:$P$83,3,FALSE)</f>
        <v>3.5</v>
      </c>
      <c r="V40" s="61"/>
      <c r="W40" s="61"/>
      <c r="X40" s="61"/>
      <c r="Y40" s="61"/>
      <c r="Z40" s="61"/>
      <c r="AA40" s="61">
        <f>VLOOKUP($B40,Datos_SPIKA!$N$3:$P$83,3,FALSE)</f>
        <v>3.5</v>
      </c>
      <c r="AB40" s="61">
        <f>VLOOKUP($B40,Datos_SPIKA!$N$3:$P$83,3,FALSE)</f>
        <v>3.5</v>
      </c>
    </row>
    <row r="41" spans="1:28" ht="28.5" customHeight="1">
      <c r="A41" s="93">
        <f t="shared" si="2"/>
        <v>11</v>
      </c>
      <c r="B41" s="20" t="s">
        <v>212</v>
      </c>
      <c r="C41" s="37" t="str">
        <f>VLOOKUP(B41,Datos_SPIKA!N38:P119,2,0)</f>
        <v>Perímetros físicos de seguridad</v>
      </c>
      <c r="D41" s="61"/>
      <c r="E41" s="61">
        <f>VLOOKUP($B41,Datos_SPIKA!$N$3:$P$83,3,FALSE)</f>
        <v>2.5</v>
      </c>
      <c r="F41" s="61">
        <f>VLOOKUP($B41,Datos_SPIKA!$N$3:$P$83,3,FALSE)</f>
        <v>2.5</v>
      </c>
      <c r="G41" s="61">
        <f>VLOOKUP($B41,Datos_SPIKA!$N$3:$P$83,3,FALSE)</f>
        <v>2.5</v>
      </c>
      <c r="H41" s="61">
        <f>VLOOKUP($B41,Datos_SPIKA!$N$3:$P$83,3,FALSE)</f>
        <v>2.5</v>
      </c>
      <c r="I41" s="61">
        <f>VLOOKUP($B41,Datos_SPIKA!$N$3:$P$83,3,FALSE)</f>
        <v>2.5</v>
      </c>
      <c r="J41" s="61">
        <f>VLOOKUP($B41,Datos_SPIKA!$N$3:$P$83,3,FALSE)</f>
        <v>2.5</v>
      </c>
      <c r="K41" s="61">
        <f>VLOOKUP($B41,Datos_SPIKA!$N$3:$P$83,3,FALSE)</f>
        <v>2.5</v>
      </c>
      <c r="L41" s="61">
        <f>VLOOKUP($B41,Datos_SPIKA!$N$3:$P$83,3,FALSE)</f>
        <v>2.5</v>
      </c>
      <c r="M41" s="61">
        <f>VLOOKUP($B41,Datos_SPIKA!$N$3:$P$83,3,FALSE)</f>
        <v>2.5</v>
      </c>
      <c r="N41" s="61"/>
      <c r="O41" s="61"/>
      <c r="P41" s="61"/>
      <c r="Q41" s="61"/>
      <c r="R41" s="61"/>
      <c r="S41" s="61"/>
      <c r="T41" s="61"/>
      <c r="U41" s="61"/>
      <c r="V41" s="61"/>
      <c r="W41" s="61"/>
      <c r="X41" s="61">
        <f>VLOOKUP($B41,Datos_SPIKA!$N$3:$P$83,3,FALSE)</f>
        <v>2.5</v>
      </c>
      <c r="Y41" s="61">
        <f>VLOOKUP($B41,Datos_SPIKA!$N$3:$P$83,3,FALSE)</f>
        <v>2.5</v>
      </c>
      <c r="Z41" s="61"/>
      <c r="AA41" s="61"/>
      <c r="AB41" s="61"/>
    </row>
    <row r="42" spans="1:28" ht="28.5" customHeight="1">
      <c r="A42" s="93">
        <f t="shared" si="2"/>
        <v>11</v>
      </c>
      <c r="B42" s="20" t="s">
        <v>214</v>
      </c>
      <c r="C42" s="37" t="str">
        <f>VLOOKUP(B42,Datos_SPIKA!N39:P120,2,0)</f>
        <v>Entrada física</v>
      </c>
      <c r="D42" s="61"/>
      <c r="E42" s="61">
        <f>VLOOKUP($B42,Datos_SPIKA!$N$3:$P$83,3,FALSE)</f>
        <v>2.5</v>
      </c>
      <c r="F42" s="61">
        <f>VLOOKUP($B42,Datos_SPIKA!$N$3:$P$83,3,FALSE)</f>
        <v>2.5</v>
      </c>
      <c r="G42" s="61">
        <f>VLOOKUP($B42,Datos_SPIKA!$N$3:$P$83,3,FALSE)</f>
        <v>2.5</v>
      </c>
      <c r="H42" s="61">
        <f>VLOOKUP($B42,Datos_SPIKA!$N$3:$P$83,3,FALSE)</f>
        <v>2.5</v>
      </c>
      <c r="I42" s="61">
        <f>VLOOKUP($B42,Datos_SPIKA!$N$3:$P$83,3,FALSE)</f>
        <v>2.5</v>
      </c>
      <c r="J42" s="61">
        <f>VLOOKUP($B42,Datos_SPIKA!$N$3:$P$83,3,FALSE)</f>
        <v>2.5</v>
      </c>
      <c r="K42" s="61">
        <f>VLOOKUP($B42,Datos_SPIKA!$N$3:$P$83,3,FALSE)</f>
        <v>2.5</v>
      </c>
      <c r="L42" s="61">
        <f>VLOOKUP($B42,Datos_SPIKA!$N$3:$P$83,3,FALSE)</f>
        <v>2.5</v>
      </c>
      <c r="M42" s="61">
        <f>VLOOKUP($B42,Datos_SPIKA!$N$3:$P$83,3,FALSE)</f>
        <v>2.5</v>
      </c>
      <c r="N42" s="61"/>
      <c r="O42" s="61"/>
      <c r="P42" s="61"/>
      <c r="Q42" s="61"/>
      <c r="R42" s="61"/>
      <c r="S42" s="61"/>
      <c r="T42" s="61"/>
      <c r="U42" s="61"/>
      <c r="V42" s="61"/>
      <c r="W42" s="61"/>
      <c r="X42" s="61">
        <f>VLOOKUP($B42,Datos_SPIKA!$N$3:$P$83,3,FALSE)</f>
        <v>2.5</v>
      </c>
      <c r="Y42" s="61">
        <f>VLOOKUP($B42,Datos_SPIKA!$N$3:$P$83,3,FALSE)</f>
        <v>2.5</v>
      </c>
      <c r="Z42" s="61"/>
      <c r="AA42" s="61"/>
      <c r="AB42" s="61"/>
    </row>
    <row r="43" spans="1:28" ht="28.5" customHeight="1">
      <c r="A43" s="93">
        <f t="shared" si="2"/>
        <v>11</v>
      </c>
      <c r="B43" s="20" t="s">
        <v>216</v>
      </c>
      <c r="C43" s="37" t="str">
        <f>VLOOKUP(B43,Datos_SPIKA!N40:P121,2,0)</f>
        <v>Seguridad en oficinas e instalaciones.</v>
      </c>
      <c r="D43" s="61"/>
      <c r="E43" s="61">
        <f>VLOOKUP($B43,Datos_SPIKA!$N$3:$P$83,3,FALSE)</f>
        <v>2.5</v>
      </c>
      <c r="F43" s="61">
        <f>VLOOKUP($B43,Datos_SPIKA!$N$3:$P$83,3,FALSE)</f>
        <v>2.5</v>
      </c>
      <c r="G43" s="61">
        <f>VLOOKUP($B43,Datos_SPIKA!$N$3:$P$83,3,FALSE)</f>
        <v>2.5</v>
      </c>
      <c r="H43" s="61">
        <f>VLOOKUP($B43,Datos_SPIKA!$N$3:$P$83,3,FALSE)</f>
        <v>2.5</v>
      </c>
      <c r="I43" s="61">
        <f>VLOOKUP($B43,Datos_SPIKA!$N$3:$P$83,3,FALSE)</f>
        <v>2.5</v>
      </c>
      <c r="J43" s="61">
        <f>VLOOKUP($B43,Datos_SPIKA!$N$3:$P$83,3,FALSE)</f>
        <v>2.5</v>
      </c>
      <c r="K43" s="61">
        <f>VLOOKUP($B43,Datos_SPIKA!$N$3:$P$83,3,FALSE)</f>
        <v>2.5</v>
      </c>
      <c r="L43" s="61">
        <f>VLOOKUP($B43,Datos_SPIKA!$N$3:$P$83,3,FALSE)</f>
        <v>2.5</v>
      </c>
      <c r="M43" s="61">
        <f>VLOOKUP($B43,Datos_SPIKA!$N$3:$P$83,3,FALSE)</f>
        <v>2.5</v>
      </c>
      <c r="N43" s="61"/>
      <c r="O43" s="61"/>
      <c r="P43" s="61"/>
      <c r="Q43" s="61"/>
      <c r="R43" s="61"/>
      <c r="S43" s="61"/>
      <c r="T43" s="61"/>
      <c r="U43" s="61"/>
      <c r="V43" s="61"/>
      <c r="W43" s="61"/>
      <c r="X43" s="61">
        <f>VLOOKUP($B43,Datos_SPIKA!$N$3:$P$83,3,FALSE)</f>
        <v>2.5</v>
      </c>
      <c r="Y43" s="61">
        <f>VLOOKUP($B43,Datos_SPIKA!$N$3:$P$83,3,FALSE)</f>
        <v>2.5</v>
      </c>
      <c r="Z43" s="61"/>
      <c r="AA43" s="61"/>
      <c r="AB43" s="61"/>
    </row>
    <row r="44" spans="1:28" ht="28.5" customHeight="1">
      <c r="A44" s="93">
        <f t="shared" si="2"/>
        <v>11</v>
      </c>
      <c r="B44" s="20" t="s">
        <v>218</v>
      </c>
      <c r="C44" s="37" t="str">
        <f>VLOOKUP(B44,Datos_SPIKA!N41:P122,2,0)</f>
        <v>Monitoreo de seguridad física</v>
      </c>
      <c r="D44" s="61"/>
      <c r="E44" s="61">
        <f>VLOOKUP($B44,Datos_SPIKA!$N$3:$P$83,3,FALSE)</f>
        <v>2</v>
      </c>
      <c r="F44" s="61">
        <f>VLOOKUP($B44,Datos_SPIKA!$N$3:$P$83,3,FALSE)</f>
        <v>2</v>
      </c>
      <c r="G44" s="61">
        <f>VLOOKUP($B44,Datos_SPIKA!$N$3:$P$83,3,FALSE)</f>
        <v>2</v>
      </c>
      <c r="H44" s="61">
        <f>VLOOKUP($B44,Datos_SPIKA!$N$3:$P$83,3,FALSE)</f>
        <v>2</v>
      </c>
      <c r="I44" s="61">
        <f>VLOOKUP($B44,Datos_SPIKA!$N$3:$P$83,3,FALSE)</f>
        <v>2</v>
      </c>
      <c r="J44" s="61">
        <f>VLOOKUP($B44,Datos_SPIKA!$N$3:$P$83,3,FALSE)</f>
        <v>2</v>
      </c>
      <c r="K44" s="61">
        <f>VLOOKUP($B44,Datos_SPIKA!$N$3:$P$83,3,FALSE)</f>
        <v>2</v>
      </c>
      <c r="L44" s="61">
        <f>VLOOKUP($B44,Datos_SPIKA!$N$3:$P$83,3,FALSE)</f>
        <v>2</v>
      </c>
      <c r="M44" s="61">
        <f>VLOOKUP($B44,Datos_SPIKA!$N$3:$P$83,3,FALSE)</f>
        <v>2</v>
      </c>
      <c r="N44" s="61"/>
      <c r="O44" s="61"/>
      <c r="P44" s="61"/>
      <c r="Q44" s="61"/>
      <c r="R44" s="61"/>
      <c r="S44" s="61"/>
      <c r="T44" s="61"/>
      <c r="U44" s="61"/>
      <c r="V44" s="61"/>
      <c r="W44" s="61"/>
      <c r="X44" s="61">
        <f>VLOOKUP($B44,Datos_SPIKA!$N$3:$P$83,3,FALSE)</f>
        <v>2</v>
      </c>
      <c r="Y44" s="61">
        <f>VLOOKUP($B44,Datos_SPIKA!$N$3:$P$83,3,FALSE)</f>
        <v>2</v>
      </c>
      <c r="Z44" s="61"/>
      <c r="AA44" s="61"/>
      <c r="AB44" s="61"/>
    </row>
    <row r="45" spans="1:28" ht="28.5" customHeight="1">
      <c r="A45" s="93">
        <f t="shared" si="2"/>
        <v>9</v>
      </c>
      <c r="B45" s="20" t="s">
        <v>220</v>
      </c>
      <c r="C45" s="37" t="str">
        <f>VLOOKUP(B45,Datos_SPIKA!N42:P123,2,0)</f>
        <v>Protección ante amenazas físicas y medioambientales</v>
      </c>
      <c r="D45" s="61">
        <f>VLOOKUP($B45,Datos_SPIKA!$N$3:$P$83,3,FALSE)</f>
        <v>3</v>
      </c>
      <c r="E45" s="61"/>
      <c r="F45" s="61"/>
      <c r="G45" s="61"/>
      <c r="H45" s="61">
        <f>VLOOKUP($B45,Datos_SPIKA!$N$3:$P$83,3,FALSE)</f>
        <v>3</v>
      </c>
      <c r="I45" s="61"/>
      <c r="J45" s="61">
        <f>VLOOKUP($B45,Datos_SPIKA!$N$3:$P$83,3,FALSE)</f>
        <v>3</v>
      </c>
      <c r="K45" s="61">
        <f>VLOOKUP($B45,Datos_SPIKA!$N$3:$P$83,3,FALSE)</f>
        <v>3</v>
      </c>
      <c r="L45" s="61">
        <f>VLOOKUP($B45,Datos_SPIKA!$N$3:$P$83,3,FALSE)</f>
        <v>3</v>
      </c>
      <c r="M45" s="61">
        <f>VLOOKUP($B45,Datos_SPIKA!$N$3:$P$83,3,FALSE)</f>
        <v>3</v>
      </c>
      <c r="N45" s="61"/>
      <c r="O45" s="61"/>
      <c r="P45" s="61"/>
      <c r="Q45" s="61"/>
      <c r="R45" s="61"/>
      <c r="S45" s="61"/>
      <c r="T45" s="61"/>
      <c r="U45" s="61">
        <f>VLOOKUP($B45,Datos_SPIKA!$N$3:$P$83,3,FALSE)</f>
        <v>3</v>
      </c>
      <c r="V45" s="61"/>
      <c r="W45" s="61"/>
      <c r="X45" s="61">
        <f>VLOOKUP($B45,Datos_SPIKA!$N$3:$P$83,3,FALSE)</f>
        <v>3</v>
      </c>
      <c r="Y45" s="61">
        <f>VLOOKUP($B45,Datos_SPIKA!$N$3:$P$83,3,FALSE)</f>
        <v>3</v>
      </c>
      <c r="Z45" s="61"/>
      <c r="AA45" s="61"/>
      <c r="AB45" s="61"/>
    </row>
    <row r="46" spans="1:28" ht="28.5" customHeight="1">
      <c r="A46" s="93">
        <f t="shared" si="2"/>
        <v>4</v>
      </c>
      <c r="B46" s="20" t="s">
        <v>222</v>
      </c>
      <c r="C46" s="37" t="str">
        <f>VLOOKUP(B46,Datos_SPIKA!N43:P124,2,0)</f>
        <v>Mesas y escritorios limpios</v>
      </c>
      <c r="D46" s="61">
        <f>VLOOKUP($B46,Datos_SPIKA!$N$3:$P$83,3,FALSE)</f>
        <v>3</v>
      </c>
      <c r="E46" s="61"/>
      <c r="F46" s="61"/>
      <c r="G46" s="61"/>
      <c r="H46" s="61"/>
      <c r="I46" s="61">
        <f>VLOOKUP($B46,Datos_SPIKA!$N$3:$P$83,3,FALSE)</f>
        <v>3</v>
      </c>
      <c r="J46" s="61"/>
      <c r="K46" s="61"/>
      <c r="L46" s="61"/>
      <c r="M46" s="61"/>
      <c r="N46" s="61"/>
      <c r="O46" s="61"/>
      <c r="P46" s="61"/>
      <c r="Q46" s="61"/>
      <c r="R46" s="61"/>
      <c r="S46" s="61"/>
      <c r="T46" s="61"/>
      <c r="U46" s="61">
        <f>VLOOKUP($B46,Datos_SPIKA!$N$3:$P$83,3,FALSE)</f>
        <v>3</v>
      </c>
      <c r="V46" s="61"/>
      <c r="W46" s="61"/>
      <c r="X46" s="61"/>
      <c r="Y46" s="61">
        <f>VLOOKUP($B46,Datos_SPIKA!$N$3:$P$83,3,FALSE)</f>
        <v>3</v>
      </c>
      <c r="Z46" s="61"/>
      <c r="AA46" s="61"/>
      <c r="AB46" s="61"/>
    </row>
    <row r="47" spans="1:28" ht="28.5" customHeight="1">
      <c r="A47" s="93">
        <f t="shared" si="2"/>
        <v>10</v>
      </c>
      <c r="B47" s="20" t="s">
        <v>224</v>
      </c>
      <c r="C47" s="37" t="str">
        <f>VLOOKUP(B47,Datos_SPIKA!N44:P125,2,0)</f>
        <v>Protección del equipamiento</v>
      </c>
      <c r="D47" s="61">
        <f>VLOOKUP($B47,Datos_SPIKA!$N$3:$P$83,3,FALSE)</f>
        <v>3</v>
      </c>
      <c r="E47" s="61"/>
      <c r="F47" s="61"/>
      <c r="G47" s="61"/>
      <c r="H47" s="61">
        <f>VLOOKUP($B47,Datos_SPIKA!$N$3:$P$83,3,FALSE)</f>
        <v>3</v>
      </c>
      <c r="I47" s="61"/>
      <c r="J47" s="61">
        <f>VLOOKUP($B47,Datos_SPIKA!$N$3:$P$83,3,FALSE)</f>
        <v>3</v>
      </c>
      <c r="K47" s="61">
        <f>VLOOKUP($B47,Datos_SPIKA!$N$3:$P$83,3,FALSE)</f>
        <v>3</v>
      </c>
      <c r="L47" s="61">
        <f>VLOOKUP($B47,Datos_SPIKA!$N$3:$P$83,3,FALSE)</f>
        <v>3</v>
      </c>
      <c r="M47" s="61">
        <f>VLOOKUP($B47,Datos_SPIKA!$N$3:$P$83,3,FALSE)</f>
        <v>3</v>
      </c>
      <c r="N47" s="61">
        <f>VLOOKUP($B47,Datos_SPIKA!$N$3:$P$83,3,FALSE)</f>
        <v>3</v>
      </c>
      <c r="O47" s="61"/>
      <c r="P47" s="61"/>
      <c r="Q47" s="61"/>
      <c r="R47" s="61"/>
      <c r="S47" s="61"/>
      <c r="T47" s="61"/>
      <c r="U47" s="61">
        <f>VLOOKUP($B47,Datos_SPIKA!$N$3:$P$83,3,FALSE)</f>
        <v>3</v>
      </c>
      <c r="V47" s="61"/>
      <c r="W47" s="61"/>
      <c r="X47" s="61">
        <f>VLOOKUP($B47,Datos_SPIKA!$N$3:$P$83,3,FALSE)</f>
        <v>3</v>
      </c>
      <c r="Y47" s="61">
        <f>VLOOKUP($B47,Datos_SPIKA!$N$3:$P$83,3,FALSE)</f>
        <v>3</v>
      </c>
      <c r="Z47" s="61"/>
      <c r="AA47" s="61"/>
      <c r="AB47" s="61"/>
    </row>
    <row r="48" spans="1:28" ht="28.5" customHeight="1">
      <c r="A48" s="93">
        <f t="shared" si="2"/>
        <v>10</v>
      </c>
      <c r="B48" s="20" t="s">
        <v>226</v>
      </c>
      <c r="C48" s="37" t="str">
        <f>VLOOKUP(B48,Datos_SPIKA!N45:P126,2,0)</f>
        <v>Seguridad de los activos off-premises</v>
      </c>
      <c r="D48" s="61">
        <f>VLOOKUP($B48,Datos_SPIKA!$N$3:$P$83,3,FALSE)</f>
        <v>3</v>
      </c>
      <c r="E48" s="61"/>
      <c r="F48" s="61"/>
      <c r="G48" s="61"/>
      <c r="H48" s="61">
        <f>VLOOKUP($B48,Datos_SPIKA!$N$3:$P$83,3,FALSE)</f>
        <v>3</v>
      </c>
      <c r="I48" s="61"/>
      <c r="J48" s="61">
        <f>VLOOKUP($B48,Datos_SPIKA!$N$3:$P$83,3,FALSE)</f>
        <v>3</v>
      </c>
      <c r="K48" s="61">
        <f>VLOOKUP($B48,Datos_SPIKA!$N$3:$P$83,3,FALSE)</f>
        <v>3</v>
      </c>
      <c r="L48" s="61">
        <f>VLOOKUP($B48,Datos_SPIKA!$N$3:$P$83,3,FALSE)</f>
        <v>3</v>
      </c>
      <c r="M48" s="61">
        <f>VLOOKUP($B48,Datos_SPIKA!$N$3:$P$83,3,FALSE)</f>
        <v>3</v>
      </c>
      <c r="N48" s="61">
        <f>VLOOKUP($B48,Datos_SPIKA!$N$3:$P$83,3,FALSE)</f>
        <v>3</v>
      </c>
      <c r="O48" s="61"/>
      <c r="P48" s="61"/>
      <c r="Q48" s="61"/>
      <c r="R48" s="61"/>
      <c r="S48" s="61"/>
      <c r="T48" s="61"/>
      <c r="U48" s="61">
        <f>VLOOKUP($B48,Datos_SPIKA!$N$3:$P$83,3,FALSE)</f>
        <v>3</v>
      </c>
      <c r="V48" s="61"/>
      <c r="W48" s="61"/>
      <c r="X48" s="61">
        <f>VLOOKUP($B48,Datos_SPIKA!$N$3:$P$83,3,FALSE)</f>
        <v>3</v>
      </c>
      <c r="Y48" s="61">
        <f>VLOOKUP($B48,Datos_SPIKA!$N$3:$P$83,3,FALSE)</f>
        <v>3</v>
      </c>
      <c r="Z48" s="61"/>
      <c r="AA48" s="61"/>
      <c r="AB48" s="61"/>
    </row>
    <row r="49" spans="1:28" ht="28.5" customHeight="1">
      <c r="A49" s="93">
        <f t="shared" si="2"/>
        <v>10</v>
      </c>
      <c r="B49" s="20" t="s">
        <v>228</v>
      </c>
      <c r="C49" s="37" t="str">
        <f>VLOOKUP(B49,Datos_SPIKA!N46:P127,2,0)</f>
        <v>Dispositivos de almacenamiento</v>
      </c>
      <c r="D49" s="61">
        <f>VLOOKUP($B49,Datos_SPIKA!$N$3:$P$83,3,FALSE)</f>
        <v>3.5</v>
      </c>
      <c r="E49" s="61"/>
      <c r="F49" s="61"/>
      <c r="G49" s="61"/>
      <c r="H49" s="61">
        <f>VLOOKUP($B49,Datos_SPIKA!$N$3:$P$83,3,FALSE)</f>
        <v>3.5</v>
      </c>
      <c r="I49" s="61"/>
      <c r="J49" s="61">
        <f>VLOOKUP($B49,Datos_SPIKA!$N$3:$P$83,3,FALSE)</f>
        <v>3.5</v>
      </c>
      <c r="K49" s="61">
        <f>VLOOKUP($B49,Datos_SPIKA!$N$3:$P$83,3,FALSE)</f>
        <v>3.5</v>
      </c>
      <c r="L49" s="61">
        <f>VLOOKUP($B49,Datos_SPIKA!$N$3:$P$83,3,FALSE)</f>
        <v>3.5</v>
      </c>
      <c r="M49" s="61">
        <f>VLOOKUP($B49,Datos_SPIKA!$N$3:$P$83,3,FALSE)</f>
        <v>3.5</v>
      </c>
      <c r="N49" s="61">
        <f>VLOOKUP($B49,Datos_SPIKA!$N$3:$P$83,3,FALSE)</f>
        <v>3.5</v>
      </c>
      <c r="O49" s="61"/>
      <c r="P49" s="61"/>
      <c r="Q49" s="61"/>
      <c r="R49" s="61"/>
      <c r="S49" s="61"/>
      <c r="T49" s="61"/>
      <c r="U49" s="61">
        <f>VLOOKUP($B49,Datos_SPIKA!$N$3:$P$83,3,FALSE)</f>
        <v>3.5</v>
      </c>
      <c r="V49" s="61"/>
      <c r="W49" s="61"/>
      <c r="X49" s="61">
        <f>VLOOKUP($B49,Datos_SPIKA!$N$3:$P$83,3,FALSE)</f>
        <v>3.5</v>
      </c>
      <c r="Y49" s="61">
        <f>VLOOKUP($B49,Datos_SPIKA!$N$3:$P$83,3,FALSE)</f>
        <v>3.5</v>
      </c>
      <c r="Z49" s="61"/>
      <c r="AA49" s="61"/>
      <c r="AB49" s="61"/>
    </row>
    <row r="50" spans="1:28" ht="28.5" customHeight="1">
      <c r="A50" s="93">
        <f t="shared" si="2"/>
        <v>8</v>
      </c>
      <c r="B50" s="20" t="s">
        <v>230</v>
      </c>
      <c r="C50" s="37" t="str">
        <f>VLOOKUP(B50,Datos_SPIKA!N47:P128,2,0)</f>
        <v>Servicios de apoyo</v>
      </c>
      <c r="D50" s="61">
        <f>VLOOKUP($B50,Datos_SPIKA!$N$3:$P$83,3,FALSE)</f>
        <v>3</v>
      </c>
      <c r="E50" s="61"/>
      <c r="F50" s="61"/>
      <c r="G50" s="61"/>
      <c r="H50" s="61"/>
      <c r="I50" s="61"/>
      <c r="J50" s="61">
        <f>VLOOKUP($B50,Datos_SPIKA!$N$3:$P$83,3,FALSE)</f>
        <v>3</v>
      </c>
      <c r="K50" s="61">
        <f>VLOOKUP($B50,Datos_SPIKA!$N$3:$P$83,3,FALSE)</f>
        <v>3</v>
      </c>
      <c r="L50" s="61">
        <f>VLOOKUP($B50,Datos_SPIKA!$N$3:$P$83,3,FALSE)</f>
        <v>3</v>
      </c>
      <c r="M50" s="61">
        <f>VLOOKUP($B50,Datos_SPIKA!$N$3:$P$83,3,FALSE)</f>
        <v>3</v>
      </c>
      <c r="N50" s="61">
        <f>VLOOKUP($B50,Datos_SPIKA!$N$3:$P$83,3,FALSE)</f>
        <v>3</v>
      </c>
      <c r="O50" s="61"/>
      <c r="P50" s="61"/>
      <c r="Q50" s="61">
        <f>VLOOKUP($B50,Datos_SPIKA!$N$3:$P$83,3,FALSE)</f>
        <v>3</v>
      </c>
      <c r="R50" s="61"/>
      <c r="S50" s="61"/>
      <c r="T50" s="61"/>
      <c r="U50" s="61">
        <f>VLOOKUP($B50,Datos_SPIKA!$N$3:$P$83,3,FALSE)</f>
        <v>3</v>
      </c>
      <c r="V50" s="61"/>
      <c r="W50" s="61"/>
      <c r="X50" s="61"/>
      <c r="Y50" s="61"/>
      <c r="Z50" s="61"/>
      <c r="AA50" s="61"/>
      <c r="AB50" s="61"/>
    </row>
    <row r="51" spans="1:28" ht="28.5" customHeight="1">
      <c r="A51" s="93">
        <f t="shared" si="2"/>
        <v>8</v>
      </c>
      <c r="B51" s="20" t="s">
        <v>232</v>
      </c>
      <c r="C51" s="37" t="str">
        <f>VLOOKUP(B51,Datos_SPIKA!N48:P129,2,0)</f>
        <v>Seguridad en el cableado</v>
      </c>
      <c r="D51" s="61">
        <f>VLOOKUP($B51,Datos_SPIKA!$N$3:$P$83,3,FALSE)</f>
        <v>3</v>
      </c>
      <c r="E51" s="61"/>
      <c r="F51" s="61"/>
      <c r="G51" s="61"/>
      <c r="H51" s="61"/>
      <c r="I51" s="61"/>
      <c r="J51" s="61">
        <f>VLOOKUP($B51,Datos_SPIKA!$N$3:$P$83,3,FALSE)</f>
        <v>3</v>
      </c>
      <c r="K51" s="61">
        <f>VLOOKUP($B51,Datos_SPIKA!$N$3:$P$83,3,FALSE)</f>
        <v>3</v>
      </c>
      <c r="L51" s="61">
        <f>VLOOKUP($B51,Datos_SPIKA!$N$3:$P$83,3,FALSE)</f>
        <v>3</v>
      </c>
      <c r="M51" s="61">
        <f>VLOOKUP($B51,Datos_SPIKA!$N$3:$P$83,3,FALSE)</f>
        <v>3</v>
      </c>
      <c r="N51" s="61">
        <f>VLOOKUP($B51,Datos_SPIKA!$N$3:$P$83,3,FALSE)</f>
        <v>3</v>
      </c>
      <c r="O51" s="61"/>
      <c r="P51" s="61"/>
      <c r="Q51" s="61">
        <f>VLOOKUP($B51,Datos_SPIKA!$N$3:$P$83,3,FALSE)</f>
        <v>3</v>
      </c>
      <c r="R51" s="61"/>
      <c r="S51" s="61"/>
      <c r="T51" s="61"/>
      <c r="U51" s="61">
        <f>VLOOKUP($B51,Datos_SPIKA!$N$3:$P$83,3,FALSE)</f>
        <v>3</v>
      </c>
      <c r="V51" s="61"/>
      <c r="W51" s="61"/>
      <c r="X51" s="61"/>
      <c r="Y51" s="61"/>
      <c r="Z51" s="61"/>
      <c r="AA51" s="61"/>
      <c r="AB51" s="61"/>
    </row>
    <row r="52" spans="1:28" ht="28.5" customHeight="1">
      <c r="A52" s="93">
        <f t="shared" si="2"/>
        <v>10</v>
      </c>
      <c r="B52" s="20" t="s">
        <v>234</v>
      </c>
      <c r="C52" s="37" t="str">
        <f>VLOOKUP(B52,Datos_SPIKA!N49:P130,2,0)</f>
        <v>Mantenimiento de equipos</v>
      </c>
      <c r="D52" s="61">
        <f>VLOOKUP($B52,Datos_SPIKA!$N$3:$P$83,3,FALSE)</f>
        <v>3</v>
      </c>
      <c r="E52" s="61"/>
      <c r="F52" s="61"/>
      <c r="G52" s="61"/>
      <c r="H52" s="61">
        <f>VLOOKUP($B52,Datos_SPIKA!$N$3:$P$83,3,FALSE)</f>
        <v>3</v>
      </c>
      <c r="I52" s="61"/>
      <c r="J52" s="61">
        <f>VLOOKUP($B52,Datos_SPIKA!$N$3:$P$83,3,FALSE)</f>
        <v>3</v>
      </c>
      <c r="K52" s="61">
        <f>VLOOKUP($B52,Datos_SPIKA!$N$3:$P$83,3,FALSE)</f>
        <v>3</v>
      </c>
      <c r="L52" s="61">
        <f>VLOOKUP($B52,Datos_SPIKA!$N$3:$P$83,3,FALSE)</f>
        <v>3</v>
      </c>
      <c r="M52" s="61">
        <f>VLOOKUP($B52,Datos_SPIKA!$N$3:$P$83,3,FALSE)</f>
        <v>3</v>
      </c>
      <c r="N52" s="61">
        <f>VLOOKUP($B52,Datos_SPIKA!$N$3:$P$83,3,FALSE)</f>
        <v>3</v>
      </c>
      <c r="O52" s="61"/>
      <c r="P52" s="61"/>
      <c r="Q52" s="61"/>
      <c r="R52" s="61"/>
      <c r="S52" s="61"/>
      <c r="T52" s="61"/>
      <c r="U52" s="61">
        <f>VLOOKUP($B52,Datos_SPIKA!$N$3:$P$83,3,FALSE)</f>
        <v>3</v>
      </c>
      <c r="V52" s="61"/>
      <c r="W52" s="61"/>
      <c r="X52" s="61">
        <f>VLOOKUP($B52,Datos_SPIKA!$N$3:$P$83,3,FALSE)</f>
        <v>3</v>
      </c>
      <c r="Y52" s="61">
        <f>VLOOKUP($B52,Datos_SPIKA!$N$3:$P$83,3,FALSE)</f>
        <v>3</v>
      </c>
      <c r="Z52" s="61"/>
      <c r="AA52" s="61"/>
      <c r="AB52" s="61"/>
    </row>
    <row r="53" spans="1:28" ht="28.5" customHeight="1">
      <c r="A53" s="93">
        <f t="shared" si="2"/>
        <v>10</v>
      </c>
      <c r="B53" s="20" t="s">
        <v>236</v>
      </c>
      <c r="C53" s="37" t="str">
        <f>VLOOKUP(B53,Datos_SPIKA!N51:P132,2,0)</f>
        <v xml:space="preserve">Endpoints para usuarios </v>
      </c>
      <c r="D53" s="61">
        <f>VLOOKUP($B53,Datos_SPIKA!$N$3:$P$83,3,FALSE)</f>
        <v>3</v>
      </c>
      <c r="E53" s="61"/>
      <c r="F53" s="61"/>
      <c r="G53" s="61"/>
      <c r="H53" s="61">
        <f>VLOOKUP($B53,Datos_SPIKA!$N$3:$P$83,3,FALSE)</f>
        <v>3</v>
      </c>
      <c r="I53" s="61"/>
      <c r="J53" s="61">
        <f>VLOOKUP($B53,Datos_SPIKA!$N$3:$P$83,3,FALSE)</f>
        <v>3</v>
      </c>
      <c r="K53" s="61">
        <f>VLOOKUP($B53,Datos_SPIKA!$N$3:$P$83,3,FALSE)</f>
        <v>3</v>
      </c>
      <c r="L53" s="61">
        <f>VLOOKUP($B53,Datos_SPIKA!$N$3:$P$83,3,FALSE)</f>
        <v>3</v>
      </c>
      <c r="M53" s="61">
        <f>VLOOKUP($B53,Datos_SPIKA!$N$3:$P$83,3,FALSE)</f>
        <v>3</v>
      </c>
      <c r="N53" s="61">
        <f>VLOOKUP($B53,Datos_SPIKA!$N$3:$P$83,3,FALSE)</f>
        <v>3</v>
      </c>
      <c r="O53" s="61"/>
      <c r="P53" s="61"/>
      <c r="Q53" s="61"/>
      <c r="R53" s="61"/>
      <c r="S53" s="61"/>
      <c r="T53" s="61"/>
      <c r="U53" s="61">
        <f>VLOOKUP($B53,Datos_SPIKA!$N$3:$P$83,3,FALSE)</f>
        <v>3</v>
      </c>
      <c r="V53" s="61"/>
      <c r="W53" s="61"/>
      <c r="X53" s="61">
        <f>VLOOKUP($B53,Datos_SPIKA!$N$3:$P$83,3,FALSE)</f>
        <v>3</v>
      </c>
      <c r="Y53" s="61">
        <f>VLOOKUP($B53,Datos_SPIKA!$N$3:$P$83,3,FALSE)</f>
        <v>3</v>
      </c>
      <c r="Z53" s="61"/>
      <c r="AA53" s="61"/>
      <c r="AB53" s="61"/>
    </row>
    <row r="54" spans="1:28" ht="28.5" customHeight="1">
      <c r="A54" s="93">
        <f t="shared" si="2"/>
        <v>10</v>
      </c>
      <c r="B54" s="20" t="s">
        <v>238</v>
      </c>
      <c r="C54" s="37" t="str">
        <f>VLOOKUP(B54,Datos_SPIKA!N51:P133,2,0)</f>
        <v>Derechos de acceso privilegiados</v>
      </c>
      <c r="D54" s="61"/>
      <c r="E54" s="61"/>
      <c r="F54" s="61">
        <f>VLOOKUP($B54,Datos_SPIKA!$N$3:$P$83,3,FALSE)</f>
        <v>3</v>
      </c>
      <c r="G54" s="61">
        <f>VLOOKUP($B54,Datos_SPIKA!$N$3:$P$83,3,FALSE)</f>
        <v>3</v>
      </c>
      <c r="H54" s="61">
        <f>VLOOKUP($B54,Datos_SPIKA!$N$3:$P$83,3,FALSE)</f>
        <v>3</v>
      </c>
      <c r="I54" s="61"/>
      <c r="J54" s="61"/>
      <c r="K54" s="61"/>
      <c r="L54" s="61"/>
      <c r="M54" s="61"/>
      <c r="N54" s="61"/>
      <c r="O54" s="61"/>
      <c r="P54" s="61">
        <f>VLOOKUP($B54,Datos_SPIKA!$N$3:$P$83,3,FALSE)</f>
        <v>3</v>
      </c>
      <c r="Q54" s="61"/>
      <c r="R54" s="61"/>
      <c r="S54" s="61">
        <f>VLOOKUP($B54,Datos_SPIKA!$N$3:$P$83,3,FALSE)</f>
        <v>3</v>
      </c>
      <c r="T54" s="61"/>
      <c r="U54" s="61"/>
      <c r="V54" s="61">
        <f>VLOOKUP($B54,Datos_SPIKA!$N$3:$P$83,3,FALSE)</f>
        <v>3</v>
      </c>
      <c r="W54" s="61"/>
      <c r="X54" s="61">
        <f>VLOOKUP($B54,Datos_SPIKA!$N$3:$P$83,3,FALSE)</f>
        <v>3</v>
      </c>
      <c r="Y54" s="61">
        <f>VLOOKUP($B54,Datos_SPIKA!$N$3:$P$83,3,FALSE)</f>
        <v>3</v>
      </c>
      <c r="Z54" s="61"/>
      <c r="AA54" s="61">
        <f>VLOOKUP($B54,Datos_SPIKA!$N$3:$P$83,3,FALSE)</f>
        <v>3</v>
      </c>
      <c r="AB54" s="61">
        <f>VLOOKUP($B54,Datos_SPIKA!$N$3:$P$83,3,FALSE)</f>
        <v>3</v>
      </c>
    </row>
    <row r="55" spans="1:28" ht="28.5" customHeight="1">
      <c r="A55" s="93">
        <f t="shared" si="2"/>
        <v>11</v>
      </c>
      <c r="B55" s="20" t="s">
        <v>240</v>
      </c>
      <c r="C55" s="37" t="str">
        <f>VLOOKUP(B55,Datos_SPIKA!N52:P134,2,0)</f>
        <v>Restricción de acceso a la información</v>
      </c>
      <c r="D55" s="61"/>
      <c r="E55" s="61"/>
      <c r="F55" s="61">
        <f>VLOOKUP($B55,Datos_SPIKA!$N$3:$P$83,3,FALSE)</f>
        <v>2.5</v>
      </c>
      <c r="G55" s="61">
        <f>VLOOKUP($B55,Datos_SPIKA!$N$3:$P$83,3,FALSE)</f>
        <v>2.5</v>
      </c>
      <c r="H55" s="61">
        <f>VLOOKUP($B55,Datos_SPIKA!$N$3:$P$83,3,FALSE)</f>
        <v>2.5</v>
      </c>
      <c r="I55" s="61"/>
      <c r="J55" s="61"/>
      <c r="K55" s="61"/>
      <c r="L55" s="61"/>
      <c r="M55" s="61"/>
      <c r="N55" s="61"/>
      <c r="O55" s="61">
        <f>VLOOKUP($B55,Datos_SPIKA!$N$3:$P$83,3,FALSE)</f>
        <v>2.5</v>
      </c>
      <c r="P55" s="61">
        <f>VLOOKUP($B55,Datos_SPIKA!$N$3:$P$83,3,FALSE)</f>
        <v>2.5</v>
      </c>
      <c r="Q55" s="61"/>
      <c r="R55" s="61"/>
      <c r="S55" s="61">
        <f>VLOOKUP($B55,Datos_SPIKA!$N$3:$P$83,3,FALSE)</f>
        <v>2.5</v>
      </c>
      <c r="T55" s="61"/>
      <c r="U55" s="61"/>
      <c r="V55" s="61">
        <f>VLOOKUP($B55,Datos_SPIKA!$N$3:$P$83,3,FALSE)</f>
        <v>2.5</v>
      </c>
      <c r="W55" s="61"/>
      <c r="X55" s="61">
        <f>VLOOKUP($B55,Datos_SPIKA!$N$3:$P$83,3,FALSE)</f>
        <v>2.5</v>
      </c>
      <c r="Y55" s="61">
        <f>VLOOKUP($B55,Datos_SPIKA!$N$3:$P$83,3,FALSE)</f>
        <v>2.5</v>
      </c>
      <c r="Z55" s="61"/>
      <c r="AA55" s="61">
        <f>VLOOKUP($B55,Datos_SPIKA!$N$3:$P$83,3,FALSE)</f>
        <v>2.5</v>
      </c>
      <c r="AB55" s="61">
        <f>VLOOKUP($B55,Datos_SPIKA!$N$3:$P$83,3,FALSE)</f>
        <v>2.5</v>
      </c>
    </row>
    <row r="56" spans="1:28" ht="28.5" customHeight="1">
      <c r="A56" s="93">
        <f t="shared" si="2"/>
        <v>11</v>
      </c>
      <c r="B56" s="20" t="s">
        <v>242</v>
      </c>
      <c r="C56" s="37" t="str">
        <f>VLOOKUP(B56,Datos_SPIKA!N53:P135,2,0)</f>
        <v>Acceso al código fuente</v>
      </c>
      <c r="D56" s="61"/>
      <c r="E56" s="61"/>
      <c r="F56" s="61">
        <f>VLOOKUP($B56,Datos_SPIKA!$N$3:$P$83,3,FALSE)</f>
        <v>3</v>
      </c>
      <c r="G56" s="61">
        <f>VLOOKUP($B56,Datos_SPIKA!$N$3:$P$83,3,FALSE)</f>
        <v>3</v>
      </c>
      <c r="H56" s="61">
        <f>VLOOKUP($B56,Datos_SPIKA!$N$3:$P$83,3,FALSE)</f>
        <v>3</v>
      </c>
      <c r="I56" s="61"/>
      <c r="J56" s="61"/>
      <c r="K56" s="61"/>
      <c r="L56" s="61"/>
      <c r="M56" s="61"/>
      <c r="N56" s="61"/>
      <c r="O56" s="61">
        <f>VLOOKUP($B56,Datos_SPIKA!$N$3:$P$83,3,FALSE)</f>
        <v>3</v>
      </c>
      <c r="P56" s="61">
        <f>VLOOKUP($B56,Datos_SPIKA!$N$3:$P$83,3,FALSE)</f>
        <v>3</v>
      </c>
      <c r="Q56" s="61">
        <f>VLOOKUP($B56,Datos_SPIKA!$N$3:$P$83,3,FALSE)</f>
        <v>3</v>
      </c>
      <c r="R56" s="61"/>
      <c r="S56" s="61">
        <f>VLOOKUP($B56,Datos_SPIKA!$N$3:$P$83,3,FALSE)</f>
        <v>3</v>
      </c>
      <c r="T56" s="61"/>
      <c r="U56" s="61"/>
      <c r="V56" s="61"/>
      <c r="W56" s="61"/>
      <c r="X56" s="61">
        <f>VLOOKUP($B56,Datos_SPIKA!$N$3:$P$83,3,FALSE)</f>
        <v>3</v>
      </c>
      <c r="Y56" s="61">
        <f>VLOOKUP($B56,Datos_SPIKA!$N$3:$P$83,3,FALSE)</f>
        <v>3</v>
      </c>
      <c r="Z56" s="61"/>
      <c r="AA56" s="61">
        <f>VLOOKUP($B56,Datos_SPIKA!$N$3:$P$83,3,FALSE)</f>
        <v>3</v>
      </c>
      <c r="AB56" s="61">
        <f>VLOOKUP($B56,Datos_SPIKA!$N$3:$P$83,3,FALSE)</f>
        <v>3</v>
      </c>
    </row>
    <row r="57" spans="1:28" ht="28.5" customHeight="1">
      <c r="A57" s="93">
        <f t="shared" si="2"/>
        <v>11</v>
      </c>
      <c r="B57" s="20" t="s">
        <v>244</v>
      </c>
      <c r="C57" s="37" t="str">
        <f>VLOOKUP(B57,Datos_SPIKA!N54:P136,2,0)</f>
        <v>Autenticación segura</v>
      </c>
      <c r="D57" s="61"/>
      <c r="E57" s="61"/>
      <c r="F57" s="61">
        <f>VLOOKUP($B57,Datos_SPIKA!$N$3:$P$83,3,FALSE)</f>
        <v>3</v>
      </c>
      <c r="G57" s="61">
        <f>VLOOKUP($B57,Datos_SPIKA!$N$3:$P$83,3,FALSE)</f>
        <v>3</v>
      </c>
      <c r="H57" s="61">
        <f>VLOOKUP($B57,Datos_SPIKA!$N$3:$P$83,3,FALSE)</f>
        <v>3</v>
      </c>
      <c r="I57" s="61"/>
      <c r="J57" s="61"/>
      <c r="K57" s="61"/>
      <c r="L57" s="61"/>
      <c r="M57" s="61"/>
      <c r="N57" s="61"/>
      <c r="O57" s="61">
        <f>VLOOKUP($B57,Datos_SPIKA!$N$3:$P$83,3,FALSE)</f>
        <v>3</v>
      </c>
      <c r="P57" s="61">
        <f>VLOOKUP($B57,Datos_SPIKA!$N$3:$P$83,3,FALSE)</f>
        <v>3</v>
      </c>
      <c r="Q57" s="61"/>
      <c r="R57" s="61"/>
      <c r="S57" s="61">
        <f>VLOOKUP($B57,Datos_SPIKA!$N$3:$P$83,3,FALSE)</f>
        <v>3</v>
      </c>
      <c r="T57" s="61"/>
      <c r="U57" s="61"/>
      <c r="V57" s="61">
        <f>VLOOKUP($B57,Datos_SPIKA!$N$3:$P$83,3,FALSE)</f>
        <v>3</v>
      </c>
      <c r="W57" s="61"/>
      <c r="X57" s="61">
        <f>VLOOKUP($B57,Datos_SPIKA!$N$3:$P$83,3,FALSE)</f>
        <v>3</v>
      </c>
      <c r="Y57" s="61">
        <f>VLOOKUP($B57,Datos_SPIKA!$N$3:$P$83,3,FALSE)</f>
        <v>3</v>
      </c>
      <c r="Z57" s="61"/>
      <c r="AA57" s="61">
        <f>VLOOKUP($B57,Datos_SPIKA!$N$3:$P$83,3,FALSE)</f>
        <v>3</v>
      </c>
      <c r="AB57" s="61">
        <f>VLOOKUP($B57,Datos_SPIKA!$N$3:$P$83,3,FALSE)</f>
        <v>3</v>
      </c>
    </row>
    <row r="58" spans="1:28" ht="28.5" customHeight="1">
      <c r="A58" s="93">
        <f t="shared" si="2"/>
        <v>9</v>
      </c>
      <c r="B58" s="20" t="s">
        <v>246</v>
      </c>
      <c r="C58" s="37" t="str">
        <f>VLOOKUP(B58,Datos_SPIKA!N55:P137,2,0)</f>
        <v>Gestión de capacidades</v>
      </c>
      <c r="D58" s="61"/>
      <c r="E58" s="61"/>
      <c r="F58" s="61"/>
      <c r="G58" s="61"/>
      <c r="H58" s="61"/>
      <c r="I58" s="61"/>
      <c r="J58" s="61">
        <f>VLOOKUP($B58,Datos_SPIKA!$N$3:$P$83,3,FALSE)</f>
        <v>3</v>
      </c>
      <c r="K58" s="61"/>
      <c r="L58" s="61">
        <f>VLOOKUP($B58,Datos_SPIKA!$N$3:$P$83,3,FALSE)</f>
        <v>3</v>
      </c>
      <c r="M58" s="61">
        <f>VLOOKUP($B58,Datos_SPIKA!$N$3:$P$83,3,FALSE)</f>
        <v>3</v>
      </c>
      <c r="N58" s="61">
        <f>VLOOKUP($B58,Datos_SPIKA!$N$3:$P$83,3,FALSE)</f>
        <v>3</v>
      </c>
      <c r="O58" s="61"/>
      <c r="P58" s="61"/>
      <c r="Q58" s="61">
        <f>VLOOKUP($B58,Datos_SPIKA!$N$3:$P$83,3,FALSE)</f>
        <v>3</v>
      </c>
      <c r="R58" s="61">
        <f>VLOOKUP($B58,Datos_SPIKA!$N$3:$P$83,3,FALSE)</f>
        <v>3</v>
      </c>
      <c r="S58" s="61"/>
      <c r="T58" s="61">
        <f>VLOOKUP($B58,Datos_SPIKA!$N$3:$P$83,3,FALSE)</f>
        <v>3</v>
      </c>
      <c r="U58" s="61">
        <f>VLOOKUP($B58,Datos_SPIKA!$N$3:$P$83,3,FALSE)</f>
        <v>3</v>
      </c>
      <c r="V58" s="61"/>
      <c r="W58" s="61"/>
      <c r="X58" s="61"/>
      <c r="Y58" s="61"/>
      <c r="Z58" s="61">
        <f>VLOOKUP($B58,Datos_SPIKA!$N$3:$P$83,3,FALSE)</f>
        <v>3</v>
      </c>
      <c r="AA58" s="61"/>
      <c r="AB58" s="61"/>
    </row>
    <row r="59" spans="1:28" ht="28.5" customHeight="1">
      <c r="A59" s="93">
        <f t="shared" si="2"/>
        <v>15</v>
      </c>
      <c r="B59" s="20" t="s">
        <v>248</v>
      </c>
      <c r="C59" s="37" t="str">
        <f>VLOOKUP(B59,Datos_SPIKA!N56:P138,2,0)</f>
        <v>Protección contra el malware</v>
      </c>
      <c r="D59" s="61"/>
      <c r="E59" s="61">
        <f>VLOOKUP($B59,Datos_SPIKA!$N$3:$P$83,3,FALSE)</f>
        <v>2.5</v>
      </c>
      <c r="F59" s="61">
        <f>VLOOKUP($B59,Datos_SPIKA!$N$3:$P$83,3,FALSE)</f>
        <v>2.5</v>
      </c>
      <c r="G59" s="61">
        <f>VLOOKUP($B59,Datos_SPIKA!$N$3:$P$83,3,FALSE)</f>
        <v>2.5</v>
      </c>
      <c r="H59" s="61">
        <f>VLOOKUP($B59,Datos_SPIKA!$N$3:$P$83,3,FALSE)</f>
        <v>2.5</v>
      </c>
      <c r="I59" s="61">
        <f>VLOOKUP($B59,Datos_SPIKA!$N$3:$P$83,3,FALSE)</f>
        <v>2.5</v>
      </c>
      <c r="J59" s="61"/>
      <c r="K59" s="61"/>
      <c r="L59" s="61">
        <f>VLOOKUP($B59,Datos_SPIKA!$N$3:$P$83,3,FALSE)</f>
        <v>2.5</v>
      </c>
      <c r="M59" s="61">
        <f>VLOOKUP($B59,Datos_SPIKA!$N$3:$P$83,3,FALSE)</f>
        <v>2.5</v>
      </c>
      <c r="N59" s="61"/>
      <c r="O59" s="61">
        <f>VLOOKUP($B59,Datos_SPIKA!$N$3:$P$83,3,FALSE)</f>
        <v>2.5</v>
      </c>
      <c r="P59" s="61">
        <f>VLOOKUP($B59,Datos_SPIKA!$N$3:$P$83,3,FALSE)</f>
        <v>2.5</v>
      </c>
      <c r="Q59" s="61">
        <f>VLOOKUP($B59,Datos_SPIKA!$N$3:$P$83,3,FALSE)</f>
        <v>2.5</v>
      </c>
      <c r="R59" s="61"/>
      <c r="S59" s="61">
        <f>VLOOKUP($B59,Datos_SPIKA!$N$3:$P$83,3,FALSE)</f>
        <v>2.5</v>
      </c>
      <c r="T59" s="61"/>
      <c r="U59" s="61"/>
      <c r="V59" s="61"/>
      <c r="W59" s="61"/>
      <c r="X59" s="61"/>
      <c r="Y59" s="61">
        <f>VLOOKUP($B59,Datos_SPIKA!$N$3:$P$83,3,FALSE)</f>
        <v>2.5</v>
      </c>
      <c r="Z59" s="61">
        <f>VLOOKUP($B59,Datos_SPIKA!$N$3:$P$83,3,FALSE)</f>
        <v>2.5</v>
      </c>
      <c r="AA59" s="61">
        <f>VLOOKUP($B59,Datos_SPIKA!$N$3:$P$83,3,FALSE)</f>
        <v>2.5</v>
      </c>
      <c r="AB59" s="61">
        <f>VLOOKUP($B59,Datos_SPIKA!$N$3:$P$83,3,FALSE)</f>
        <v>2.5</v>
      </c>
    </row>
    <row r="60" spans="1:28" ht="28.5" customHeight="1">
      <c r="A60" s="93">
        <f t="shared" si="2"/>
        <v>15</v>
      </c>
      <c r="B60" s="20" t="s">
        <v>250</v>
      </c>
      <c r="C60" s="37" t="str">
        <f>VLOOKUP(B60,Datos_SPIKA!N57:P139,2,0)</f>
        <v>Gestión de vulerabilidades técnicas</v>
      </c>
      <c r="D60" s="61"/>
      <c r="E60" s="61">
        <f>VLOOKUP($B60,Datos_SPIKA!$N$3:$P$83,3,FALSE)</f>
        <v>3</v>
      </c>
      <c r="F60" s="61">
        <f>VLOOKUP($B60,Datos_SPIKA!$N$3:$P$83,3,FALSE)</f>
        <v>3</v>
      </c>
      <c r="G60" s="61">
        <f>VLOOKUP($B60,Datos_SPIKA!$N$3:$P$83,3,FALSE)</f>
        <v>3</v>
      </c>
      <c r="H60" s="61">
        <f>VLOOKUP($B60,Datos_SPIKA!$N$3:$P$83,3,FALSE)</f>
        <v>3</v>
      </c>
      <c r="I60" s="61">
        <f>VLOOKUP($B60,Datos_SPIKA!$N$3:$P$83,3,FALSE)</f>
        <v>3</v>
      </c>
      <c r="J60" s="61"/>
      <c r="K60" s="61"/>
      <c r="L60" s="61">
        <f>VLOOKUP($B60,Datos_SPIKA!$N$3:$P$83,3,FALSE)</f>
        <v>3</v>
      </c>
      <c r="M60" s="61">
        <f>VLOOKUP($B60,Datos_SPIKA!$N$3:$P$83,3,FALSE)</f>
        <v>3</v>
      </c>
      <c r="N60" s="61"/>
      <c r="O60" s="61">
        <f>VLOOKUP($B60,Datos_SPIKA!$N$3:$P$83,3,FALSE)</f>
        <v>3</v>
      </c>
      <c r="P60" s="61">
        <f>VLOOKUP($B60,Datos_SPIKA!$N$3:$P$83,3,FALSE)</f>
        <v>3</v>
      </c>
      <c r="Q60" s="61">
        <f>VLOOKUP($B60,Datos_SPIKA!$N$3:$P$83,3,FALSE)</f>
        <v>3</v>
      </c>
      <c r="R60" s="61"/>
      <c r="S60" s="61">
        <f>VLOOKUP($B60,Datos_SPIKA!$N$3:$P$83,3,FALSE)</f>
        <v>3</v>
      </c>
      <c r="T60" s="61"/>
      <c r="U60" s="61"/>
      <c r="V60" s="61"/>
      <c r="W60" s="61"/>
      <c r="X60" s="61"/>
      <c r="Y60" s="61">
        <f>VLOOKUP($B60,Datos_SPIKA!$N$3:$P$83,3,FALSE)</f>
        <v>3</v>
      </c>
      <c r="Z60" s="61">
        <f>VLOOKUP($B60,Datos_SPIKA!$N$3:$P$83,3,FALSE)</f>
        <v>3</v>
      </c>
      <c r="AA60" s="61">
        <f>VLOOKUP($B60,Datos_SPIKA!$N$3:$P$83,3,FALSE)</f>
        <v>3</v>
      </c>
      <c r="AB60" s="61">
        <f>VLOOKUP($B60,Datos_SPIKA!$N$3:$P$83,3,FALSE)</f>
        <v>3</v>
      </c>
    </row>
    <row r="61" spans="1:28" ht="28.5" customHeight="1">
      <c r="A61" s="93">
        <f t="shared" si="2"/>
        <v>13</v>
      </c>
      <c r="B61" s="20" t="s">
        <v>252</v>
      </c>
      <c r="C61" s="37" t="str">
        <f>VLOOKUP(B61,Datos_SPIKA!N58:P140,2,0)</f>
        <v>Gestión de configuración</v>
      </c>
      <c r="D61" s="61"/>
      <c r="E61" s="61">
        <f>VLOOKUP($B61,Datos_SPIKA!$N$3:$P$83,3,FALSE)</f>
        <v>3</v>
      </c>
      <c r="F61" s="61">
        <f>VLOOKUP($B61,Datos_SPIKA!$N$3:$P$83,3,FALSE)</f>
        <v>3</v>
      </c>
      <c r="G61" s="61">
        <f>VLOOKUP($B61,Datos_SPIKA!$N$3:$P$83,3,FALSE)</f>
        <v>3</v>
      </c>
      <c r="H61" s="61">
        <f>VLOOKUP($B61,Datos_SPIKA!$N$3:$P$83,3,FALSE)</f>
        <v>3</v>
      </c>
      <c r="I61" s="61">
        <f>VLOOKUP($B61,Datos_SPIKA!$N$3:$P$83,3,FALSE)</f>
        <v>3</v>
      </c>
      <c r="J61" s="61"/>
      <c r="K61" s="61"/>
      <c r="L61" s="61">
        <f>VLOOKUP($B61,Datos_SPIKA!$N$3:$P$83,3,FALSE)</f>
        <v>3</v>
      </c>
      <c r="M61" s="61">
        <f>VLOOKUP($B61,Datos_SPIKA!$N$3:$P$83,3,FALSE)</f>
        <v>3</v>
      </c>
      <c r="N61" s="61"/>
      <c r="O61" s="61">
        <f>VLOOKUP($B61,Datos_SPIKA!$N$3:$P$83,3,FALSE)</f>
        <v>3</v>
      </c>
      <c r="P61" s="61">
        <f>VLOOKUP($B61,Datos_SPIKA!$N$3:$P$83,3,FALSE)</f>
        <v>3</v>
      </c>
      <c r="Q61" s="61">
        <f>VLOOKUP($B61,Datos_SPIKA!$N$3:$P$83,3,FALSE)</f>
        <v>3</v>
      </c>
      <c r="R61" s="61"/>
      <c r="S61" s="61">
        <f>VLOOKUP($B61,Datos_SPIKA!$N$3:$P$83,3,FALSE)</f>
        <v>3</v>
      </c>
      <c r="T61" s="61"/>
      <c r="U61" s="61"/>
      <c r="V61" s="61"/>
      <c r="W61" s="61"/>
      <c r="X61" s="61"/>
      <c r="Y61" s="61">
        <f>VLOOKUP($B61,Datos_SPIKA!$N$3:$P$83,3,FALSE)</f>
        <v>3</v>
      </c>
      <c r="Z61" s="61">
        <f>VLOOKUP($B61,Datos_SPIKA!$N$3:$P$83,3,FALSE)</f>
        <v>3</v>
      </c>
      <c r="AA61" s="61"/>
      <c r="AB61" s="61"/>
    </row>
    <row r="62" spans="1:28" ht="28.5" customHeight="1">
      <c r="A62" s="93">
        <f t="shared" si="2"/>
        <v>10</v>
      </c>
      <c r="B62" s="20" t="s">
        <v>254</v>
      </c>
      <c r="C62" s="37" t="str">
        <f>VLOOKUP(B62,Datos_SPIKA!N59:P141,2,0)</f>
        <v>Borrado de información</v>
      </c>
      <c r="D62" s="61"/>
      <c r="E62" s="61">
        <f>VLOOKUP($B62,Datos_SPIKA!$N$3:$P$83,3,FALSE)</f>
        <v>3</v>
      </c>
      <c r="F62" s="61">
        <f>VLOOKUP($B62,Datos_SPIKA!$N$3:$P$83,3,FALSE)</f>
        <v>3</v>
      </c>
      <c r="G62" s="61">
        <f>VLOOKUP($B62,Datos_SPIKA!$N$3:$P$83,3,FALSE)</f>
        <v>3</v>
      </c>
      <c r="H62" s="61">
        <f>VLOOKUP($B62,Datos_SPIKA!$N$3:$P$83,3,FALSE)</f>
        <v>3</v>
      </c>
      <c r="I62" s="61">
        <f>VLOOKUP($B62,Datos_SPIKA!$N$3:$P$83,3,FALSE)</f>
        <v>3</v>
      </c>
      <c r="J62" s="61"/>
      <c r="K62" s="61"/>
      <c r="L62" s="61"/>
      <c r="M62" s="61"/>
      <c r="N62" s="61"/>
      <c r="O62" s="61">
        <f>VLOOKUP($B62,Datos_SPIKA!$N$3:$P$83,3,FALSE)</f>
        <v>3</v>
      </c>
      <c r="P62" s="61">
        <f>VLOOKUP($B62,Datos_SPIKA!$N$3:$P$83,3,FALSE)</f>
        <v>3</v>
      </c>
      <c r="Q62" s="61">
        <f>VLOOKUP($B62,Datos_SPIKA!$N$3:$P$83,3,FALSE)</f>
        <v>3</v>
      </c>
      <c r="R62" s="61"/>
      <c r="S62" s="61"/>
      <c r="T62" s="61"/>
      <c r="U62" s="61"/>
      <c r="V62" s="61">
        <f>VLOOKUP($B62,Datos_SPIKA!$N$3:$P$83,3,FALSE)</f>
        <v>3</v>
      </c>
      <c r="W62" s="61"/>
      <c r="X62" s="61"/>
      <c r="Y62" s="61">
        <f>VLOOKUP($B62,Datos_SPIKA!$N$3:$P$83,3,FALSE)</f>
        <v>3</v>
      </c>
      <c r="Z62" s="61"/>
      <c r="AA62" s="61"/>
      <c r="AB62" s="61"/>
    </row>
    <row r="63" spans="1:28" ht="28.5" customHeight="1">
      <c r="A63" s="93">
        <f t="shared" si="2"/>
        <v>11</v>
      </c>
      <c r="B63" s="20" t="s">
        <v>256</v>
      </c>
      <c r="C63" s="37" t="str">
        <f>VLOOKUP(B63,Datos_SPIKA!N60:P142,2,0)</f>
        <v>Data masking</v>
      </c>
      <c r="D63" s="61"/>
      <c r="E63" s="61">
        <f>VLOOKUP($B63,Datos_SPIKA!$N$3:$P$83,3,FALSE)</f>
        <v>3</v>
      </c>
      <c r="F63" s="61"/>
      <c r="G63" s="61"/>
      <c r="H63" s="61"/>
      <c r="I63" s="61">
        <f>VLOOKUP($B63,Datos_SPIKA!$N$3:$P$83,3,FALSE)</f>
        <v>3</v>
      </c>
      <c r="J63" s="61"/>
      <c r="K63" s="61"/>
      <c r="L63" s="61"/>
      <c r="M63" s="61"/>
      <c r="N63" s="61"/>
      <c r="O63" s="61">
        <f>VLOOKUP($B63,Datos_SPIKA!$N$3:$P$83,3,FALSE)</f>
        <v>3</v>
      </c>
      <c r="P63" s="61">
        <f>VLOOKUP($B63,Datos_SPIKA!$N$3:$P$83,3,FALSE)</f>
        <v>3</v>
      </c>
      <c r="Q63" s="61">
        <f>VLOOKUP($B63,Datos_SPIKA!$N$3:$P$83,3,FALSE)</f>
        <v>3</v>
      </c>
      <c r="R63" s="61">
        <f>VLOOKUP($B63,Datos_SPIKA!$N$3:$P$83,3,FALSE)</f>
        <v>3</v>
      </c>
      <c r="S63" s="61"/>
      <c r="T63" s="61"/>
      <c r="U63" s="61"/>
      <c r="V63" s="61">
        <f>VLOOKUP($B63,Datos_SPIKA!$N$3:$P$83,3,FALSE)</f>
        <v>3</v>
      </c>
      <c r="W63" s="61"/>
      <c r="X63" s="61">
        <f>VLOOKUP($B63,Datos_SPIKA!$N$3:$P$83,3,FALSE)</f>
        <v>3</v>
      </c>
      <c r="Y63" s="61">
        <f>VLOOKUP($B63,Datos_SPIKA!$N$3:$P$83,3,FALSE)</f>
        <v>3</v>
      </c>
      <c r="Z63" s="61"/>
      <c r="AA63" s="61">
        <f>VLOOKUP($B63,Datos_SPIKA!$N$3:$P$83,3,FALSE)</f>
        <v>3</v>
      </c>
      <c r="AB63" s="61">
        <f>VLOOKUP($B63,Datos_SPIKA!$N$3:$P$83,3,FALSE)</f>
        <v>3</v>
      </c>
    </row>
    <row r="64" spans="1:28" ht="28.5" customHeight="1">
      <c r="A64" s="93">
        <f t="shared" si="2"/>
        <v>11</v>
      </c>
      <c r="B64" s="20" t="s">
        <v>258</v>
      </c>
      <c r="C64" s="37" t="str">
        <f>VLOOKUP(B64,Datos_SPIKA!N61:P143,2,0)</f>
        <v>Prevención de exfiltración de datos</v>
      </c>
      <c r="D64" s="61"/>
      <c r="E64" s="61">
        <f>VLOOKUP($B64,Datos_SPIKA!$N$3:$P$83,3,FALSE)</f>
        <v>2</v>
      </c>
      <c r="F64" s="61"/>
      <c r="G64" s="61"/>
      <c r="H64" s="61"/>
      <c r="I64" s="61">
        <f>VLOOKUP($B64,Datos_SPIKA!$N$3:$P$83,3,FALSE)</f>
        <v>2</v>
      </c>
      <c r="J64" s="61"/>
      <c r="K64" s="61"/>
      <c r="L64" s="61"/>
      <c r="M64" s="61"/>
      <c r="N64" s="61"/>
      <c r="O64" s="61">
        <f>VLOOKUP($B64,Datos_SPIKA!$N$3:$P$83,3,FALSE)</f>
        <v>2</v>
      </c>
      <c r="P64" s="61">
        <f>VLOOKUP($B64,Datos_SPIKA!$N$3:$P$83,3,FALSE)</f>
        <v>2</v>
      </c>
      <c r="Q64" s="61">
        <f>VLOOKUP($B64,Datos_SPIKA!$N$3:$P$83,3,FALSE)</f>
        <v>2</v>
      </c>
      <c r="R64" s="61">
        <f>VLOOKUP($B64,Datos_SPIKA!$N$3:$P$83,3,FALSE)</f>
        <v>2</v>
      </c>
      <c r="S64" s="61"/>
      <c r="T64" s="61"/>
      <c r="U64" s="61"/>
      <c r="V64" s="61">
        <f>VLOOKUP($B64,Datos_SPIKA!$N$3:$P$83,3,FALSE)</f>
        <v>2</v>
      </c>
      <c r="W64" s="61"/>
      <c r="X64" s="61">
        <f>VLOOKUP($B64,Datos_SPIKA!$N$3:$P$83,3,FALSE)</f>
        <v>2</v>
      </c>
      <c r="Y64" s="61">
        <f>VLOOKUP($B64,Datos_SPIKA!$N$3:$P$83,3,FALSE)</f>
        <v>2</v>
      </c>
      <c r="Z64" s="61"/>
      <c r="AA64" s="61">
        <f>VLOOKUP($B64,Datos_SPIKA!$N$3:$P$83,3,FALSE)</f>
        <v>2</v>
      </c>
      <c r="AB64" s="61">
        <f>VLOOKUP($B64,Datos_SPIKA!$N$3:$P$83,3,FALSE)</f>
        <v>2</v>
      </c>
    </row>
    <row r="65" spans="1:28" ht="28.5" customHeight="1">
      <c r="A65" s="93">
        <f t="shared" si="2"/>
        <v>14</v>
      </c>
      <c r="B65" s="20" t="s">
        <v>260</v>
      </c>
      <c r="C65" s="37" t="str">
        <f>VLOOKUP(B65,Datos_SPIKA!N62:P144,2,0)</f>
        <v>Backups</v>
      </c>
      <c r="D65" s="61">
        <f>VLOOKUP($B65,Datos_SPIKA!$N$3:$P$83,3,FALSE)</f>
        <v>3</v>
      </c>
      <c r="E65" s="61"/>
      <c r="F65" s="61">
        <f>VLOOKUP($B65,Datos_SPIKA!$N$3:$P$83,3,FALSE)</f>
        <v>3</v>
      </c>
      <c r="G65" s="61">
        <f>VLOOKUP($B65,Datos_SPIKA!$N$3:$P$83,3,FALSE)</f>
        <v>3</v>
      </c>
      <c r="H65" s="61">
        <f>VLOOKUP($B65,Datos_SPIKA!$N$3:$P$83,3,FALSE)</f>
        <v>3</v>
      </c>
      <c r="I65" s="61"/>
      <c r="J65" s="61"/>
      <c r="K65" s="61">
        <f>VLOOKUP($B65,Datos_SPIKA!$N$3:$P$83,3,FALSE)</f>
        <v>3</v>
      </c>
      <c r="L65" s="61"/>
      <c r="M65" s="61">
        <f>VLOOKUP($B65,Datos_SPIKA!$N$3:$P$83,3,FALSE)</f>
        <v>3</v>
      </c>
      <c r="N65" s="61">
        <f>VLOOKUP($B65,Datos_SPIKA!$N$3:$P$83,3,FALSE)</f>
        <v>3</v>
      </c>
      <c r="O65" s="61">
        <f>VLOOKUP($B65,Datos_SPIKA!$N$3:$P$83,3,FALSE)</f>
        <v>3</v>
      </c>
      <c r="P65" s="61">
        <f>VLOOKUP($B65,Datos_SPIKA!$N$3:$P$83,3,FALSE)</f>
        <v>3</v>
      </c>
      <c r="Q65" s="61">
        <f>VLOOKUP($B65,Datos_SPIKA!$N$3:$P$83,3,FALSE)</f>
        <v>3</v>
      </c>
      <c r="R65" s="61"/>
      <c r="S65" s="61">
        <f>VLOOKUP($B65,Datos_SPIKA!$N$3:$P$83,3,FALSE)</f>
        <v>3</v>
      </c>
      <c r="T65" s="61"/>
      <c r="U65" s="61">
        <f>VLOOKUP($B65,Datos_SPIKA!$N$3:$P$83,3,FALSE)</f>
        <v>3</v>
      </c>
      <c r="V65" s="61"/>
      <c r="W65" s="61"/>
      <c r="X65" s="61"/>
      <c r="Y65" s="61"/>
      <c r="Z65" s="61"/>
      <c r="AA65" s="61">
        <f>VLOOKUP($B65,Datos_SPIKA!$N$3:$P$83,3,FALSE)</f>
        <v>3</v>
      </c>
      <c r="AB65" s="61">
        <f>VLOOKUP($B65,Datos_SPIKA!$N$3:$P$83,3,FALSE)</f>
        <v>3</v>
      </c>
    </row>
    <row r="66" spans="1:28" ht="28.5" customHeight="1">
      <c r="A66" s="93">
        <f t="shared" si="2"/>
        <v>14</v>
      </c>
      <c r="B66" s="20" t="s">
        <v>262</v>
      </c>
      <c r="C66" s="37" t="str">
        <f>VLOOKUP(B66,Datos_SPIKA!N63:P145,2,0)</f>
        <v>Redundancia de las instalaciones de procesamiento de la información</v>
      </c>
      <c r="D66" s="61">
        <f>VLOOKUP($B66,Datos_SPIKA!$N$3:$P$83,3,FALSE)</f>
        <v>2</v>
      </c>
      <c r="E66" s="61"/>
      <c r="F66" s="61">
        <f>VLOOKUP($B66,Datos_SPIKA!$N$3:$P$83,3,FALSE)</f>
        <v>2</v>
      </c>
      <c r="G66" s="61">
        <f>VLOOKUP($B66,Datos_SPIKA!$N$3:$P$83,3,FALSE)</f>
        <v>2</v>
      </c>
      <c r="H66" s="61">
        <f>VLOOKUP($B66,Datos_SPIKA!$N$3:$P$83,3,FALSE)</f>
        <v>2</v>
      </c>
      <c r="I66" s="61"/>
      <c r="J66" s="61"/>
      <c r="K66" s="61">
        <f>VLOOKUP($B66,Datos_SPIKA!$N$3:$P$83,3,FALSE)</f>
        <v>2</v>
      </c>
      <c r="L66" s="61"/>
      <c r="M66" s="61">
        <f>VLOOKUP($B66,Datos_SPIKA!$N$3:$P$83,3,FALSE)</f>
        <v>2</v>
      </c>
      <c r="N66" s="61">
        <f>VLOOKUP($B66,Datos_SPIKA!$N$3:$P$83,3,FALSE)</f>
        <v>2</v>
      </c>
      <c r="O66" s="61">
        <f>VLOOKUP($B66,Datos_SPIKA!$N$3:$P$83,3,FALSE)</f>
        <v>2</v>
      </c>
      <c r="P66" s="61">
        <f>VLOOKUP($B66,Datos_SPIKA!$N$3:$P$83,3,FALSE)</f>
        <v>2</v>
      </c>
      <c r="Q66" s="61">
        <f>VLOOKUP($B66,Datos_SPIKA!$N$3:$P$83,3,FALSE)</f>
        <v>2</v>
      </c>
      <c r="R66" s="61"/>
      <c r="S66" s="61">
        <f>VLOOKUP($B66,Datos_SPIKA!$N$3:$P$83,3,FALSE)</f>
        <v>2</v>
      </c>
      <c r="T66" s="61"/>
      <c r="U66" s="61">
        <f>VLOOKUP($B66,Datos_SPIKA!$N$3:$P$83,3,FALSE)</f>
        <v>2</v>
      </c>
      <c r="V66" s="61"/>
      <c r="W66" s="61"/>
      <c r="X66" s="61"/>
      <c r="Y66" s="61"/>
      <c r="Z66" s="61"/>
      <c r="AA66" s="61">
        <f>VLOOKUP($B66,Datos_SPIKA!$N$3:$P$83,3,FALSE)</f>
        <v>2</v>
      </c>
      <c r="AB66" s="61">
        <f>VLOOKUP($B66,Datos_SPIKA!$N$3:$P$83,3,FALSE)</f>
        <v>2</v>
      </c>
    </row>
    <row r="67" spans="1:28" ht="28.5" customHeight="1">
      <c r="A67" s="93">
        <f t="shared" si="2"/>
        <v>9</v>
      </c>
      <c r="B67" s="20" t="s">
        <v>264</v>
      </c>
      <c r="C67" s="37" t="str">
        <f>VLOOKUP(B67,Datos_SPIKA!N64:P146,2,0)</f>
        <v>Logging</v>
      </c>
      <c r="D67" s="61"/>
      <c r="E67" s="61"/>
      <c r="F67" s="61">
        <f>VLOOKUP($B67,Datos_SPIKA!$N$3:$P$83,3,FALSE)</f>
        <v>2</v>
      </c>
      <c r="G67" s="61">
        <f>VLOOKUP($B67,Datos_SPIKA!$N$3:$P$83,3,FALSE)</f>
        <v>2</v>
      </c>
      <c r="H67" s="61">
        <f>VLOOKUP($B67,Datos_SPIKA!$N$3:$P$83,3,FALSE)</f>
        <v>2</v>
      </c>
      <c r="I67" s="61"/>
      <c r="J67" s="61"/>
      <c r="K67" s="61"/>
      <c r="L67" s="61"/>
      <c r="M67" s="61"/>
      <c r="N67" s="61"/>
      <c r="O67" s="61">
        <f>VLOOKUP($B67,Datos_SPIKA!$N$3:$P$83,3,FALSE)</f>
        <v>2</v>
      </c>
      <c r="P67" s="61">
        <f>VLOOKUP($B67,Datos_SPIKA!$N$3:$P$83,3,FALSE)</f>
        <v>2</v>
      </c>
      <c r="Q67" s="61"/>
      <c r="R67" s="61"/>
      <c r="S67" s="61">
        <f>VLOOKUP($B67,Datos_SPIKA!$N$3:$P$83,3,FALSE)</f>
        <v>2</v>
      </c>
      <c r="T67" s="61"/>
      <c r="U67" s="61"/>
      <c r="V67" s="61"/>
      <c r="W67" s="61"/>
      <c r="X67" s="61"/>
      <c r="Y67" s="61"/>
      <c r="Z67" s="61">
        <f>VLOOKUP($B67,Datos_SPIKA!$N$3:$P$83,3,FALSE)</f>
        <v>2</v>
      </c>
      <c r="AA67" s="61">
        <f>VLOOKUP($B67,Datos_SPIKA!$N$3:$P$83,3,FALSE)</f>
        <v>2</v>
      </c>
      <c r="AB67" s="61">
        <f>VLOOKUP($B67,Datos_SPIKA!$N$3:$P$83,3,FALSE)</f>
        <v>2</v>
      </c>
    </row>
    <row r="68" spans="1:28" ht="28.5" customHeight="1">
      <c r="A68" s="93">
        <f t="shared" ref="A68:A85" si="3">COUNTA(D68:AB68)</f>
        <v>9</v>
      </c>
      <c r="B68" s="20" t="s">
        <v>266</v>
      </c>
      <c r="C68" s="37" t="str">
        <f>VLOOKUP(B68,Datos_SPIKA!N65:P147,2,0)</f>
        <v>Actividades de monitorización</v>
      </c>
      <c r="D68" s="61"/>
      <c r="E68" s="61"/>
      <c r="F68" s="61">
        <f>VLOOKUP($B68,Datos_SPIKA!$N$3:$P$83,3,FALSE)</f>
        <v>2.5</v>
      </c>
      <c r="G68" s="61">
        <f>VLOOKUP($B68,Datos_SPIKA!$N$3:$P$83,3,FALSE)</f>
        <v>2.5</v>
      </c>
      <c r="H68" s="61">
        <f>VLOOKUP($B68,Datos_SPIKA!$N$3:$P$83,3,FALSE)</f>
        <v>2.5</v>
      </c>
      <c r="I68" s="61"/>
      <c r="J68" s="61"/>
      <c r="K68" s="61"/>
      <c r="L68" s="61"/>
      <c r="M68" s="61"/>
      <c r="N68" s="61"/>
      <c r="O68" s="61">
        <f>VLOOKUP($B68,Datos_SPIKA!$N$3:$P$83,3,FALSE)</f>
        <v>2.5</v>
      </c>
      <c r="P68" s="61">
        <f>VLOOKUP($B68,Datos_SPIKA!$N$3:$P$83,3,FALSE)</f>
        <v>2.5</v>
      </c>
      <c r="Q68" s="61"/>
      <c r="R68" s="61"/>
      <c r="S68" s="61">
        <f>VLOOKUP($B68,Datos_SPIKA!$N$3:$P$83,3,FALSE)</f>
        <v>2.5</v>
      </c>
      <c r="T68" s="61"/>
      <c r="U68" s="61"/>
      <c r="V68" s="61"/>
      <c r="W68" s="61"/>
      <c r="X68" s="61"/>
      <c r="Y68" s="61"/>
      <c r="Z68" s="61">
        <f>VLOOKUP($B68,Datos_SPIKA!$N$3:$P$83,3,FALSE)</f>
        <v>2.5</v>
      </c>
      <c r="AA68" s="61">
        <f>VLOOKUP($B68,Datos_SPIKA!$N$3:$P$83,3,FALSE)</f>
        <v>2.5</v>
      </c>
      <c r="AB68" s="61">
        <f>VLOOKUP($B68,Datos_SPIKA!$N$3:$P$83,3,FALSE)</f>
        <v>2.5</v>
      </c>
    </row>
    <row r="69" spans="1:28" ht="28.15" customHeight="1">
      <c r="A69" s="93">
        <f t="shared" si="3"/>
        <v>10</v>
      </c>
      <c r="B69" s="20" t="s">
        <v>268</v>
      </c>
      <c r="C69" s="37" t="str">
        <f>VLOOKUP(B69,Datos_SPIKA!N66:P148,2,0)</f>
        <v>Sincronización de reloj</v>
      </c>
      <c r="D69" s="61"/>
      <c r="E69" s="61"/>
      <c r="F69" s="61">
        <f>VLOOKUP($B69,Datos_SPIKA!$N$3:$P$83,3,FALSE)</f>
        <v>3</v>
      </c>
      <c r="G69" s="61">
        <f>VLOOKUP($B69,Datos_SPIKA!$N$3:$P$83,3,FALSE)</f>
        <v>3</v>
      </c>
      <c r="H69" s="61">
        <f>VLOOKUP($B69,Datos_SPIKA!$N$3:$P$83,3,FALSE)</f>
        <v>3</v>
      </c>
      <c r="I69" s="61"/>
      <c r="J69" s="61"/>
      <c r="K69" s="61"/>
      <c r="L69" s="61"/>
      <c r="M69" s="61"/>
      <c r="N69" s="61"/>
      <c r="O69" s="61">
        <f>VLOOKUP($B69,Datos_SPIKA!$N$3:$P$83,3,FALSE)</f>
        <v>3</v>
      </c>
      <c r="P69" s="61">
        <f>VLOOKUP($B69,Datos_SPIKA!$N$3:$P$83,3,FALSE)</f>
        <v>3</v>
      </c>
      <c r="Q69" s="61">
        <f>VLOOKUP($B69,Datos_SPIKA!$N$3:$P$83,3,FALSE)</f>
        <v>3</v>
      </c>
      <c r="R69" s="61"/>
      <c r="S69" s="61"/>
      <c r="T69" s="61">
        <f>VLOOKUP($B69,Datos_SPIKA!$N$3:$P$83,3,FALSE)</f>
        <v>3</v>
      </c>
      <c r="U69" s="61"/>
      <c r="V69" s="61"/>
      <c r="W69" s="61"/>
      <c r="X69" s="61"/>
      <c r="Y69" s="61"/>
      <c r="Z69" s="61">
        <f>VLOOKUP($B69,Datos_SPIKA!$N$3:$P$83,3,FALSE)</f>
        <v>3</v>
      </c>
      <c r="AA69" s="61">
        <f>VLOOKUP($B69,Datos_SPIKA!$N$3:$P$83,3,FALSE)</f>
        <v>3</v>
      </c>
      <c r="AB69" s="61">
        <f>VLOOKUP($B69,Datos_SPIKA!$N$3:$P$83,3,FALSE)</f>
        <v>3</v>
      </c>
    </row>
    <row r="70" spans="1:28" ht="28.15" customHeight="1">
      <c r="A70" s="93">
        <f t="shared" si="3"/>
        <v>13</v>
      </c>
      <c r="B70" s="20" t="s">
        <v>270</v>
      </c>
      <c r="C70" s="37" t="str">
        <f>VLOOKUP(B70,Datos_SPIKA!N67:P149,2,0)</f>
        <v>Uso de programas privilegiados</v>
      </c>
      <c r="D70" s="61"/>
      <c r="E70" s="61">
        <f>VLOOKUP($B70,Datos_SPIKA!$N$3:$P$83,3,FALSE)</f>
        <v>3</v>
      </c>
      <c r="F70" s="61">
        <f>VLOOKUP($B70,Datos_SPIKA!$N$3:$P$83,3,FALSE)</f>
        <v>3</v>
      </c>
      <c r="G70" s="61">
        <f>VLOOKUP($B70,Datos_SPIKA!$N$3:$P$83,3,FALSE)</f>
        <v>3</v>
      </c>
      <c r="H70" s="61">
        <f>VLOOKUP($B70,Datos_SPIKA!$N$3:$P$83,3,FALSE)</f>
        <v>3</v>
      </c>
      <c r="I70" s="61">
        <f>VLOOKUP($B70,Datos_SPIKA!$N$3:$P$83,3,FALSE)</f>
        <v>3</v>
      </c>
      <c r="J70" s="61"/>
      <c r="K70" s="61"/>
      <c r="L70" s="61"/>
      <c r="M70" s="61"/>
      <c r="N70" s="61"/>
      <c r="O70" s="61">
        <f>VLOOKUP($B70,Datos_SPIKA!$N$3:$P$83,3,FALSE)</f>
        <v>3</v>
      </c>
      <c r="P70" s="61"/>
      <c r="Q70" s="61">
        <f>VLOOKUP($B70,Datos_SPIKA!$N$3:$P$83,3,FALSE)</f>
        <v>3</v>
      </c>
      <c r="R70" s="61"/>
      <c r="S70" s="61"/>
      <c r="T70" s="61"/>
      <c r="U70" s="61"/>
      <c r="V70" s="61"/>
      <c r="W70" s="61">
        <f>VLOOKUP($B70,Datos_SPIKA!$N$3:$P$83,3,FALSE)</f>
        <v>3</v>
      </c>
      <c r="X70" s="61">
        <f>VLOOKUP($B70,Datos_SPIKA!$N$3:$P$83,3,FALSE)</f>
        <v>3</v>
      </c>
      <c r="Y70" s="61">
        <f>VLOOKUP($B70,Datos_SPIKA!$N$3:$P$83,3,FALSE)</f>
        <v>3</v>
      </c>
      <c r="Z70" s="61">
        <f>VLOOKUP($B70,Datos_SPIKA!$N$3:$P$83,3,FALSE)</f>
        <v>3</v>
      </c>
      <c r="AA70" s="61">
        <f>VLOOKUP($B70,Datos_SPIKA!$N$3:$P$83,3,FALSE)</f>
        <v>3</v>
      </c>
      <c r="AB70" s="61">
        <f>VLOOKUP($B70,Datos_SPIKA!$N$3:$P$83,3,FALSE)</f>
        <v>3</v>
      </c>
    </row>
    <row r="71" spans="1:28" ht="28.5" customHeight="1">
      <c r="A71" s="93">
        <f t="shared" si="3"/>
        <v>11</v>
      </c>
      <c r="B71" s="20" t="s">
        <v>272</v>
      </c>
      <c r="C71" s="37" t="str">
        <f>VLOOKUP(B71,Datos_SPIKA!N68:P150,2,0)</f>
        <v>Instalación de software en sistemas operativos - Procedimientos para la instalación de SW</v>
      </c>
      <c r="D71" s="61"/>
      <c r="E71" s="61"/>
      <c r="F71" s="61"/>
      <c r="G71" s="61">
        <f>VLOOKUP($B71,Datos_SPIKA!$N$3:$P$83,3,FALSE)</f>
        <v>3</v>
      </c>
      <c r="H71" s="61">
        <f>VLOOKUP($B71,Datos_SPIKA!$N$3:$P$83,3,FALSE)</f>
        <v>3</v>
      </c>
      <c r="I71" s="61"/>
      <c r="J71" s="61">
        <f>VLOOKUP($B71,Datos_SPIKA!$N$3:$P$83,3,FALSE)</f>
        <v>3</v>
      </c>
      <c r="K71" s="61"/>
      <c r="L71" s="61">
        <f>VLOOKUP($B71,Datos_SPIKA!$N$3:$P$83,3,FALSE)</f>
        <v>3</v>
      </c>
      <c r="M71" s="61"/>
      <c r="N71" s="61"/>
      <c r="O71" s="61">
        <f>VLOOKUP($B71,Datos_SPIKA!$N$3:$P$83,3,FALSE)</f>
        <v>3</v>
      </c>
      <c r="P71" s="61">
        <f>VLOOKUP($B71,Datos_SPIKA!$N$3:$P$83,3,FALSE)</f>
        <v>3</v>
      </c>
      <c r="Q71" s="61">
        <f>VLOOKUP($B71,Datos_SPIKA!$N$3:$P$83,3,FALSE)</f>
        <v>3</v>
      </c>
      <c r="R71" s="61">
        <f>VLOOKUP($B71,Datos_SPIKA!$N$3:$P$83,3,FALSE)</f>
        <v>3</v>
      </c>
      <c r="S71" s="61">
        <f>VLOOKUP($B71,Datos_SPIKA!$N$3:$P$83,3,FALSE)</f>
        <v>3</v>
      </c>
      <c r="T71" s="61">
        <f>VLOOKUP($B71,Datos_SPIKA!$N$3:$P$83,3,FALSE)</f>
        <v>3</v>
      </c>
      <c r="U71" s="61">
        <f>VLOOKUP($B71,Datos_SPIKA!$N$3:$P$83,3,FALSE)</f>
        <v>3</v>
      </c>
      <c r="V71" s="61"/>
      <c r="W71" s="61"/>
      <c r="X71" s="61"/>
      <c r="Y71" s="61"/>
      <c r="Z71" s="61"/>
      <c r="AA71" s="61"/>
      <c r="AB71" s="61"/>
    </row>
    <row r="72" spans="1:28" ht="28.5" customHeight="1">
      <c r="A72" s="93">
        <f t="shared" si="3"/>
        <v>15</v>
      </c>
      <c r="B72" s="20" t="s">
        <v>274</v>
      </c>
      <c r="C72" s="37" t="str">
        <f>VLOOKUP(B72,Datos_SPIKA!N69:P151,2,0)</f>
        <v>Seguridad en la red</v>
      </c>
      <c r="D72" s="61"/>
      <c r="E72" s="61">
        <f>VLOOKUP($B72,Datos_SPIKA!$N$3:$P$83,3,FALSE)</f>
        <v>2.5</v>
      </c>
      <c r="F72" s="61">
        <f>VLOOKUP($B72,Datos_SPIKA!$N$3:$P$83,3,FALSE)</f>
        <v>2.5</v>
      </c>
      <c r="G72" s="61">
        <f>VLOOKUP($B72,Datos_SPIKA!$N$3:$P$83,3,FALSE)</f>
        <v>2.5</v>
      </c>
      <c r="H72" s="61">
        <f>VLOOKUP($B72,Datos_SPIKA!$N$3:$P$83,3,FALSE)</f>
        <v>2.5</v>
      </c>
      <c r="I72" s="61">
        <f>VLOOKUP($B72,Datos_SPIKA!$N$3:$P$83,3,FALSE)</f>
        <v>2.5</v>
      </c>
      <c r="J72" s="61"/>
      <c r="K72" s="61"/>
      <c r="L72" s="61"/>
      <c r="M72" s="61"/>
      <c r="N72" s="61">
        <f>VLOOKUP($B72,Datos_SPIKA!$N$3:$P$83,3,FALSE)</f>
        <v>2.5</v>
      </c>
      <c r="O72" s="61">
        <f>VLOOKUP($B72,Datos_SPIKA!$N$3:$P$83,3,FALSE)</f>
        <v>2.5</v>
      </c>
      <c r="P72" s="61">
        <f>VLOOKUP($B72,Datos_SPIKA!$N$3:$P$83,3,FALSE)</f>
        <v>2.5</v>
      </c>
      <c r="Q72" s="61">
        <f>VLOOKUP($B72,Datos_SPIKA!$N$3:$P$83,3,FALSE)</f>
        <v>2.5</v>
      </c>
      <c r="R72" s="61"/>
      <c r="S72" s="61">
        <f>VLOOKUP($B72,Datos_SPIKA!$N$3:$P$83,3,FALSE)</f>
        <v>2.5</v>
      </c>
      <c r="T72" s="61"/>
      <c r="U72" s="61"/>
      <c r="V72" s="61">
        <f>VLOOKUP($B72,Datos_SPIKA!$N$3:$P$83,3,FALSE)</f>
        <v>2.5</v>
      </c>
      <c r="W72" s="61"/>
      <c r="X72" s="61">
        <f>VLOOKUP($B72,Datos_SPIKA!$N$3:$P$83,3,FALSE)</f>
        <v>2.5</v>
      </c>
      <c r="Y72" s="61">
        <f>VLOOKUP($B72,Datos_SPIKA!$N$3:$P$83,3,FALSE)</f>
        <v>2.5</v>
      </c>
      <c r="Z72" s="61"/>
      <c r="AA72" s="61">
        <f>VLOOKUP($B72,Datos_SPIKA!$N$3:$P$83,3,FALSE)</f>
        <v>2.5</v>
      </c>
      <c r="AB72" s="61">
        <f>VLOOKUP($B72,Datos_SPIKA!$N$3:$P$83,3,FALSE)</f>
        <v>2.5</v>
      </c>
    </row>
    <row r="73" spans="1:28" ht="28.5" customHeight="1">
      <c r="A73" s="93">
        <f t="shared" si="3"/>
        <v>15</v>
      </c>
      <c r="B73" s="20" t="s">
        <v>276</v>
      </c>
      <c r="C73" s="37" t="str">
        <f>VLOOKUP(B73,Datos_SPIKA!N70:P152,2,0)</f>
        <v>Segregación de redes</v>
      </c>
      <c r="D73" s="61"/>
      <c r="E73" s="61">
        <f>VLOOKUP($B73,Datos_SPIKA!$N$3:$P$83,3,FALSE)</f>
        <v>2.5</v>
      </c>
      <c r="F73" s="61">
        <f>VLOOKUP($B73,Datos_SPIKA!$N$3:$P$83,3,FALSE)</f>
        <v>2.5</v>
      </c>
      <c r="G73" s="61">
        <f>VLOOKUP($B73,Datos_SPIKA!$N$3:$P$83,3,FALSE)</f>
        <v>2.5</v>
      </c>
      <c r="H73" s="61">
        <f>VLOOKUP($B73,Datos_SPIKA!$N$3:$P$83,3,FALSE)</f>
        <v>2.5</v>
      </c>
      <c r="I73" s="61">
        <f>VLOOKUP($B73,Datos_SPIKA!$N$3:$P$83,3,FALSE)</f>
        <v>2.5</v>
      </c>
      <c r="J73" s="61"/>
      <c r="K73" s="61"/>
      <c r="L73" s="61"/>
      <c r="M73" s="61"/>
      <c r="N73" s="61">
        <f>VLOOKUP($B73,Datos_SPIKA!$N$3:$P$83,3,FALSE)</f>
        <v>2.5</v>
      </c>
      <c r="O73" s="61">
        <f>VLOOKUP($B73,Datos_SPIKA!$N$3:$P$83,3,FALSE)</f>
        <v>2.5</v>
      </c>
      <c r="P73" s="61">
        <f>VLOOKUP($B73,Datos_SPIKA!$N$3:$P$83,3,FALSE)</f>
        <v>2.5</v>
      </c>
      <c r="Q73" s="61">
        <f>VLOOKUP($B73,Datos_SPIKA!$N$3:$P$83,3,FALSE)</f>
        <v>2.5</v>
      </c>
      <c r="R73" s="61"/>
      <c r="S73" s="61">
        <f>VLOOKUP($B73,Datos_SPIKA!$N$3:$P$83,3,FALSE)</f>
        <v>2.5</v>
      </c>
      <c r="T73" s="61"/>
      <c r="U73" s="61"/>
      <c r="V73" s="61">
        <f>VLOOKUP($B73,Datos_SPIKA!$N$3:$P$83,3,FALSE)</f>
        <v>2.5</v>
      </c>
      <c r="W73" s="61"/>
      <c r="X73" s="61">
        <f>VLOOKUP($B73,Datos_SPIKA!$N$3:$P$83,3,FALSE)</f>
        <v>2.5</v>
      </c>
      <c r="Y73" s="61">
        <f>VLOOKUP($B73,Datos_SPIKA!$N$3:$P$83,3,FALSE)</f>
        <v>2.5</v>
      </c>
      <c r="Z73" s="61"/>
      <c r="AA73" s="61">
        <f>VLOOKUP($B73,Datos_SPIKA!$N$3:$P$83,3,FALSE)</f>
        <v>2.5</v>
      </c>
      <c r="AB73" s="61">
        <f>VLOOKUP($B73,Datos_SPIKA!$N$3:$P$83,3,FALSE)</f>
        <v>2.5</v>
      </c>
    </row>
    <row r="74" spans="1:28" ht="28.5" customHeight="1">
      <c r="A74" s="93">
        <f t="shared" si="3"/>
        <v>13</v>
      </c>
      <c r="B74" s="20" t="s">
        <v>278</v>
      </c>
      <c r="C74" s="37" t="str">
        <f>VLOOKUP(B74,Datos_SPIKA!N71:P153,2,0)</f>
        <v>Web filtering</v>
      </c>
      <c r="D74" s="61"/>
      <c r="E74" s="61">
        <f>VLOOKUP($B74,Datos_SPIKA!$N$3:$P$83,3,FALSE)</f>
        <v>3</v>
      </c>
      <c r="F74" s="61">
        <f>VLOOKUP($B74,Datos_SPIKA!$N$3:$P$83,3,FALSE)</f>
        <v>3</v>
      </c>
      <c r="G74" s="61">
        <f>VLOOKUP($B74,Datos_SPIKA!$N$3:$P$83,3,FALSE)</f>
        <v>3</v>
      </c>
      <c r="H74" s="61">
        <f>VLOOKUP($B74,Datos_SPIKA!$N$3:$P$83,3,FALSE)</f>
        <v>3</v>
      </c>
      <c r="I74" s="61">
        <f>VLOOKUP($B74,Datos_SPIKA!$N$3:$P$83,3,FALSE)</f>
        <v>3</v>
      </c>
      <c r="J74" s="61"/>
      <c r="K74" s="61"/>
      <c r="L74" s="61">
        <f>VLOOKUP($B74,Datos_SPIKA!$N$3:$P$83,3,FALSE)</f>
        <v>3</v>
      </c>
      <c r="M74" s="61">
        <f>VLOOKUP($B74,Datos_SPIKA!$N$3:$P$83,3,FALSE)</f>
        <v>3</v>
      </c>
      <c r="N74" s="61"/>
      <c r="O74" s="61"/>
      <c r="P74" s="61"/>
      <c r="Q74" s="61">
        <f>VLOOKUP($B74,Datos_SPIKA!$N$3:$P$83,3,FALSE)</f>
        <v>3</v>
      </c>
      <c r="R74" s="61"/>
      <c r="S74" s="61">
        <f>VLOOKUP($B74,Datos_SPIKA!$N$3:$P$83,3,FALSE)</f>
        <v>3</v>
      </c>
      <c r="T74" s="61"/>
      <c r="U74" s="61">
        <f>VLOOKUP($B74,Datos_SPIKA!$N$3:$P$83,3,FALSE)</f>
        <v>3</v>
      </c>
      <c r="V74" s="61"/>
      <c r="W74" s="61"/>
      <c r="X74" s="61"/>
      <c r="Y74" s="61"/>
      <c r="Z74" s="61">
        <f>VLOOKUP($B74,Datos_SPIKA!$N$3:$P$83,3,FALSE)</f>
        <v>3</v>
      </c>
      <c r="AA74" s="61">
        <f>VLOOKUP($B74,Datos_SPIKA!$N$3:$P$83,3,FALSE)</f>
        <v>3</v>
      </c>
      <c r="AB74" s="61">
        <f>VLOOKUP($B74,Datos_SPIKA!$N$3:$P$83,3,FALSE)</f>
        <v>3</v>
      </c>
    </row>
    <row r="75" spans="1:28" ht="28.5" customHeight="1">
      <c r="A75" s="93">
        <f t="shared" si="3"/>
        <v>10</v>
      </c>
      <c r="B75" s="20" t="s">
        <v>280</v>
      </c>
      <c r="C75" s="37" t="str">
        <f>VLOOKUP(B75,Datos_SPIKA!N71:P154,2,0)</f>
        <v>Uso de la criptografía</v>
      </c>
      <c r="D75" s="61"/>
      <c r="E75" s="61">
        <f>VLOOKUP($B75,Datos_SPIKA!$N$3:$P$83,3,FALSE)</f>
        <v>2.5</v>
      </c>
      <c r="F75" s="61">
        <f>VLOOKUP($B75,Datos_SPIKA!$N$3:$P$83,3,FALSE)</f>
        <v>2.5</v>
      </c>
      <c r="G75" s="61">
        <f>VLOOKUP($B75,Datos_SPIKA!$N$3:$P$83,3,FALSE)</f>
        <v>2.5</v>
      </c>
      <c r="H75" s="61">
        <f>VLOOKUP($B75,Datos_SPIKA!$N$3:$P$83,3,FALSE)</f>
        <v>2.5</v>
      </c>
      <c r="I75" s="61">
        <f>VLOOKUP($B75,Datos_SPIKA!$N$3:$P$83,3,FALSE)</f>
        <v>2.5</v>
      </c>
      <c r="J75" s="61"/>
      <c r="K75" s="61"/>
      <c r="L75" s="61"/>
      <c r="M75" s="61"/>
      <c r="N75" s="61"/>
      <c r="O75" s="61"/>
      <c r="P75" s="61"/>
      <c r="Q75" s="61"/>
      <c r="R75" s="61"/>
      <c r="S75" s="61">
        <f>VLOOKUP($B75,Datos_SPIKA!$N$3:$P$83,3,FALSE)</f>
        <v>2.5</v>
      </c>
      <c r="T75" s="61"/>
      <c r="U75" s="61"/>
      <c r="V75" s="61">
        <f>VLOOKUP($B75,Datos_SPIKA!$N$3:$P$83,3,FALSE)</f>
        <v>2.5</v>
      </c>
      <c r="W75" s="61"/>
      <c r="X75" s="61"/>
      <c r="Y75" s="61">
        <f>VLOOKUP($B75,Datos_SPIKA!$N$3:$P$83,3,FALSE)</f>
        <v>2.5</v>
      </c>
      <c r="Z75" s="61"/>
      <c r="AA75" s="61">
        <f>VLOOKUP($B75,Datos_SPIKA!$N$3:$P$83,3,FALSE)</f>
        <v>2.5</v>
      </c>
      <c r="AB75" s="61">
        <f>VLOOKUP($B75,Datos_SPIKA!$N$3:$P$83,3,FALSE)</f>
        <v>2.5</v>
      </c>
    </row>
    <row r="76" spans="1:28" ht="28.5" customHeight="1">
      <c r="A76" s="93">
        <f t="shared" si="3"/>
        <v>16</v>
      </c>
      <c r="B76" s="20" t="s">
        <v>282</v>
      </c>
      <c r="C76" s="37" t="str">
        <f>VLOOKUP(B76,Datos_SPIKA!N72:P155,2,0)</f>
        <v>Ciclo de vida del desarrollo seguro</v>
      </c>
      <c r="D76" s="61"/>
      <c r="E76" s="61">
        <f>VLOOKUP($B76,Datos_SPIKA!$N$3:$P$83,3,FALSE)</f>
        <v>3.5</v>
      </c>
      <c r="F76" s="61">
        <f>VLOOKUP($B76,Datos_SPIKA!$N$3:$P$83,3,FALSE)</f>
        <v>3.5</v>
      </c>
      <c r="G76" s="61">
        <f>VLOOKUP($B76,Datos_SPIKA!$N$3:$P$83,3,FALSE)</f>
        <v>3.5</v>
      </c>
      <c r="H76" s="61">
        <f>VLOOKUP($B76,Datos_SPIKA!$N$3:$P$83,3,FALSE)</f>
        <v>3.5</v>
      </c>
      <c r="I76" s="61">
        <f>VLOOKUP($B76,Datos_SPIKA!$N$3:$P$83,3,FALSE)</f>
        <v>3.5</v>
      </c>
      <c r="J76" s="61"/>
      <c r="K76" s="61"/>
      <c r="L76" s="61"/>
      <c r="M76" s="61"/>
      <c r="N76" s="61"/>
      <c r="O76" s="61">
        <f>VLOOKUP($B76,Datos_SPIKA!$N$3:$P$83,3,FALSE)</f>
        <v>3.5</v>
      </c>
      <c r="P76" s="61">
        <f>VLOOKUP($B76,Datos_SPIKA!$N$3:$P$83,3,FALSE)</f>
        <v>3.5</v>
      </c>
      <c r="Q76" s="61">
        <f>VLOOKUP($B76,Datos_SPIKA!$N$3:$P$83,3,FALSE)</f>
        <v>3.5</v>
      </c>
      <c r="R76" s="61"/>
      <c r="S76" s="61">
        <f>VLOOKUP($B76,Datos_SPIKA!$N$3:$P$83,3,FALSE)</f>
        <v>3.5</v>
      </c>
      <c r="T76" s="61">
        <f>VLOOKUP($B76,Datos_SPIKA!$N$3:$P$83,3,FALSE)</f>
        <v>3.5</v>
      </c>
      <c r="U76" s="61">
        <f>VLOOKUP($B76,Datos_SPIKA!$N$3:$P$83,3,FALSE)</f>
        <v>3.5</v>
      </c>
      <c r="V76" s="61"/>
      <c r="W76" s="61"/>
      <c r="X76" s="61">
        <f>VLOOKUP($B76,Datos_SPIKA!$N$3:$P$83,3,FALSE)</f>
        <v>3.5</v>
      </c>
      <c r="Y76" s="61">
        <f>VLOOKUP($B76,Datos_SPIKA!$N$3:$P$83,3,FALSE)</f>
        <v>3.5</v>
      </c>
      <c r="Z76" s="61">
        <f>VLOOKUP($B76,Datos_SPIKA!$N$3:$P$83,3,FALSE)</f>
        <v>3.5</v>
      </c>
      <c r="AA76" s="61">
        <f>VLOOKUP($B76,Datos_SPIKA!$N$3:$P$83,3,FALSE)</f>
        <v>3.5</v>
      </c>
      <c r="AB76" s="61">
        <f>VLOOKUP($B76,Datos_SPIKA!$N$3:$P$83,3,FALSE)</f>
        <v>3.5</v>
      </c>
    </row>
    <row r="77" spans="1:28" ht="28.5" customHeight="1">
      <c r="A77" s="93">
        <f t="shared" si="3"/>
        <v>20</v>
      </c>
      <c r="B77" s="20" t="s">
        <v>284</v>
      </c>
      <c r="C77" s="37" t="str">
        <f>VLOOKUP(B77,Datos_SPIKA!N73:P156,2,0)</f>
        <v>Requerimientos de seguridad en las aplicaciones</v>
      </c>
      <c r="D77" s="61"/>
      <c r="E77" s="61">
        <f>VLOOKUP($B77,Datos_SPIKA!$N$3:$P$83,3,FALSE)</f>
        <v>3.5</v>
      </c>
      <c r="F77" s="61">
        <f>VLOOKUP($B77,Datos_SPIKA!$N$3:$P$83,3,FALSE)</f>
        <v>3.5</v>
      </c>
      <c r="G77" s="61">
        <f>VLOOKUP($B77,Datos_SPIKA!$N$3:$P$83,3,FALSE)</f>
        <v>3.5</v>
      </c>
      <c r="H77" s="61">
        <f>VLOOKUP($B77,Datos_SPIKA!$N$3:$P$83,3,FALSE)</f>
        <v>3.5</v>
      </c>
      <c r="I77" s="61">
        <f>VLOOKUP($B77,Datos_SPIKA!$N$3:$P$83,3,FALSE)</f>
        <v>3.5</v>
      </c>
      <c r="J77" s="61"/>
      <c r="K77" s="61"/>
      <c r="L77" s="61">
        <f>VLOOKUP($B77,Datos_SPIKA!$N$3:$P$83,3,FALSE)</f>
        <v>3.5</v>
      </c>
      <c r="M77" s="61">
        <f>VLOOKUP($B77,Datos_SPIKA!$N$3:$P$83,3,FALSE)</f>
        <v>3.5</v>
      </c>
      <c r="N77" s="61">
        <f>VLOOKUP($B77,Datos_SPIKA!$N$3:$P$83,3,FALSE)</f>
        <v>3.5</v>
      </c>
      <c r="O77" s="61">
        <f>VLOOKUP($B77,Datos_SPIKA!$N$3:$P$83,3,FALSE)</f>
        <v>3.5</v>
      </c>
      <c r="P77" s="61">
        <f>VLOOKUP($B77,Datos_SPIKA!$N$3:$P$83,3,FALSE)</f>
        <v>3.5</v>
      </c>
      <c r="Q77" s="61">
        <f>VLOOKUP($B77,Datos_SPIKA!$N$3:$P$83,3,FALSE)</f>
        <v>3.5</v>
      </c>
      <c r="R77" s="61"/>
      <c r="S77" s="61">
        <f>VLOOKUP($B77,Datos_SPIKA!$N$3:$P$83,3,FALSE)</f>
        <v>3.5</v>
      </c>
      <c r="T77" s="61">
        <f>VLOOKUP($B77,Datos_SPIKA!$N$3:$P$83,3,FALSE)</f>
        <v>3.5</v>
      </c>
      <c r="U77" s="61">
        <f>VLOOKUP($B77,Datos_SPIKA!$N$3:$P$83,3,FALSE)</f>
        <v>3.5</v>
      </c>
      <c r="V77" s="61">
        <f>VLOOKUP($B77,Datos_SPIKA!$N$3:$P$83,3,FALSE)</f>
        <v>3.5</v>
      </c>
      <c r="W77" s="61"/>
      <c r="X77" s="61">
        <f>VLOOKUP($B77,Datos_SPIKA!$N$3:$P$83,3,FALSE)</f>
        <v>3.5</v>
      </c>
      <c r="Y77" s="61">
        <f>VLOOKUP($B77,Datos_SPIKA!$N$3:$P$83,3,FALSE)</f>
        <v>3.5</v>
      </c>
      <c r="Z77" s="61">
        <f>VLOOKUP($B77,Datos_SPIKA!$N$3:$P$83,3,FALSE)</f>
        <v>3.5</v>
      </c>
      <c r="AA77" s="61">
        <f>VLOOKUP($B77,Datos_SPIKA!$N$3:$P$83,3,FALSE)</f>
        <v>3.5</v>
      </c>
      <c r="AB77" s="61">
        <f>VLOOKUP($B77,Datos_SPIKA!$N$3:$P$83,3,FALSE)</f>
        <v>3.5</v>
      </c>
    </row>
    <row r="78" spans="1:28" ht="28.5" customHeight="1">
      <c r="A78" s="93">
        <f t="shared" si="3"/>
        <v>25</v>
      </c>
      <c r="B78" s="20" t="s">
        <v>286</v>
      </c>
      <c r="C78" s="37" t="str">
        <f>VLOOKUP(B78,Datos_SPIKA!N74:P157,2,0)</f>
        <v>Arquitectura de sistemas seguros y principios de ingeniería</v>
      </c>
      <c r="D78" s="61">
        <f>VLOOKUP($B78,Datos_SPIKA!$N$3:$P$83,3,FALSE)</f>
        <v>3</v>
      </c>
      <c r="E78" s="61">
        <f>VLOOKUP($B78,Datos_SPIKA!$N$3:$P$83,3,FALSE)</f>
        <v>3</v>
      </c>
      <c r="F78" s="61">
        <f>VLOOKUP($B78,Datos_SPIKA!$N$3:$P$83,3,FALSE)</f>
        <v>3</v>
      </c>
      <c r="G78" s="61">
        <f>VLOOKUP($B78,Datos_SPIKA!$N$3:$P$83,3,FALSE)</f>
        <v>3</v>
      </c>
      <c r="H78" s="61">
        <f>VLOOKUP($B78,Datos_SPIKA!$N$3:$P$83,3,FALSE)</f>
        <v>3</v>
      </c>
      <c r="I78" s="61">
        <f>VLOOKUP($B78,Datos_SPIKA!$N$3:$P$83,3,FALSE)</f>
        <v>3</v>
      </c>
      <c r="J78" s="61">
        <f>VLOOKUP($B78,Datos_SPIKA!$N$3:$P$83,3,FALSE)</f>
        <v>3</v>
      </c>
      <c r="K78" s="61">
        <f>VLOOKUP($B78,Datos_SPIKA!$N$3:$P$83,3,FALSE)</f>
        <v>3</v>
      </c>
      <c r="L78" s="61">
        <f>VLOOKUP($B78,Datos_SPIKA!$N$3:$P$83,3,FALSE)</f>
        <v>3</v>
      </c>
      <c r="M78" s="61">
        <f>VLOOKUP($B78,Datos_SPIKA!$N$3:$P$83,3,FALSE)</f>
        <v>3</v>
      </c>
      <c r="N78" s="61">
        <f>VLOOKUP($B78,Datos_SPIKA!$N$3:$P$83,3,FALSE)</f>
        <v>3</v>
      </c>
      <c r="O78" s="61">
        <f>VLOOKUP($B78,Datos_SPIKA!$N$3:$P$83,3,FALSE)</f>
        <v>3</v>
      </c>
      <c r="P78" s="61">
        <f>VLOOKUP($B78,Datos_SPIKA!$N$3:$P$83,3,FALSE)</f>
        <v>3</v>
      </c>
      <c r="Q78" s="61">
        <f>VLOOKUP($B78,Datos_SPIKA!$N$3:$P$83,3,FALSE)</f>
        <v>3</v>
      </c>
      <c r="R78" s="61">
        <f>VLOOKUP($B78,Datos_SPIKA!$N$3:$P$83,3,FALSE)</f>
        <v>3</v>
      </c>
      <c r="S78" s="61">
        <f>VLOOKUP($B78,Datos_SPIKA!$N$3:$P$83,3,FALSE)</f>
        <v>3</v>
      </c>
      <c r="T78" s="61">
        <f>VLOOKUP($B78,Datos_SPIKA!$N$3:$P$83,3,FALSE)</f>
        <v>3</v>
      </c>
      <c r="U78" s="61">
        <f>VLOOKUP($B78,Datos_SPIKA!$N$3:$P$83,3,FALSE)</f>
        <v>3</v>
      </c>
      <c r="V78" s="61">
        <f>VLOOKUP($B78,Datos_SPIKA!$N$3:$P$83,3,FALSE)</f>
        <v>3</v>
      </c>
      <c r="W78" s="61">
        <f>VLOOKUP($B78,Datos_SPIKA!$N$3:$P$83,3,FALSE)</f>
        <v>3</v>
      </c>
      <c r="X78" s="61">
        <f>VLOOKUP($B78,Datos_SPIKA!$N$3:$P$83,3,FALSE)</f>
        <v>3</v>
      </c>
      <c r="Y78" s="61">
        <f>VLOOKUP($B78,Datos_SPIKA!$N$3:$P$83,3,FALSE)</f>
        <v>3</v>
      </c>
      <c r="Z78" s="61">
        <f>VLOOKUP($B78,Datos_SPIKA!$N$3:$P$83,3,FALSE)</f>
        <v>3</v>
      </c>
      <c r="AA78" s="61">
        <f>VLOOKUP($B78,Datos_SPIKA!$N$3:$P$83,3,FALSE)</f>
        <v>3</v>
      </c>
      <c r="AB78" s="61">
        <f>VLOOKUP($B78,Datos_SPIKA!$N$3:$P$83,3,FALSE)</f>
        <v>3</v>
      </c>
    </row>
    <row r="79" spans="1:28" ht="28.5" customHeight="1">
      <c r="A79" s="93">
        <f t="shared" si="3"/>
        <v>18</v>
      </c>
      <c r="B79" s="20" t="s">
        <v>288</v>
      </c>
      <c r="C79" s="37" t="str">
        <f>VLOOKUP(B79,Datos_SPIKA!N75:P158,2,0)</f>
        <v>Secure coding</v>
      </c>
      <c r="D79" s="61"/>
      <c r="E79" s="61">
        <f>VLOOKUP($B79,Datos_SPIKA!$N$3:$P$83,3,FALSE)</f>
        <v>3</v>
      </c>
      <c r="F79" s="61">
        <f>VLOOKUP($B79,Datos_SPIKA!$N$3:$P$83,3,FALSE)</f>
        <v>3</v>
      </c>
      <c r="G79" s="61">
        <f>VLOOKUP($B79,Datos_SPIKA!$N$3:$P$83,3,FALSE)</f>
        <v>3</v>
      </c>
      <c r="H79" s="61">
        <f>VLOOKUP($B79,Datos_SPIKA!$N$3:$P$83,3,FALSE)</f>
        <v>3</v>
      </c>
      <c r="I79" s="61">
        <f>VLOOKUP($B79,Datos_SPIKA!$N$3:$P$83,3,FALSE)</f>
        <v>3</v>
      </c>
      <c r="J79" s="61"/>
      <c r="K79" s="61"/>
      <c r="L79" s="61"/>
      <c r="M79" s="61">
        <f>VLOOKUP($B79,Datos_SPIKA!$N$3:$P$83,3,FALSE)</f>
        <v>3</v>
      </c>
      <c r="N79" s="61"/>
      <c r="O79" s="61">
        <f>VLOOKUP($B79,Datos_SPIKA!$N$3:$P$83,3,FALSE)</f>
        <v>3</v>
      </c>
      <c r="P79" s="61">
        <f>VLOOKUP($B79,Datos_SPIKA!$N$3:$P$83,3,FALSE)</f>
        <v>3</v>
      </c>
      <c r="Q79" s="61">
        <f>VLOOKUP($B79,Datos_SPIKA!$N$3:$P$83,3,FALSE)</f>
        <v>3</v>
      </c>
      <c r="R79" s="61">
        <f>VLOOKUP($B79,Datos_SPIKA!$N$3:$P$83,3,FALSE)</f>
        <v>3</v>
      </c>
      <c r="S79" s="61">
        <f>VLOOKUP($B79,Datos_SPIKA!$N$3:$P$83,3,FALSE)</f>
        <v>3</v>
      </c>
      <c r="T79" s="61">
        <f>VLOOKUP($B79,Datos_SPIKA!$N$3:$P$83,3,FALSE)</f>
        <v>3</v>
      </c>
      <c r="U79" s="61"/>
      <c r="V79" s="61">
        <f>VLOOKUP($B79,Datos_SPIKA!$N$3:$P$83,3,FALSE)</f>
        <v>3</v>
      </c>
      <c r="W79" s="61"/>
      <c r="X79" s="61">
        <f>VLOOKUP($B79,Datos_SPIKA!$N$3:$P$83,3,FALSE)</f>
        <v>3</v>
      </c>
      <c r="Y79" s="61">
        <f>VLOOKUP($B79,Datos_SPIKA!$N$3:$P$83,3,FALSE)</f>
        <v>3</v>
      </c>
      <c r="Z79" s="61">
        <f>VLOOKUP($B79,Datos_SPIKA!$N$3:$P$83,3,FALSE)</f>
        <v>3</v>
      </c>
      <c r="AA79" s="61">
        <f>VLOOKUP($B79,Datos_SPIKA!$N$3:$P$83,3,FALSE)</f>
        <v>3</v>
      </c>
      <c r="AB79" s="61">
        <f>VLOOKUP($B79,Datos_SPIKA!$N$3:$P$83,3,FALSE)</f>
        <v>3</v>
      </c>
    </row>
    <row r="80" spans="1:28" ht="28.5" customHeight="1">
      <c r="A80" s="93">
        <f t="shared" si="3"/>
        <v>15</v>
      </c>
      <c r="B80" s="20" t="s">
        <v>290</v>
      </c>
      <c r="C80" s="37" t="str">
        <f>VLOOKUP(B80,Datos_SPIKA!N76:P159,2,0)</f>
        <v>Pruebas de seguridad en desarrollo y aceptación</v>
      </c>
      <c r="D80" s="61"/>
      <c r="E80" s="61">
        <f>VLOOKUP($B80,Datos_SPIKA!$N$3:$P$83,3,FALSE)</f>
        <v>3</v>
      </c>
      <c r="F80" s="61">
        <f>VLOOKUP($B80,Datos_SPIKA!$N$3:$P$83,3,FALSE)</f>
        <v>3</v>
      </c>
      <c r="G80" s="61">
        <f>VLOOKUP($B80,Datos_SPIKA!$N$3:$P$83,3,FALSE)</f>
        <v>3</v>
      </c>
      <c r="H80" s="61">
        <f>VLOOKUP($B80,Datos_SPIKA!$N$3:$P$83,3,FALSE)</f>
        <v>3</v>
      </c>
      <c r="I80" s="61">
        <f>VLOOKUP($B80,Datos_SPIKA!$N$3:$P$83,3,FALSE)</f>
        <v>3</v>
      </c>
      <c r="J80" s="61"/>
      <c r="K80" s="61"/>
      <c r="L80" s="61">
        <f>VLOOKUP($B80,Datos_SPIKA!$N$3:$P$83,3,FALSE)</f>
        <v>3</v>
      </c>
      <c r="M80" s="61">
        <f>VLOOKUP($B80,Datos_SPIKA!$N$3:$P$83,3,FALSE)</f>
        <v>3</v>
      </c>
      <c r="N80" s="61">
        <f>VLOOKUP($B80,Datos_SPIKA!$N$3:$P$83,3,FALSE)</f>
        <v>3</v>
      </c>
      <c r="O80" s="61"/>
      <c r="P80" s="61"/>
      <c r="Q80" s="61">
        <f>VLOOKUP($B80,Datos_SPIKA!$N$3:$P$83,3,FALSE)</f>
        <v>3</v>
      </c>
      <c r="R80" s="61"/>
      <c r="S80" s="61">
        <f>VLOOKUP($B80,Datos_SPIKA!$N$3:$P$83,3,FALSE)</f>
        <v>3</v>
      </c>
      <c r="T80" s="61"/>
      <c r="U80" s="61"/>
      <c r="V80" s="61"/>
      <c r="W80" s="61"/>
      <c r="X80" s="61">
        <f>VLOOKUP($B80,Datos_SPIKA!$N$3:$P$83,3,FALSE)</f>
        <v>3</v>
      </c>
      <c r="Y80" s="61">
        <f>VLOOKUP($B80,Datos_SPIKA!$N$3:$P$83,3,FALSE)</f>
        <v>3</v>
      </c>
      <c r="Z80" s="61">
        <f>VLOOKUP($B80,Datos_SPIKA!$N$3:$P$83,3,FALSE)</f>
        <v>3</v>
      </c>
      <c r="AA80" s="61">
        <f>VLOOKUP($B80,Datos_SPIKA!$N$3:$P$83,3,FALSE)</f>
        <v>3</v>
      </c>
      <c r="AB80" s="61">
        <f>VLOOKUP($B80,Datos_SPIKA!$N$3:$P$83,3,FALSE)</f>
        <v>3</v>
      </c>
    </row>
    <row r="81" spans="1:28" ht="28.5" customHeight="1">
      <c r="A81" s="93">
        <f t="shared" si="3"/>
        <v>25</v>
      </c>
      <c r="B81" s="20" t="s">
        <v>292</v>
      </c>
      <c r="C81" s="37" t="str">
        <f>VLOOKUP(B81,Datos_SPIKA!N77:P160,2,0)</f>
        <v>Desarrollo externalizado</v>
      </c>
      <c r="D81" s="61">
        <f>VLOOKUP($B81,Datos_SPIKA!$N$3:$P$83,3,FALSE)</f>
        <v>3</v>
      </c>
      <c r="E81" s="61">
        <f>VLOOKUP($B81,Datos_SPIKA!$N$3:$P$83,3,FALSE)</f>
        <v>3</v>
      </c>
      <c r="F81" s="61">
        <f>VLOOKUP($B81,Datos_SPIKA!$N$3:$P$83,3,FALSE)</f>
        <v>3</v>
      </c>
      <c r="G81" s="61">
        <f>VLOOKUP($B81,Datos_SPIKA!$N$3:$P$83,3,FALSE)</f>
        <v>3</v>
      </c>
      <c r="H81" s="61">
        <f>VLOOKUP($B81,Datos_SPIKA!$N$3:$P$83,3,FALSE)</f>
        <v>3</v>
      </c>
      <c r="I81" s="61">
        <f>VLOOKUP($B81,Datos_SPIKA!$N$3:$P$83,3,FALSE)</f>
        <v>3</v>
      </c>
      <c r="J81" s="61">
        <f>VLOOKUP($B81,Datos_SPIKA!$N$3:$P$83,3,FALSE)</f>
        <v>3</v>
      </c>
      <c r="K81" s="61">
        <f>VLOOKUP($B81,Datos_SPIKA!$N$3:$P$83,3,FALSE)</f>
        <v>3</v>
      </c>
      <c r="L81" s="61">
        <f>VLOOKUP($B81,Datos_SPIKA!$N$3:$P$83,3,FALSE)</f>
        <v>3</v>
      </c>
      <c r="M81" s="61">
        <f>VLOOKUP($B81,Datos_SPIKA!$N$3:$P$83,3,FALSE)</f>
        <v>3</v>
      </c>
      <c r="N81" s="61">
        <f>VLOOKUP($B81,Datos_SPIKA!$N$3:$P$83,3,FALSE)</f>
        <v>3</v>
      </c>
      <c r="O81" s="61">
        <f>VLOOKUP($B81,Datos_SPIKA!$N$3:$P$83,3,FALSE)</f>
        <v>3</v>
      </c>
      <c r="P81" s="61">
        <f>VLOOKUP($B81,Datos_SPIKA!$N$3:$P$83,3,FALSE)</f>
        <v>3</v>
      </c>
      <c r="Q81" s="61">
        <f>VLOOKUP($B81,Datos_SPIKA!$N$3:$P$83,3,FALSE)</f>
        <v>3</v>
      </c>
      <c r="R81" s="61">
        <f>VLOOKUP($B81,Datos_SPIKA!$N$3:$P$83,3,FALSE)</f>
        <v>3</v>
      </c>
      <c r="S81" s="61">
        <f>VLOOKUP($B81,Datos_SPIKA!$N$3:$P$83,3,FALSE)</f>
        <v>3</v>
      </c>
      <c r="T81" s="61">
        <f>VLOOKUP($B81,Datos_SPIKA!$N$3:$P$83,3,FALSE)</f>
        <v>3</v>
      </c>
      <c r="U81" s="61">
        <f>VLOOKUP($B81,Datos_SPIKA!$N$3:$P$83,3,FALSE)</f>
        <v>3</v>
      </c>
      <c r="V81" s="61">
        <f>VLOOKUP($B81,Datos_SPIKA!$N$3:$P$83,3,FALSE)</f>
        <v>3</v>
      </c>
      <c r="W81" s="61">
        <f>VLOOKUP($B81,Datos_SPIKA!$N$3:$P$83,3,FALSE)</f>
        <v>3</v>
      </c>
      <c r="X81" s="61">
        <f>VLOOKUP($B81,Datos_SPIKA!$N$3:$P$83,3,FALSE)</f>
        <v>3</v>
      </c>
      <c r="Y81" s="61">
        <f>VLOOKUP($B81,Datos_SPIKA!$N$3:$P$83,3,FALSE)</f>
        <v>3</v>
      </c>
      <c r="Z81" s="61">
        <f>VLOOKUP($B81,Datos_SPIKA!$N$3:$P$83,3,FALSE)</f>
        <v>3</v>
      </c>
      <c r="AA81" s="61">
        <f>VLOOKUP($B81,Datos_SPIKA!$N$3:$P$83,3,FALSE)</f>
        <v>3</v>
      </c>
      <c r="AB81" s="61">
        <f>VLOOKUP($B81,Datos_SPIKA!$N$3:$P$83,3,FALSE)</f>
        <v>3</v>
      </c>
    </row>
    <row r="82" spans="1:28" ht="28.5" customHeight="1">
      <c r="A82" s="93">
        <f t="shared" si="3"/>
        <v>13</v>
      </c>
      <c r="B82" s="20" t="s">
        <v>294</v>
      </c>
      <c r="C82" s="37" t="str">
        <f>VLOOKUP(B82,Datos_SPIKA!N78:P161,2,0)</f>
        <v>Separación de desarrollo, test y producción</v>
      </c>
      <c r="D82" s="61"/>
      <c r="E82" s="61">
        <f>VLOOKUP($B82,Datos_SPIKA!$N$3:$P$83,3,FALSE)</f>
        <v>3</v>
      </c>
      <c r="F82" s="61">
        <f>VLOOKUP($B82,Datos_SPIKA!$N$3:$P$83,3,FALSE)</f>
        <v>3</v>
      </c>
      <c r="G82" s="61">
        <f>VLOOKUP($B82,Datos_SPIKA!$N$3:$P$83,3,FALSE)</f>
        <v>3</v>
      </c>
      <c r="H82" s="61">
        <f>VLOOKUP($B82,Datos_SPIKA!$N$3:$P$83,3,FALSE)</f>
        <v>3</v>
      </c>
      <c r="I82" s="61"/>
      <c r="J82" s="61"/>
      <c r="K82" s="61"/>
      <c r="L82" s="61">
        <f>VLOOKUP($B82,Datos_SPIKA!$N$3:$P$83,3,FALSE)</f>
        <v>3</v>
      </c>
      <c r="M82" s="61">
        <f>VLOOKUP($B82,Datos_SPIKA!$N$3:$P$83,3,FALSE)</f>
        <v>3</v>
      </c>
      <c r="N82" s="61"/>
      <c r="O82" s="61">
        <f>VLOOKUP($B82,Datos_SPIKA!$N$3:$P$83,3,FALSE)</f>
        <v>3</v>
      </c>
      <c r="P82" s="61">
        <f>VLOOKUP($B82,Datos_SPIKA!$N$3:$P$83,3,FALSE)</f>
        <v>3</v>
      </c>
      <c r="Q82" s="61">
        <f>VLOOKUP($B82,Datos_SPIKA!$N$3:$P$83,3,FALSE)</f>
        <v>3</v>
      </c>
      <c r="R82" s="61"/>
      <c r="S82" s="61">
        <f>VLOOKUP($B82,Datos_SPIKA!$N$3:$P$83,3,FALSE)</f>
        <v>3</v>
      </c>
      <c r="T82" s="61">
        <f>VLOOKUP($B82,Datos_SPIKA!$N$3:$P$83,3,FALSE)</f>
        <v>3</v>
      </c>
      <c r="U82" s="61"/>
      <c r="V82" s="61"/>
      <c r="W82" s="61"/>
      <c r="X82" s="61">
        <f>VLOOKUP($B82,Datos_SPIKA!$N$3:$P$83,3,FALSE)</f>
        <v>3</v>
      </c>
      <c r="Y82" s="61">
        <f>VLOOKUP($B82,Datos_SPIKA!$N$3:$P$83,3,FALSE)</f>
        <v>3</v>
      </c>
      <c r="Z82" s="61"/>
      <c r="AA82" s="61"/>
      <c r="AB82" s="61"/>
    </row>
    <row r="83" spans="1:28" ht="28.5" customHeight="1">
      <c r="A83" s="93">
        <f t="shared" si="3"/>
        <v>12</v>
      </c>
      <c r="B83" s="20" t="s">
        <v>296</v>
      </c>
      <c r="C83" s="37" t="str">
        <f>VLOOKUP(B83,Datos_SPIKA!N79:P162,2,0)</f>
        <v>Gestión del cambio</v>
      </c>
      <c r="D83" s="61"/>
      <c r="E83" s="61">
        <f>VLOOKUP($B83,Datos_SPIKA!$N$3:$P$83,3,FALSE)</f>
        <v>3</v>
      </c>
      <c r="F83" s="61">
        <f>VLOOKUP($B83,Datos_SPIKA!$N$3:$P$83,3,FALSE)</f>
        <v>3</v>
      </c>
      <c r="G83" s="61">
        <f>VLOOKUP($B83,Datos_SPIKA!$N$3:$P$83,3,FALSE)</f>
        <v>3</v>
      </c>
      <c r="H83" s="61">
        <f>VLOOKUP($B83,Datos_SPIKA!$N$3:$P$83,3,FALSE)</f>
        <v>3</v>
      </c>
      <c r="I83" s="61"/>
      <c r="J83" s="61"/>
      <c r="K83" s="61"/>
      <c r="L83" s="61">
        <f>VLOOKUP($B83,Datos_SPIKA!$N$3:$P$83,3,FALSE)</f>
        <v>3</v>
      </c>
      <c r="M83" s="61">
        <f>VLOOKUP($B83,Datos_SPIKA!$N$3:$P$83,3,FALSE)</f>
        <v>3</v>
      </c>
      <c r="N83" s="61"/>
      <c r="O83" s="61">
        <f>VLOOKUP($B83,Datos_SPIKA!$N$3:$P$83,3,FALSE)</f>
        <v>3</v>
      </c>
      <c r="P83" s="61">
        <f>VLOOKUP($B83,Datos_SPIKA!$N$3:$P$83,3,FALSE)</f>
        <v>3</v>
      </c>
      <c r="Q83" s="61">
        <f>VLOOKUP($B83,Datos_SPIKA!$N$3:$P$83,3,FALSE)</f>
        <v>3</v>
      </c>
      <c r="R83" s="61"/>
      <c r="S83" s="61">
        <f>VLOOKUP($B83,Datos_SPIKA!$N$3:$P$83,3,FALSE)</f>
        <v>3</v>
      </c>
      <c r="T83" s="61"/>
      <c r="U83" s="61">
        <f>VLOOKUP($B83,Datos_SPIKA!$N$3:$P$83,3,FALSE)</f>
        <v>3</v>
      </c>
      <c r="V83" s="61"/>
      <c r="W83" s="61"/>
      <c r="X83" s="61">
        <f>VLOOKUP($B83,Datos_SPIKA!$N$3:$P$83,3,FALSE)</f>
        <v>3</v>
      </c>
      <c r="Y83" s="61"/>
      <c r="Z83" s="61"/>
      <c r="AA83" s="61"/>
      <c r="AB83" s="61"/>
    </row>
    <row r="84" spans="1:28" ht="28.5" customHeight="1">
      <c r="A84" s="93">
        <f t="shared" si="3"/>
        <v>10</v>
      </c>
      <c r="B84" s="20" t="s">
        <v>298</v>
      </c>
      <c r="C84" s="37" t="str">
        <f>VLOOKUP(B84,Datos_SPIKA!N80:P163,2,0)</f>
        <v>Test information</v>
      </c>
      <c r="D84" s="61"/>
      <c r="E84" s="61">
        <f>VLOOKUP($B84,Datos_SPIKA!$N$3:$P$83,3,FALSE)</f>
        <v>3</v>
      </c>
      <c r="F84" s="61">
        <f>VLOOKUP($B84,Datos_SPIKA!$N$3:$P$83,3,FALSE)</f>
        <v>3</v>
      </c>
      <c r="G84" s="61">
        <f>VLOOKUP($B84,Datos_SPIKA!$N$3:$P$83,3,FALSE)</f>
        <v>3</v>
      </c>
      <c r="H84" s="61">
        <f>VLOOKUP($B84,Datos_SPIKA!$N$3:$P$83,3,FALSE)</f>
        <v>3</v>
      </c>
      <c r="I84" s="61">
        <f>VLOOKUP($B84,Datos_SPIKA!$N$3:$P$83,3,FALSE)</f>
        <v>3</v>
      </c>
      <c r="J84" s="61"/>
      <c r="K84" s="61"/>
      <c r="L84" s="61"/>
      <c r="M84" s="61"/>
      <c r="N84" s="61"/>
      <c r="O84" s="61">
        <f>VLOOKUP($B84,Datos_SPIKA!$N$3:$P$83,3,FALSE)</f>
        <v>3</v>
      </c>
      <c r="P84" s="61">
        <f>VLOOKUP($B84,Datos_SPIKA!$N$3:$P$83,3,FALSE)</f>
        <v>3</v>
      </c>
      <c r="Q84" s="61"/>
      <c r="R84" s="61"/>
      <c r="S84" s="61"/>
      <c r="T84" s="61">
        <f>VLOOKUP($B84,Datos_SPIKA!$N$3:$P$83,3,FALSE)</f>
        <v>3</v>
      </c>
      <c r="U84" s="61"/>
      <c r="V84" s="61"/>
      <c r="W84" s="61"/>
      <c r="X84" s="61">
        <f>VLOOKUP($B84,Datos_SPIKA!$N$3:$P$83,3,FALSE)</f>
        <v>3</v>
      </c>
      <c r="Y84" s="61">
        <f>VLOOKUP($B84,Datos_SPIKA!$N$3:$P$83,3,FALSE)</f>
        <v>3</v>
      </c>
      <c r="Z84" s="61"/>
      <c r="AA84" s="61"/>
      <c r="AB84" s="61"/>
    </row>
    <row r="85" spans="1:28" ht="28.5" customHeight="1">
      <c r="A85" s="93">
        <f t="shared" si="3"/>
        <v>10</v>
      </c>
      <c r="B85" s="20" t="s">
        <v>300</v>
      </c>
      <c r="C85" s="37" t="str">
        <f>VLOOKUP(B85,Datos_SPIKA!N81:P164,2,0)</f>
        <v>Protección de los sistemas de información durante las auditorías</v>
      </c>
      <c r="D85" s="61"/>
      <c r="E85" s="61">
        <f>VLOOKUP($B85,Datos_SPIKA!$N$3:$P$83,3,FALSE)</f>
        <v>3</v>
      </c>
      <c r="F85" s="61"/>
      <c r="G85" s="61">
        <f>VLOOKUP($B85,Datos_SPIKA!$N$3:$P$83,3,FALSE)</f>
        <v>3</v>
      </c>
      <c r="H85" s="61">
        <f>VLOOKUP($B85,Datos_SPIKA!$N$3:$P$83,3,FALSE)</f>
        <v>3</v>
      </c>
      <c r="I85" s="61"/>
      <c r="J85" s="61"/>
      <c r="K85" s="61"/>
      <c r="L85" s="61">
        <f>VLOOKUP($B85,Datos_SPIKA!$N$3:$P$83,3,FALSE)</f>
        <v>3</v>
      </c>
      <c r="M85" s="61">
        <f>VLOOKUP($B85,Datos_SPIKA!$N$3:$P$83,3,FALSE)</f>
        <v>3</v>
      </c>
      <c r="N85" s="61"/>
      <c r="O85" s="61">
        <f>VLOOKUP($B85,Datos_SPIKA!$N$3:$P$83,3,FALSE)</f>
        <v>3</v>
      </c>
      <c r="P85" s="61"/>
      <c r="Q85" s="61">
        <f>VLOOKUP($B85,Datos_SPIKA!$N$3:$P$83,3,FALSE)</f>
        <v>3</v>
      </c>
      <c r="R85" s="61"/>
      <c r="S85" s="61">
        <f>VLOOKUP($B85,Datos_SPIKA!$N$3:$P$83,3,FALSE)</f>
        <v>3</v>
      </c>
      <c r="T85" s="61">
        <f>VLOOKUP($B85,Datos_SPIKA!$N$3:$P$83,3,FALSE)</f>
        <v>3</v>
      </c>
      <c r="U85" s="61"/>
      <c r="V85" s="61"/>
      <c r="W85" s="61"/>
      <c r="X85" s="61"/>
      <c r="Y85" s="61">
        <f>VLOOKUP($B85,Datos_SPIKA!$N$3:$P$83,3,FALSE)</f>
        <v>3</v>
      </c>
      <c r="Z85" s="61"/>
      <c r="AA85" s="61"/>
      <c r="AB85" s="61"/>
    </row>
    <row r="86" spans="1:28" ht="28.5" customHeight="1">
      <c r="C86" s="66" t="s">
        <v>311</v>
      </c>
      <c r="D86" s="112">
        <f t="shared" ref="D86:AB86" si="4">MROUND(AVERAGE(D5:D85),0.2)</f>
        <v>3</v>
      </c>
      <c r="E86" s="112">
        <f t="shared" si="4"/>
        <v>3</v>
      </c>
      <c r="F86" s="112">
        <f t="shared" si="4"/>
        <v>3</v>
      </c>
      <c r="G86" s="112">
        <f t="shared" si="4"/>
        <v>3</v>
      </c>
      <c r="H86" s="112">
        <f t="shared" si="4"/>
        <v>3</v>
      </c>
      <c r="I86" s="112">
        <f t="shared" si="4"/>
        <v>3</v>
      </c>
      <c r="J86" s="112">
        <f t="shared" si="4"/>
        <v>2.8000000000000003</v>
      </c>
      <c r="K86" s="112">
        <f t="shared" si="4"/>
        <v>3</v>
      </c>
      <c r="L86" s="112">
        <f t="shared" si="4"/>
        <v>3</v>
      </c>
      <c r="M86" s="112">
        <f t="shared" si="4"/>
        <v>3</v>
      </c>
      <c r="N86" s="112">
        <f t="shared" si="4"/>
        <v>3</v>
      </c>
      <c r="O86" s="112">
        <f t="shared" si="4"/>
        <v>3</v>
      </c>
      <c r="P86" s="112">
        <f t="shared" si="4"/>
        <v>3</v>
      </c>
      <c r="Q86" s="112">
        <f t="shared" si="4"/>
        <v>3</v>
      </c>
      <c r="R86" s="112">
        <f t="shared" si="4"/>
        <v>3</v>
      </c>
      <c r="S86" s="112">
        <f t="shared" si="4"/>
        <v>2.8000000000000003</v>
      </c>
      <c r="T86" s="112">
        <f t="shared" si="4"/>
        <v>3</v>
      </c>
      <c r="U86" s="112">
        <f t="shared" si="4"/>
        <v>3</v>
      </c>
      <c r="V86" s="112">
        <f t="shared" si="4"/>
        <v>3</v>
      </c>
      <c r="W86" s="112">
        <f t="shared" si="4"/>
        <v>3</v>
      </c>
      <c r="X86" s="112">
        <f t="shared" si="4"/>
        <v>3</v>
      </c>
      <c r="Y86" s="112">
        <f t="shared" si="4"/>
        <v>3</v>
      </c>
      <c r="Z86" s="112">
        <f t="shared" si="4"/>
        <v>3</v>
      </c>
      <c r="AA86" s="112">
        <f t="shared" si="4"/>
        <v>3</v>
      </c>
      <c r="AB86" s="112">
        <f t="shared" si="4"/>
        <v>3</v>
      </c>
    </row>
    <row r="87" spans="1:28" ht="28.5" customHeight="1"/>
    <row r="88" spans="1:28" ht="28.5" customHeight="1"/>
    <row r="89" spans="1:28" ht="28.5" customHeight="1"/>
    <row r="90" spans="1:28" ht="28.5" customHeight="1"/>
    <row r="91" spans="1:28" ht="28.5" customHeight="1"/>
    <row r="92" spans="1:28" ht="28.5" customHeight="1"/>
    <row r="93" spans="1:28" ht="28.5" customHeight="1"/>
    <row r="94" spans="1:28" ht="28.5" customHeight="1"/>
    <row r="95" spans="1:28" ht="28.5" customHeight="1"/>
    <row r="96" spans="1:28" ht="28.5" customHeight="1"/>
    <row r="97" ht="28.5" customHeight="1"/>
    <row r="98" ht="28.5" customHeight="1"/>
    <row r="99" ht="28.5" customHeight="1"/>
    <row r="100" ht="28.5" customHeight="1"/>
    <row r="101" ht="28.5" customHeight="1"/>
    <row r="102" ht="28.5" customHeight="1"/>
    <row r="103" ht="28.5" customHeight="1"/>
    <row r="104" ht="28.5" customHeight="1"/>
    <row r="105" ht="28.5" customHeight="1"/>
    <row r="106" ht="28.5" customHeight="1"/>
    <row r="107" ht="28.5" customHeight="1"/>
    <row r="108" ht="28.5" customHeight="1"/>
    <row r="109" ht="28.5" customHeight="1"/>
    <row r="110" ht="28.5" customHeight="1"/>
    <row r="111" ht="28.5" customHeight="1"/>
    <row r="112" ht="28.5" customHeight="1"/>
    <row r="113" ht="28.5" customHeight="1"/>
    <row r="114" ht="28.5" customHeight="1"/>
    <row r="115" ht="28.5" customHeight="1"/>
    <row r="116" ht="28.5" customHeight="1"/>
    <row r="117" ht="28.5" customHeight="1"/>
    <row r="118" ht="28.5" customHeight="1"/>
    <row r="119" ht="28.5" customHeight="1"/>
    <row r="120" ht="28.5" customHeight="1"/>
    <row r="121" ht="28.5" customHeight="1"/>
    <row r="122" ht="28.5" customHeight="1"/>
    <row r="123" ht="28.5" customHeight="1"/>
    <row r="124" ht="28.5" customHeight="1"/>
    <row r="125" ht="28.5" customHeight="1"/>
    <row r="126" ht="28.5" customHeight="1"/>
    <row r="127" ht="28.5" customHeight="1"/>
    <row r="128" ht="28.5" customHeight="1"/>
    <row r="129" ht="28.5" customHeight="1"/>
    <row r="130" ht="28.5" customHeight="1"/>
    <row r="131" ht="28.5" customHeight="1"/>
    <row r="132" ht="28.5" customHeight="1"/>
    <row r="133" ht="28.5" customHeight="1"/>
    <row r="134" ht="28.5" customHeight="1"/>
    <row r="135" ht="28.5" customHeight="1"/>
    <row r="136" ht="28.5" customHeight="1"/>
    <row r="137" ht="28.5" customHeight="1"/>
    <row r="138" ht="28.5" customHeight="1"/>
    <row r="139" ht="28.5" customHeight="1"/>
    <row r="140" ht="28.5" customHeight="1"/>
    <row r="141" ht="28.5" customHeight="1"/>
    <row r="142" ht="28.5" customHeight="1"/>
    <row r="143" ht="28.5" customHeight="1"/>
    <row r="144" ht="28.5" customHeight="1"/>
    <row r="145" ht="28.5" customHeight="1"/>
    <row r="146" ht="28.5" customHeight="1"/>
    <row r="147" ht="28.5" customHeight="1"/>
    <row r="148" ht="28.5" customHeight="1"/>
    <row r="149" ht="28.5" customHeight="1"/>
    <row r="150" ht="28.5" customHeight="1"/>
    <row r="151" ht="28.5" customHeight="1"/>
    <row r="152" ht="28.5" customHeight="1"/>
    <row r="153" ht="28.5" customHeight="1"/>
    <row r="154" ht="28.5" customHeight="1"/>
    <row r="155" ht="28.5" customHeight="1"/>
    <row r="156" ht="28.5" customHeight="1"/>
    <row r="157" ht="28.5" customHeight="1"/>
    <row r="158" ht="28.5" customHeight="1"/>
    <row r="159" ht="28.5" customHeight="1"/>
    <row r="160" ht="28.5" customHeight="1"/>
    <row r="161" ht="28.5" customHeight="1"/>
    <row r="162" ht="28.5" customHeight="1"/>
    <row r="163" ht="28.5" customHeight="1"/>
    <row r="164" ht="28.5" customHeight="1"/>
    <row r="165" ht="28.5" customHeight="1"/>
    <row r="166" ht="28.5" customHeight="1"/>
    <row r="167" ht="28.5" customHeight="1"/>
    <row r="168" ht="28.5" customHeight="1"/>
    <row r="169" ht="28.5" customHeight="1"/>
    <row r="170" ht="28.5" customHeight="1"/>
    <row r="171" ht="28.5" customHeight="1"/>
    <row r="172" ht="28.5" customHeight="1"/>
    <row r="173" ht="28.5" customHeight="1"/>
    <row r="174" ht="28.5" customHeight="1"/>
    <row r="175" ht="28.5" customHeight="1"/>
    <row r="176" ht="28.5" customHeight="1"/>
    <row r="177" ht="28.5" customHeight="1"/>
    <row r="178" ht="28.5" customHeight="1"/>
    <row r="179" ht="28.5" customHeight="1"/>
    <row r="180" ht="28.5" customHeight="1"/>
    <row r="181" ht="28.5" customHeight="1"/>
    <row r="182" ht="28.5" customHeight="1"/>
    <row r="183" ht="28.5" customHeight="1"/>
    <row r="184" ht="28.5" customHeight="1"/>
    <row r="185" ht="28.5" customHeight="1"/>
    <row r="186" ht="28.5" customHeight="1"/>
    <row r="187" ht="28.5" customHeight="1"/>
    <row r="188" ht="28.5" customHeight="1"/>
    <row r="189" ht="28.5" customHeight="1"/>
    <row r="190" ht="28.5" customHeight="1"/>
    <row r="191" ht="28.5" customHeight="1"/>
    <row r="192" ht="28.5" customHeight="1"/>
    <row r="193" ht="28.5" customHeight="1"/>
    <row r="194" ht="28.5" customHeight="1"/>
    <row r="195" ht="28.5" customHeight="1"/>
    <row r="196" ht="28.5" customHeight="1"/>
    <row r="197" ht="28.5" customHeight="1"/>
    <row r="198" ht="28.5" customHeight="1"/>
    <row r="199" ht="28.5" customHeight="1"/>
    <row r="200" ht="28.5" customHeight="1"/>
    <row r="201" ht="28.5" customHeight="1"/>
    <row r="202" ht="28.5" customHeight="1"/>
    <row r="203" ht="28.5" customHeight="1"/>
    <row r="204" ht="28.5" customHeight="1"/>
    <row r="205" ht="28.5" customHeight="1"/>
    <row r="206" ht="28.5" customHeight="1"/>
    <row r="207" ht="28.5" customHeight="1"/>
    <row r="208" ht="28.5" customHeight="1"/>
    <row r="209" ht="28.5" customHeight="1"/>
    <row r="210" ht="28.5" customHeight="1"/>
    <row r="211" ht="28.5" customHeight="1"/>
    <row r="212" ht="28.5" customHeight="1"/>
    <row r="213" ht="28.5" customHeight="1"/>
    <row r="214" ht="28.5" customHeight="1"/>
    <row r="215" ht="28.5" customHeight="1"/>
    <row r="216" ht="28.5" customHeight="1"/>
    <row r="217" ht="28.5" customHeight="1"/>
    <row r="218" ht="28.5" customHeight="1"/>
    <row r="219" ht="28.5" customHeight="1"/>
    <row r="220" ht="28.5" customHeight="1"/>
    <row r="221" ht="28.5" customHeight="1"/>
    <row r="222" ht="28.5" customHeight="1"/>
    <row r="223" ht="28.5" customHeight="1"/>
    <row r="224" ht="28.5" customHeight="1"/>
    <row r="225" ht="28.5" customHeight="1"/>
    <row r="226" ht="28.5" customHeight="1"/>
    <row r="227" ht="28.5" customHeight="1"/>
    <row r="228" ht="28.5" customHeight="1"/>
    <row r="229" ht="28.5" customHeight="1"/>
    <row r="230" ht="28.5" customHeight="1"/>
    <row r="231" ht="28.5" customHeight="1"/>
    <row r="232" ht="28.5" customHeight="1"/>
    <row r="233" ht="28.5" customHeight="1"/>
    <row r="234" ht="28.5" customHeight="1"/>
    <row r="235" ht="28.5" customHeight="1"/>
    <row r="236" ht="28.5" customHeight="1"/>
    <row r="237" ht="28.5" customHeight="1"/>
    <row r="238" ht="28.5" customHeight="1"/>
    <row r="239" ht="28.5" customHeight="1"/>
    <row r="240" ht="28.5" customHeight="1"/>
    <row r="241" ht="28.5" customHeight="1"/>
    <row r="242" ht="28.5" customHeight="1"/>
    <row r="243" ht="28.5" customHeight="1"/>
    <row r="244" ht="28.5" customHeight="1"/>
    <row r="245" ht="28.5" customHeight="1"/>
    <row r="246" ht="28.5" customHeight="1"/>
    <row r="247" ht="28.5" customHeight="1"/>
    <row r="248" ht="28.5" customHeight="1"/>
    <row r="249" ht="28.5" customHeight="1"/>
    <row r="250" ht="28.5" customHeight="1"/>
    <row r="251" ht="28.5" customHeight="1"/>
    <row r="252" ht="28.5" customHeight="1"/>
    <row r="253" ht="28.5" customHeight="1"/>
    <row r="254" ht="28.5" customHeight="1"/>
    <row r="255" ht="28.5" customHeight="1"/>
    <row r="256" ht="28.5" customHeight="1"/>
    <row r="257" ht="28.5" customHeight="1"/>
    <row r="258" ht="28.5" customHeight="1"/>
    <row r="259" ht="28.5" customHeight="1"/>
    <row r="260" ht="28.5" customHeight="1"/>
    <row r="261" ht="28.5" customHeight="1"/>
    <row r="262" ht="28.5" customHeight="1"/>
    <row r="263" ht="28.5" customHeight="1"/>
    <row r="264" ht="28.5" customHeight="1"/>
    <row r="265" ht="28.5" customHeight="1"/>
    <row r="266" ht="28.5" customHeight="1"/>
    <row r="267" ht="28.5" customHeight="1"/>
    <row r="268" ht="28.5" customHeight="1"/>
    <row r="269" ht="28.5" customHeight="1"/>
    <row r="270" ht="28.5" customHeight="1"/>
    <row r="271" ht="28.5" customHeight="1"/>
    <row r="272" ht="28.5" customHeight="1"/>
    <row r="273" ht="28.5" customHeight="1"/>
    <row r="274" ht="28.5" customHeight="1"/>
    <row r="275" ht="28.5" customHeight="1"/>
    <row r="276" ht="28.5" customHeight="1"/>
    <row r="277" ht="28.5" customHeight="1"/>
    <row r="278" ht="28.5" customHeight="1"/>
    <row r="279" ht="28.5" customHeight="1"/>
    <row r="280" ht="28.5" customHeight="1"/>
    <row r="281" ht="28.5" customHeight="1"/>
    <row r="282" ht="28.5" customHeight="1"/>
    <row r="283" ht="28.5" customHeight="1"/>
    <row r="284" ht="28.5" customHeight="1"/>
    <row r="285" ht="28.5" customHeight="1"/>
    <row r="286" ht="28.5" customHeight="1"/>
    <row r="287" ht="28.5" customHeight="1"/>
    <row r="288" ht="28.5" customHeight="1"/>
    <row r="289" ht="28.5" customHeight="1"/>
    <row r="290" ht="28.5" customHeight="1"/>
    <row r="291" ht="28.5" customHeight="1"/>
    <row r="292" ht="28.5" customHeight="1"/>
    <row r="293" ht="28.5" customHeight="1"/>
    <row r="294" ht="28.5" customHeight="1"/>
    <row r="295" ht="28.5" customHeight="1"/>
    <row r="296" ht="28.5" customHeight="1"/>
    <row r="297" ht="28.5" customHeight="1"/>
    <row r="298" ht="28.5" customHeight="1"/>
    <row r="299" ht="28.5" customHeight="1"/>
    <row r="300" ht="28.5" customHeight="1"/>
    <row r="301" ht="28.5" customHeight="1"/>
    <row r="302" ht="28.5" customHeight="1"/>
    <row r="303" ht="28.5" customHeight="1"/>
    <row r="304" ht="28.5" customHeight="1"/>
    <row r="305" ht="28.5" customHeight="1"/>
    <row r="306" ht="28.5" customHeight="1"/>
    <row r="307" ht="28.5" customHeight="1"/>
    <row r="308" ht="28.5" customHeight="1"/>
    <row r="309" ht="28.5" customHeight="1"/>
    <row r="310" ht="28.5" customHeight="1"/>
    <row r="311" ht="28.5" customHeight="1"/>
    <row r="312" ht="28.5" customHeight="1"/>
    <row r="313" ht="28.5" customHeight="1"/>
    <row r="314" ht="28.5" customHeight="1"/>
    <row r="315" ht="28.5" customHeight="1"/>
    <row r="316" ht="28.5" customHeight="1"/>
    <row r="317" ht="28.5" customHeight="1"/>
    <row r="318" ht="28.5" customHeight="1"/>
    <row r="319" ht="28.5" customHeight="1"/>
    <row r="320" ht="28.5" customHeight="1"/>
    <row r="321" ht="28.5" customHeight="1"/>
    <row r="322" ht="28.5" customHeight="1"/>
    <row r="323" ht="28.5" customHeight="1"/>
    <row r="324" ht="28.5" customHeight="1"/>
    <row r="325" ht="28.5" customHeight="1"/>
    <row r="326" ht="28.5" customHeight="1"/>
    <row r="327" ht="28.5" customHeight="1"/>
    <row r="328" ht="28.5" customHeight="1"/>
    <row r="329" ht="28.5" customHeight="1"/>
    <row r="330" ht="28.5" customHeight="1"/>
    <row r="331" ht="28.5" customHeight="1"/>
    <row r="332" ht="28.5" customHeight="1"/>
    <row r="333" ht="28.5" customHeight="1"/>
    <row r="334" ht="28.5" customHeight="1"/>
    <row r="335" ht="28.5" customHeight="1"/>
    <row r="336" ht="28.5" customHeight="1"/>
    <row r="337" ht="28.5" customHeight="1"/>
    <row r="338" ht="28.5" customHeight="1"/>
    <row r="339" ht="28.5" customHeight="1"/>
    <row r="340" ht="28.5" customHeight="1"/>
    <row r="341" ht="28.5" customHeight="1"/>
    <row r="342" ht="28.5" customHeight="1"/>
    <row r="343" ht="28.5" customHeight="1"/>
    <row r="344" ht="28.5" customHeight="1"/>
    <row r="345" ht="28.5" customHeight="1"/>
    <row r="346" ht="28.5" customHeight="1"/>
    <row r="347" ht="28.5" customHeight="1"/>
    <row r="348" ht="28.5" customHeight="1"/>
    <row r="349" ht="28.5" customHeight="1"/>
    <row r="350" ht="28.5" customHeight="1"/>
    <row r="351" ht="28.5" customHeight="1"/>
    <row r="352" ht="28.5" customHeight="1"/>
    <row r="353" ht="28.5" customHeight="1"/>
    <row r="354" ht="28.5" customHeight="1"/>
    <row r="355" ht="28.5" customHeight="1"/>
    <row r="356" ht="28.5" customHeight="1"/>
    <row r="357" ht="28.5" customHeight="1"/>
    <row r="358" ht="28.5" customHeight="1"/>
    <row r="359" ht="28.5" customHeight="1"/>
    <row r="360" ht="28.5" customHeight="1"/>
    <row r="361" ht="28.5" customHeight="1"/>
    <row r="362" ht="28.5" customHeight="1"/>
    <row r="363" ht="28.5" customHeight="1"/>
    <row r="364" ht="28.5" customHeight="1"/>
    <row r="365" ht="28.5" customHeight="1"/>
    <row r="366" ht="28.5" customHeight="1"/>
    <row r="367" ht="28.5" customHeight="1"/>
    <row r="368" ht="28.5" customHeight="1"/>
    <row r="369" ht="28.5" customHeight="1"/>
    <row r="370" ht="28.5" customHeight="1"/>
    <row r="371" ht="28.5" customHeight="1"/>
    <row r="372" ht="28.5" customHeight="1"/>
    <row r="373" ht="28.5" customHeight="1"/>
    <row r="374" ht="28.5" customHeight="1"/>
    <row r="375" ht="28.5" customHeight="1"/>
    <row r="376" ht="28.5" customHeight="1"/>
    <row r="377" ht="28.5" customHeight="1"/>
    <row r="378" ht="28.5" customHeight="1"/>
    <row r="379" ht="28.5" customHeight="1"/>
    <row r="380" ht="28.5" customHeight="1"/>
    <row r="381" ht="28.5" customHeight="1"/>
    <row r="382" ht="28.5" customHeight="1"/>
    <row r="383" ht="28.5" customHeight="1"/>
    <row r="384" ht="28.5" customHeight="1"/>
    <row r="385" ht="28.5" customHeight="1"/>
    <row r="386" ht="28.5" customHeight="1"/>
    <row r="387" ht="28.5" customHeight="1"/>
    <row r="388" ht="28.5" customHeight="1"/>
    <row r="389" ht="28.5" customHeight="1"/>
    <row r="390" ht="28.5" customHeight="1"/>
    <row r="391" ht="28.5" customHeight="1"/>
    <row r="392" ht="28.5" customHeight="1"/>
    <row r="393" ht="28.5" customHeight="1"/>
    <row r="394" ht="28.5" customHeight="1"/>
    <row r="395" ht="28.5" customHeight="1"/>
    <row r="396" ht="28.5" customHeight="1"/>
    <row r="397" ht="28.5" customHeight="1"/>
    <row r="398" ht="28.5" customHeight="1"/>
    <row r="399" ht="28.5" customHeight="1"/>
    <row r="400" ht="28.5" customHeight="1"/>
    <row r="401" ht="28.5" customHeight="1"/>
    <row r="402" ht="28.5" customHeight="1"/>
    <row r="403" ht="28.5" customHeight="1"/>
    <row r="404" ht="28.5" customHeight="1"/>
    <row r="405" ht="28.5" customHeight="1"/>
    <row r="406" ht="28.5" customHeight="1"/>
    <row r="407" ht="28.5" customHeight="1"/>
    <row r="408" ht="28.5" customHeight="1"/>
    <row r="409" ht="28.5" customHeight="1"/>
    <row r="410" ht="28.5" customHeight="1"/>
    <row r="411" ht="28.5" customHeight="1"/>
  </sheetData>
  <sheetProtection formatCells="0" formatColumns="0"/>
  <phoneticPr fontId="13" type="noConversion"/>
  <conditionalFormatting sqref="D3:AB3">
    <cfRule type="expression" dxfId="6" priority="15">
      <formula>MOD(COLUMN(),2)=1</formula>
    </cfRule>
  </conditionalFormatting>
  <conditionalFormatting sqref="B5:AB85">
    <cfRule type="expression" dxfId="5" priority="13">
      <formula>MOD(ROW(),2)=1</formula>
    </cfRule>
  </conditionalFormatting>
  <pageMargins left="0.7" right="0.7" top="0.75" bottom="0.75" header="0.3" footer="0.3"/>
  <pageSetup paperSize="9" scale="13" fitToWidth="0" orientation="portrait" horizontalDpi="4294967295" verticalDpi="4294967295"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DDE40-AA50-437F-8C1B-706B0E6F960B}">
  <sheetPr codeName="Hoja34">
    <tabColor rgb="FF92D050"/>
  </sheetPr>
  <dimension ref="A1:W204"/>
  <sheetViews>
    <sheetView showGridLines="0" zoomScaleNormal="100" workbookViewId="0">
      <pane ySplit="3" topLeftCell="A49" activePane="bottomLeft" state="frozen"/>
      <selection pane="bottomLeft" activeCell="G211" sqref="G211"/>
    </sheetView>
  </sheetViews>
  <sheetFormatPr defaultColWidth="11.42578125" defaultRowHeight="10.15"/>
  <cols>
    <col min="1" max="1" width="11.42578125" style="90"/>
    <col min="2" max="2" width="40.7109375" style="90" bestFit="1" customWidth="1"/>
    <col min="3" max="3" width="8.5703125" style="90" customWidth="1"/>
    <col min="4" max="4" width="57.28515625" style="90" customWidth="1"/>
    <col min="5" max="5" width="11.28515625" style="98" bestFit="1" customWidth="1"/>
    <col min="6" max="7" width="8.28515625" style="98" customWidth="1"/>
    <col min="8" max="8" width="9.85546875" style="90" customWidth="1"/>
    <col min="9" max="9" width="13.7109375" style="98" bestFit="1" customWidth="1"/>
    <col min="10" max="12" width="8.28515625" style="98" customWidth="1"/>
    <col min="13" max="13" width="9.5703125" style="90" bestFit="1" customWidth="1"/>
    <col min="14" max="14" width="9.5703125" style="90" customWidth="1"/>
    <col min="15" max="15" width="11.42578125" style="90"/>
    <col min="16" max="16" width="11.5703125" style="90" customWidth="1"/>
    <col min="17" max="17" width="19.42578125" style="90" bestFit="1" customWidth="1"/>
    <col min="18" max="16384" width="11.42578125" style="90"/>
  </cols>
  <sheetData>
    <row r="1" spans="1:23" ht="10.9" thickBot="1">
      <c r="E1" s="90"/>
      <c r="F1" s="90"/>
      <c r="G1" s="90"/>
      <c r="I1" s="90"/>
      <c r="J1" s="90"/>
      <c r="K1" s="90"/>
      <c r="L1" s="90"/>
    </row>
    <row r="2" spans="1:23" ht="22.5" customHeight="1" thickBot="1">
      <c r="E2" s="154" t="s">
        <v>312</v>
      </c>
      <c r="F2" s="155"/>
      <c r="G2" s="155"/>
      <c r="H2" s="156"/>
      <c r="I2" s="151" t="s">
        <v>313</v>
      </c>
      <c r="J2" s="152"/>
      <c r="K2" s="152"/>
      <c r="L2" s="152"/>
      <c r="M2" s="153"/>
      <c r="O2" s="157" t="s">
        <v>312</v>
      </c>
      <c r="P2" s="158"/>
      <c r="Q2" s="158"/>
      <c r="R2" s="158"/>
      <c r="S2" s="158"/>
      <c r="T2" s="158"/>
      <c r="U2" s="158"/>
      <c r="V2" s="158"/>
      <c r="W2" s="159"/>
    </row>
    <row r="3" spans="1:23" ht="10.9" thickBot="1">
      <c r="A3" s="124" t="s">
        <v>306</v>
      </c>
      <c r="B3" s="125" t="s">
        <v>307</v>
      </c>
      <c r="C3" s="125" t="s">
        <v>314</v>
      </c>
      <c r="D3" s="125" t="s">
        <v>309</v>
      </c>
      <c r="E3" s="126" t="s">
        <v>315</v>
      </c>
      <c r="F3" s="126" t="s">
        <v>316</v>
      </c>
      <c r="G3" s="126" t="s">
        <v>317</v>
      </c>
      <c r="H3" s="126" t="s">
        <v>318</v>
      </c>
      <c r="I3" s="127" t="s">
        <v>319</v>
      </c>
      <c r="J3" s="127" t="s">
        <v>315</v>
      </c>
      <c r="K3" s="127" t="s">
        <v>316</v>
      </c>
      <c r="L3" s="127" t="s">
        <v>317</v>
      </c>
      <c r="M3" s="128" t="s">
        <v>318</v>
      </c>
      <c r="O3" s="114"/>
      <c r="W3" s="115"/>
    </row>
    <row r="4" spans="1:23">
      <c r="A4" s="120" t="s">
        <v>13</v>
      </c>
      <c r="B4" s="120" t="s">
        <v>14</v>
      </c>
      <c r="C4" s="120" t="s">
        <v>100</v>
      </c>
      <c r="D4" s="120" t="s">
        <v>101</v>
      </c>
      <c r="E4" s="121">
        <v>2</v>
      </c>
      <c r="F4" s="121">
        <v>2</v>
      </c>
      <c r="G4" s="121">
        <v>4</v>
      </c>
      <c r="H4" s="121" t="str" cm="1">
        <f t="array" ref="H4">_xlfn.IFS(G4&gt;=Constantes!$C$18,$P$5,G4&gt;=Constantes!$C$17,$P$6,G4&gt;=Constantes!$C$16,$P$7,G4&lt;Constantes!$C$16,$P$8)</f>
        <v>LIMITED</v>
      </c>
      <c r="I4" s="122">
        <v>0.42399999999999999</v>
      </c>
      <c r="J4" s="121">
        <f>E4*I4</f>
        <v>0.84799999999999998</v>
      </c>
      <c r="K4" s="121">
        <f>F4*I4</f>
        <v>0.84799999999999998</v>
      </c>
      <c r="L4" s="121">
        <f>G4*I4</f>
        <v>1.696</v>
      </c>
      <c r="M4" s="123" t="str" cm="1">
        <f t="array" ref="M4">_xlfn.IFS(L4&gt;=Constantes!$C$18,$P$5,L4&gt;=Constantes!$C$17,$P$6,L4&gt;=Constantes!$C$16,$P$7,L4&lt;Constantes!$C$16,$P$8)</f>
        <v>MINOR</v>
      </c>
      <c r="O4" s="114"/>
      <c r="P4" s="99" t="s">
        <v>320</v>
      </c>
      <c r="Q4" s="99" t="s">
        <v>321</v>
      </c>
      <c r="R4" s="99" t="s">
        <v>322</v>
      </c>
      <c r="W4" s="115"/>
    </row>
    <row r="5" spans="1:23">
      <c r="A5" s="100" t="s">
        <v>13</v>
      </c>
      <c r="B5" s="100" t="s">
        <v>14</v>
      </c>
      <c r="C5" s="100" t="s">
        <v>106</v>
      </c>
      <c r="D5" s="100" t="s">
        <v>107</v>
      </c>
      <c r="E5" s="101">
        <v>1</v>
      </c>
      <c r="F5" s="101">
        <v>4</v>
      </c>
      <c r="G5" s="101">
        <v>4</v>
      </c>
      <c r="H5" s="101" t="str" cm="1">
        <f t="array" ref="H5">_xlfn.IFS(G5&gt;=Constantes!$C$18,$P$5,G5&gt;=Constantes!$C$17,$P$6,G5&gt;=Constantes!$C$16,$P$7,G5&lt;Constantes!$C$16,$P$8)</f>
        <v>LIMITED</v>
      </c>
      <c r="I5" s="102">
        <v>0.42399999999999993</v>
      </c>
      <c r="J5" s="101">
        <f>E5*I5</f>
        <v>0.42399999999999993</v>
      </c>
      <c r="K5" s="101">
        <f>F5*I5</f>
        <v>1.6959999999999997</v>
      </c>
      <c r="L5" s="101">
        <f>G5*I5</f>
        <v>1.6959999999999997</v>
      </c>
      <c r="M5" s="103" t="str" cm="1">
        <f t="array" ref="M5">_xlfn.IFS(L5&gt;=Constantes!$C$18,$P$5,L5&gt;=Constantes!$C$17,$P$6,L5&gt;=Constantes!$C$16,$P$7,L5&lt;Constantes!$C$16,$P$8)</f>
        <v>MINOR</v>
      </c>
      <c r="N5" s="113"/>
      <c r="O5" s="114"/>
      <c r="P5" s="104" t="s">
        <v>323</v>
      </c>
      <c r="Q5" s="105">
        <f>COUNTIF(H:H,"=CRITICAL")</f>
        <v>37</v>
      </c>
      <c r="R5" s="106">
        <f>Q5/Q14</f>
        <v>0.18407960199004975</v>
      </c>
      <c r="W5" s="115"/>
    </row>
    <row r="6" spans="1:23">
      <c r="A6" s="100" t="s">
        <v>13</v>
      </c>
      <c r="B6" s="100" t="s">
        <v>14</v>
      </c>
      <c r="C6" s="100" t="s">
        <v>148</v>
      </c>
      <c r="D6" s="100" t="s">
        <v>149</v>
      </c>
      <c r="E6" s="101">
        <v>1</v>
      </c>
      <c r="F6" s="101">
        <v>2</v>
      </c>
      <c r="G6" s="101">
        <v>2</v>
      </c>
      <c r="H6" s="101" t="str" cm="1">
        <f t="array" ref="H6">_xlfn.IFS(G6&gt;=Constantes!$C$18,$P$5,G6&gt;=Constantes!$C$17,$P$6,G6&gt;=Constantes!$C$16,$P$7,G6&lt;Constantes!$C$16,$P$8)</f>
        <v>MINOR</v>
      </c>
      <c r="I6" s="102">
        <v>0.42399999999999993</v>
      </c>
      <c r="J6" s="101">
        <f>E6*I6</f>
        <v>0.42399999999999993</v>
      </c>
      <c r="K6" s="101">
        <f>F6*I6</f>
        <v>0.84799999999999986</v>
      </c>
      <c r="L6" s="101">
        <f>G6*I6</f>
        <v>0.84799999999999986</v>
      </c>
      <c r="M6" s="103" t="str" cm="1">
        <f t="array" ref="M6">_xlfn.IFS(L6&gt;=Constantes!$C$18,$P$5,L6&gt;=Constantes!$C$17,$P$6,L6&gt;=Constantes!$C$16,$P$7,L6&lt;Constantes!$C$16,$P$8)</f>
        <v>MINOR</v>
      </c>
      <c r="N6" s="113"/>
      <c r="O6" s="114"/>
      <c r="P6" s="107" t="s">
        <v>324</v>
      </c>
      <c r="Q6" s="105">
        <f>COUNTIFS(H:H,"=MAJOR")</f>
        <v>52</v>
      </c>
      <c r="R6" s="106">
        <f>Q6/Q14</f>
        <v>0.25870646766169153</v>
      </c>
      <c r="W6" s="115"/>
    </row>
    <row r="7" spans="1:23">
      <c r="A7" s="100" t="s">
        <v>13</v>
      </c>
      <c r="B7" s="100" t="s">
        <v>14</v>
      </c>
      <c r="C7" s="100" t="s">
        <v>172</v>
      </c>
      <c r="D7" s="100" t="s">
        <v>173</v>
      </c>
      <c r="E7" s="101">
        <v>2</v>
      </c>
      <c r="F7" s="101">
        <v>3</v>
      </c>
      <c r="G7" s="101">
        <v>6</v>
      </c>
      <c r="H7" s="101" t="str" cm="1">
        <f t="array" ref="H7">_xlfn.IFS(G7&gt;=Constantes!$C$18,$P$5,G7&gt;=Constantes!$C$17,$P$6,G7&gt;=Constantes!$C$16,$P$7,G7&lt;Constantes!$C$16,$P$8)</f>
        <v>MAJOR</v>
      </c>
      <c r="I7" s="102">
        <v>0.42399999999999993</v>
      </c>
      <c r="J7" s="101">
        <f>E7*I7</f>
        <v>0.84799999999999986</v>
      </c>
      <c r="K7" s="101">
        <f>F7*I7</f>
        <v>1.2719999999999998</v>
      </c>
      <c r="L7" s="101">
        <f>G7*I7</f>
        <v>2.5439999999999996</v>
      </c>
      <c r="M7" s="103" t="str" cm="1">
        <f t="array" ref="M7">_xlfn.IFS(L7&gt;=Constantes!$C$18,$P$5,L7&gt;=Constantes!$C$17,$P$6,L7&gt;=Constantes!$C$16,$P$7,L7&lt;Constantes!$C$16,$P$8)</f>
        <v>MINOR</v>
      </c>
      <c r="N7" s="113"/>
      <c r="O7" s="114"/>
      <c r="P7" s="108" t="s">
        <v>325</v>
      </c>
      <c r="Q7" s="105">
        <f>COUNTIFS(H:H,"=LIMITED")</f>
        <v>46</v>
      </c>
      <c r="R7" s="106">
        <f>Q7/Q14</f>
        <v>0.22885572139303484</v>
      </c>
      <c r="W7" s="115"/>
    </row>
    <row r="8" spans="1:23">
      <c r="A8" s="100" t="s">
        <v>13</v>
      </c>
      <c r="B8" s="100" t="s">
        <v>14</v>
      </c>
      <c r="C8" s="100" t="s">
        <v>178</v>
      </c>
      <c r="D8" s="100" t="s">
        <v>179</v>
      </c>
      <c r="E8" s="101">
        <v>4</v>
      </c>
      <c r="F8" s="101">
        <v>4</v>
      </c>
      <c r="G8" s="101">
        <v>16</v>
      </c>
      <c r="H8" s="101" t="str" cm="1">
        <f t="array" ref="H8">_xlfn.IFS(G8&gt;=Constantes!$C$18,$P$5,G8&gt;=Constantes!$C$17,$P$6,G8&gt;=Constantes!$C$16,$P$7,G8&lt;Constantes!$C$16,$P$8)</f>
        <v>CRITICAL</v>
      </c>
      <c r="I8" s="102">
        <v>0.42399999999999993</v>
      </c>
      <c r="J8" s="101">
        <f>E8*I8</f>
        <v>1.6959999999999997</v>
      </c>
      <c r="K8" s="101">
        <f>F8*I8</f>
        <v>1.6959999999999997</v>
      </c>
      <c r="L8" s="101">
        <f>G8*I8</f>
        <v>6.7839999999999989</v>
      </c>
      <c r="M8" s="103" t="str" cm="1">
        <f t="array" ref="M8">_xlfn.IFS(L8&gt;=Constantes!$C$18,$P$5,L8&gt;=Constantes!$C$17,$P$6,L8&gt;=Constantes!$C$16,$P$7,L8&lt;Constantes!$C$16,$P$8)</f>
        <v>MAJOR</v>
      </c>
      <c r="N8" s="113"/>
      <c r="O8" s="114"/>
      <c r="P8" s="109" t="s">
        <v>326</v>
      </c>
      <c r="Q8" s="105">
        <f>COUNTIFS(H:H,"=MINOR")</f>
        <v>66</v>
      </c>
      <c r="R8" s="106">
        <f>Q8/Q14</f>
        <v>0.32835820895522388</v>
      </c>
      <c r="W8" s="115"/>
    </row>
    <row r="9" spans="1:23">
      <c r="A9" s="100" t="s">
        <v>23</v>
      </c>
      <c r="B9" s="100" t="s">
        <v>24</v>
      </c>
      <c r="C9" s="100" t="s">
        <v>100</v>
      </c>
      <c r="D9" s="100" t="s">
        <v>101</v>
      </c>
      <c r="E9" s="101">
        <v>2</v>
      </c>
      <c r="F9" s="101">
        <v>2</v>
      </c>
      <c r="G9" s="101">
        <v>4</v>
      </c>
      <c r="H9" s="101" t="str" cm="1">
        <f t="array" ref="H9">_xlfn.IFS(G9&gt;=Constantes!$C$18,$P$5,G9&gt;=Constantes!$C$17,$P$6,G9&gt;=Constantes!$C$16,$P$7,G9&lt;Constantes!$C$16,$P$8)</f>
        <v>LIMITED</v>
      </c>
      <c r="I9" s="102">
        <v>0.42399999999999993</v>
      </c>
      <c r="J9" s="101">
        <f>E9*I9</f>
        <v>0.84799999999999986</v>
      </c>
      <c r="K9" s="101">
        <f>F9*I9</f>
        <v>0.84799999999999986</v>
      </c>
      <c r="L9" s="101">
        <f>G9*I9</f>
        <v>1.6959999999999997</v>
      </c>
      <c r="M9" s="103" t="str" cm="1">
        <f t="array" ref="M9">_xlfn.IFS(L9&gt;=Constantes!$C$18,$P$5,L9&gt;=Constantes!$C$17,$P$6,L9&gt;=Constantes!$C$16,$P$7,L9&lt;Constantes!$C$16,$P$8)</f>
        <v>MINOR</v>
      </c>
      <c r="O9" s="114"/>
      <c r="P9" s="99" t="s">
        <v>320</v>
      </c>
      <c r="Q9" s="99" t="s">
        <v>321</v>
      </c>
      <c r="R9" s="99" t="s">
        <v>322</v>
      </c>
      <c r="W9" s="115"/>
    </row>
    <row r="10" spans="1:23">
      <c r="A10" s="100" t="s">
        <v>23</v>
      </c>
      <c r="B10" s="100" t="s">
        <v>24</v>
      </c>
      <c r="C10" s="100" t="s">
        <v>106</v>
      </c>
      <c r="D10" s="100" t="s">
        <v>107</v>
      </c>
      <c r="E10" s="101">
        <v>1</v>
      </c>
      <c r="F10" s="101">
        <v>4</v>
      </c>
      <c r="G10" s="101">
        <v>4</v>
      </c>
      <c r="H10" s="101" t="str" cm="1">
        <f t="array" ref="H10">_xlfn.IFS(G10&gt;=Constantes!$C$18,$P$5,G10&gt;=Constantes!$C$17,$P$6,G10&gt;=Constantes!$C$16,$P$7,G10&lt;Constantes!$C$16,$P$8)</f>
        <v>LIMITED</v>
      </c>
      <c r="I10" s="102">
        <v>0.42399999999999993</v>
      </c>
      <c r="J10" s="101">
        <f>E10*I10</f>
        <v>0.42399999999999993</v>
      </c>
      <c r="K10" s="101">
        <f>F10*I10</f>
        <v>1.6959999999999997</v>
      </c>
      <c r="L10" s="101">
        <f>G10*I10</f>
        <v>1.6959999999999997</v>
      </c>
      <c r="M10" s="103" t="str" cm="1">
        <f t="array" ref="M10">_xlfn.IFS(L10&gt;=Constantes!$C$18,$P$5,L10&gt;=Constantes!$C$17,$P$6,L10&gt;=Constantes!$C$16,$P$7,L10&lt;Constantes!$C$16,$P$8)</f>
        <v>MINOR</v>
      </c>
      <c r="N10" s="113"/>
      <c r="O10" s="114"/>
      <c r="P10" s="104" t="s">
        <v>323</v>
      </c>
      <c r="Q10" s="105">
        <f>COUNTIF(H:H,"=CRITICAL")</f>
        <v>37</v>
      </c>
      <c r="R10" s="106">
        <f>Q10/Q14</f>
        <v>0.18407960199004975</v>
      </c>
      <c r="W10" s="115"/>
    </row>
    <row r="11" spans="1:23">
      <c r="A11" s="100" t="s">
        <v>23</v>
      </c>
      <c r="B11" s="100" t="s">
        <v>24</v>
      </c>
      <c r="C11" s="100" t="s">
        <v>148</v>
      </c>
      <c r="D11" s="100" t="s">
        <v>149</v>
      </c>
      <c r="E11" s="101">
        <v>1</v>
      </c>
      <c r="F11" s="101">
        <v>2</v>
      </c>
      <c r="G11" s="101">
        <v>2</v>
      </c>
      <c r="H11" s="101" t="str" cm="1">
        <f t="array" ref="H11">_xlfn.IFS(G11&gt;=Constantes!$C$18,$P$5,G11&gt;=Constantes!$C$17,$P$6,G11&gt;=Constantes!$C$16,$P$7,G11&lt;Constantes!$C$16,$P$8)</f>
        <v>MINOR</v>
      </c>
      <c r="I11" s="102">
        <v>0.42399999999999993</v>
      </c>
      <c r="J11" s="101">
        <f>E11*I11</f>
        <v>0.42399999999999993</v>
      </c>
      <c r="K11" s="101">
        <f>F11*I11</f>
        <v>0.84799999999999986</v>
      </c>
      <c r="L11" s="101">
        <f>G11*I11</f>
        <v>0.84799999999999986</v>
      </c>
      <c r="M11" s="103" t="str" cm="1">
        <f t="array" ref="M11">_xlfn.IFS(L11&gt;=Constantes!$C$18,$P$5,L11&gt;=Constantes!$C$17,$P$6,L11&gt;=Constantes!$C$16,$P$7,L11&lt;Constantes!$C$16,$P$8)</f>
        <v>MINOR</v>
      </c>
      <c r="N11" s="113"/>
      <c r="O11" s="114"/>
      <c r="P11" s="107" t="s">
        <v>324</v>
      </c>
      <c r="Q11" s="105">
        <f>COUNTIFS(H:H,"=MAJOR")</f>
        <v>52</v>
      </c>
      <c r="R11" s="106">
        <f>Q11/Q14</f>
        <v>0.25870646766169153</v>
      </c>
      <c r="W11" s="115"/>
    </row>
    <row r="12" spans="1:23">
      <c r="A12" s="100" t="s">
        <v>23</v>
      </c>
      <c r="B12" s="100" t="s">
        <v>24</v>
      </c>
      <c r="C12" s="100" t="s">
        <v>172</v>
      </c>
      <c r="D12" s="100" t="s">
        <v>173</v>
      </c>
      <c r="E12" s="101">
        <v>2</v>
      </c>
      <c r="F12" s="101">
        <v>3</v>
      </c>
      <c r="G12" s="101">
        <v>6</v>
      </c>
      <c r="H12" s="101" t="str" cm="1">
        <f t="array" ref="H12">_xlfn.IFS(G12&gt;=Constantes!$C$18,$P$5,G12&gt;=Constantes!$C$17,$P$6,G12&gt;=Constantes!$C$16,$P$7,G12&lt;Constantes!$C$16,$P$8)</f>
        <v>MAJOR</v>
      </c>
      <c r="I12" s="102">
        <v>0.42399999999999993</v>
      </c>
      <c r="J12" s="101">
        <f>E12*I12</f>
        <v>0.84799999999999986</v>
      </c>
      <c r="K12" s="101">
        <f>F12*I12</f>
        <v>1.2719999999999998</v>
      </c>
      <c r="L12" s="101">
        <f>G12*I12</f>
        <v>2.5439999999999996</v>
      </c>
      <c r="M12" s="103" t="str" cm="1">
        <f t="array" ref="M12">_xlfn.IFS(L12&gt;=Constantes!$C$18,$P$5,L12&gt;=Constantes!$C$17,$P$6,L12&gt;=Constantes!$C$16,$P$7,L12&lt;Constantes!$C$16,$P$8)</f>
        <v>MINOR</v>
      </c>
      <c r="N12" s="113"/>
      <c r="O12" s="114"/>
      <c r="P12" s="108" t="s">
        <v>325</v>
      </c>
      <c r="Q12" s="105">
        <f>COUNTIFS(H:H,"=LIMITED")</f>
        <v>46</v>
      </c>
      <c r="R12" s="106">
        <f>Q12/Q14</f>
        <v>0.22885572139303484</v>
      </c>
      <c r="W12" s="115"/>
    </row>
    <row r="13" spans="1:23">
      <c r="A13" s="100" t="s">
        <v>23</v>
      </c>
      <c r="B13" s="100" t="s">
        <v>24</v>
      </c>
      <c r="C13" s="100" t="s">
        <v>178</v>
      </c>
      <c r="D13" s="100" t="s">
        <v>179</v>
      </c>
      <c r="E13" s="101">
        <v>4</v>
      </c>
      <c r="F13" s="101">
        <v>4</v>
      </c>
      <c r="G13" s="101">
        <v>16</v>
      </c>
      <c r="H13" s="101" t="str" cm="1">
        <f t="array" ref="H13">_xlfn.IFS(G13&gt;=Constantes!$C$18,$P$5,G13&gt;=Constantes!$C$17,$P$6,G13&gt;=Constantes!$C$16,$P$7,G13&lt;Constantes!$C$16,$P$8)</f>
        <v>CRITICAL</v>
      </c>
      <c r="I13" s="102">
        <v>0.42399999999999993</v>
      </c>
      <c r="J13" s="101">
        <f>E13*I13</f>
        <v>1.6959999999999997</v>
      </c>
      <c r="K13" s="101">
        <f>F13*I13</f>
        <v>1.6959999999999997</v>
      </c>
      <c r="L13" s="101">
        <f>G13*I13</f>
        <v>6.7839999999999989</v>
      </c>
      <c r="M13" s="103" t="str" cm="1">
        <f t="array" ref="M13">_xlfn.IFS(L13&gt;=Constantes!$C$18,$P$5,L13&gt;=Constantes!$C$17,$P$6,L13&gt;=Constantes!$C$16,$P$7,L13&lt;Constantes!$C$16,$P$8)</f>
        <v>MAJOR</v>
      </c>
      <c r="N13" s="113"/>
      <c r="O13" s="114"/>
      <c r="P13" s="109" t="s">
        <v>326</v>
      </c>
      <c r="Q13" s="105">
        <f>COUNTIFS(H:H,"=MINOR")</f>
        <v>66</v>
      </c>
      <c r="R13" s="106">
        <f>Q13/Q14</f>
        <v>0.32835820895522388</v>
      </c>
      <c r="W13" s="115"/>
    </row>
    <row r="14" spans="1:23">
      <c r="A14" s="100" t="s">
        <v>31</v>
      </c>
      <c r="B14" s="100" t="s">
        <v>32</v>
      </c>
      <c r="C14" s="100" t="s">
        <v>100</v>
      </c>
      <c r="D14" s="100" t="s">
        <v>101</v>
      </c>
      <c r="E14" s="101">
        <v>2</v>
      </c>
      <c r="F14" s="101">
        <v>2</v>
      </c>
      <c r="G14" s="101">
        <v>4</v>
      </c>
      <c r="H14" s="101" t="str" cm="1">
        <f t="array" ref="H14">_xlfn.IFS(G14&gt;=Constantes!$C$18,$P$5,G14&gt;=Constantes!$C$17,$P$6,G14&gt;=Constantes!$C$16,$P$7,G14&lt;Constantes!$C$16,$P$8)</f>
        <v>LIMITED</v>
      </c>
      <c r="I14" s="102">
        <v>0.42399999999999993</v>
      </c>
      <c r="J14" s="101">
        <f>E14*I14</f>
        <v>0.84799999999999986</v>
      </c>
      <c r="K14" s="101">
        <f>F14*I14</f>
        <v>0.84799999999999986</v>
      </c>
      <c r="L14" s="101">
        <f>G14*I14</f>
        <v>1.6959999999999997</v>
      </c>
      <c r="M14" s="103" t="str" cm="1">
        <f t="array" ref="M14">_xlfn.IFS(L14&gt;=Constantes!$C$18,$P$5,L14&gt;=Constantes!$C$17,$P$6,L14&gt;=Constantes!$C$16,$P$7,L14&lt;Constantes!$C$16,$P$8)</f>
        <v>MINOR</v>
      </c>
      <c r="N14" s="113"/>
      <c r="O14" s="114"/>
      <c r="P14" s="4"/>
      <c r="Q14" s="110">
        <f>SUM(Q5:Q8)</f>
        <v>201</v>
      </c>
      <c r="R14" s="106">
        <f>Q14/Q14</f>
        <v>1</v>
      </c>
      <c r="W14" s="115"/>
    </row>
    <row r="15" spans="1:23">
      <c r="A15" s="100" t="s">
        <v>31</v>
      </c>
      <c r="B15" s="100" t="s">
        <v>32</v>
      </c>
      <c r="C15" s="100" t="s">
        <v>106</v>
      </c>
      <c r="D15" s="100" t="s">
        <v>107</v>
      </c>
      <c r="E15" s="101">
        <v>1</v>
      </c>
      <c r="F15" s="101">
        <v>4</v>
      </c>
      <c r="G15" s="101">
        <v>4</v>
      </c>
      <c r="H15" s="101" t="str" cm="1">
        <f t="array" ref="H15">_xlfn.IFS(G15&gt;=Constantes!$C$18,$P$5,G15&gt;=Constantes!$C$17,$P$6,G15&gt;=Constantes!$C$16,$P$7,G15&lt;Constantes!$C$16,$P$8)</f>
        <v>LIMITED</v>
      </c>
      <c r="I15" s="102">
        <v>0.42399999999999993</v>
      </c>
      <c r="J15" s="101">
        <f>E15*I15</f>
        <v>0.42399999999999993</v>
      </c>
      <c r="K15" s="101">
        <f>F15*I15</f>
        <v>1.6959999999999997</v>
      </c>
      <c r="L15" s="101">
        <f>G15*I15</f>
        <v>1.6959999999999997</v>
      </c>
      <c r="M15" s="103" t="str" cm="1">
        <f t="array" ref="M15">_xlfn.IFS(L15&gt;=Constantes!$C$18,$P$5,L15&gt;=Constantes!$C$17,$P$6,L15&gt;=Constantes!$C$16,$P$7,L15&lt;Constantes!$C$16,$P$8)</f>
        <v>MINOR</v>
      </c>
      <c r="N15" s="113"/>
      <c r="O15" s="114"/>
      <c r="W15" s="115"/>
    </row>
    <row r="16" spans="1:23">
      <c r="A16" s="100" t="s">
        <v>31</v>
      </c>
      <c r="B16" s="100" t="s">
        <v>32</v>
      </c>
      <c r="C16" s="100" t="s">
        <v>148</v>
      </c>
      <c r="D16" s="100" t="s">
        <v>149</v>
      </c>
      <c r="E16" s="101">
        <v>1</v>
      </c>
      <c r="F16" s="101">
        <v>2</v>
      </c>
      <c r="G16" s="101">
        <v>2</v>
      </c>
      <c r="H16" s="101" t="str" cm="1">
        <f t="array" ref="H16">_xlfn.IFS(G16&gt;=Constantes!$C$18,$P$5,G16&gt;=Constantes!$C$17,$P$6,G16&gt;=Constantes!$C$16,$P$7,G16&lt;Constantes!$C$16,$P$8)</f>
        <v>MINOR</v>
      </c>
      <c r="I16" s="102">
        <v>0.42399999999999993</v>
      </c>
      <c r="J16" s="101">
        <f>E16*I16</f>
        <v>0.42399999999999993</v>
      </c>
      <c r="K16" s="101">
        <f>F16*I16</f>
        <v>0.84799999999999986</v>
      </c>
      <c r="L16" s="101">
        <f>G16*I16</f>
        <v>0.84799999999999986</v>
      </c>
      <c r="M16" s="103" t="str" cm="1">
        <f t="array" ref="M16">_xlfn.IFS(L16&gt;=Constantes!$C$18,$P$5,L16&gt;=Constantes!$C$17,$P$6,L16&gt;=Constantes!$C$16,$P$7,L16&lt;Constantes!$C$16,$P$8)</f>
        <v>MINOR</v>
      </c>
      <c r="N16" s="113"/>
      <c r="O16" s="114"/>
      <c r="W16" s="115"/>
    </row>
    <row r="17" spans="1:23">
      <c r="A17" s="100" t="s">
        <v>31</v>
      </c>
      <c r="B17" s="100" t="s">
        <v>32</v>
      </c>
      <c r="C17" s="100" t="s">
        <v>172</v>
      </c>
      <c r="D17" s="100" t="s">
        <v>173</v>
      </c>
      <c r="E17" s="101">
        <v>2</v>
      </c>
      <c r="F17" s="101">
        <v>3</v>
      </c>
      <c r="G17" s="101">
        <v>6</v>
      </c>
      <c r="H17" s="101" t="str" cm="1">
        <f t="array" ref="H17">_xlfn.IFS(G17&gt;=Constantes!$C$18,$P$5,G17&gt;=Constantes!$C$17,$P$6,G17&gt;=Constantes!$C$16,$P$7,G17&lt;Constantes!$C$16,$P$8)</f>
        <v>MAJOR</v>
      </c>
      <c r="I17" s="102">
        <v>0.42399999999999993</v>
      </c>
      <c r="J17" s="101">
        <f>E17*I17</f>
        <v>0.84799999999999986</v>
      </c>
      <c r="K17" s="101">
        <f>F17*I17</f>
        <v>1.2719999999999998</v>
      </c>
      <c r="L17" s="101">
        <f>G17*I17</f>
        <v>2.5439999999999996</v>
      </c>
      <c r="M17" s="103" t="str" cm="1">
        <f t="array" ref="M17">_xlfn.IFS(L17&gt;=Constantes!$C$18,$P$5,L17&gt;=Constantes!$C$17,$P$6,L17&gt;=Constantes!$C$16,$P$7,L17&lt;Constantes!$C$16,$P$8)</f>
        <v>MINOR</v>
      </c>
      <c r="N17" s="113"/>
      <c r="O17" s="114"/>
      <c r="W17" s="115"/>
    </row>
    <row r="18" spans="1:23">
      <c r="A18" s="100" t="s">
        <v>31</v>
      </c>
      <c r="B18" s="100" t="s">
        <v>32</v>
      </c>
      <c r="C18" s="100" t="s">
        <v>178</v>
      </c>
      <c r="D18" s="100" t="s">
        <v>179</v>
      </c>
      <c r="E18" s="101">
        <v>4</v>
      </c>
      <c r="F18" s="101">
        <v>4</v>
      </c>
      <c r="G18" s="101">
        <v>16</v>
      </c>
      <c r="H18" s="101" t="str" cm="1">
        <f t="array" ref="H18">_xlfn.IFS(G18&gt;=Constantes!$C$18,$P$5,G18&gt;=Constantes!$C$17,$P$6,G18&gt;=Constantes!$C$16,$P$7,G18&lt;Constantes!$C$16,$P$8)</f>
        <v>CRITICAL</v>
      </c>
      <c r="I18" s="102">
        <v>0.42399999999999993</v>
      </c>
      <c r="J18" s="101">
        <f>E18*I18</f>
        <v>1.6959999999999997</v>
      </c>
      <c r="K18" s="101">
        <f>F18*I18</f>
        <v>1.6959999999999997</v>
      </c>
      <c r="L18" s="101">
        <f>G18*I18</f>
        <v>6.7839999999999989</v>
      </c>
      <c r="M18" s="103" t="str" cm="1">
        <f t="array" ref="M18">_xlfn.IFS(L18&gt;=Constantes!$C$18,$P$5,L18&gt;=Constantes!$C$17,$P$6,L18&gt;=Constantes!$C$16,$P$7,L18&lt;Constantes!$C$16,$P$8)</f>
        <v>MAJOR</v>
      </c>
      <c r="N18" s="113"/>
      <c r="O18" s="114"/>
      <c r="W18" s="115"/>
    </row>
    <row r="19" spans="1:23">
      <c r="A19" s="100" t="s">
        <v>39</v>
      </c>
      <c r="B19" s="100" t="s">
        <v>40</v>
      </c>
      <c r="C19" s="100" t="s">
        <v>100</v>
      </c>
      <c r="D19" s="100" t="s">
        <v>101</v>
      </c>
      <c r="E19" s="101">
        <v>1.25</v>
      </c>
      <c r="F19" s="101">
        <v>1.25</v>
      </c>
      <c r="G19" s="101">
        <v>1.5625</v>
      </c>
      <c r="H19" s="101" t="str" cm="1">
        <f t="array" ref="H19">_xlfn.IFS(G19&gt;=Constantes!$C$18,$P$5,G19&gt;=Constantes!$C$17,$P$6,G19&gt;=Constantes!$C$16,$P$7,G19&lt;Constantes!$C$16,$P$8)</f>
        <v>MINOR</v>
      </c>
      <c r="I19" s="102">
        <v>0.42399999999999993</v>
      </c>
      <c r="J19" s="101">
        <f>E19*I19</f>
        <v>0.52999999999999992</v>
      </c>
      <c r="K19" s="101">
        <f>F19*I19</f>
        <v>0.52999999999999992</v>
      </c>
      <c r="L19" s="101">
        <f>G19*I19</f>
        <v>0.66249999999999987</v>
      </c>
      <c r="M19" s="103" t="str" cm="1">
        <f t="array" ref="M19">_xlfn.IFS(L19&gt;=Constantes!$C$18,$P$5,L19&gt;=Constantes!$C$17,$P$6,L19&gt;=Constantes!$C$16,$P$7,L19&lt;Constantes!$C$16,$P$8)</f>
        <v>MINOR</v>
      </c>
      <c r="N19" s="113"/>
      <c r="O19" s="114"/>
      <c r="W19" s="115"/>
    </row>
    <row r="20" spans="1:23" ht="10.9" thickBot="1">
      <c r="A20" s="100" t="s">
        <v>39</v>
      </c>
      <c r="B20" s="100" t="s">
        <v>40</v>
      </c>
      <c r="C20" s="100" t="s">
        <v>106</v>
      </c>
      <c r="D20" s="100" t="s">
        <v>107</v>
      </c>
      <c r="E20" s="101">
        <v>0.625</v>
      </c>
      <c r="F20" s="101">
        <v>2.5</v>
      </c>
      <c r="G20" s="101">
        <v>1.5625</v>
      </c>
      <c r="H20" s="101" t="str" cm="1">
        <f t="array" ref="H20">_xlfn.IFS(G20&gt;=Constantes!$C$18,$P$5,G20&gt;=Constantes!$C$17,$P$6,G20&gt;=Constantes!$C$16,$P$7,G20&lt;Constantes!$C$16,$P$8)</f>
        <v>MINOR</v>
      </c>
      <c r="I20" s="102">
        <v>0.42399999999999993</v>
      </c>
      <c r="J20" s="101">
        <f>E20*I20</f>
        <v>0.26499999999999996</v>
      </c>
      <c r="K20" s="101">
        <f>F20*I20</f>
        <v>1.0599999999999998</v>
      </c>
      <c r="L20" s="101">
        <f>G20*I20</f>
        <v>0.66249999999999987</v>
      </c>
      <c r="M20" s="103" t="str" cm="1">
        <f t="array" ref="M20">_xlfn.IFS(L20&gt;=Constantes!$C$18,$P$5,L20&gt;=Constantes!$C$17,$P$6,L20&gt;=Constantes!$C$16,$P$7,L20&lt;Constantes!$C$16,$P$8)</f>
        <v>MINOR</v>
      </c>
      <c r="N20" s="113"/>
      <c r="O20" s="116"/>
      <c r="P20" s="117"/>
      <c r="Q20" s="117"/>
      <c r="R20" s="117"/>
      <c r="S20" s="117"/>
      <c r="T20" s="117"/>
      <c r="U20" s="117"/>
      <c r="V20" s="117"/>
      <c r="W20" s="118"/>
    </row>
    <row r="21" spans="1:23" ht="12" customHeight="1">
      <c r="A21" s="100" t="s">
        <v>39</v>
      </c>
      <c r="B21" s="100" t="s">
        <v>40</v>
      </c>
      <c r="C21" s="100" t="s">
        <v>148</v>
      </c>
      <c r="D21" s="100" t="s">
        <v>149</v>
      </c>
      <c r="E21" s="101">
        <v>0.625</v>
      </c>
      <c r="F21" s="101">
        <v>1.25</v>
      </c>
      <c r="G21" s="101">
        <v>0.78125</v>
      </c>
      <c r="H21" s="101" t="str" cm="1">
        <f t="array" ref="H21">_xlfn.IFS(G21&gt;=Constantes!$C$18,$P$5,G21&gt;=Constantes!$C$17,$P$6,G21&gt;=Constantes!$C$16,$P$7,G21&lt;Constantes!$C$16,$P$8)</f>
        <v>MINOR</v>
      </c>
      <c r="I21" s="102">
        <v>0.42399999999999993</v>
      </c>
      <c r="J21" s="101">
        <f>E21*I21</f>
        <v>0.26499999999999996</v>
      </c>
      <c r="K21" s="101">
        <f>F21*I21</f>
        <v>0.52999999999999992</v>
      </c>
      <c r="L21" s="101">
        <f>G21*I21</f>
        <v>0.33124999999999993</v>
      </c>
      <c r="M21" s="103" t="str" cm="1">
        <f t="array" ref="M21">_xlfn.IFS(L21&gt;=Constantes!$C$18,$P$5,L21&gt;=Constantes!$C$17,$P$6,L21&gt;=Constantes!$C$16,$P$7,L21&lt;Constantes!$C$16,$P$8)</f>
        <v>MINOR</v>
      </c>
      <c r="N21" s="113"/>
      <c r="O21" s="157" t="s">
        <v>313</v>
      </c>
      <c r="P21" s="158"/>
      <c r="Q21" s="158"/>
      <c r="R21" s="158"/>
      <c r="S21" s="158"/>
      <c r="T21" s="158"/>
      <c r="U21" s="158"/>
      <c r="V21" s="158"/>
      <c r="W21" s="159"/>
    </row>
    <row r="22" spans="1:23" ht="10.5" customHeight="1">
      <c r="A22" s="100" t="s">
        <v>39</v>
      </c>
      <c r="B22" s="100" t="s">
        <v>40</v>
      </c>
      <c r="C22" s="100" t="s">
        <v>172</v>
      </c>
      <c r="D22" s="100" t="s">
        <v>173</v>
      </c>
      <c r="E22" s="101">
        <v>1.25</v>
      </c>
      <c r="F22" s="101">
        <v>1.875</v>
      </c>
      <c r="G22" s="101">
        <v>2.34375</v>
      </c>
      <c r="H22" s="101" t="str" cm="1">
        <f t="array" ref="H22">_xlfn.IFS(G22&gt;=Constantes!$C$18,$P$5,G22&gt;=Constantes!$C$17,$P$6,G22&gt;=Constantes!$C$16,$P$7,G22&lt;Constantes!$C$16,$P$8)</f>
        <v>MINOR</v>
      </c>
      <c r="I22" s="102">
        <v>0.42399999999999993</v>
      </c>
      <c r="J22" s="101">
        <f>E22*I22</f>
        <v>0.52999999999999992</v>
      </c>
      <c r="K22" s="101">
        <f>F22*I22</f>
        <v>0.79499999999999993</v>
      </c>
      <c r="L22" s="101">
        <f>G22*I22</f>
        <v>0.9937499999999998</v>
      </c>
      <c r="M22" s="103" t="str" cm="1">
        <f t="array" ref="M22">_xlfn.IFS(L22&gt;=Constantes!$C$18,$P$5,L22&gt;=Constantes!$C$17,$P$6,L22&gt;=Constantes!$C$16,$P$7,L22&lt;Constantes!$C$16,$P$8)</f>
        <v>MINOR</v>
      </c>
      <c r="N22" s="113"/>
      <c r="O22" s="160"/>
      <c r="P22" s="161"/>
      <c r="Q22" s="161"/>
      <c r="R22" s="161"/>
      <c r="S22" s="161"/>
      <c r="T22" s="161"/>
      <c r="U22" s="161"/>
      <c r="V22" s="161"/>
      <c r="W22" s="162"/>
    </row>
    <row r="23" spans="1:23">
      <c r="A23" s="100" t="s">
        <v>39</v>
      </c>
      <c r="B23" s="100" t="s">
        <v>40</v>
      </c>
      <c r="C23" s="100" t="s">
        <v>178</v>
      </c>
      <c r="D23" s="100" t="s">
        <v>179</v>
      </c>
      <c r="E23" s="101">
        <v>2.5</v>
      </c>
      <c r="F23" s="101">
        <v>2.5</v>
      </c>
      <c r="G23" s="101">
        <v>6.25</v>
      </c>
      <c r="H23" s="101" t="str" cm="1">
        <f t="array" ref="H23">_xlfn.IFS(G23&gt;=Constantes!$C$18,$P$5,G23&gt;=Constantes!$C$17,$P$6,G23&gt;=Constantes!$C$16,$P$7,G23&lt;Constantes!$C$16,$P$8)</f>
        <v>MAJOR</v>
      </c>
      <c r="I23" s="102">
        <v>0.42399999999999993</v>
      </c>
      <c r="J23" s="101">
        <f>E23*I23</f>
        <v>1.0599999999999998</v>
      </c>
      <c r="K23" s="101">
        <f>F23*I23</f>
        <v>1.0599999999999998</v>
      </c>
      <c r="L23" s="101">
        <f>G23*I23</f>
        <v>2.6499999999999995</v>
      </c>
      <c r="M23" s="103" t="str" cm="1">
        <f t="array" ref="M23">_xlfn.IFS(L23&gt;=Constantes!$C$18,$P$5,L23&gt;=Constantes!$C$17,$P$6,L23&gt;=Constantes!$C$16,$P$7,L23&lt;Constantes!$C$16,$P$8)</f>
        <v>MINOR</v>
      </c>
      <c r="N23" s="113"/>
      <c r="O23" s="114"/>
      <c r="W23" s="115"/>
    </row>
    <row r="24" spans="1:23">
      <c r="A24" s="100" t="s">
        <v>48</v>
      </c>
      <c r="B24" s="100" t="s">
        <v>49</v>
      </c>
      <c r="C24" s="100" t="s">
        <v>124</v>
      </c>
      <c r="D24" s="100" t="s">
        <v>125</v>
      </c>
      <c r="E24" s="101">
        <v>2.5</v>
      </c>
      <c r="F24" s="101">
        <v>1.875</v>
      </c>
      <c r="G24" s="101">
        <v>4.6875</v>
      </c>
      <c r="H24" s="101" t="str" cm="1">
        <f t="array" ref="H24">_xlfn.IFS(G24&gt;=Constantes!$C$18,$P$5,G24&gt;=Constantes!$C$17,$P$6,G24&gt;=Constantes!$C$16,$P$7,G24&lt;Constantes!$C$16,$P$8)</f>
        <v>LIMITED</v>
      </c>
      <c r="I24" s="102">
        <v>0.42399999999999993</v>
      </c>
      <c r="J24" s="101">
        <f>E24*I24</f>
        <v>1.0599999999999998</v>
      </c>
      <c r="K24" s="101">
        <f>F24*I24</f>
        <v>0.79499999999999993</v>
      </c>
      <c r="L24" s="101">
        <f>G24*I24</f>
        <v>1.9874999999999996</v>
      </c>
      <c r="M24" s="103" t="str" cm="1">
        <f t="array" ref="M24">_xlfn.IFS(L24&gt;=Constantes!$C$18,$P$5,L24&gt;=Constantes!$C$17,$P$6,L24&gt;=Constantes!$C$16,$P$7,L24&lt;Constantes!$C$16,$P$8)</f>
        <v>MINOR</v>
      </c>
      <c r="N24" s="113"/>
    </row>
    <row r="25" spans="1:23">
      <c r="A25" s="100" t="s">
        <v>48</v>
      </c>
      <c r="B25" s="100" t="s">
        <v>49</v>
      </c>
      <c r="C25" s="100" t="s">
        <v>130</v>
      </c>
      <c r="D25" s="100" t="s">
        <v>131</v>
      </c>
      <c r="E25" s="101">
        <v>1.25</v>
      </c>
      <c r="F25" s="101">
        <v>1.875</v>
      </c>
      <c r="G25" s="101">
        <v>2.34375</v>
      </c>
      <c r="H25" s="101" t="str" cm="1">
        <f t="array" ref="H25">_xlfn.IFS(G25&gt;=Constantes!$C$18,$P$5,G25&gt;=Constantes!$C$17,$P$6,G25&gt;=Constantes!$C$16,$P$7,G25&lt;Constantes!$C$16,$P$8)</f>
        <v>MINOR</v>
      </c>
      <c r="I25" s="102">
        <v>0.42399999999999993</v>
      </c>
      <c r="J25" s="101">
        <f>E25*I25</f>
        <v>0.52999999999999992</v>
      </c>
      <c r="K25" s="101">
        <f>F25*I25</f>
        <v>0.79499999999999993</v>
      </c>
      <c r="L25" s="101">
        <f>G25*I25</f>
        <v>0.9937499999999998</v>
      </c>
      <c r="M25" s="103" t="str" cm="1">
        <f t="array" ref="M25">_xlfn.IFS(L25&gt;=Constantes!$C$18,$P$5,L25&gt;=Constantes!$C$17,$P$6,L25&gt;=Constantes!$C$16,$P$7,L25&lt;Constantes!$C$16,$P$8)</f>
        <v>MINOR</v>
      </c>
      <c r="N25" s="113"/>
    </row>
    <row r="26" spans="1:23">
      <c r="A26" s="100" t="s">
        <v>48</v>
      </c>
      <c r="B26" s="100" t="s">
        <v>49</v>
      </c>
      <c r="C26" s="100" t="s">
        <v>154</v>
      </c>
      <c r="D26" s="100" t="s">
        <v>155</v>
      </c>
      <c r="E26" s="101">
        <v>1.875</v>
      </c>
      <c r="F26" s="101">
        <v>2.5</v>
      </c>
      <c r="G26" s="101">
        <v>4.6875</v>
      </c>
      <c r="H26" s="101" t="str" cm="1">
        <f t="array" ref="H26">_xlfn.IFS(G26&gt;=Constantes!$C$18,$P$5,G26&gt;=Constantes!$C$17,$P$6,G26&gt;=Constantes!$C$16,$P$7,G26&lt;Constantes!$C$16,$P$8)</f>
        <v>LIMITED</v>
      </c>
      <c r="I26" s="102">
        <v>0.45999999999999996</v>
      </c>
      <c r="J26" s="101">
        <f>E26*I26</f>
        <v>0.86249999999999993</v>
      </c>
      <c r="K26" s="101">
        <f>F26*I26</f>
        <v>1.1499999999999999</v>
      </c>
      <c r="L26" s="101">
        <f>G26*I26</f>
        <v>2.15625</v>
      </c>
      <c r="M26" s="103" t="str" cm="1">
        <f t="array" ref="M26">_xlfn.IFS(L26&gt;=Constantes!$C$18,$P$5,L26&gt;=Constantes!$C$17,$P$6,L26&gt;=Constantes!$C$16,$P$7,L26&lt;Constantes!$C$16,$P$8)</f>
        <v>MINOR</v>
      </c>
      <c r="N26" s="113"/>
    </row>
    <row r="27" spans="1:23">
      <c r="A27" s="100" t="s">
        <v>48</v>
      </c>
      <c r="B27" s="100" t="s">
        <v>49</v>
      </c>
      <c r="C27" s="100" t="s">
        <v>160</v>
      </c>
      <c r="D27" s="100" t="s">
        <v>161</v>
      </c>
      <c r="E27" s="101">
        <v>2.5</v>
      </c>
      <c r="F27" s="101">
        <v>2.5</v>
      </c>
      <c r="G27" s="101">
        <v>6.25</v>
      </c>
      <c r="H27" s="101" t="str" cm="1">
        <f t="array" ref="H27">_xlfn.IFS(G27&gt;=Constantes!$C$18,$P$5,G27&gt;=Constantes!$C$17,$P$6,G27&gt;=Constantes!$C$16,$P$7,G27&lt;Constantes!$C$16,$P$8)</f>
        <v>MAJOR</v>
      </c>
      <c r="I27" s="102">
        <v>0.42399999999999993</v>
      </c>
      <c r="J27" s="101">
        <f>E27*I27</f>
        <v>1.0599999999999998</v>
      </c>
      <c r="K27" s="101">
        <f>F27*I27</f>
        <v>1.0599999999999998</v>
      </c>
      <c r="L27" s="101">
        <f>G27*I27</f>
        <v>2.6499999999999995</v>
      </c>
      <c r="M27" s="103" t="str" cm="1">
        <f t="array" ref="M27">_xlfn.IFS(L27&gt;=Constantes!$C$18,$P$5,L27&gt;=Constantes!$C$17,$P$6,L27&gt;=Constantes!$C$16,$P$7,L27&lt;Constantes!$C$16,$P$8)</f>
        <v>MINOR</v>
      </c>
      <c r="N27" s="113"/>
    </row>
    <row r="28" spans="1:23">
      <c r="A28" s="100" t="s">
        <v>48</v>
      </c>
      <c r="B28" s="100" t="s">
        <v>49</v>
      </c>
      <c r="C28" s="100" t="s">
        <v>166</v>
      </c>
      <c r="D28" s="100" t="s">
        <v>167</v>
      </c>
      <c r="E28" s="101">
        <v>1.875</v>
      </c>
      <c r="F28" s="101">
        <v>1.875</v>
      </c>
      <c r="G28" s="101">
        <v>3.515625</v>
      </c>
      <c r="H28" s="101" t="str" cm="1">
        <f t="array" ref="H28">_xlfn.IFS(G28&gt;=Constantes!$C$18,$P$5,G28&gt;=Constantes!$C$17,$P$6,G28&gt;=Constantes!$C$16,$P$7,G28&lt;Constantes!$C$16,$P$8)</f>
        <v>LIMITED</v>
      </c>
      <c r="I28" s="102">
        <v>0.42399999999999993</v>
      </c>
      <c r="J28" s="101">
        <f>E28*I28</f>
        <v>0.79499999999999993</v>
      </c>
      <c r="K28" s="101">
        <f>F28*I28</f>
        <v>0.79499999999999993</v>
      </c>
      <c r="L28" s="101">
        <f>G28*I28</f>
        <v>1.4906249999999999</v>
      </c>
      <c r="M28" s="103" t="str" cm="1">
        <f t="array" ref="M28">_xlfn.IFS(L28&gt;=Constantes!$C$18,$P$5,L28&gt;=Constantes!$C$17,$P$6,L28&gt;=Constantes!$C$16,$P$7,L28&lt;Constantes!$C$16,$P$8)</f>
        <v>MINOR</v>
      </c>
      <c r="N28" s="113"/>
    </row>
    <row r="29" spans="1:23">
      <c r="A29" s="100" t="s">
        <v>57</v>
      </c>
      <c r="B29" s="100" t="s">
        <v>58</v>
      </c>
      <c r="C29" s="100" t="s">
        <v>27</v>
      </c>
      <c r="D29" s="100" t="s">
        <v>28</v>
      </c>
      <c r="E29" s="101">
        <v>3</v>
      </c>
      <c r="F29" s="101">
        <v>4</v>
      </c>
      <c r="G29" s="101">
        <v>12</v>
      </c>
      <c r="H29" s="101" t="str" cm="1">
        <f t="array" ref="H29">_xlfn.IFS(G29&gt;=Constantes!$C$18,$P$5,G29&gt;=Constantes!$C$17,$P$6,G29&gt;=Constantes!$C$16,$P$7,G29&lt;Constantes!$C$16,$P$8)</f>
        <v>CRITICAL</v>
      </c>
      <c r="I29" s="102">
        <v>0.42399999999999993</v>
      </c>
      <c r="J29" s="101">
        <f>E29*I29</f>
        <v>1.2719999999999998</v>
      </c>
      <c r="K29" s="101">
        <f>F29*I29</f>
        <v>1.6959999999999997</v>
      </c>
      <c r="L29" s="101">
        <f>G29*I29</f>
        <v>5.0879999999999992</v>
      </c>
      <c r="M29" s="103" t="str" cm="1">
        <f t="array" ref="M29">_xlfn.IFS(L29&gt;=Constantes!$C$18,$P$5,L29&gt;=Constantes!$C$17,$P$6,L29&gt;=Constantes!$C$16,$P$7,L29&lt;Constantes!$C$16,$P$8)</f>
        <v>LIMITED</v>
      </c>
      <c r="N29" s="113"/>
    </row>
    <row r="30" spans="1:23">
      <c r="A30" s="100" t="s">
        <v>57</v>
      </c>
      <c r="B30" s="100" t="s">
        <v>58</v>
      </c>
      <c r="C30" s="100" t="s">
        <v>124</v>
      </c>
      <c r="D30" s="100" t="s">
        <v>125</v>
      </c>
      <c r="E30" s="101">
        <v>4</v>
      </c>
      <c r="F30" s="101">
        <v>3</v>
      </c>
      <c r="G30" s="101">
        <v>12</v>
      </c>
      <c r="H30" s="101" t="str" cm="1">
        <f t="array" ref="H30">_xlfn.IFS(G30&gt;=Constantes!$C$18,$P$5,G30&gt;=Constantes!$C$17,$P$6,G30&gt;=Constantes!$C$16,$P$7,G30&lt;Constantes!$C$16,$P$8)</f>
        <v>CRITICAL</v>
      </c>
      <c r="I30" s="102">
        <v>0.42399999999999993</v>
      </c>
      <c r="J30" s="101">
        <f>E30*I30</f>
        <v>1.6959999999999997</v>
      </c>
      <c r="K30" s="101">
        <f>F30*I30</f>
        <v>1.2719999999999998</v>
      </c>
      <c r="L30" s="101">
        <f>G30*I30</f>
        <v>5.0879999999999992</v>
      </c>
      <c r="M30" s="103" t="str" cm="1">
        <f t="array" ref="M30">_xlfn.IFS(L30&gt;=Constantes!$C$18,$P$5,L30&gt;=Constantes!$C$17,$P$6,L30&gt;=Constantes!$C$16,$P$7,L30&lt;Constantes!$C$16,$P$8)</f>
        <v>LIMITED</v>
      </c>
      <c r="N30" s="113"/>
    </row>
    <row r="31" spans="1:23">
      <c r="A31" s="100" t="s">
        <v>57</v>
      </c>
      <c r="B31" s="100" t="s">
        <v>58</v>
      </c>
      <c r="C31" s="100" t="s">
        <v>130</v>
      </c>
      <c r="D31" s="100" t="s">
        <v>131</v>
      </c>
      <c r="E31" s="101">
        <v>2</v>
      </c>
      <c r="F31" s="101">
        <v>3</v>
      </c>
      <c r="G31" s="101">
        <v>6</v>
      </c>
      <c r="H31" s="101" t="str" cm="1">
        <f t="array" ref="H31">_xlfn.IFS(G31&gt;=Constantes!$C$18,$P$5,G31&gt;=Constantes!$C$17,$P$6,G31&gt;=Constantes!$C$16,$P$7,G31&lt;Constantes!$C$16,$P$8)</f>
        <v>MAJOR</v>
      </c>
      <c r="I31" s="102">
        <v>0.42399999999999993</v>
      </c>
      <c r="J31" s="101">
        <f>E31*I31</f>
        <v>0.84799999999999986</v>
      </c>
      <c r="K31" s="101">
        <f>F31*I31</f>
        <v>1.2719999999999998</v>
      </c>
      <c r="L31" s="101">
        <f>G31*I31</f>
        <v>2.5439999999999996</v>
      </c>
      <c r="M31" s="103" t="str" cm="1">
        <f t="array" ref="M31">_xlfn.IFS(L31&gt;=Constantes!$C$18,$P$5,L31&gt;=Constantes!$C$17,$P$6,L31&gt;=Constantes!$C$16,$P$7,L31&lt;Constantes!$C$16,$P$8)</f>
        <v>MINOR</v>
      </c>
      <c r="N31" s="113"/>
    </row>
    <row r="32" spans="1:23">
      <c r="A32" s="100" t="s">
        <v>57</v>
      </c>
      <c r="B32" s="100" t="s">
        <v>58</v>
      </c>
      <c r="C32" s="100" t="s">
        <v>154</v>
      </c>
      <c r="D32" s="100" t="s">
        <v>155</v>
      </c>
      <c r="E32" s="101">
        <v>3</v>
      </c>
      <c r="F32" s="101">
        <v>4</v>
      </c>
      <c r="G32" s="101">
        <v>12</v>
      </c>
      <c r="H32" s="101" t="str" cm="1">
        <f t="array" ref="H32">_xlfn.IFS(G32&gt;=Constantes!$C$18,$P$5,G32&gt;=Constantes!$C$17,$P$6,G32&gt;=Constantes!$C$16,$P$7,G32&lt;Constantes!$C$16,$P$8)</f>
        <v>CRITICAL</v>
      </c>
      <c r="I32" s="102">
        <v>0.45999999999999996</v>
      </c>
      <c r="J32" s="101">
        <f>E32*I32</f>
        <v>1.38</v>
      </c>
      <c r="K32" s="101">
        <f>F32*I32</f>
        <v>1.8399999999999999</v>
      </c>
      <c r="L32" s="101">
        <f>G32*I32</f>
        <v>5.52</v>
      </c>
      <c r="M32" s="103" t="str" cm="1">
        <f t="array" ref="M32">_xlfn.IFS(L32&gt;=Constantes!$C$18,$P$5,L32&gt;=Constantes!$C$17,$P$6,L32&gt;=Constantes!$C$16,$P$7,L32&lt;Constantes!$C$16,$P$8)</f>
        <v>LIMITED</v>
      </c>
      <c r="N32" s="113"/>
    </row>
    <row r="33" spans="1:14">
      <c r="A33" s="100" t="s">
        <v>57</v>
      </c>
      <c r="B33" s="100" t="s">
        <v>58</v>
      </c>
      <c r="C33" s="100" t="s">
        <v>160</v>
      </c>
      <c r="D33" s="100" t="s">
        <v>161</v>
      </c>
      <c r="E33" s="101">
        <v>4</v>
      </c>
      <c r="F33" s="101">
        <v>4</v>
      </c>
      <c r="G33" s="101">
        <v>16</v>
      </c>
      <c r="H33" s="101" t="str" cm="1">
        <f t="array" ref="H33">_xlfn.IFS(G33&gt;=Constantes!$C$18,$P$5,G33&gt;=Constantes!$C$17,$P$6,G33&gt;=Constantes!$C$16,$P$7,G33&lt;Constantes!$C$16,$P$8)</f>
        <v>CRITICAL</v>
      </c>
      <c r="I33" s="102">
        <v>0.42399999999999993</v>
      </c>
      <c r="J33" s="101">
        <f>E33*I33</f>
        <v>1.6959999999999997</v>
      </c>
      <c r="K33" s="101">
        <f>F33*I33</f>
        <v>1.6959999999999997</v>
      </c>
      <c r="L33" s="101">
        <f>G33*I33</f>
        <v>6.7839999999999989</v>
      </c>
      <c r="M33" s="103" t="str" cm="1">
        <f t="array" ref="M33">_xlfn.IFS(L33&gt;=Constantes!$C$18,$P$5,L33&gt;=Constantes!$C$17,$P$6,L33&gt;=Constantes!$C$16,$P$7,L33&lt;Constantes!$C$16,$P$8)</f>
        <v>MAJOR</v>
      </c>
      <c r="N33" s="113"/>
    </row>
    <row r="34" spans="1:14">
      <c r="A34" s="100" t="s">
        <v>57</v>
      </c>
      <c r="B34" s="100" t="s">
        <v>58</v>
      </c>
      <c r="C34" s="100" t="s">
        <v>166</v>
      </c>
      <c r="D34" s="100" t="s">
        <v>167</v>
      </c>
      <c r="E34" s="101">
        <v>3</v>
      </c>
      <c r="F34" s="101">
        <v>3</v>
      </c>
      <c r="G34" s="101">
        <v>9</v>
      </c>
      <c r="H34" s="101" t="str" cm="1">
        <f t="array" ref="H34">_xlfn.IFS(G34&gt;=Constantes!$C$18,$P$5,G34&gt;=Constantes!$C$17,$P$6,G34&gt;=Constantes!$C$16,$P$7,G34&lt;Constantes!$C$16,$P$8)</f>
        <v>MAJOR</v>
      </c>
      <c r="I34" s="102">
        <v>0.42399999999999993</v>
      </c>
      <c r="J34" s="101">
        <f>E34*I34</f>
        <v>1.2719999999999998</v>
      </c>
      <c r="K34" s="101">
        <f>F34*I34</f>
        <v>1.2719999999999998</v>
      </c>
      <c r="L34" s="101">
        <f>G34*I34</f>
        <v>3.8159999999999994</v>
      </c>
      <c r="M34" s="103" t="str" cm="1">
        <f t="array" ref="M34">_xlfn.IFS(L34&gt;=Constantes!$C$18,$P$5,L34&gt;=Constantes!$C$17,$P$6,L34&gt;=Constantes!$C$16,$P$7,L34&lt;Constantes!$C$16,$P$8)</f>
        <v>LIMITED</v>
      </c>
      <c r="N34" s="113"/>
    </row>
    <row r="35" spans="1:14">
      <c r="A35" s="100" t="s">
        <v>64</v>
      </c>
      <c r="B35" s="100" t="s">
        <v>65</v>
      </c>
      <c r="C35" s="100" t="s">
        <v>82</v>
      </c>
      <c r="D35" s="100" t="s">
        <v>83</v>
      </c>
      <c r="E35" s="101">
        <v>0.5</v>
      </c>
      <c r="F35" s="101">
        <v>0.75</v>
      </c>
      <c r="G35" s="101">
        <v>0.375</v>
      </c>
      <c r="H35" s="101" t="str" cm="1">
        <f t="array" ref="H35">_xlfn.IFS(G35&gt;=Constantes!$C$18,$P$5,G35&gt;=Constantes!$C$17,$P$6,G35&gt;=Constantes!$C$16,$P$7,G35&lt;Constantes!$C$16,$P$8)</f>
        <v>MINOR</v>
      </c>
      <c r="I35" s="102">
        <v>0.42399999999999993</v>
      </c>
      <c r="J35" s="101">
        <f>E35*I35</f>
        <v>0.21199999999999997</v>
      </c>
      <c r="K35" s="101">
        <f>F35*I35</f>
        <v>0.31799999999999995</v>
      </c>
      <c r="L35" s="101">
        <f>G35*I35</f>
        <v>0.15899999999999997</v>
      </c>
      <c r="M35" s="103" t="str" cm="1">
        <f t="array" ref="M35">_xlfn.IFS(L35&gt;=Constantes!$C$18,$P$5,L35&gt;=Constantes!$C$17,$P$6,L35&gt;=Constantes!$C$16,$P$7,L35&lt;Constantes!$C$16,$P$8)</f>
        <v>MINOR</v>
      </c>
      <c r="N35" s="113"/>
    </row>
    <row r="36" spans="1:14">
      <c r="A36" s="100" t="s">
        <v>64</v>
      </c>
      <c r="B36" s="100" t="s">
        <v>65</v>
      </c>
      <c r="C36" s="100" t="s">
        <v>88</v>
      </c>
      <c r="D36" s="100" t="s">
        <v>89</v>
      </c>
      <c r="E36" s="101">
        <v>0.75</v>
      </c>
      <c r="F36" s="101">
        <v>0.75</v>
      </c>
      <c r="G36" s="101">
        <v>0.5625</v>
      </c>
      <c r="H36" s="101" t="str" cm="1">
        <f t="array" ref="H36">_xlfn.IFS(G36&gt;=Constantes!$C$18,$P$5,G36&gt;=Constantes!$C$17,$P$6,G36&gt;=Constantes!$C$16,$P$7,G36&lt;Constantes!$C$16,$P$8)</f>
        <v>MINOR</v>
      </c>
      <c r="I36" s="102">
        <v>0.42399999999999993</v>
      </c>
      <c r="J36" s="101">
        <f>E36*I36</f>
        <v>0.31799999999999995</v>
      </c>
      <c r="K36" s="101">
        <f>F36*I36</f>
        <v>0.31799999999999995</v>
      </c>
      <c r="L36" s="101">
        <f>G36*I36</f>
        <v>0.23849999999999996</v>
      </c>
      <c r="M36" s="103" t="str" cm="1">
        <f t="array" ref="M36">_xlfn.IFS(L36&gt;=Constantes!$C$18,$P$5,L36&gt;=Constantes!$C$17,$P$6,L36&gt;=Constantes!$C$16,$P$7,L36&lt;Constantes!$C$16,$P$8)</f>
        <v>MINOR</v>
      </c>
      <c r="N36" s="113"/>
    </row>
    <row r="37" spans="1:14">
      <c r="A37" s="100" t="s">
        <v>64</v>
      </c>
      <c r="B37" s="100" t="s">
        <v>65</v>
      </c>
      <c r="C37" s="100" t="s">
        <v>160</v>
      </c>
      <c r="D37" s="100" t="s">
        <v>161</v>
      </c>
      <c r="E37" s="101">
        <v>1</v>
      </c>
      <c r="F37" s="101">
        <v>1</v>
      </c>
      <c r="G37" s="101">
        <v>1</v>
      </c>
      <c r="H37" s="101" t="str" cm="1">
        <f t="array" ref="H37">_xlfn.IFS(G37&gt;=Constantes!$C$18,$P$5,G37&gt;=Constantes!$C$17,$P$6,G37&gt;=Constantes!$C$16,$P$7,G37&lt;Constantes!$C$16,$P$8)</f>
        <v>MINOR</v>
      </c>
      <c r="I37" s="102">
        <v>0.42399999999999993</v>
      </c>
      <c r="J37" s="101">
        <f>E37*I37</f>
        <v>0.42399999999999993</v>
      </c>
      <c r="K37" s="101">
        <f>F37*I37</f>
        <v>0.42399999999999993</v>
      </c>
      <c r="L37" s="101">
        <f>G37*I37</f>
        <v>0.42399999999999993</v>
      </c>
      <c r="M37" s="103" t="str" cm="1">
        <f t="array" ref="M37">_xlfn.IFS(L37&gt;=Constantes!$C$18,$P$5,L37&gt;=Constantes!$C$17,$P$6,L37&gt;=Constantes!$C$16,$P$7,L37&lt;Constantes!$C$16,$P$8)</f>
        <v>MINOR</v>
      </c>
      <c r="N37" s="113"/>
    </row>
    <row r="38" spans="1:14">
      <c r="A38" s="100" t="s">
        <v>64</v>
      </c>
      <c r="B38" s="100" t="s">
        <v>65</v>
      </c>
      <c r="C38" s="100" t="s">
        <v>166</v>
      </c>
      <c r="D38" s="100" t="s">
        <v>167</v>
      </c>
      <c r="E38" s="101">
        <v>0.75</v>
      </c>
      <c r="F38" s="101">
        <v>0.75</v>
      </c>
      <c r="G38" s="101">
        <v>0.5625</v>
      </c>
      <c r="H38" s="101" t="str" cm="1">
        <f t="array" ref="H38">_xlfn.IFS(G38&gt;=Constantes!$C$18,$P$5,G38&gt;=Constantes!$C$17,$P$6,G38&gt;=Constantes!$C$16,$P$7,G38&lt;Constantes!$C$16,$P$8)</f>
        <v>MINOR</v>
      </c>
      <c r="I38" s="102">
        <v>0.42399999999999993</v>
      </c>
      <c r="J38" s="101">
        <f>E38*I38</f>
        <v>0.31799999999999995</v>
      </c>
      <c r="K38" s="101">
        <f>F38*I38</f>
        <v>0.31799999999999995</v>
      </c>
      <c r="L38" s="101">
        <f>G38*I38</f>
        <v>0.23849999999999996</v>
      </c>
      <c r="M38" s="103" t="str" cm="1">
        <f t="array" ref="M38">_xlfn.IFS(L38&gt;=Constantes!$C$18,$P$5,L38&gt;=Constantes!$C$17,$P$6,L38&gt;=Constantes!$C$16,$P$7,L38&lt;Constantes!$C$16,$P$8)</f>
        <v>MINOR</v>
      </c>
      <c r="N38" s="113"/>
    </row>
    <row r="39" spans="1:14">
      <c r="A39" s="100" t="s">
        <v>72</v>
      </c>
      <c r="B39" s="100" t="s">
        <v>73</v>
      </c>
      <c r="C39" s="100" t="s">
        <v>130</v>
      </c>
      <c r="D39" s="100" t="s">
        <v>131</v>
      </c>
      <c r="E39" s="101">
        <v>2</v>
      </c>
      <c r="F39" s="101">
        <v>3</v>
      </c>
      <c r="G39" s="101">
        <v>6</v>
      </c>
      <c r="H39" s="101" t="str" cm="1">
        <f t="array" ref="H39">_xlfn.IFS(G39&gt;=Constantes!$C$18,$P$5,G39&gt;=Constantes!$C$17,$P$6,G39&gt;=Constantes!$C$16,$P$7,G39&lt;Constantes!$C$16,$P$8)</f>
        <v>MAJOR</v>
      </c>
      <c r="I39" s="102">
        <v>0.42399999999999993</v>
      </c>
      <c r="J39" s="101">
        <f>E39*I39</f>
        <v>0.84799999999999986</v>
      </c>
      <c r="K39" s="101">
        <f>F39*I39</f>
        <v>1.2719999999999998</v>
      </c>
      <c r="L39" s="101">
        <f>G39*I39</f>
        <v>2.5439999999999996</v>
      </c>
      <c r="M39" s="103" t="str" cm="1">
        <f t="array" ref="M39">_xlfn.IFS(L39&gt;=Constantes!$C$18,$P$5,L39&gt;=Constantes!$C$17,$P$6,L39&gt;=Constantes!$C$16,$P$7,L39&lt;Constantes!$C$16,$P$8)</f>
        <v>MINOR</v>
      </c>
      <c r="N39" s="113"/>
    </row>
    <row r="40" spans="1:14">
      <c r="A40" s="100" t="s">
        <v>72</v>
      </c>
      <c r="B40" s="100" t="s">
        <v>73</v>
      </c>
      <c r="C40" s="100" t="s">
        <v>148</v>
      </c>
      <c r="D40" s="100" t="s">
        <v>149</v>
      </c>
      <c r="E40" s="101">
        <v>1</v>
      </c>
      <c r="F40" s="101">
        <v>2</v>
      </c>
      <c r="G40" s="101">
        <v>2</v>
      </c>
      <c r="H40" s="101" t="str" cm="1">
        <f t="array" ref="H40">_xlfn.IFS(G40&gt;=Constantes!$C$18,$P$5,G40&gt;=Constantes!$C$17,$P$6,G40&gt;=Constantes!$C$16,$P$7,G40&lt;Constantes!$C$16,$P$8)</f>
        <v>MINOR</v>
      </c>
      <c r="I40" s="102">
        <v>0.42399999999999993</v>
      </c>
      <c r="J40" s="101">
        <f>E40*I40</f>
        <v>0.42399999999999993</v>
      </c>
      <c r="K40" s="101">
        <f>F40*I40</f>
        <v>0.84799999999999986</v>
      </c>
      <c r="L40" s="101">
        <f>G40*I40</f>
        <v>0.84799999999999986</v>
      </c>
      <c r="M40" s="103" t="str" cm="1">
        <f t="array" ref="M40">_xlfn.IFS(L40&gt;=Constantes!$C$18,$P$5,L40&gt;=Constantes!$C$17,$P$6,L40&gt;=Constantes!$C$16,$P$7,L40&lt;Constantes!$C$16,$P$8)</f>
        <v>MINOR</v>
      </c>
      <c r="N40" s="113"/>
    </row>
    <row r="41" spans="1:14">
      <c r="A41" s="100" t="s">
        <v>72</v>
      </c>
      <c r="B41" s="100" t="s">
        <v>73</v>
      </c>
      <c r="C41" s="100" t="s">
        <v>172</v>
      </c>
      <c r="D41" s="100" t="s">
        <v>173</v>
      </c>
      <c r="E41" s="101">
        <v>2</v>
      </c>
      <c r="F41" s="101">
        <v>3</v>
      </c>
      <c r="G41" s="101">
        <v>6</v>
      </c>
      <c r="H41" s="101" t="str" cm="1">
        <f t="array" ref="H41">_xlfn.IFS(G41&gt;=Constantes!$C$18,$P$5,G41&gt;=Constantes!$C$17,$P$6,G41&gt;=Constantes!$C$16,$P$7,G41&lt;Constantes!$C$16,$P$8)</f>
        <v>MAJOR</v>
      </c>
      <c r="I41" s="102">
        <v>0.42399999999999993</v>
      </c>
      <c r="J41" s="101">
        <f>E41*I41</f>
        <v>0.84799999999999986</v>
      </c>
      <c r="K41" s="101">
        <f>F41*I41</f>
        <v>1.2719999999999998</v>
      </c>
      <c r="L41" s="101">
        <f>G41*I41</f>
        <v>2.5439999999999996</v>
      </c>
      <c r="M41" s="103" t="str" cm="1">
        <f t="array" ref="M41">_xlfn.IFS(L41&gt;=Constantes!$C$18,$P$5,L41&gt;=Constantes!$C$17,$P$6,L41&gt;=Constantes!$C$16,$P$7,L41&lt;Constantes!$C$16,$P$8)</f>
        <v>MINOR</v>
      </c>
      <c r="N41" s="113"/>
    </row>
    <row r="42" spans="1:14">
      <c r="A42" s="100" t="s">
        <v>72</v>
      </c>
      <c r="B42" s="100" t="s">
        <v>73</v>
      </c>
      <c r="C42" s="100" t="s">
        <v>178</v>
      </c>
      <c r="D42" s="100" t="s">
        <v>179</v>
      </c>
      <c r="E42" s="101">
        <v>4</v>
      </c>
      <c r="F42" s="101">
        <v>4</v>
      </c>
      <c r="G42" s="101">
        <v>16</v>
      </c>
      <c r="H42" s="101" t="str" cm="1">
        <f t="array" ref="H42">_xlfn.IFS(G42&gt;=Constantes!$C$18,$P$5,G42&gt;=Constantes!$C$17,$P$6,G42&gt;=Constantes!$C$16,$P$7,G42&lt;Constantes!$C$16,$P$8)</f>
        <v>CRITICAL</v>
      </c>
      <c r="I42" s="102">
        <v>0.42399999999999993</v>
      </c>
      <c r="J42" s="101">
        <f>E42*I42</f>
        <v>1.6959999999999997</v>
      </c>
      <c r="K42" s="101">
        <f>F42*I42</f>
        <v>1.6959999999999997</v>
      </c>
      <c r="L42" s="101">
        <f>G42*I42</f>
        <v>6.7839999999999989</v>
      </c>
      <c r="M42" s="103" t="str" cm="1">
        <f t="array" ref="M42">_xlfn.IFS(L42&gt;=Constantes!$C$18,$P$5,L42&gt;=Constantes!$C$17,$P$6,L42&gt;=Constantes!$C$16,$P$7,L42&lt;Constantes!$C$16,$P$8)</f>
        <v>MAJOR</v>
      </c>
      <c r="N42" s="113"/>
    </row>
    <row r="43" spans="1:14">
      <c r="A43" s="100" t="s">
        <v>72</v>
      </c>
      <c r="B43" s="100" t="s">
        <v>73</v>
      </c>
      <c r="C43" s="100" t="s">
        <v>130</v>
      </c>
      <c r="D43" s="100" t="s">
        <v>131</v>
      </c>
      <c r="E43" s="101">
        <v>2</v>
      </c>
      <c r="F43" s="101">
        <v>3</v>
      </c>
      <c r="G43" s="101">
        <v>6</v>
      </c>
      <c r="H43" s="101" t="str" cm="1">
        <f t="array" ref="H43">_xlfn.IFS(G43&gt;=Constantes!$C$18,$P$5,G43&gt;=Constantes!$C$17,$P$6,G43&gt;=Constantes!$C$16,$P$7,G43&lt;Constantes!$C$16,$P$8)</f>
        <v>MAJOR</v>
      </c>
      <c r="I43" s="102">
        <v>0.42399999999999993</v>
      </c>
      <c r="J43" s="101">
        <f>E43*I43</f>
        <v>0.84799999999999986</v>
      </c>
      <c r="K43" s="101">
        <f>F43*I43</f>
        <v>1.2719999999999998</v>
      </c>
      <c r="L43" s="101">
        <f>G43*I43</f>
        <v>2.5439999999999996</v>
      </c>
      <c r="M43" s="103" t="str" cm="1">
        <f t="array" ref="M43">_xlfn.IFS(L43&gt;=Constantes!$C$18,$P$5,L43&gt;=Constantes!$C$17,$P$6,L43&gt;=Constantes!$C$16,$P$7,L43&lt;Constantes!$C$16,$P$8)</f>
        <v>MINOR</v>
      </c>
      <c r="N43" s="113"/>
    </row>
    <row r="44" spans="1:14">
      <c r="A44" s="100" t="s">
        <v>72</v>
      </c>
      <c r="B44" s="100" t="s">
        <v>73</v>
      </c>
      <c r="C44" s="100" t="s">
        <v>148</v>
      </c>
      <c r="D44" s="100" t="s">
        <v>149</v>
      </c>
      <c r="E44" s="101">
        <v>1</v>
      </c>
      <c r="F44" s="101">
        <v>2</v>
      </c>
      <c r="G44" s="101">
        <v>2</v>
      </c>
      <c r="H44" s="101" t="str" cm="1">
        <f t="array" ref="H44">_xlfn.IFS(G44&gt;=Constantes!$C$18,$P$5,G44&gt;=Constantes!$C$17,$P$6,G44&gt;=Constantes!$C$16,$P$7,G44&lt;Constantes!$C$16,$P$8)</f>
        <v>MINOR</v>
      </c>
      <c r="I44" s="102">
        <v>0.42399999999999993</v>
      </c>
      <c r="J44" s="101">
        <f>E44*I44</f>
        <v>0.42399999999999993</v>
      </c>
      <c r="K44" s="101">
        <f>F44*I44</f>
        <v>0.84799999999999986</v>
      </c>
      <c r="L44" s="101">
        <f>G44*I44</f>
        <v>0.84799999999999986</v>
      </c>
      <c r="M44" s="103" t="str" cm="1">
        <f t="array" ref="M44">_xlfn.IFS(L44&gt;=Constantes!$C$18,$P$5,L44&gt;=Constantes!$C$17,$P$6,L44&gt;=Constantes!$C$16,$P$7,L44&lt;Constantes!$C$16,$P$8)</f>
        <v>MINOR</v>
      </c>
      <c r="N44" s="113"/>
    </row>
    <row r="45" spans="1:14">
      <c r="A45" s="100" t="s">
        <v>72</v>
      </c>
      <c r="B45" s="100" t="s">
        <v>73</v>
      </c>
      <c r="C45" s="100" t="s">
        <v>172</v>
      </c>
      <c r="D45" s="100" t="s">
        <v>173</v>
      </c>
      <c r="E45" s="101">
        <v>2</v>
      </c>
      <c r="F45" s="101">
        <v>3</v>
      </c>
      <c r="G45" s="101">
        <v>6</v>
      </c>
      <c r="H45" s="101" t="str" cm="1">
        <f t="array" ref="H45">_xlfn.IFS(G45&gt;=Constantes!$C$18,$P$5,G45&gt;=Constantes!$C$17,$P$6,G45&gt;=Constantes!$C$16,$P$7,G45&lt;Constantes!$C$16,$P$8)</f>
        <v>MAJOR</v>
      </c>
      <c r="I45" s="102">
        <v>0.42399999999999993</v>
      </c>
      <c r="J45" s="101">
        <f>E45*I45</f>
        <v>0.84799999999999986</v>
      </c>
      <c r="K45" s="101">
        <f>F45*I45</f>
        <v>1.2719999999999998</v>
      </c>
      <c r="L45" s="101">
        <f>G45*I45</f>
        <v>2.5439999999999996</v>
      </c>
      <c r="M45" s="103" t="str" cm="1">
        <f t="array" ref="M45">_xlfn.IFS(L45&gt;=Constantes!$C$18,$P$5,L45&gt;=Constantes!$C$17,$P$6,L45&gt;=Constantes!$C$16,$P$7,L45&lt;Constantes!$C$16,$P$8)</f>
        <v>MINOR</v>
      </c>
      <c r="N45" s="113"/>
    </row>
    <row r="46" spans="1:14">
      <c r="A46" s="100" t="s">
        <v>72</v>
      </c>
      <c r="B46" s="100" t="s">
        <v>73</v>
      </c>
      <c r="C46" s="100" t="s">
        <v>178</v>
      </c>
      <c r="D46" s="100" t="s">
        <v>179</v>
      </c>
      <c r="E46" s="101">
        <v>4</v>
      </c>
      <c r="F46" s="101">
        <v>4</v>
      </c>
      <c r="G46" s="101">
        <v>16</v>
      </c>
      <c r="H46" s="101" t="str" cm="1">
        <f t="array" ref="H46">_xlfn.IFS(G46&gt;=Constantes!$C$18,$P$5,G46&gt;=Constantes!$C$17,$P$6,G46&gt;=Constantes!$C$16,$P$7,G46&lt;Constantes!$C$16,$P$8)</f>
        <v>CRITICAL</v>
      </c>
      <c r="I46" s="102">
        <v>0.42399999999999993</v>
      </c>
      <c r="J46" s="101">
        <f>E46*I46</f>
        <v>1.6959999999999997</v>
      </c>
      <c r="K46" s="101">
        <f>F46*I46</f>
        <v>1.6959999999999997</v>
      </c>
      <c r="L46" s="101">
        <f>G46*I46</f>
        <v>6.7839999999999989</v>
      </c>
      <c r="M46" s="103" t="str" cm="1">
        <f t="array" ref="M46">_xlfn.IFS(L46&gt;=Constantes!$C$18,$P$5,L46&gt;=Constantes!$C$17,$P$6,L46&gt;=Constantes!$C$16,$P$7,L46&lt;Constantes!$C$16,$P$8)</f>
        <v>MAJOR</v>
      </c>
      <c r="N46" s="113"/>
    </row>
    <row r="47" spans="1:14">
      <c r="A47" s="100" t="s">
        <v>80</v>
      </c>
      <c r="B47" s="100" t="s">
        <v>81</v>
      </c>
      <c r="C47" s="100" t="s">
        <v>19</v>
      </c>
      <c r="D47" s="100" t="s">
        <v>20</v>
      </c>
      <c r="E47" s="101">
        <v>0.625</v>
      </c>
      <c r="F47" s="101">
        <v>2.5</v>
      </c>
      <c r="G47" s="101">
        <v>1.5625</v>
      </c>
      <c r="H47" s="101" t="str" cm="1">
        <f t="array" ref="H47">_xlfn.IFS(G47&gt;=Constantes!$C$18,$P$5,G47&gt;=Constantes!$C$17,$P$6,G47&gt;=Constantes!$C$16,$P$7,G47&lt;Constantes!$C$16,$P$8)</f>
        <v>MINOR</v>
      </c>
      <c r="I47" s="102">
        <v>0.42399999999999993</v>
      </c>
      <c r="J47" s="101">
        <f>E47*I47</f>
        <v>0.26499999999999996</v>
      </c>
      <c r="K47" s="101">
        <f>F47*I47</f>
        <v>1.0599999999999998</v>
      </c>
      <c r="L47" s="101">
        <f>G47*I47</f>
        <v>0.66249999999999987</v>
      </c>
      <c r="M47" s="103" t="str" cm="1">
        <f t="array" ref="M47">_xlfn.IFS(L47&gt;=Constantes!$C$18,$P$5,L47&gt;=Constantes!$C$17,$P$6,L47&gt;=Constantes!$C$16,$P$7,L47&lt;Constantes!$C$16,$P$8)</f>
        <v>MINOR</v>
      </c>
      <c r="N47" s="113"/>
    </row>
    <row r="48" spans="1:14">
      <c r="A48" s="100" t="s">
        <v>80</v>
      </c>
      <c r="B48" s="100" t="s">
        <v>81</v>
      </c>
      <c r="C48" s="100" t="s">
        <v>68</v>
      </c>
      <c r="D48" s="100" t="s">
        <v>69</v>
      </c>
      <c r="E48" s="101">
        <v>0.625</v>
      </c>
      <c r="F48" s="101">
        <v>1.875</v>
      </c>
      <c r="G48" s="101">
        <v>1.171875</v>
      </c>
      <c r="H48" s="101" t="str" cm="1">
        <f t="array" ref="H48">_xlfn.IFS(G48&gt;=Constantes!$C$18,$P$5,G48&gt;=Constantes!$C$17,$P$6,G48&gt;=Constantes!$C$16,$P$7,G48&lt;Constantes!$C$16,$P$8)</f>
        <v>MINOR</v>
      </c>
      <c r="I48" s="102">
        <v>0.42399999999999993</v>
      </c>
      <c r="J48" s="101">
        <f>E48*I48</f>
        <v>0.26499999999999996</v>
      </c>
      <c r="K48" s="101">
        <f>F48*I48</f>
        <v>0.79499999999999993</v>
      </c>
      <c r="L48" s="101">
        <f>G48*I48</f>
        <v>0.4968749999999999</v>
      </c>
      <c r="M48" s="103" t="str" cm="1">
        <f t="array" ref="M48">_xlfn.IFS(L48&gt;=Constantes!$C$18,$P$5,L48&gt;=Constantes!$C$17,$P$6,L48&gt;=Constantes!$C$16,$P$7,L48&lt;Constantes!$C$16,$P$8)</f>
        <v>MINOR</v>
      </c>
      <c r="N48" s="113"/>
    </row>
    <row r="49" spans="1:14">
      <c r="A49" s="100" t="s">
        <v>80</v>
      </c>
      <c r="B49" s="100" t="s">
        <v>81</v>
      </c>
      <c r="C49" s="100" t="s">
        <v>76</v>
      </c>
      <c r="D49" s="100" t="s">
        <v>77</v>
      </c>
      <c r="E49" s="101">
        <v>0.625</v>
      </c>
      <c r="F49" s="101">
        <v>1.875</v>
      </c>
      <c r="G49" s="101">
        <v>1.171875</v>
      </c>
      <c r="H49" s="101" t="str" cm="1">
        <f t="array" ref="H49">_xlfn.IFS(G49&gt;=Constantes!$C$18,$P$5,G49&gt;=Constantes!$C$17,$P$6,G49&gt;=Constantes!$C$16,$P$7,G49&lt;Constantes!$C$16,$P$8)</f>
        <v>MINOR</v>
      </c>
      <c r="I49" s="102">
        <v>0.42399999999999993</v>
      </c>
      <c r="J49" s="101">
        <f>E49*I49</f>
        <v>0.26499999999999996</v>
      </c>
      <c r="K49" s="101">
        <f>F49*I49</f>
        <v>0.79499999999999993</v>
      </c>
      <c r="L49" s="101">
        <f>G49*I49</f>
        <v>0.4968749999999999</v>
      </c>
      <c r="M49" s="103" t="str" cm="1">
        <f t="array" ref="M49">_xlfn.IFS(L49&gt;=Constantes!$C$18,$P$5,L49&gt;=Constantes!$C$17,$P$6,L49&gt;=Constantes!$C$16,$P$7,L49&lt;Constantes!$C$16,$P$8)</f>
        <v>MINOR</v>
      </c>
      <c r="N49" s="113"/>
    </row>
    <row r="50" spans="1:14">
      <c r="A50" s="100" t="s">
        <v>80</v>
      </c>
      <c r="B50" s="100" t="s">
        <v>81</v>
      </c>
      <c r="C50" s="100" t="s">
        <v>88</v>
      </c>
      <c r="D50" s="100" t="s">
        <v>89</v>
      </c>
      <c r="E50" s="101">
        <v>1.875</v>
      </c>
      <c r="F50" s="101">
        <v>1.875</v>
      </c>
      <c r="G50" s="101">
        <v>3.515625</v>
      </c>
      <c r="H50" s="101" t="str" cm="1">
        <f t="array" ref="H50">_xlfn.IFS(G50&gt;=Constantes!$C$18,$P$5,G50&gt;=Constantes!$C$17,$P$6,G50&gt;=Constantes!$C$16,$P$7,G50&lt;Constantes!$C$16,$P$8)</f>
        <v>LIMITED</v>
      </c>
      <c r="I50" s="102">
        <v>0.42399999999999993</v>
      </c>
      <c r="J50" s="101">
        <f>E50*I50</f>
        <v>0.79499999999999993</v>
      </c>
      <c r="K50" s="101">
        <f>F50*I50</f>
        <v>0.79499999999999993</v>
      </c>
      <c r="L50" s="101">
        <f>G50*I50</f>
        <v>1.4906249999999999</v>
      </c>
      <c r="M50" s="103" t="str" cm="1">
        <f t="array" ref="M50">_xlfn.IFS(L50&gt;=Constantes!$C$18,$P$5,L50&gt;=Constantes!$C$17,$P$6,L50&gt;=Constantes!$C$16,$P$7,L50&lt;Constantes!$C$16,$P$8)</f>
        <v>MINOR</v>
      </c>
      <c r="N50" s="113"/>
    </row>
    <row r="51" spans="1:14">
      <c r="A51" s="100" t="s">
        <v>80</v>
      </c>
      <c r="B51" s="100" t="s">
        <v>81</v>
      </c>
      <c r="C51" s="100" t="s">
        <v>94</v>
      </c>
      <c r="D51" s="100" t="s">
        <v>95</v>
      </c>
      <c r="E51" s="101">
        <v>0.625</v>
      </c>
      <c r="F51" s="101">
        <v>2.5</v>
      </c>
      <c r="G51" s="101">
        <v>1.5625</v>
      </c>
      <c r="H51" s="101" t="str" cm="1">
        <f t="array" ref="H51">_xlfn.IFS(G51&gt;=Constantes!$C$18,$P$5,G51&gt;=Constantes!$C$17,$P$6,G51&gt;=Constantes!$C$16,$P$7,G51&lt;Constantes!$C$16,$P$8)</f>
        <v>MINOR</v>
      </c>
      <c r="I51" s="102">
        <v>0.42399999999999993</v>
      </c>
      <c r="J51" s="101">
        <f>E51*I51</f>
        <v>0.26499999999999996</v>
      </c>
      <c r="K51" s="101">
        <f>F51*I51</f>
        <v>1.0599999999999998</v>
      </c>
      <c r="L51" s="101">
        <f>G51*I51</f>
        <v>0.66249999999999987</v>
      </c>
      <c r="M51" s="103" t="str" cm="1">
        <f t="array" ref="M51">_xlfn.IFS(L51&gt;=Constantes!$C$18,$P$5,L51&gt;=Constantes!$C$17,$P$6,L51&gt;=Constantes!$C$16,$P$7,L51&lt;Constantes!$C$16,$P$8)</f>
        <v>MINOR</v>
      </c>
      <c r="N51" s="113"/>
    </row>
    <row r="52" spans="1:14">
      <c r="A52" s="100" t="s">
        <v>80</v>
      </c>
      <c r="B52" s="100" t="s">
        <v>81</v>
      </c>
      <c r="C52" s="100" t="s">
        <v>112</v>
      </c>
      <c r="D52" s="100" t="s">
        <v>113</v>
      </c>
      <c r="E52" s="101">
        <v>1.25</v>
      </c>
      <c r="F52" s="101">
        <v>1.875</v>
      </c>
      <c r="G52" s="101">
        <v>2.34375</v>
      </c>
      <c r="H52" s="101" t="str" cm="1">
        <f t="array" ref="H52">_xlfn.IFS(G52&gt;=Constantes!$C$18,$P$5,G52&gt;=Constantes!$C$17,$P$6,G52&gt;=Constantes!$C$16,$P$7,G52&lt;Constantes!$C$16,$P$8)</f>
        <v>MINOR</v>
      </c>
      <c r="I52" s="102">
        <v>0.42399999999999993</v>
      </c>
      <c r="J52" s="101">
        <f>E52*I52</f>
        <v>0.52999999999999992</v>
      </c>
      <c r="K52" s="101">
        <f>F52*I52</f>
        <v>0.79499999999999993</v>
      </c>
      <c r="L52" s="101">
        <f>G52*I52</f>
        <v>0.9937499999999998</v>
      </c>
      <c r="M52" s="103" t="str" cm="1">
        <f t="array" ref="M52">_xlfn.IFS(L52&gt;=Constantes!$C$18,$P$5,L52&gt;=Constantes!$C$17,$P$6,L52&gt;=Constantes!$C$16,$P$7,L52&lt;Constantes!$C$16,$P$8)</f>
        <v>MINOR</v>
      </c>
      <c r="N52" s="113"/>
    </row>
    <row r="53" spans="1:14">
      <c r="A53" s="100" t="s">
        <v>80</v>
      </c>
      <c r="B53" s="100" t="s">
        <v>81</v>
      </c>
      <c r="C53" s="100" t="s">
        <v>130</v>
      </c>
      <c r="D53" s="100" t="s">
        <v>131</v>
      </c>
      <c r="E53" s="101">
        <v>1.25</v>
      </c>
      <c r="F53" s="101">
        <v>1.875</v>
      </c>
      <c r="G53" s="101">
        <v>2.34375</v>
      </c>
      <c r="H53" s="101" t="str" cm="1">
        <f t="array" ref="H53">_xlfn.IFS(G53&gt;=Constantes!$C$18,$P$5,G53&gt;=Constantes!$C$17,$P$6,G53&gt;=Constantes!$C$16,$P$7,G53&lt;Constantes!$C$16,$P$8)</f>
        <v>MINOR</v>
      </c>
      <c r="I53" s="102">
        <v>0.42399999999999993</v>
      </c>
      <c r="J53" s="101">
        <f>E53*I53</f>
        <v>0.52999999999999992</v>
      </c>
      <c r="K53" s="101">
        <f>F53*I53</f>
        <v>0.79499999999999993</v>
      </c>
      <c r="L53" s="101">
        <f>G53*I53</f>
        <v>0.9937499999999998</v>
      </c>
      <c r="M53" s="103" t="str" cm="1">
        <f t="array" ref="M53">_xlfn.IFS(L53&gt;=Constantes!$C$18,$P$5,L53&gt;=Constantes!$C$17,$P$6,L53&gt;=Constantes!$C$16,$P$7,L53&lt;Constantes!$C$16,$P$8)</f>
        <v>MINOR</v>
      </c>
      <c r="N53" s="113"/>
    </row>
    <row r="54" spans="1:14">
      <c r="A54" s="100" t="s">
        <v>80</v>
      </c>
      <c r="B54" s="100" t="s">
        <v>81</v>
      </c>
      <c r="C54" s="100" t="s">
        <v>136</v>
      </c>
      <c r="D54" s="100" t="s">
        <v>137</v>
      </c>
      <c r="E54" s="101">
        <v>0.625</v>
      </c>
      <c r="F54" s="101">
        <v>2.5</v>
      </c>
      <c r="G54" s="101">
        <v>1.5625</v>
      </c>
      <c r="H54" s="101" t="str" cm="1">
        <f t="array" ref="H54">_xlfn.IFS(G54&gt;=Constantes!$C$18,$P$5,G54&gt;=Constantes!$C$17,$P$6,G54&gt;=Constantes!$C$16,$P$7,G54&lt;Constantes!$C$16,$P$8)</f>
        <v>MINOR</v>
      </c>
      <c r="I54" s="102">
        <v>0.42399999999999993</v>
      </c>
      <c r="J54" s="101">
        <f>E54*I54</f>
        <v>0.26499999999999996</v>
      </c>
      <c r="K54" s="101">
        <f>F54*I54</f>
        <v>1.0599999999999998</v>
      </c>
      <c r="L54" s="101">
        <f>G54*I54</f>
        <v>0.66249999999999987</v>
      </c>
      <c r="M54" s="103" t="str" cm="1">
        <f t="array" ref="M54">_xlfn.IFS(L54&gt;=Constantes!$C$18,$P$5,L54&gt;=Constantes!$C$17,$P$6,L54&gt;=Constantes!$C$16,$P$7,L54&lt;Constantes!$C$16,$P$8)</f>
        <v>MINOR</v>
      </c>
      <c r="N54" s="113"/>
    </row>
    <row r="55" spans="1:14">
      <c r="A55" s="100" t="s">
        <v>80</v>
      </c>
      <c r="B55" s="100" t="s">
        <v>81</v>
      </c>
      <c r="C55" s="100" t="s">
        <v>142</v>
      </c>
      <c r="D55" s="100" t="s">
        <v>143</v>
      </c>
      <c r="E55" s="101">
        <v>1.25</v>
      </c>
      <c r="F55" s="101">
        <v>2.5</v>
      </c>
      <c r="G55" s="101">
        <v>3.125</v>
      </c>
      <c r="H55" s="101" t="str" cm="1">
        <f t="array" ref="H55">_xlfn.IFS(G55&gt;=Constantes!$C$18,$P$5,G55&gt;=Constantes!$C$17,$P$6,G55&gt;=Constantes!$C$16,$P$7,G55&lt;Constantes!$C$16,$P$8)</f>
        <v>LIMITED</v>
      </c>
      <c r="I55" s="102">
        <v>0.42399999999999993</v>
      </c>
      <c r="J55" s="101">
        <f>E55*I55</f>
        <v>0.52999999999999992</v>
      </c>
      <c r="K55" s="101">
        <f>F55*I55</f>
        <v>1.0599999999999998</v>
      </c>
      <c r="L55" s="101">
        <f>G55*I55</f>
        <v>1.3249999999999997</v>
      </c>
      <c r="M55" s="103" t="str" cm="1">
        <f t="array" ref="M55">_xlfn.IFS(L55&gt;=Constantes!$C$18,$P$5,L55&gt;=Constantes!$C$17,$P$6,L55&gt;=Constantes!$C$16,$P$7,L55&lt;Constantes!$C$16,$P$8)</f>
        <v>MINOR</v>
      </c>
      <c r="N55" s="113"/>
    </row>
    <row r="56" spans="1:14">
      <c r="A56" s="100" t="s">
        <v>80</v>
      </c>
      <c r="B56" s="100" t="s">
        <v>81</v>
      </c>
      <c r="C56" s="100" t="s">
        <v>160</v>
      </c>
      <c r="D56" s="100" t="s">
        <v>161</v>
      </c>
      <c r="E56" s="101">
        <v>2.5</v>
      </c>
      <c r="F56" s="101">
        <v>2.5</v>
      </c>
      <c r="G56" s="101">
        <v>6.25</v>
      </c>
      <c r="H56" s="101" t="str" cm="1">
        <f t="array" ref="H56">_xlfn.IFS(G56&gt;=Constantes!$C$18,$P$5,G56&gt;=Constantes!$C$17,$P$6,G56&gt;=Constantes!$C$16,$P$7,G56&lt;Constantes!$C$16,$P$8)</f>
        <v>MAJOR</v>
      </c>
      <c r="I56" s="102">
        <v>0.42399999999999993</v>
      </c>
      <c r="J56" s="101">
        <f>E56*I56</f>
        <v>1.0599999999999998</v>
      </c>
      <c r="K56" s="101">
        <f>F56*I56</f>
        <v>1.0599999999999998</v>
      </c>
      <c r="L56" s="101">
        <f>G56*I56</f>
        <v>2.6499999999999995</v>
      </c>
      <c r="M56" s="103" t="str" cm="1">
        <f t="array" ref="M56">_xlfn.IFS(L56&gt;=Constantes!$C$18,$P$5,L56&gt;=Constantes!$C$17,$P$6,L56&gt;=Constantes!$C$16,$P$7,L56&lt;Constantes!$C$16,$P$8)</f>
        <v>MINOR</v>
      </c>
      <c r="N56" s="113"/>
    </row>
    <row r="57" spans="1:14">
      <c r="A57" s="100" t="s">
        <v>80</v>
      </c>
      <c r="B57" s="100" t="s">
        <v>81</v>
      </c>
      <c r="C57" s="100" t="s">
        <v>166</v>
      </c>
      <c r="D57" s="100" t="s">
        <v>167</v>
      </c>
      <c r="E57" s="101">
        <v>1.875</v>
      </c>
      <c r="F57" s="101">
        <v>1.875</v>
      </c>
      <c r="G57" s="101">
        <v>3.515625</v>
      </c>
      <c r="H57" s="101" t="str" cm="1">
        <f t="array" ref="H57">_xlfn.IFS(G57&gt;=Constantes!$C$18,$P$5,G57&gt;=Constantes!$C$17,$P$6,G57&gt;=Constantes!$C$16,$P$7,G57&lt;Constantes!$C$16,$P$8)</f>
        <v>LIMITED</v>
      </c>
      <c r="I57" s="102">
        <v>0.42399999999999993</v>
      </c>
      <c r="J57" s="101">
        <f>E57*I57</f>
        <v>0.79499999999999993</v>
      </c>
      <c r="K57" s="101">
        <f>F57*I57</f>
        <v>0.79499999999999993</v>
      </c>
      <c r="L57" s="101">
        <f>G57*I57</f>
        <v>1.4906249999999999</v>
      </c>
      <c r="M57" s="103" t="str" cm="1">
        <f t="array" ref="M57">_xlfn.IFS(L57&gt;=Constantes!$C$18,$P$5,L57&gt;=Constantes!$C$17,$P$6,L57&gt;=Constantes!$C$16,$P$7,L57&lt;Constantes!$C$16,$P$8)</f>
        <v>MINOR</v>
      </c>
      <c r="N57" s="113"/>
    </row>
    <row r="58" spans="1:14">
      <c r="A58" s="100" t="s">
        <v>86</v>
      </c>
      <c r="B58" s="100" t="s">
        <v>87</v>
      </c>
      <c r="C58" s="100" t="s">
        <v>19</v>
      </c>
      <c r="D58" s="100" t="s">
        <v>20</v>
      </c>
      <c r="E58" s="101">
        <v>0.625</v>
      </c>
      <c r="F58" s="101">
        <v>2.5</v>
      </c>
      <c r="G58" s="101">
        <v>1.5625</v>
      </c>
      <c r="H58" s="101" t="str" cm="1">
        <f t="array" ref="H58">_xlfn.IFS(G58&gt;=Constantes!$C$18,$P$5,G58&gt;=Constantes!$C$17,$P$6,G58&gt;=Constantes!$C$16,$P$7,G58&lt;Constantes!$C$16,$P$8)</f>
        <v>MINOR</v>
      </c>
      <c r="I58" s="102">
        <v>0.42399999999999993</v>
      </c>
      <c r="J58" s="101">
        <f>E58*I58</f>
        <v>0.26499999999999996</v>
      </c>
      <c r="K58" s="101">
        <f>F58*I58</f>
        <v>1.0599999999999998</v>
      </c>
      <c r="L58" s="101">
        <f>G58*I58</f>
        <v>0.66249999999999987</v>
      </c>
      <c r="M58" s="103" t="str" cm="1">
        <f t="array" ref="M58">_xlfn.IFS(L58&gt;=Constantes!$C$18,$P$5,L58&gt;=Constantes!$C$17,$P$6,L58&gt;=Constantes!$C$16,$P$7,L58&lt;Constantes!$C$16,$P$8)</f>
        <v>MINOR</v>
      </c>
      <c r="N58" s="113"/>
    </row>
    <row r="59" spans="1:14">
      <c r="A59" s="100" t="s">
        <v>86</v>
      </c>
      <c r="B59" s="100" t="s">
        <v>87</v>
      </c>
      <c r="C59" s="100" t="s">
        <v>68</v>
      </c>
      <c r="D59" s="100" t="s">
        <v>69</v>
      </c>
      <c r="E59" s="101">
        <v>0.625</v>
      </c>
      <c r="F59" s="101">
        <v>1.875</v>
      </c>
      <c r="G59" s="101">
        <v>1.171875</v>
      </c>
      <c r="H59" s="101" t="str" cm="1">
        <f t="array" ref="H59">_xlfn.IFS(G59&gt;=Constantes!$C$18,$P$5,G59&gt;=Constantes!$C$17,$P$6,G59&gt;=Constantes!$C$16,$P$7,G59&lt;Constantes!$C$16,$P$8)</f>
        <v>MINOR</v>
      </c>
      <c r="I59" s="102">
        <v>0.42399999999999993</v>
      </c>
      <c r="J59" s="101">
        <f>E59*I59</f>
        <v>0.26499999999999996</v>
      </c>
      <c r="K59" s="101">
        <f>F59*I59</f>
        <v>0.79499999999999993</v>
      </c>
      <c r="L59" s="101">
        <f>G59*I59</f>
        <v>0.4968749999999999</v>
      </c>
      <c r="M59" s="103" t="str" cm="1">
        <f t="array" ref="M59">_xlfn.IFS(L59&gt;=Constantes!$C$18,$P$5,L59&gt;=Constantes!$C$17,$P$6,L59&gt;=Constantes!$C$16,$P$7,L59&lt;Constantes!$C$16,$P$8)</f>
        <v>MINOR</v>
      </c>
      <c r="N59" s="113"/>
    </row>
    <row r="60" spans="1:14">
      <c r="A60" s="100" t="s">
        <v>86</v>
      </c>
      <c r="B60" s="100" t="s">
        <v>87</v>
      </c>
      <c r="C60" s="100" t="s">
        <v>76</v>
      </c>
      <c r="D60" s="100" t="s">
        <v>77</v>
      </c>
      <c r="E60" s="101">
        <v>0.625</v>
      </c>
      <c r="F60" s="101">
        <v>1.875</v>
      </c>
      <c r="G60" s="101">
        <v>1.171875</v>
      </c>
      <c r="H60" s="101" t="str" cm="1">
        <f t="array" ref="H60">_xlfn.IFS(G60&gt;=Constantes!$C$18,$P$5,G60&gt;=Constantes!$C$17,$P$6,G60&gt;=Constantes!$C$16,$P$7,G60&lt;Constantes!$C$16,$P$8)</f>
        <v>MINOR</v>
      </c>
      <c r="I60" s="102">
        <v>0.42399999999999993</v>
      </c>
      <c r="J60" s="101">
        <f>E60*I60</f>
        <v>0.26499999999999996</v>
      </c>
      <c r="K60" s="101">
        <f>F60*I60</f>
        <v>0.79499999999999993</v>
      </c>
      <c r="L60" s="101">
        <f>G60*I60</f>
        <v>0.4968749999999999</v>
      </c>
      <c r="M60" s="103" t="str" cm="1">
        <f t="array" ref="M60">_xlfn.IFS(L60&gt;=Constantes!$C$18,$P$5,L60&gt;=Constantes!$C$17,$P$6,L60&gt;=Constantes!$C$16,$P$7,L60&lt;Constantes!$C$16,$P$8)</f>
        <v>MINOR</v>
      </c>
      <c r="N60" s="113"/>
    </row>
    <row r="61" spans="1:14">
      <c r="A61" s="100" t="s">
        <v>86</v>
      </c>
      <c r="B61" s="100" t="s">
        <v>87</v>
      </c>
      <c r="C61" s="100" t="s">
        <v>88</v>
      </c>
      <c r="D61" s="100" t="s">
        <v>89</v>
      </c>
      <c r="E61" s="101">
        <v>1.875</v>
      </c>
      <c r="F61" s="101">
        <v>1.875</v>
      </c>
      <c r="G61" s="101">
        <v>3.515625</v>
      </c>
      <c r="H61" s="101" t="str" cm="1">
        <f t="array" ref="H61">_xlfn.IFS(G61&gt;=Constantes!$C$18,$P$5,G61&gt;=Constantes!$C$17,$P$6,G61&gt;=Constantes!$C$16,$P$7,G61&lt;Constantes!$C$16,$P$8)</f>
        <v>LIMITED</v>
      </c>
      <c r="I61" s="102">
        <v>0.42399999999999993</v>
      </c>
      <c r="J61" s="101">
        <f>E61*I61</f>
        <v>0.79499999999999993</v>
      </c>
      <c r="K61" s="101">
        <f>F61*I61</f>
        <v>0.79499999999999993</v>
      </c>
      <c r="L61" s="101">
        <f>G61*I61</f>
        <v>1.4906249999999999</v>
      </c>
      <c r="M61" s="103" t="str" cm="1">
        <f t="array" ref="M61">_xlfn.IFS(L61&gt;=Constantes!$C$18,$P$5,L61&gt;=Constantes!$C$17,$P$6,L61&gt;=Constantes!$C$16,$P$7,L61&lt;Constantes!$C$16,$P$8)</f>
        <v>MINOR</v>
      </c>
      <c r="N61" s="113"/>
    </row>
    <row r="62" spans="1:14">
      <c r="A62" s="100" t="s">
        <v>86</v>
      </c>
      <c r="B62" s="100" t="s">
        <v>87</v>
      </c>
      <c r="C62" s="100" t="s">
        <v>94</v>
      </c>
      <c r="D62" s="100" t="s">
        <v>95</v>
      </c>
      <c r="E62" s="101">
        <v>0.625</v>
      </c>
      <c r="F62" s="101">
        <v>2.5</v>
      </c>
      <c r="G62" s="101">
        <v>1.5625</v>
      </c>
      <c r="H62" s="101" t="str" cm="1">
        <f t="array" ref="H62">_xlfn.IFS(G62&gt;=Constantes!$C$18,$P$5,G62&gt;=Constantes!$C$17,$P$6,G62&gt;=Constantes!$C$16,$P$7,G62&lt;Constantes!$C$16,$P$8)</f>
        <v>MINOR</v>
      </c>
      <c r="I62" s="102">
        <v>0.42399999999999993</v>
      </c>
      <c r="J62" s="101">
        <f>E62*I62</f>
        <v>0.26499999999999996</v>
      </c>
      <c r="K62" s="101">
        <f>F62*I62</f>
        <v>1.0599999999999998</v>
      </c>
      <c r="L62" s="101">
        <f>G62*I62</f>
        <v>0.66249999999999987</v>
      </c>
      <c r="M62" s="103" t="str" cm="1">
        <f t="array" ref="M62">_xlfn.IFS(L62&gt;=Constantes!$C$18,$P$5,L62&gt;=Constantes!$C$17,$P$6,L62&gt;=Constantes!$C$16,$P$7,L62&lt;Constantes!$C$16,$P$8)</f>
        <v>MINOR</v>
      </c>
      <c r="N62" s="113"/>
    </row>
    <row r="63" spans="1:14">
      <c r="A63" s="100" t="s">
        <v>86</v>
      </c>
      <c r="B63" s="100" t="s">
        <v>87</v>
      </c>
      <c r="C63" s="100" t="s">
        <v>112</v>
      </c>
      <c r="D63" s="100" t="s">
        <v>113</v>
      </c>
      <c r="E63" s="101">
        <v>1.25</v>
      </c>
      <c r="F63" s="101">
        <v>1.875</v>
      </c>
      <c r="G63" s="101">
        <v>2.34375</v>
      </c>
      <c r="H63" s="101" t="str" cm="1">
        <f t="array" ref="H63">_xlfn.IFS(G63&gt;=Constantes!$C$18,$P$5,G63&gt;=Constantes!$C$17,$P$6,G63&gt;=Constantes!$C$16,$P$7,G63&lt;Constantes!$C$16,$P$8)</f>
        <v>MINOR</v>
      </c>
      <c r="I63" s="102">
        <v>0.42399999999999993</v>
      </c>
      <c r="J63" s="101">
        <f>E63*I63</f>
        <v>0.52999999999999992</v>
      </c>
      <c r="K63" s="101">
        <f>F63*I63</f>
        <v>0.79499999999999993</v>
      </c>
      <c r="L63" s="101">
        <f>G63*I63</f>
        <v>0.9937499999999998</v>
      </c>
      <c r="M63" s="103" t="str" cm="1">
        <f t="array" ref="M63">_xlfn.IFS(L63&gt;=Constantes!$C$18,$P$5,L63&gt;=Constantes!$C$17,$P$6,L63&gt;=Constantes!$C$16,$P$7,L63&lt;Constantes!$C$16,$P$8)</f>
        <v>MINOR</v>
      </c>
      <c r="N63" s="113"/>
    </row>
    <row r="64" spans="1:14">
      <c r="A64" s="100" t="s">
        <v>86</v>
      </c>
      <c r="B64" s="100" t="s">
        <v>87</v>
      </c>
      <c r="C64" s="100" t="s">
        <v>130</v>
      </c>
      <c r="D64" s="100" t="s">
        <v>131</v>
      </c>
      <c r="E64" s="101">
        <v>1.25</v>
      </c>
      <c r="F64" s="101">
        <v>1.875</v>
      </c>
      <c r="G64" s="101">
        <v>2.34375</v>
      </c>
      <c r="H64" s="101" t="str" cm="1">
        <f t="array" ref="H64">_xlfn.IFS(G64&gt;=Constantes!$C$18,$P$5,G64&gt;=Constantes!$C$17,$P$6,G64&gt;=Constantes!$C$16,$P$7,G64&lt;Constantes!$C$16,$P$8)</f>
        <v>MINOR</v>
      </c>
      <c r="I64" s="102">
        <v>0.42399999999999993</v>
      </c>
      <c r="J64" s="101">
        <f>E64*I64</f>
        <v>0.52999999999999992</v>
      </c>
      <c r="K64" s="101">
        <f>F64*I64</f>
        <v>0.79499999999999993</v>
      </c>
      <c r="L64" s="101">
        <f>G64*I64</f>
        <v>0.9937499999999998</v>
      </c>
      <c r="M64" s="103" t="str" cm="1">
        <f t="array" ref="M64">_xlfn.IFS(L64&gt;=Constantes!$C$18,$P$5,L64&gt;=Constantes!$C$17,$P$6,L64&gt;=Constantes!$C$16,$P$7,L64&lt;Constantes!$C$16,$P$8)</f>
        <v>MINOR</v>
      </c>
      <c r="N64" s="113"/>
    </row>
    <row r="65" spans="1:14">
      <c r="A65" s="100" t="s">
        <v>86</v>
      </c>
      <c r="B65" s="100" t="s">
        <v>87</v>
      </c>
      <c r="C65" s="100" t="s">
        <v>136</v>
      </c>
      <c r="D65" s="100" t="s">
        <v>137</v>
      </c>
      <c r="E65" s="101">
        <v>0.625</v>
      </c>
      <c r="F65" s="101">
        <v>2.5</v>
      </c>
      <c r="G65" s="101">
        <v>1.5625</v>
      </c>
      <c r="H65" s="101" t="str" cm="1">
        <f t="array" ref="H65">_xlfn.IFS(G65&gt;=Constantes!$C$18,$P$5,G65&gt;=Constantes!$C$17,$P$6,G65&gt;=Constantes!$C$16,$P$7,G65&lt;Constantes!$C$16,$P$8)</f>
        <v>MINOR</v>
      </c>
      <c r="I65" s="102">
        <v>0.42399999999999993</v>
      </c>
      <c r="J65" s="101">
        <f>E65*I65</f>
        <v>0.26499999999999996</v>
      </c>
      <c r="K65" s="101">
        <f>F65*I65</f>
        <v>1.0599999999999998</v>
      </c>
      <c r="L65" s="101">
        <f>G65*I65</f>
        <v>0.66249999999999987</v>
      </c>
      <c r="M65" s="103" t="str" cm="1">
        <f t="array" ref="M65">_xlfn.IFS(L65&gt;=Constantes!$C$18,$P$5,L65&gt;=Constantes!$C$17,$P$6,L65&gt;=Constantes!$C$16,$P$7,L65&lt;Constantes!$C$16,$P$8)</f>
        <v>MINOR</v>
      </c>
      <c r="N65" s="113"/>
    </row>
    <row r="66" spans="1:14">
      <c r="A66" s="100" t="s">
        <v>86</v>
      </c>
      <c r="B66" s="100" t="s">
        <v>87</v>
      </c>
      <c r="C66" s="100" t="s">
        <v>142</v>
      </c>
      <c r="D66" s="100" t="s">
        <v>143</v>
      </c>
      <c r="E66" s="101">
        <v>1.25</v>
      </c>
      <c r="F66" s="101">
        <v>2.5</v>
      </c>
      <c r="G66" s="101">
        <v>3.125</v>
      </c>
      <c r="H66" s="101" t="str" cm="1">
        <f t="array" ref="H66">_xlfn.IFS(G66&gt;=Constantes!$C$18,$P$5,G66&gt;=Constantes!$C$17,$P$6,G66&gt;=Constantes!$C$16,$P$7,G66&lt;Constantes!$C$16,$P$8)</f>
        <v>LIMITED</v>
      </c>
      <c r="I66" s="102">
        <v>0.42399999999999993</v>
      </c>
      <c r="J66" s="101">
        <f>E66*I66</f>
        <v>0.52999999999999992</v>
      </c>
      <c r="K66" s="101">
        <f>F66*I66</f>
        <v>1.0599999999999998</v>
      </c>
      <c r="L66" s="101">
        <f>G66*I66</f>
        <v>1.3249999999999997</v>
      </c>
      <c r="M66" s="103" t="str" cm="1">
        <f t="array" ref="M66">_xlfn.IFS(L66&gt;=Constantes!$C$18,$P$5,L66&gt;=Constantes!$C$17,$P$6,L66&gt;=Constantes!$C$16,$P$7,L66&lt;Constantes!$C$16,$P$8)</f>
        <v>MINOR</v>
      </c>
      <c r="N66" s="113"/>
    </row>
    <row r="67" spans="1:14">
      <c r="A67" s="100" t="s">
        <v>86</v>
      </c>
      <c r="B67" s="100" t="s">
        <v>87</v>
      </c>
      <c r="C67" s="100" t="s">
        <v>160</v>
      </c>
      <c r="D67" s="100" t="s">
        <v>161</v>
      </c>
      <c r="E67" s="101">
        <v>2.5</v>
      </c>
      <c r="F67" s="101">
        <v>2.5</v>
      </c>
      <c r="G67" s="101">
        <v>6.25</v>
      </c>
      <c r="H67" s="101" t="str" cm="1">
        <f t="array" ref="H67">_xlfn.IFS(G67&gt;=Constantes!$C$18,$P$5,G67&gt;=Constantes!$C$17,$P$6,G67&gt;=Constantes!$C$16,$P$7,G67&lt;Constantes!$C$16,$P$8)</f>
        <v>MAJOR</v>
      </c>
      <c r="I67" s="102">
        <v>0.42399999999999993</v>
      </c>
      <c r="J67" s="101">
        <f>E67*I67</f>
        <v>1.0599999999999998</v>
      </c>
      <c r="K67" s="101">
        <f>F67*I67</f>
        <v>1.0599999999999998</v>
      </c>
      <c r="L67" s="101">
        <f>G67*I67</f>
        <v>2.6499999999999995</v>
      </c>
      <c r="M67" s="103" t="str" cm="1">
        <f t="array" ref="M67">_xlfn.IFS(L67&gt;=Constantes!$C$18,$P$5,L67&gt;=Constantes!$C$17,$P$6,L67&gt;=Constantes!$C$16,$P$7,L67&lt;Constantes!$C$16,$P$8)</f>
        <v>MINOR</v>
      </c>
      <c r="N67" s="113"/>
    </row>
    <row r="68" spans="1:14">
      <c r="A68" s="100" t="s">
        <v>86</v>
      </c>
      <c r="B68" s="100" t="s">
        <v>87</v>
      </c>
      <c r="C68" s="100" t="s">
        <v>166</v>
      </c>
      <c r="D68" s="100" t="s">
        <v>167</v>
      </c>
      <c r="E68" s="101">
        <v>1.875</v>
      </c>
      <c r="F68" s="101">
        <v>1.875</v>
      </c>
      <c r="G68" s="101">
        <v>3.515625</v>
      </c>
      <c r="H68" s="101" t="str" cm="1">
        <f t="array" ref="H68">_xlfn.IFS(G68&gt;=Constantes!$C$18,$P$5,G68&gt;=Constantes!$C$17,$P$6,G68&gt;=Constantes!$C$16,$P$7,G68&lt;Constantes!$C$16,$P$8)</f>
        <v>LIMITED</v>
      </c>
      <c r="I68" s="102">
        <v>0.42399999999999993</v>
      </c>
      <c r="J68" s="101">
        <f>E68*I68</f>
        <v>0.79499999999999993</v>
      </c>
      <c r="K68" s="101">
        <f>F68*I68</f>
        <v>0.79499999999999993</v>
      </c>
      <c r="L68" s="101">
        <f>G68*I68</f>
        <v>1.4906249999999999</v>
      </c>
      <c r="M68" s="103" t="str" cm="1">
        <f t="array" ref="M68">_xlfn.IFS(L68&gt;=Constantes!$C$18,$P$5,L68&gt;=Constantes!$C$17,$P$6,L68&gt;=Constantes!$C$16,$P$7,L68&lt;Constantes!$C$16,$P$8)</f>
        <v>MINOR</v>
      </c>
      <c r="N68" s="113"/>
    </row>
    <row r="69" spans="1:14">
      <c r="A69" s="100" t="s">
        <v>92</v>
      </c>
      <c r="B69" s="100" t="s">
        <v>93</v>
      </c>
      <c r="C69" s="100" t="s">
        <v>19</v>
      </c>
      <c r="D69" s="100" t="s">
        <v>20</v>
      </c>
      <c r="E69" s="101">
        <v>0.625</v>
      </c>
      <c r="F69" s="101">
        <v>2.5</v>
      </c>
      <c r="G69" s="101">
        <v>1.5625</v>
      </c>
      <c r="H69" s="101" t="str" cm="1">
        <f t="array" ref="H69">_xlfn.IFS(G69&gt;=Constantes!$C$18,$P$5,G69&gt;=Constantes!$C$17,$P$6,G69&gt;=Constantes!$C$16,$P$7,G69&lt;Constantes!$C$16,$P$8)</f>
        <v>MINOR</v>
      </c>
      <c r="I69" s="102">
        <v>0.42399999999999993</v>
      </c>
      <c r="J69" s="101">
        <f>E69*I69</f>
        <v>0.26499999999999996</v>
      </c>
      <c r="K69" s="101">
        <f>F69*I69</f>
        <v>1.0599999999999998</v>
      </c>
      <c r="L69" s="101">
        <f>G69*I69</f>
        <v>0.66249999999999987</v>
      </c>
      <c r="M69" s="103" t="str" cm="1">
        <f t="array" ref="M69">_xlfn.IFS(L69&gt;=Constantes!$C$18,$P$5,L69&gt;=Constantes!$C$17,$P$6,L69&gt;=Constantes!$C$16,$P$7,L69&lt;Constantes!$C$16,$P$8)</f>
        <v>MINOR</v>
      </c>
      <c r="N69" s="113"/>
    </row>
    <row r="70" spans="1:14">
      <c r="A70" s="100" t="s">
        <v>92</v>
      </c>
      <c r="B70" s="100" t="s">
        <v>93</v>
      </c>
      <c r="C70" s="100" t="s">
        <v>68</v>
      </c>
      <c r="D70" s="100" t="s">
        <v>69</v>
      </c>
      <c r="E70" s="101">
        <v>0.625</v>
      </c>
      <c r="F70" s="101">
        <v>1.875</v>
      </c>
      <c r="G70" s="101">
        <v>1.171875</v>
      </c>
      <c r="H70" s="101" t="str" cm="1">
        <f t="array" ref="H70">_xlfn.IFS(G70&gt;=Constantes!$C$18,$P$5,G70&gt;=Constantes!$C$17,$P$6,G70&gt;=Constantes!$C$16,$P$7,G70&lt;Constantes!$C$16,$P$8)</f>
        <v>MINOR</v>
      </c>
      <c r="I70" s="102">
        <v>0.42399999999999993</v>
      </c>
      <c r="J70" s="101">
        <f>E70*I70</f>
        <v>0.26499999999999996</v>
      </c>
      <c r="K70" s="101">
        <f>F70*I70</f>
        <v>0.79499999999999993</v>
      </c>
      <c r="L70" s="101">
        <f>G70*I70</f>
        <v>0.4968749999999999</v>
      </c>
      <c r="M70" s="103" t="str" cm="1">
        <f t="array" ref="M70">_xlfn.IFS(L70&gt;=Constantes!$C$18,$P$5,L70&gt;=Constantes!$C$17,$P$6,L70&gt;=Constantes!$C$16,$P$7,L70&lt;Constantes!$C$16,$P$8)</f>
        <v>MINOR</v>
      </c>
      <c r="N70" s="113"/>
    </row>
    <row r="71" spans="1:14">
      <c r="A71" s="100" t="s">
        <v>92</v>
      </c>
      <c r="B71" s="100" t="s">
        <v>93</v>
      </c>
      <c r="C71" s="100" t="s">
        <v>76</v>
      </c>
      <c r="D71" s="100" t="s">
        <v>77</v>
      </c>
      <c r="E71" s="101">
        <v>0.625</v>
      </c>
      <c r="F71" s="101">
        <v>1.875</v>
      </c>
      <c r="G71" s="101">
        <v>1.171875</v>
      </c>
      <c r="H71" s="101" t="str" cm="1">
        <f t="array" ref="H71">_xlfn.IFS(G71&gt;=Constantes!$C$18,$P$5,G71&gt;=Constantes!$C$17,$P$6,G71&gt;=Constantes!$C$16,$P$7,G71&lt;Constantes!$C$16,$P$8)</f>
        <v>MINOR</v>
      </c>
      <c r="I71" s="102">
        <v>0.42399999999999993</v>
      </c>
      <c r="J71" s="101">
        <f>E71*I71</f>
        <v>0.26499999999999996</v>
      </c>
      <c r="K71" s="101">
        <f>F71*I71</f>
        <v>0.79499999999999993</v>
      </c>
      <c r="L71" s="101">
        <f>G71*I71</f>
        <v>0.4968749999999999</v>
      </c>
      <c r="M71" s="103" t="str" cm="1">
        <f t="array" ref="M71">_xlfn.IFS(L71&gt;=Constantes!$C$18,$P$5,L71&gt;=Constantes!$C$17,$P$6,L71&gt;=Constantes!$C$16,$P$7,L71&lt;Constantes!$C$16,$P$8)</f>
        <v>MINOR</v>
      </c>
      <c r="N71" s="113"/>
    </row>
    <row r="72" spans="1:14">
      <c r="A72" s="100" t="s">
        <v>92</v>
      </c>
      <c r="B72" s="100" t="s">
        <v>93</v>
      </c>
      <c r="C72" s="100" t="s">
        <v>88</v>
      </c>
      <c r="D72" s="100" t="s">
        <v>89</v>
      </c>
      <c r="E72" s="101">
        <v>1.875</v>
      </c>
      <c r="F72" s="101">
        <v>1.875</v>
      </c>
      <c r="G72" s="101">
        <v>3.515625</v>
      </c>
      <c r="H72" s="101" t="str" cm="1">
        <f t="array" ref="H72">_xlfn.IFS(G72&gt;=Constantes!$C$18,$P$5,G72&gt;=Constantes!$C$17,$P$6,G72&gt;=Constantes!$C$16,$P$7,G72&lt;Constantes!$C$16,$P$8)</f>
        <v>LIMITED</v>
      </c>
      <c r="I72" s="102">
        <v>0.42399999999999993</v>
      </c>
      <c r="J72" s="101">
        <f>E72*I72</f>
        <v>0.79499999999999993</v>
      </c>
      <c r="K72" s="101">
        <f>F72*I72</f>
        <v>0.79499999999999993</v>
      </c>
      <c r="L72" s="101">
        <f>G72*I72</f>
        <v>1.4906249999999999</v>
      </c>
      <c r="M72" s="103" t="str" cm="1">
        <f t="array" ref="M72">_xlfn.IFS(L72&gt;=Constantes!$C$18,$P$5,L72&gt;=Constantes!$C$17,$P$6,L72&gt;=Constantes!$C$16,$P$7,L72&lt;Constantes!$C$16,$P$8)</f>
        <v>MINOR</v>
      </c>
      <c r="N72" s="113"/>
    </row>
    <row r="73" spans="1:14">
      <c r="A73" s="100" t="s">
        <v>92</v>
      </c>
      <c r="B73" s="100" t="s">
        <v>93</v>
      </c>
      <c r="C73" s="100" t="s">
        <v>94</v>
      </c>
      <c r="D73" s="100" t="s">
        <v>95</v>
      </c>
      <c r="E73" s="101">
        <v>0.625</v>
      </c>
      <c r="F73" s="101">
        <v>2.5</v>
      </c>
      <c r="G73" s="101">
        <v>1.5625</v>
      </c>
      <c r="H73" s="101" t="str" cm="1">
        <f t="array" ref="H73">_xlfn.IFS(G73&gt;=Constantes!$C$18,$P$5,G73&gt;=Constantes!$C$17,$P$6,G73&gt;=Constantes!$C$16,$P$7,G73&lt;Constantes!$C$16,$P$8)</f>
        <v>MINOR</v>
      </c>
      <c r="I73" s="102">
        <v>0.42399999999999993</v>
      </c>
      <c r="J73" s="101">
        <f>E73*I73</f>
        <v>0.26499999999999996</v>
      </c>
      <c r="K73" s="101">
        <f>F73*I73</f>
        <v>1.0599999999999998</v>
      </c>
      <c r="L73" s="101">
        <f>G73*I73</f>
        <v>0.66249999999999987</v>
      </c>
      <c r="M73" s="103" t="str" cm="1">
        <f t="array" ref="M73">_xlfn.IFS(L73&gt;=Constantes!$C$18,$P$5,L73&gt;=Constantes!$C$17,$P$6,L73&gt;=Constantes!$C$16,$P$7,L73&lt;Constantes!$C$16,$P$8)</f>
        <v>MINOR</v>
      </c>
      <c r="N73" s="113"/>
    </row>
    <row r="74" spans="1:14">
      <c r="A74" s="100" t="s">
        <v>92</v>
      </c>
      <c r="B74" s="100" t="s">
        <v>93</v>
      </c>
      <c r="C74" s="100" t="s">
        <v>112</v>
      </c>
      <c r="D74" s="100" t="s">
        <v>113</v>
      </c>
      <c r="E74" s="101">
        <v>1.25</v>
      </c>
      <c r="F74" s="101">
        <v>1.875</v>
      </c>
      <c r="G74" s="101">
        <v>2.34375</v>
      </c>
      <c r="H74" s="101" t="str" cm="1">
        <f t="array" ref="H74">_xlfn.IFS(G74&gt;=Constantes!$C$18,$P$5,G74&gt;=Constantes!$C$17,$P$6,G74&gt;=Constantes!$C$16,$P$7,G74&lt;Constantes!$C$16,$P$8)</f>
        <v>MINOR</v>
      </c>
      <c r="I74" s="102">
        <v>0.42399999999999993</v>
      </c>
      <c r="J74" s="101">
        <f>E74*I74</f>
        <v>0.52999999999999992</v>
      </c>
      <c r="K74" s="101">
        <f>F74*I74</f>
        <v>0.79499999999999993</v>
      </c>
      <c r="L74" s="101">
        <f>G74*I74</f>
        <v>0.9937499999999998</v>
      </c>
      <c r="M74" s="103" t="str" cm="1">
        <f t="array" ref="M74">_xlfn.IFS(L74&gt;=Constantes!$C$18,$P$5,L74&gt;=Constantes!$C$17,$P$6,L74&gt;=Constantes!$C$16,$P$7,L74&lt;Constantes!$C$16,$P$8)</f>
        <v>MINOR</v>
      </c>
      <c r="N74" s="113"/>
    </row>
    <row r="75" spans="1:14">
      <c r="A75" s="100" t="s">
        <v>92</v>
      </c>
      <c r="B75" s="100" t="s">
        <v>93</v>
      </c>
      <c r="C75" s="100" t="s">
        <v>130</v>
      </c>
      <c r="D75" s="100" t="s">
        <v>131</v>
      </c>
      <c r="E75" s="101">
        <v>1.25</v>
      </c>
      <c r="F75" s="101">
        <v>1.875</v>
      </c>
      <c r="G75" s="101">
        <v>2.34375</v>
      </c>
      <c r="H75" s="101" t="str" cm="1">
        <f t="array" ref="H75">_xlfn.IFS(G75&gt;=Constantes!$C$18,$P$5,G75&gt;=Constantes!$C$17,$P$6,G75&gt;=Constantes!$C$16,$P$7,G75&lt;Constantes!$C$16,$P$8)</f>
        <v>MINOR</v>
      </c>
      <c r="I75" s="102">
        <v>0.42399999999999993</v>
      </c>
      <c r="J75" s="101">
        <f>E75*I75</f>
        <v>0.52999999999999992</v>
      </c>
      <c r="K75" s="101">
        <f>F75*I75</f>
        <v>0.79499999999999993</v>
      </c>
      <c r="L75" s="101">
        <f>G75*I75</f>
        <v>0.9937499999999998</v>
      </c>
      <c r="M75" s="103" t="str" cm="1">
        <f t="array" ref="M75">_xlfn.IFS(L75&gt;=Constantes!$C$18,$P$5,L75&gt;=Constantes!$C$17,$P$6,L75&gt;=Constantes!$C$16,$P$7,L75&lt;Constantes!$C$16,$P$8)</f>
        <v>MINOR</v>
      </c>
      <c r="N75" s="113"/>
    </row>
    <row r="76" spans="1:14">
      <c r="A76" s="100" t="s">
        <v>92</v>
      </c>
      <c r="B76" s="100" t="s">
        <v>93</v>
      </c>
      <c r="C76" s="100" t="s">
        <v>136</v>
      </c>
      <c r="D76" s="100" t="s">
        <v>137</v>
      </c>
      <c r="E76" s="101">
        <v>0.625</v>
      </c>
      <c r="F76" s="101">
        <v>2.5</v>
      </c>
      <c r="G76" s="101">
        <v>1.5625</v>
      </c>
      <c r="H76" s="101" t="str" cm="1">
        <f t="array" ref="H76">_xlfn.IFS(G76&gt;=Constantes!$C$18,$P$5,G76&gt;=Constantes!$C$17,$P$6,G76&gt;=Constantes!$C$16,$P$7,G76&lt;Constantes!$C$16,$P$8)</f>
        <v>MINOR</v>
      </c>
      <c r="I76" s="102">
        <v>0.42399999999999993</v>
      </c>
      <c r="J76" s="101">
        <f>E76*I76</f>
        <v>0.26499999999999996</v>
      </c>
      <c r="K76" s="101">
        <f>F76*I76</f>
        <v>1.0599999999999998</v>
      </c>
      <c r="L76" s="101">
        <f>G76*I76</f>
        <v>0.66249999999999987</v>
      </c>
      <c r="M76" s="103" t="str" cm="1">
        <f t="array" ref="M76">_xlfn.IFS(L76&gt;=Constantes!$C$18,$P$5,L76&gt;=Constantes!$C$17,$P$6,L76&gt;=Constantes!$C$16,$P$7,L76&lt;Constantes!$C$16,$P$8)</f>
        <v>MINOR</v>
      </c>
      <c r="N76" s="113"/>
    </row>
    <row r="77" spans="1:14">
      <c r="A77" s="100" t="s">
        <v>92</v>
      </c>
      <c r="B77" s="100" t="s">
        <v>93</v>
      </c>
      <c r="C77" s="100" t="s">
        <v>142</v>
      </c>
      <c r="D77" s="100" t="s">
        <v>143</v>
      </c>
      <c r="E77" s="101">
        <v>1.25</v>
      </c>
      <c r="F77" s="101">
        <v>2.5</v>
      </c>
      <c r="G77" s="101">
        <v>3.125</v>
      </c>
      <c r="H77" s="101" t="str" cm="1">
        <f t="array" ref="H77">_xlfn.IFS(G77&gt;=Constantes!$C$18,$P$5,G77&gt;=Constantes!$C$17,$P$6,G77&gt;=Constantes!$C$16,$P$7,G77&lt;Constantes!$C$16,$P$8)</f>
        <v>LIMITED</v>
      </c>
      <c r="I77" s="102">
        <v>0.42399999999999993</v>
      </c>
      <c r="J77" s="101">
        <f>E77*I77</f>
        <v>0.52999999999999992</v>
      </c>
      <c r="K77" s="101">
        <f>F77*I77</f>
        <v>1.0599999999999998</v>
      </c>
      <c r="L77" s="101">
        <f>G77*I77</f>
        <v>1.3249999999999997</v>
      </c>
      <c r="M77" s="103" t="str" cm="1">
        <f t="array" ref="M77">_xlfn.IFS(L77&gt;=Constantes!$C$18,$P$5,L77&gt;=Constantes!$C$17,$P$6,L77&gt;=Constantes!$C$16,$P$7,L77&lt;Constantes!$C$16,$P$8)</f>
        <v>MINOR</v>
      </c>
      <c r="N77" s="113"/>
    </row>
    <row r="78" spans="1:14">
      <c r="A78" s="100" t="s">
        <v>92</v>
      </c>
      <c r="B78" s="100" t="s">
        <v>93</v>
      </c>
      <c r="C78" s="100" t="s">
        <v>160</v>
      </c>
      <c r="D78" s="100" t="s">
        <v>161</v>
      </c>
      <c r="E78" s="101">
        <v>2.5</v>
      </c>
      <c r="F78" s="101">
        <v>2.5</v>
      </c>
      <c r="G78" s="101">
        <v>6.25</v>
      </c>
      <c r="H78" s="101" t="str" cm="1">
        <f t="array" ref="H78">_xlfn.IFS(G78&gt;=Constantes!$C$18,$P$5,G78&gt;=Constantes!$C$17,$P$6,G78&gt;=Constantes!$C$16,$P$7,G78&lt;Constantes!$C$16,$P$8)</f>
        <v>MAJOR</v>
      </c>
      <c r="I78" s="102">
        <v>0.42399999999999993</v>
      </c>
      <c r="J78" s="101">
        <f>E78*I78</f>
        <v>1.0599999999999998</v>
      </c>
      <c r="K78" s="101">
        <f>F78*I78</f>
        <v>1.0599999999999998</v>
      </c>
      <c r="L78" s="101">
        <f>G78*I78</f>
        <v>2.6499999999999995</v>
      </c>
      <c r="M78" s="103" t="str" cm="1">
        <f t="array" ref="M78">_xlfn.IFS(L78&gt;=Constantes!$C$18,$P$5,L78&gt;=Constantes!$C$17,$P$6,L78&gt;=Constantes!$C$16,$P$7,L78&lt;Constantes!$C$16,$P$8)</f>
        <v>MINOR</v>
      </c>
      <c r="N78" s="113"/>
    </row>
    <row r="79" spans="1:14">
      <c r="A79" s="100" t="s">
        <v>92</v>
      </c>
      <c r="B79" s="100" t="s">
        <v>93</v>
      </c>
      <c r="C79" s="100" t="s">
        <v>166</v>
      </c>
      <c r="D79" s="100" t="s">
        <v>167</v>
      </c>
      <c r="E79" s="101">
        <v>1.875</v>
      </c>
      <c r="F79" s="101">
        <v>1.875</v>
      </c>
      <c r="G79" s="101">
        <v>3.515625</v>
      </c>
      <c r="H79" s="101" t="str" cm="1">
        <f t="array" ref="H79">_xlfn.IFS(G79&gt;=Constantes!$C$18,$P$5,G79&gt;=Constantes!$C$17,$P$6,G79&gt;=Constantes!$C$16,$P$7,G79&lt;Constantes!$C$16,$P$8)</f>
        <v>LIMITED</v>
      </c>
      <c r="I79" s="102">
        <v>0.42399999999999993</v>
      </c>
      <c r="J79" s="101">
        <f>E79*I79</f>
        <v>0.79499999999999993</v>
      </c>
      <c r="K79" s="101">
        <f>F79*I79</f>
        <v>0.79499999999999993</v>
      </c>
      <c r="L79" s="101">
        <f>G79*I79</f>
        <v>1.4906249999999999</v>
      </c>
      <c r="M79" s="103" t="str" cm="1">
        <f t="array" ref="M79">_xlfn.IFS(L79&gt;=Constantes!$C$18,$P$5,L79&gt;=Constantes!$C$17,$P$6,L79&gt;=Constantes!$C$16,$P$7,L79&lt;Constantes!$C$16,$P$8)</f>
        <v>MINOR</v>
      </c>
      <c r="N79" s="113"/>
    </row>
    <row r="80" spans="1:14">
      <c r="A80" s="100" t="s">
        <v>98</v>
      </c>
      <c r="B80" s="100" t="s">
        <v>99</v>
      </c>
      <c r="C80" s="100" t="s">
        <v>19</v>
      </c>
      <c r="D80" s="100" t="s">
        <v>20</v>
      </c>
      <c r="E80" s="101">
        <v>1</v>
      </c>
      <c r="F80" s="101">
        <v>4</v>
      </c>
      <c r="G80" s="101">
        <v>4</v>
      </c>
      <c r="H80" s="101" t="str" cm="1">
        <f t="array" ref="H80">_xlfn.IFS(G80&gt;=Constantes!$C$18,$P$5,G80&gt;=Constantes!$C$17,$P$6,G80&gt;=Constantes!$C$16,$P$7,G80&lt;Constantes!$C$16,$P$8)</f>
        <v>LIMITED</v>
      </c>
      <c r="I80" s="102">
        <v>0.42399999999999993</v>
      </c>
      <c r="J80" s="101">
        <f>E80*I80</f>
        <v>0.42399999999999993</v>
      </c>
      <c r="K80" s="101">
        <f>F80*I80</f>
        <v>1.6959999999999997</v>
      </c>
      <c r="L80" s="101">
        <f>G80*I80</f>
        <v>1.6959999999999997</v>
      </c>
      <c r="M80" s="103" t="str" cm="1">
        <f t="array" ref="M80">_xlfn.IFS(L80&gt;=Constantes!$C$18,$P$5,L80&gt;=Constantes!$C$17,$P$6,L80&gt;=Constantes!$C$16,$P$7,L80&lt;Constantes!$C$16,$P$8)</f>
        <v>MINOR</v>
      </c>
      <c r="N80" s="113"/>
    </row>
    <row r="81" spans="1:14">
      <c r="A81" s="100" t="s">
        <v>98</v>
      </c>
      <c r="B81" s="100" t="s">
        <v>99</v>
      </c>
      <c r="C81" s="100" t="s">
        <v>68</v>
      </c>
      <c r="D81" s="100" t="s">
        <v>69</v>
      </c>
      <c r="E81" s="101">
        <v>1</v>
      </c>
      <c r="F81" s="101">
        <v>3</v>
      </c>
      <c r="G81" s="101">
        <v>3</v>
      </c>
      <c r="H81" s="101" t="str" cm="1">
        <f t="array" ref="H81">_xlfn.IFS(G81&gt;=Constantes!$C$18,$P$5,G81&gt;=Constantes!$C$17,$P$6,G81&gt;=Constantes!$C$16,$P$7,G81&lt;Constantes!$C$16,$P$8)</f>
        <v>LIMITED</v>
      </c>
      <c r="I81" s="102">
        <v>0.42399999999999993</v>
      </c>
      <c r="J81" s="101">
        <f>E81*I81</f>
        <v>0.42399999999999993</v>
      </c>
      <c r="K81" s="101">
        <f>F81*I81</f>
        <v>1.2719999999999998</v>
      </c>
      <c r="L81" s="101">
        <f>G81*I81</f>
        <v>1.2719999999999998</v>
      </c>
      <c r="M81" s="103" t="str" cm="1">
        <f t="array" ref="M81">_xlfn.IFS(L81&gt;=Constantes!$C$18,$P$5,L81&gt;=Constantes!$C$17,$P$6,L81&gt;=Constantes!$C$16,$P$7,L81&lt;Constantes!$C$16,$P$8)</f>
        <v>MINOR</v>
      </c>
      <c r="N81" s="113"/>
    </row>
    <row r="82" spans="1:14">
      <c r="A82" s="100" t="s">
        <v>98</v>
      </c>
      <c r="B82" s="100" t="s">
        <v>99</v>
      </c>
      <c r="C82" s="100" t="s">
        <v>76</v>
      </c>
      <c r="D82" s="100" t="s">
        <v>77</v>
      </c>
      <c r="E82" s="101">
        <v>1</v>
      </c>
      <c r="F82" s="101">
        <v>3</v>
      </c>
      <c r="G82" s="101">
        <v>3</v>
      </c>
      <c r="H82" s="101" t="str" cm="1">
        <f t="array" ref="H82">_xlfn.IFS(G82&gt;=Constantes!$C$18,$P$5,G82&gt;=Constantes!$C$17,$P$6,G82&gt;=Constantes!$C$16,$P$7,G82&lt;Constantes!$C$16,$P$8)</f>
        <v>LIMITED</v>
      </c>
      <c r="I82" s="102">
        <v>0.42399999999999993</v>
      </c>
      <c r="J82" s="101">
        <f>E82*I82</f>
        <v>0.42399999999999993</v>
      </c>
      <c r="K82" s="101">
        <f>F82*I82</f>
        <v>1.2719999999999998</v>
      </c>
      <c r="L82" s="101">
        <f>G82*I82</f>
        <v>1.2719999999999998</v>
      </c>
      <c r="M82" s="103" t="str" cm="1">
        <f t="array" ref="M82">_xlfn.IFS(L82&gt;=Constantes!$C$18,$P$5,L82&gt;=Constantes!$C$17,$P$6,L82&gt;=Constantes!$C$16,$P$7,L82&lt;Constantes!$C$16,$P$8)</f>
        <v>MINOR</v>
      </c>
      <c r="N82" s="113"/>
    </row>
    <row r="83" spans="1:14">
      <c r="A83" s="100" t="s">
        <v>98</v>
      </c>
      <c r="B83" s="100" t="s">
        <v>99</v>
      </c>
      <c r="C83" s="100" t="s">
        <v>88</v>
      </c>
      <c r="D83" s="100" t="s">
        <v>89</v>
      </c>
      <c r="E83" s="101">
        <v>3</v>
      </c>
      <c r="F83" s="101">
        <v>3</v>
      </c>
      <c r="G83" s="101">
        <v>9</v>
      </c>
      <c r="H83" s="101" t="str" cm="1">
        <f t="array" ref="H83">_xlfn.IFS(G83&gt;=Constantes!$C$18,$P$5,G83&gt;=Constantes!$C$17,$P$6,G83&gt;=Constantes!$C$16,$P$7,G83&lt;Constantes!$C$16,$P$8)</f>
        <v>MAJOR</v>
      </c>
      <c r="I83" s="102">
        <v>0.42399999999999993</v>
      </c>
      <c r="J83" s="101">
        <f>E83*I83</f>
        <v>1.2719999999999998</v>
      </c>
      <c r="K83" s="101">
        <f>F83*I83</f>
        <v>1.2719999999999998</v>
      </c>
      <c r="L83" s="101">
        <f>G83*I83</f>
        <v>3.8159999999999994</v>
      </c>
      <c r="M83" s="103" t="str" cm="1">
        <f t="array" ref="M83">_xlfn.IFS(L83&gt;=Constantes!$C$18,$P$5,L83&gt;=Constantes!$C$17,$P$6,L83&gt;=Constantes!$C$16,$P$7,L83&lt;Constantes!$C$16,$P$8)</f>
        <v>LIMITED</v>
      </c>
      <c r="N83" s="113"/>
    </row>
    <row r="84" spans="1:14">
      <c r="A84" s="100" t="s">
        <v>98</v>
      </c>
      <c r="B84" s="100" t="s">
        <v>99</v>
      </c>
      <c r="C84" s="100" t="s">
        <v>94</v>
      </c>
      <c r="D84" s="100" t="s">
        <v>95</v>
      </c>
      <c r="E84" s="101">
        <v>1</v>
      </c>
      <c r="F84" s="101">
        <v>4</v>
      </c>
      <c r="G84" s="101">
        <v>4</v>
      </c>
      <c r="H84" s="101" t="str" cm="1">
        <f t="array" ref="H84">_xlfn.IFS(G84&gt;=Constantes!$C$18,$P$5,G84&gt;=Constantes!$C$17,$P$6,G84&gt;=Constantes!$C$16,$P$7,G84&lt;Constantes!$C$16,$P$8)</f>
        <v>LIMITED</v>
      </c>
      <c r="I84" s="102">
        <v>0.42399999999999993</v>
      </c>
      <c r="J84" s="101">
        <f>E84*I84</f>
        <v>0.42399999999999993</v>
      </c>
      <c r="K84" s="101">
        <f>F84*I84</f>
        <v>1.6959999999999997</v>
      </c>
      <c r="L84" s="101">
        <f>G84*I84</f>
        <v>1.6959999999999997</v>
      </c>
      <c r="M84" s="103" t="str" cm="1">
        <f t="array" ref="M84">_xlfn.IFS(L84&gt;=Constantes!$C$18,$P$5,L84&gt;=Constantes!$C$17,$P$6,L84&gt;=Constantes!$C$16,$P$7,L84&lt;Constantes!$C$16,$P$8)</f>
        <v>MINOR</v>
      </c>
      <c r="N84" s="113"/>
    </row>
    <row r="85" spans="1:14">
      <c r="A85" s="100" t="s">
        <v>98</v>
      </c>
      <c r="B85" s="100" t="s">
        <v>99</v>
      </c>
      <c r="C85" s="100" t="s">
        <v>112</v>
      </c>
      <c r="D85" s="100" t="s">
        <v>113</v>
      </c>
      <c r="E85" s="101">
        <v>2</v>
      </c>
      <c r="F85" s="101">
        <v>3</v>
      </c>
      <c r="G85" s="101">
        <v>6</v>
      </c>
      <c r="H85" s="101" t="str" cm="1">
        <f t="array" ref="H85">_xlfn.IFS(G85&gt;=Constantes!$C$18,$P$5,G85&gt;=Constantes!$C$17,$P$6,G85&gt;=Constantes!$C$16,$P$7,G85&lt;Constantes!$C$16,$P$8)</f>
        <v>MAJOR</v>
      </c>
      <c r="I85" s="102">
        <v>0.42399999999999993</v>
      </c>
      <c r="J85" s="101">
        <f>E85*I85</f>
        <v>0.84799999999999986</v>
      </c>
      <c r="K85" s="101">
        <f>F85*I85</f>
        <v>1.2719999999999998</v>
      </c>
      <c r="L85" s="101">
        <f>G85*I85</f>
        <v>2.5439999999999996</v>
      </c>
      <c r="M85" s="103" t="str" cm="1">
        <f t="array" ref="M85">_xlfn.IFS(L85&gt;=Constantes!$C$18,$P$5,L85&gt;=Constantes!$C$17,$P$6,L85&gt;=Constantes!$C$16,$P$7,L85&lt;Constantes!$C$16,$P$8)</f>
        <v>MINOR</v>
      </c>
      <c r="N85" s="113"/>
    </row>
    <row r="86" spans="1:14">
      <c r="A86" s="100" t="s">
        <v>98</v>
      </c>
      <c r="B86" s="100" t="s">
        <v>99</v>
      </c>
      <c r="C86" s="100" t="s">
        <v>130</v>
      </c>
      <c r="D86" s="100" t="s">
        <v>131</v>
      </c>
      <c r="E86" s="101">
        <v>2</v>
      </c>
      <c r="F86" s="101">
        <v>3</v>
      </c>
      <c r="G86" s="101">
        <v>6</v>
      </c>
      <c r="H86" s="101" t="str" cm="1">
        <f t="array" ref="H86">_xlfn.IFS(G86&gt;=Constantes!$C$18,$P$5,G86&gt;=Constantes!$C$17,$P$6,G86&gt;=Constantes!$C$16,$P$7,G86&lt;Constantes!$C$16,$P$8)</f>
        <v>MAJOR</v>
      </c>
      <c r="I86" s="102">
        <v>0.42399999999999993</v>
      </c>
      <c r="J86" s="101">
        <f>E86*I86</f>
        <v>0.84799999999999986</v>
      </c>
      <c r="K86" s="101">
        <f>F86*I86</f>
        <v>1.2719999999999998</v>
      </c>
      <c r="L86" s="101">
        <f>G86*I86</f>
        <v>2.5439999999999996</v>
      </c>
      <c r="M86" s="103" t="str" cm="1">
        <f t="array" ref="M86">_xlfn.IFS(L86&gt;=Constantes!$C$18,$P$5,L86&gt;=Constantes!$C$17,$P$6,L86&gt;=Constantes!$C$16,$P$7,L86&lt;Constantes!$C$16,$P$8)</f>
        <v>MINOR</v>
      </c>
      <c r="N86" s="113"/>
    </row>
    <row r="87" spans="1:14">
      <c r="A87" s="100" t="s">
        <v>98</v>
      </c>
      <c r="B87" s="100" t="s">
        <v>99</v>
      </c>
      <c r="C87" s="100" t="s">
        <v>136</v>
      </c>
      <c r="D87" s="100" t="s">
        <v>137</v>
      </c>
      <c r="E87" s="101">
        <v>1</v>
      </c>
      <c r="F87" s="101">
        <v>4</v>
      </c>
      <c r="G87" s="101">
        <v>4</v>
      </c>
      <c r="H87" s="101" t="str" cm="1">
        <f t="array" ref="H87">_xlfn.IFS(G87&gt;=Constantes!$C$18,$P$5,G87&gt;=Constantes!$C$17,$P$6,G87&gt;=Constantes!$C$16,$P$7,G87&lt;Constantes!$C$16,$P$8)</f>
        <v>LIMITED</v>
      </c>
      <c r="I87" s="102">
        <v>0.42399999999999993</v>
      </c>
      <c r="J87" s="101">
        <f>E87*I87</f>
        <v>0.42399999999999993</v>
      </c>
      <c r="K87" s="101">
        <f>F87*I87</f>
        <v>1.6959999999999997</v>
      </c>
      <c r="L87" s="101">
        <f>G87*I87</f>
        <v>1.6959999999999997</v>
      </c>
      <c r="M87" s="103" t="str" cm="1">
        <f t="array" ref="M87">_xlfn.IFS(L87&gt;=Constantes!$C$18,$P$5,L87&gt;=Constantes!$C$17,$P$6,L87&gt;=Constantes!$C$16,$P$7,L87&lt;Constantes!$C$16,$P$8)</f>
        <v>MINOR</v>
      </c>
      <c r="N87" s="113"/>
    </row>
    <row r="88" spans="1:14">
      <c r="A88" s="100" t="s">
        <v>98</v>
      </c>
      <c r="B88" s="100" t="s">
        <v>99</v>
      </c>
      <c r="C88" s="100" t="s">
        <v>142</v>
      </c>
      <c r="D88" s="100" t="s">
        <v>143</v>
      </c>
      <c r="E88" s="101">
        <v>2</v>
      </c>
      <c r="F88" s="101">
        <v>4</v>
      </c>
      <c r="G88" s="101">
        <v>8</v>
      </c>
      <c r="H88" s="101" t="str" cm="1">
        <f t="array" ref="H88">_xlfn.IFS(G88&gt;=Constantes!$C$18,$P$5,G88&gt;=Constantes!$C$17,$P$6,G88&gt;=Constantes!$C$16,$P$7,G88&lt;Constantes!$C$16,$P$8)</f>
        <v>MAJOR</v>
      </c>
      <c r="I88" s="102">
        <v>0.42399999999999993</v>
      </c>
      <c r="J88" s="101">
        <f>E88*I88</f>
        <v>0.84799999999999986</v>
      </c>
      <c r="K88" s="101">
        <f>F88*I88</f>
        <v>1.6959999999999997</v>
      </c>
      <c r="L88" s="101">
        <f>G88*I88</f>
        <v>3.3919999999999995</v>
      </c>
      <c r="M88" s="103" t="str" cm="1">
        <f t="array" ref="M88">_xlfn.IFS(L88&gt;=Constantes!$C$18,$P$5,L88&gt;=Constantes!$C$17,$P$6,L88&gt;=Constantes!$C$16,$P$7,L88&lt;Constantes!$C$16,$P$8)</f>
        <v>LIMITED</v>
      </c>
      <c r="N88" s="113"/>
    </row>
    <row r="89" spans="1:14">
      <c r="A89" s="100" t="s">
        <v>98</v>
      </c>
      <c r="B89" s="100" t="s">
        <v>99</v>
      </c>
      <c r="C89" s="100" t="s">
        <v>160</v>
      </c>
      <c r="D89" s="100" t="s">
        <v>161</v>
      </c>
      <c r="E89" s="101">
        <v>4</v>
      </c>
      <c r="F89" s="101">
        <v>4</v>
      </c>
      <c r="G89" s="101">
        <v>16</v>
      </c>
      <c r="H89" s="101" t="str" cm="1">
        <f t="array" ref="H89">_xlfn.IFS(G89&gt;=Constantes!$C$18,$P$5,G89&gt;=Constantes!$C$17,$P$6,G89&gt;=Constantes!$C$16,$P$7,G89&lt;Constantes!$C$16,$P$8)</f>
        <v>CRITICAL</v>
      </c>
      <c r="I89" s="102">
        <v>0.42399999999999993</v>
      </c>
      <c r="J89" s="101">
        <f>E89*I89</f>
        <v>1.6959999999999997</v>
      </c>
      <c r="K89" s="101">
        <f>F89*I89</f>
        <v>1.6959999999999997</v>
      </c>
      <c r="L89" s="101">
        <f>G89*I89</f>
        <v>6.7839999999999989</v>
      </c>
      <c r="M89" s="103" t="str" cm="1">
        <f t="array" ref="M89">_xlfn.IFS(L89&gt;=Constantes!$C$18,$P$5,L89&gt;=Constantes!$C$17,$P$6,L89&gt;=Constantes!$C$16,$P$7,L89&lt;Constantes!$C$16,$P$8)</f>
        <v>MAJOR</v>
      </c>
      <c r="N89" s="113"/>
    </row>
    <row r="90" spans="1:14">
      <c r="A90" s="100" t="s">
        <v>98</v>
      </c>
      <c r="B90" s="100" t="s">
        <v>99</v>
      </c>
      <c r="C90" s="100" t="s">
        <v>166</v>
      </c>
      <c r="D90" s="100" t="s">
        <v>167</v>
      </c>
      <c r="E90" s="101">
        <v>3</v>
      </c>
      <c r="F90" s="101">
        <v>3</v>
      </c>
      <c r="G90" s="101">
        <v>9</v>
      </c>
      <c r="H90" s="101" t="str" cm="1">
        <f t="array" ref="H90">_xlfn.IFS(G90&gt;=Constantes!$C$18,$P$5,G90&gt;=Constantes!$C$17,$P$6,G90&gt;=Constantes!$C$16,$P$7,G90&lt;Constantes!$C$16,$P$8)</f>
        <v>MAJOR</v>
      </c>
      <c r="I90" s="102">
        <v>0.42399999999999993</v>
      </c>
      <c r="J90" s="101">
        <f>E90*I90</f>
        <v>1.2719999999999998</v>
      </c>
      <c r="K90" s="101">
        <f>F90*I90</f>
        <v>1.2719999999999998</v>
      </c>
      <c r="L90" s="101">
        <f>G90*I90</f>
        <v>3.8159999999999994</v>
      </c>
      <c r="M90" s="103" t="str" cm="1">
        <f t="array" ref="M90">_xlfn.IFS(L90&gt;=Constantes!$C$18,$P$5,L90&gt;=Constantes!$C$17,$P$6,L90&gt;=Constantes!$C$16,$P$7,L90&lt;Constantes!$C$16,$P$8)</f>
        <v>LIMITED</v>
      </c>
      <c r="N90" s="113"/>
    </row>
    <row r="91" spans="1:14">
      <c r="A91" s="100" t="s">
        <v>104</v>
      </c>
      <c r="B91" s="100" t="s">
        <v>105</v>
      </c>
      <c r="C91" s="100" t="s">
        <v>19</v>
      </c>
      <c r="D91" s="100" t="s">
        <v>20</v>
      </c>
      <c r="E91" s="101">
        <v>1</v>
      </c>
      <c r="F91" s="101">
        <v>4</v>
      </c>
      <c r="G91" s="101">
        <v>4</v>
      </c>
      <c r="H91" s="101" t="str" cm="1">
        <f t="array" ref="H91">_xlfn.IFS(G91&gt;=Constantes!$C$18,$P$5,G91&gt;=Constantes!$C$17,$P$6,G91&gt;=Constantes!$C$16,$P$7,G91&lt;Constantes!$C$16,$P$8)</f>
        <v>LIMITED</v>
      </c>
      <c r="I91" s="102">
        <v>0.42399999999999993</v>
      </c>
      <c r="J91" s="101">
        <f>E91*I91</f>
        <v>0.42399999999999993</v>
      </c>
      <c r="K91" s="101">
        <f>F91*I91</f>
        <v>1.6959999999999997</v>
      </c>
      <c r="L91" s="101">
        <f>G91*I91</f>
        <v>1.6959999999999997</v>
      </c>
      <c r="M91" s="103" t="str" cm="1">
        <f t="array" ref="M91">_xlfn.IFS(L91&gt;=Constantes!$C$18,$P$5,L91&gt;=Constantes!$C$17,$P$6,L91&gt;=Constantes!$C$16,$P$7,L91&lt;Constantes!$C$16,$P$8)</f>
        <v>MINOR</v>
      </c>
      <c r="N91" s="113"/>
    </row>
    <row r="92" spans="1:14">
      <c r="A92" s="100" t="s">
        <v>104</v>
      </c>
      <c r="B92" s="100" t="s">
        <v>105</v>
      </c>
      <c r="C92" s="100" t="s">
        <v>68</v>
      </c>
      <c r="D92" s="100" t="s">
        <v>69</v>
      </c>
      <c r="E92" s="101">
        <v>1</v>
      </c>
      <c r="F92" s="101">
        <v>3</v>
      </c>
      <c r="G92" s="101">
        <v>3</v>
      </c>
      <c r="H92" s="101" t="str" cm="1">
        <f t="array" ref="H92">_xlfn.IFS(G92&gt;=Constantes!$C$18,$P$5,G92&gt;=Constantes!$C$17,$P$6,G92&gt;=Constantes!$C$16,$P$7,G92&lt;Constantes!$C$16,$P$8)</f>
        <v>LIMITED</v>
      </c>
      <c r="I92" s="102">
        <v>0.42399999999999993</v>
      </c>
      <c r="J92" s="101">
        <f>E92*I92</f>
        <v>0.42399999999999993</v>
      </c>
      <c r="K92" s="101">
        <f>F92*I92</f>
        <v>1.2719999999999998</v>
      </c>
      <c r="L92" s="101">
        <f>G92*I92</f>
        <v>1.2719999999999998</v>
      </c>
      <c r="M92" s="103" t="str" cm="1">
        <f t="array" ref="M92">_xlfn.IFS(L92&gt;=Constantes!$C$18,$P$5,L92&gt;=Constantes!$C$17,$P$6,L92&gt;=Constantes!$C$16,$P$7,L92&lt;Constantes!$C$16,$P$8)</f>
        <v>MINOR</v>
      </c>
      <c r="N92" s="113"/>
    </row>
    <row r="93" spans="1:14">
      <c r="A93" s="100" t="s">
        <v>104</v>
      </c>
      <c r="B93" s="100" t="s">
        <v>105</v>
      </c>
      <c r="C93" s="100" t="s">
        <v>76</v>
      </c>
      <c r="D93" s="100" t="s">
        <v>77</v>
      </c>
      <c r="E93" s="101">
        <v>1</v>
      </c>
      <c r="F93" s="101">
        <v>3</v>
      </c>
      <c r="G93" s="101">
        <v>3</v>
      </c>
      <c r="H93" s="101" t="str" cm="1">
        <f t="array" ref="H93">_xlfn.IFS(G93&gt;=Constantes!$C$18,$P$5,G93&gt;=Constantes!$C$17,$P$6,G93&gt;=Constantes!$C$16,$P$7,G93&lt;Constantes!$C$16,$P$8)</f>
        <v>LIMITED</v>
      </c>
      <c r="I93" s="102">
        <v>0.42399999999999993</v>
      </c>
      <c r="J93" s="101">
        <f>E93*I93</f>
        <v>0.42399999999999993</v>
      </c>
      <c r="K93" s="101">
        <f>F93*I93</f>
        <v>1.2719999999999998</v>
      </c>
      <c r="L93" s="101">
        <f>G93*I93</f>
        <v>1.2719999999999998</v>
      </c>
      <c r="M93" s="103" t="str" cm="1">
        <f t="array" ref="M93">_xlfn.IFS(L93&gt;=Constantes!$C$18,$P$5,L93&gt;=Constantes!$C$17,$P$6,L93&gt;=Constantes!$C$16,$P$7,L93&lt;Constantes!$C$16,$P$8)</f>
        <v>MINOR</v>
      </c>
      <c r="N93" s="113"/>
    </row>
    <row r="94" spans="1:14">
      <c r="A94" s="100" t="s">
        <v>104</v>
      </c>
      <c r="B94" s="100" t="s">
        <v>105</v>
      </c>
      <c r="C94" s="100" t="s">
        <v>88</v>
      </c>
      <c r="D94" s="100" t="s">
        <v>89</v>
      </c>
      <c r="E94" s="101">
        <v>3</v>
      </c>
      <c r="F94" s="101">
        <v>3</v>
      </c>
      <c r="G94" s="101">
        <v>9</v>
      </c>
      <c r="H94" s="101" t="str" cm="1">
        <f t="array" ref="H94">_xlfn.IFS(G94&gt;=Constantes!$C$18,$P$5,G94&gt;=Constantes!$C$17,$P$6,G94&gt;=Constantes!$C$16,$P$7,G94&lt;Constantes!$C$16,$P$8)</f>
        <v>MAJOR</v>
      </c>
      <c r="I94" s="102">
        <v>0.42399999999999993</v>
      </c>
      <c r="J94" s="101">
        <f>E94*I94</f>
        <v>1.2719999999999998</v>
      </c>
      <c r="K94" s="101">
        <f>F94*I94</f>
        <v>1.2719999999999998</v>
      </c>
      <c r="L94" s="101">
        <f>G94*I94</f>
        <v>3.8159999999999994</v>
      </c>
      <c r="M94" s="103" t="str" cm="1">
        <f t="array" ref="M94">_xlfn.IFS(L94&gt;=Constantes!$C$18,$P$5,L94&gt;=Constantes!$C$17,$P$6,L94&gt;=Constantes!$C$16,$P$7,L94&lt;Constantes!$C$16,$P$8)</f>
        <v>LIMITED</v>
      </c>
      <c r="N94" s="113"/>
    </row>
    <row r="95" spans="1:14">
      <c r="A95" s="100" t="s">
        <v>104</v>
      </c>
      <c r="B95" s="100" t="s">
        <v>105</v>
      </c>
      <c r="C95" s="100" t="s">
        <v>94</v>
      </c>
      <c r="D95" s="100" t="s">
        <v>95</v>
      </c>
      <c r="E95" s="101">
        <v>1</v>
      </c>
      <c r="F95" s="101">
        <v>4</v>
      </c>
      <c r="G95" s="101">
        <v>4</v>
      </c>
      <c r="H95" s="101" t="str" cm="1">
        <f t="array" ref="H95">_xlfn.IFS(G95&gt;=Constantes!$C$18,$P$5,G95&gt;=Constantes!$C$17,$P$6,G95&gt;=Constantes!$C$16,$P$7,G95&lt;Constantes!$C$16,$P$8)</f>
        <v>LIMITED</v>
      </c>
      <c r="I95" s="102">
        <v>0.42399999999999993</v>
      </c>
      <c r="J95" s="101">
        <f>E95*I95</f>
        <v>0.42399999999999993</v>
      </c>
      <c r="K95" s="101">
        <f>F95*I95</f>
        <v>1.6959999999999997</v>
      </c>
      <c r="L95" s="101">
        <f>G95*I95</f>
        <v>1.6959999999999997</v>
      </c>
      <c r="M95" s="103" t="str" cm="1">
        <f t="array" ref="M95">_xlfn.IFS(L95&gt;=Constantes!$C$18,$P$5,L95&gt;=Constantes!$C$17,$P$6,L95&gt;=Constantes!$C$16,$P$7,L95&lt;Constantes!$C$16,$P$8)</f>
        <v>MINOR</v>
      </c>
      <c r="N95" s="113"/>
    </row>
    <row r="96" spans="1:14">
      <c r="A96" s="100" t="s">
        <v>104</v>
      </c>
      <c r="B96" s="100" t="s">
        <v>105</v>
      </c>
      <c r="C96" s="100" t="s">
        <v>112</v>
      </c>
      <c r="D96" s="100" t="s">
        <v>113</v>
      </c>
      <c r="E96" s="101">
        <v>2</v>
      </c>
      <c r="F96" s="101">
        <v>3</v>
      </c>
      <c r="G96" s="101">
        <v>6</v>
      </c>
      <c r="H96" s="101" t="str" cm="1">
        <f t="array" ref="H96">_xlfn.IFS(G96&gt;=Constantes!$C$18,$P$5,G96&gt;=Constantes!$C$17,$P$6,G96&gt;=Constantes!$C$16,$P$7,G96&lt;Constantes!$C$16,$P$8)</f>
        <v>MAJOR</v>
      </c>
      <c r="I96" s="102">
        <v>0.42399999999999993</v>
      </c>
      <c r="J96" s="101">
        <f>E96*I96</f>
        <v>0.84799999999999986</v>
      </c>
      <c r="K96" s="101">
        <f>F96*I96</f>
        <v>1.2719999999999998</v>
      </c>
      <c r="L96" s="101">
        <f>G96*I96</f>
        <v>2.5439999999999996</v>
      </c>
      <c r="M96" s="103" t="str" cm="1">
        <f t="array" ref="M96">_xlfn.IFS(L96&gt;=Constantes!$C$18,$P$5,L96&gt;=Constantes!$C$17,$P$6,L96&gt;=Constantes!$C$16,$P$7,L96&lt;Constantes!$C$16,$P$8)</f>
        <v>MINOR</v>
      </c>
      <c r="N96" s="113"/>
    </row>
    <row r="97" spans="1:14">
      <c r="A97" s="100" t="s">
        <v>104</v>
      </c>
      <c r="B97" s="100" t="s">
        <v>105</v>
      </c>
      <c r="C97" s="100" t="s">
        <v>130</v>
      </c>
      <c r="D97" s="100" t="s">
        <v>131</v>
      </c>
      <c r="E97" s="101">
        <v>2</v>
      </c>
      <c r="F97" s="101">
        <v>3</v>
      </c>
      <c r="G97" s="101">
        <v>6</v>
      </c>
      <c r="H97" s="101" t="str" cm="1">
        <f t="array" ref="H97">_xlfn.IFS(G97&gt;=Constantes!$C$18,$P$5,G97&gt;=Constantes!$C$17,$P$6,G97&gt;=Constantes!$C$16,$P$7,G97&lt;Constantes!$C$16,$P$8)</f>
        <v>MAJOR</v>
      </c>
      <c r="I97" s="102">
        <v>0.42399999999999993</v>
      </c>
      <c r="J97" s="101">
        <f>E97*I97</f>
        <v>0.84799999999999986</v>
      </c>
      <c r="K97" s="101">
        <f>F97*I97</f>
        <v>1.2719999999999998</v>
      </c>
      <c r="L97" s="101">
        <f>G97*I97</f>
        <v>2.5439999999999996</v>
      </c>
      <c r="M97" s="103" t="str" cm="1">
        <f t="array" ref="M97">_xlfn.IFS(L97&gt;=Constantes!$C$18,$P$5,L97&gt;=Constantes!$C$17,$P$6,L97&gt;=Constantes!$C$16,$P$7,L97&lt;Constantes!$C$16,$P$8)</f>
        <v>MINOR</v>
      </c>
      <c r="N97" s="113"/>
    </row>
    <row r="98" spans="1:14">
      <c r="A98" s="100" t="s">
        <v>104</v>
      </c>
      <c r="B98" s="100" t="s">
        <v>105</v>
      </c>
      <c r="C98" s="100" t="s">
        <v>136</v>
      </c>
      <c r="D98" s="100" t="s">
        <v>137</v>
      </c>
      <c r="E98" s="101">
        <v>1</v>
      </c>
      <c r="F98" s="101">
        <v>4</v>
      </c>
      <c r="G98" s="101">
        <v>4</v>
      </c>
      <c r="H98" s="101" t="str" cm="1">
        <f t="array" ref="H98">_xlfn.IFS(G98&gt;=Constantes!$C$18,$P$5,G98&gt;=Constantes!$C$17,$P$6,G98&gt;=Constantes!$C$16,$P$7,G98&lt;Constantes!$C$16,$P$8)</f>
        <v>LIMITED</v>
      </c>
      <c r="I98" s="102">
        <v>0.42399999999999993</v>
      </c>
      <c r="J98" s="101">
        <f>E98*I98</f>
        <v>0.42399999999999993</v>
      </c>
      <c r="K98" s="101">
        <f>F98*I98</f>
        <v>1.6959999999999997</v>
      </c>
      <c r="L98" s="101">
        <f>G98*I98</f>
        <v>1.6959999999999997</v>
      </c>
      <c r="M98" s="103" t="str" cm="1">
        <f t="array" ref="M98">_xlfn.IFS(L98&gt;=Constantes!$C$18,$P$5,L98&gt;=Constantes!$C$17,$P$6,L98&gt;=Constantes!$C$16,$P$7,L98&lt;Constantes!$C$16,$P$8)</f>
        <v>MINOR</v>
      </c>
      <c r="N98" s="113"/>
    </row>
    <row r="99" spans="1:14">
      <c r="A99" s="100" t="s">
        <v>104</v>
      </c>
      <c r="B99" s="100" t="s">
        <v>105</v>
      </c>
      <c r="C99" s="100" t="s">
        <v>142</v>
      </c>
      <c r="D99" s="100" t="s">
        <v>143</v>
      </c>
      <c r="E99" s="101">
        <v>2</v>
      </c>
      <c r="F99" s="101">
        <v>4</v>
      </c>
      <c r="G99" s="101">
        <v>8</v>
      </c>
      <c r="H99" s="101" t="str" cm="1">
        <f t="array" ref="H99">_xlfn.IFS(G99&gt;=Constantes!$C$18,$P$5,G99&gt;=Constantes!$C$17,$P$6,G99&gt;=Constantes!$C$16,$P$7,G99&lt;Constantes!$C$16,$P$8)</f>
        <v>MAJOR</v>
      </c>
      <c r="I99" s="102">
        <v>0.42399999999999993</v>
      </c>
      <c r="J99" s="101">
        <f>E99*I99</f>
        <v>0.84799999999999986</v>
      </c>
      <c r="K99" s="101">
        <f>F99*I99</f>
        <v>1.6959999999999997</v>
      </c>
      <c r="L99" s="101">
        <f>G99*I99</f>
        <v>3.3919999999999995</v>
      </c>
      <c r="M99" s="103" t="str" cm="1">
        <f t="array" ref="M99">_xlfn.IFS(L99&gt;=Constantes!$C$18,$P$5,L99&gt;=Constantes!$C$17,$P$6,L99&gt;=Constantes!$C$16,$P$7,L99&lt;Constantes!$C$16,$P$8)</f>
        <v>LIMITED</v>
      </c>
      <c r="N99" s="113"/>
    </row>
    <row r="100" spans="1:14">
      <c r="A100" s="100" t="s">
        <v>104</v>
      </c>
      <c r="B100" s="100" t="s">
        <v>105</v>
      </c>
      <c r="C100" s="100" t="s">
        <v>160</v>
      </c>
      <c r="D100" s="100" t="s">
        <v>161</v>
      </c>
      <c r="E100" s="101">
        <v>4</v>
      </c>
      <c r="F100" s="101">
        <v>4</v>
      </c>
      <c r="G100" s="101">
        <v>16</v>
      </c>
      <c r="H100" s="101" t="str" cm="1">
        <f t="array" ref="H100">_xlfn.IFS(G100&gt;=Constantes!$C$18,$P$5,G100&gt;=Constantes!$C$17,$P$6,G100&gt;=Constantes!$C$16,$P$7,G100&lt;Constantes!$C$16,$P$8)</f>
        <v>CRITICAL</v>
      </c>
      <c r="I100" s="102">
        <v>0.42399999999999993</v>
      </c>
      <c r="J100" s="101">
        <f>E100*I100</f>
        <v>1.6959999999999997</v>
      </c>
      <c r="K100" s="101">
        <f>F100*I100</f>
        <v>1.6959999999999997</v>
      </c>
      <c r="L100" s="101">
        <f>G100*I100</f>
        <v>6.7839999999999989</v>
      </c>
      <c r="M100" s="103" t="str" cm="1">
        <f t="array" ref="M100">_xlfn.IFS(L100&gt;=Constantes!$C$18,$P$5,L100&gt;=Constantes!$C$17,$P$6,L100&gt;=Constantes!$C$16,$P$7,L100&lt;Constantes!$C$16,$P$8)</f>
        <v>MAJOR</v>
      </c>
      <c r="N100" s="113"/>
    </row>
    <row r="101" spans="1:14">
      <c r="A101" s="100" t="s">
        <v>104</v>
      </c>
      <c r="B101" s="100" t="s">
        <v>105</v>
      </c>
      <c r="C101" s="100" t="s">
        <v>166</v>
      </c>
      <c r="D101" s="100" t="s">
        <v>167</v>
      </c>
      <c r="E101" s="101">
        <v>3</v>
      </c>
      <c r="F101" s="101">
        <v>3</v>
      </c>
      <c r="G101" s="101">
        <v>9</v>
      </c>
      <c r="H101" s="101" t="str" cm="1">
        <f t="array" ref="H101">_xlfn.IFS(G101&gt;=Constantes!$C$18,$P$5,G101&gt;=Constantes!$C$17,$P$6,G101&gt;=Constantes!$C$16,$P$7,G101&lt;Constantes!$C$16,$P$8)</f>
        <v>MAJOR</v>
      </c>
      <c r="I101" s="102">
        <v>0.42399999999999993</v>
      </c>
      <c r="J101" s="101">
        <f>E101*I101</f>
        <v>1.2719999999999998</v>
      </c>
      <c r="K101" s="101">
        <f>F101*I101</f>
        <v>1.2719999999999998</v>
      </c>
      <c r="L101" s="101">
        <f>G101*I101</f>
        <v>3.8159999999999994</v>
      </c>
      <c r="M101" s="103" t="str" cm="1">
        <f t="array" ref="M101">_xlfn.IFS(L101&gt;=Constantes!$C$18,$P$5,L101&gt;=Constantes!$C$17,$P$6,L101&gt;=Constantes!$C$16,$P$7,L101&lt;Constantes!$C$16,$P$8)</f>
        <v>LIMITED</v>
      </c>
      <c r="N101" s="113"/>
    </row>
    <row r="102" spans="1:14">
      <c r="A102" s="100" t="s">
        <v>110</v>
      </c>
      <c r="B102" s="100" t="s">
        <v>111</v>
      </c>
      <c r="C102" s="100" t="s">
        <v>19</v>
      </c>
      <c r="D102" s="100" t="s">
        <v>20</v>
      </c>
      <c r="E102" s="101">
        <v>0.25</v>
      </c>
      <c r="F102" s="101">
        <v>1</v>
      </c>
      <c r="G102" s="101">
        <v>0.25</v>
      </c>
      <c r="H102" s="101" t="str" cm="1">
        <f t="array" ref="H102">_xlfn.IFS(G102&gt;=Constantes!$C$18,$P$5,G102&gt;=Constantes!$C$17,$P$6,G102&gt;=Constantes!$C$16,$P$7,G102&lt;Constantes!$C$16,$P$8)</f>
        <v>MINOR</v>
      </c>
      <c r="I102" s="102">
        <v>0.42399999999999993</v>
      </c>
      <c r="J102" s="101">
        <f>E102*I102</f>
        <v>0.10599999999999998</v>
      </c>
      <c r="K102" s="101">
        <f>F102*I102</f>
        <v>0.42399999999999993</v>
      </c>
      <c r="L102" s="101">
        <f>G102*I102</f>
        <v>0.10599999999999998</v>
      </c>
      <c r="M102" s="103" t="str" cm="1">
        <f t="array" ref="M102">_xlfn.IFS(L102&gt;=Constantes!$C$18,$P$5,L102&gt;=Constantes!$C$17,$P$6,L102&gt;=Constantes!$C$16,$P$7,L102&lt;Constantes!$C$16,$P$8)</f>
        <v>MINOR</v>
      </c>
      <c r="N102" s="113"/>
    </row>
    <row r="103" spans="1:14">
      <c r="A103" s="100" t="s">
        <v>110</v>
      </c>
      <c r="B103" s="100" t="s">
        <v>111</v>
      </c>
      <c r="C103" s="100" t="s">
        <v>68</v>
      </c>
      <c r="D103" s="100" t="s">
        <v>69</v>
      </c>
      <c r="E103" s="101">
        <v>0.25</v>
      </c>
      <c r="F103" s="101">
        <v>0.75</v>
      </c>
      <c r="G103" s="101">
        <v>0.1875</v>
      </c>
      <c r="H103" s="101" t="str" cm="1">
        <f t="array" ref="H103">_xlfn.IFS(G103&gt;=Constantes!$C$18,$P$5,G103&gt;=Constantes!$C$17,$P$6,G103&gt;=Constantes!$C$16,$P$7,G103&lt;Constantes!$C$16,$P$8)</f>
        <v>MINOR</v>
      </c>
      <c r="I103" s="102">
        <v>0.42399999999999993</v>
      </c>
      <c r="J103" s="101">
        <f>E103*I103</f>
        <v>0.10599999999999998</v>
      </c>
      <c r="K103" s="101">
        <f>F103*I103</f>
        <v>0.31799999999999995</v>
      </c>
      <c r="L103" s="101">
        <f>G103*I103</f>
        <v>7.9499999999999987E-2</v>
      </c>
      <c r="M103" s="103" t="str" cm="1">
        <f t="array" ref="M103">_xlfn.IFS(L103&gt;=Constantes!$C$18,$P$5,L103&gt;=Constantes!$C$17,$P$6,L103&gt;=Constantes!$C$16,$P$7,L103&lt;Constantes!$C$16,$P$8)</f>
        <v>MINOR</v>
      </c>
      <c r="N103" s="113"/>
    </row>
    <row r="104" spans="1:14">
      <c r="A104" s="100" t="s">
        <v>110</v>
      </c>
      <c r="B104" s="100" t="s">
        <v>111</v>
      </c>
      <c r="C104" s="100" t="s">
        <v>76</v>
      </c>
      <c r="D104" s="100" t="s">
        <v>77</v>
      </c>
      <c r="E104" s="101">
        <v>0.25</v>
      </c>
      <c r="F104" s="101">
        <v>0.75</v>
      </c>
      <c r="G104" s="101">
        <v>0.1875</v>
      </c>
      <c r="H104" s="101" t="str" cm="1">
        <f t="array" ref="H104">_xlfn.IFS(G104&gt;=Constantes!$C$18,$P$5,G104&gt;=Constantes!$C$17,$P$6,G104&gt;=Constantes!$C$16,$P$7,G104&lt;Constantes!$C$16,$P$8)</f>
        <v>MINOR</v>
      </c>
      <c r="I104" s="102">
        <v>0.42399999999999993</v>
      </c>
      <c r="J104" s="101">
        <f>E104*I104</f>
        <v>0.10599999999999998</v>
      </c>
      <c r="K104" s="101">
        <f>F104*I104</f>
        <v>0.31799999999999995</v>
      </c>
      <c r="L104" s="101">
        <f>G104*I104</f>
        <v>7.9499999999999987E-2</v>
      </c>
      <c r="M104" s="103" t="str" cm="1">
        <f t="array" ref="M104">_xlfn.IFS(L104&gt;=Constantes!$C$18,$P$5,L104&gt;=Constantes!$C$17,$P$6,L104&gt;=Constantes!$C$16,$P$7,L104&lt;Constantes!$C$16,$P$8)</f>
        <v>MINOR</v>
      </c>
      <c r="N104" s="113"/>
    </row>
    <row r="105" spans="1:14">
      <c r="A105" s="100" t="s">
        <v>110</v>
      </c>
      <c r="B105" s="100" t="s">
        <v>111</v>
      </c>
      <c r="C105" s="100" t="s">
        <v>88</v>
      </c>
      <c r="D105" s="100" t="s">
        <v>89</v>
      </c>
      <c r="E105" s="101">
        <v>0.75</v>
      </c>
      <c r="F105" s="101">
        <v>0.75</v>
      </c>
      <c r="G105" s="101">
        <v>0.5625</v>
      </c>
      <c r="H105" s="101" t="str" cm="1">
        <f t="array" ref="H105">_xlfn.IFS(G105&gt;=Constantes!$C$18,$P$5,G105&gt;=Constantes!$C$17,$P$6,G105&gt;=Constantes!$C$16,$P$7,G105&lt;Constantes!$C$16,$P$8)</f>
        <v>MINOR</v>
      </c>
      <c r="I105" s="102">
        <v>0.42399999999999993</v>
      </c>
      <c r="J105" s="101">
        <f>E105*I105</f>
        <v>0.31799999999999995</v>
      </c>
      <c r="K105" s="101">
        <f>F105*I105</f>
        <v>0.31799999999999995</v>
      </c>
      <c r="L105" s="101">
        <f>G105*I105</f>
        <v>0.23849999999999996</v>
      </c>
      <c r="M105" s="103" t="str" cm="1">
        <f t="array" ref="M105">_xlfn.IFS(L105&gt;=Constantes!$C$18,$P$5,L105&gt;=Constantes!$C$17,$P$6,L105&gt;=Constantes!$C$16,$P$7,L105&lt;Constantes!$C$16,$P$8)</f>
        <v>MINOR</v>
      </c>
      <c r="N105" s="113"/>
    </row>
    <row r="106" spans="1:14">
      <c r="A106" s="100" t="s">
        <v>110</v>
      </c>
      <c r="B106" s="100" t="s">
        <v>111</v>
      </c>
      <c r="C106" s="100" t="s">
        <v>94</v>
      </c>
      <c r="D106" s="100" t="s">
        <v>95</v>
      </c>
      <c r="E106" s="101">
        <v>0.25</v>
      </c>
      <c r="F106" s="101">
        <v>1</v>
      </c>
      <c r="G106" s="101">
        <v>0.25</v>
      </c>
      <c r="H106" s="101" t="str" cm="1">
        <f t="array" ref="H106">_xlfn.IFS(G106&gt;=Constantes!$C$18,$P$5,G106&gt;=Constantes!$C$17,$P$6,G106&gt;=Constantes!$C$16,$P$7,G106&lt;Constantes!$C$16,$P$8)</f>
        <v>MINOR</v>
      </c>
      <c r="I106" s="102">
        <v>0.42399999999999993</v>
      </c>
      <c r="J106" s="101">
        <f>E106*I106</f>
        <v>0.10599999999999998</v>
      </c>
      <c r="K106" s="101">
        <f>F106*I106</f>
        <v>0.42399999999999993</v>
      </c>
      <c r="L106" s="101">
        <f>G106*I106</f>
        <v>0.10599999999999998</v>
      </c>
      <c r="M106" s="103" t="str" cm="1">
        <f t="array" ref="M106">_xlfn.IFS(L106&gt;=Constantes!$C$18,$P$5,L106&gt;=Constantes!$C$17,$P$6,L106&gt;=Constantes!$C$16,$P$7,L106&lt;Constantes!$C$16,$P$8)</f>
        <v>MINOR</v>
      </c>
      <c r="N106" s="113"/>
    </row>
    <row r="107" spans="1:14">
      <c r="A107" s="100" t="s">
        <v>110</v>
      </c>
      <c r="B107" s="100" t="s">
        <v>111</v>
      </c>
      <c r="C107" s="100" t="s">
        <v>112</v>
      </c>
      <c r="D107" s="100" t="s">
        <v>113</v>
      </c>
      <c r="E107" s="101">
        <v>0.5</v>
      </c>
      <c r="F107" s="101">
        <v>0.75</v>
      </c>
      <c r="G107" s="101">
        <v>0.375</v>
      </c>
      <c r="H107" s="101" t="str" cm="1">
        <f t="array" ref="H107">_xlfn.IFS(G107&gt;=Constantes!$C$18,$P$5,G107&gt;=Constantes!$C$17,$P$6,G107&gt;=Constantes!$C$16,$P$7,G107&lt;Constantes!$C$16,$P$8)</f>
        <v>MINOR</v>
      </c>
      <c r="I107" s="102">
        <v>0.42399999999999993</v>
      </c>
      <c r="J107" s="101">
        <f>E107*I107</f>
        <v>0.21199999999999997</v>
      </c>
      <c r="K107" s="101">
        <f>F107*I107</f>
        <v>0.31799999999999995</v>
      </c>
      <c r="L107" s="101">
        <f>G107*I107</f>
        <v>0.15899999999999997</v>
      </c>
      <c r="M107" s="103" t="str" cm="1">
        <f t="array" ref="M107">_xlfn.IFS(L107&gt;=Constantes!$C$18,$P$5,L107&gt;=Constantes!$C$17,$P$6,L107&gt;=Constantes!$C$16,$P$7,L107&lt;Constantes!$C$16,$P$8)</f>
        <v>MINOR</v>
      </c>
      <c r="N107" s="113"/>
    </row>
    <row r="108" spans="1:14">
      <c r="A108" s="100" t="s">
        <v>110</v>
      </c>
      <c r="B108" s="100" t="s">
        <v>111</v>
      </c>
      <c r="C108" s="100" t="s">
        <v>130</v>
      </c>
      <c r="D108" s="100" t="s">
        <v>131</v>
      </c>
      <c r="E108" s="101">
        <v>0.5</v>
      </c>
      <c r="F108" s="101">
        <v>0.75</v>
      </c>
      <c r="G108" s="101">
        <v>0.375</v>
      </c>
      <c r="H108" s="101" t="str" cm="1">
        <f t="array" ref="H108">_xlfn.IFS(G108&gt;=Constantes!$C$18,$P$5,G108&gt;=Constantes!$C$17,$P$6,G108&gt;=Constantes!$C$16,$P$7,G108&lt;Constantes!$C$16,$P$8)</f>
        <v>MINOR</v>
      </c>
      <c r="I108" s="102">
        <v>0.42399999999999993</v>
      </c>
      <c r="J108" s="101">
        <f>E108*I108</f>
        <v>0.21199999999999997</v>
      </c>
      <c r="K108" s="101">
        <f>F108*I108</f>
        <v>0.31799999999999995</v>
      </c>
      <c r="L108" s="101">
        <f>G108*I108</f>
        <v>0.15899999999999997</v>
      </c>
      <c r="M108" s="103" t="str" cm="1">
        <f t="array" ref="M108">_xlfn.IFS(L108&gt;=Constantes!$C$18,$P$5,L108&gt;=Constantes!$C$17,$P$6,L108&gt;=Constantes!$C$16,$P$7,L108&lt;Constantes!$C$16,$P$8)</f>
        <v>MINOR</v>
      </c>
      <c r="N108" s="113"/>
    </row>
    <row r="109" spans="1:14">
      <c r="A109" s="100" t="s">
        <v>110</v>
      </c>
      <c r="B109" s="100" t="s">
        <v>111</v>
      </c>
      <c r="C109" s="100" t="s">
        <v>136</v>
      </c>
      <c r="D109" s="100" t="s">
        <v>137</v>
      </c>
      <c r="E109" s="101">
        <v>0.25</v>
      </c>
      <c r="F109" s="101">
        <v>1</v>
      </c>
      <c r="G109" s="101">
        <v>0.25</v>
      </c>
      <c r="H109" s="101" t="str" cm="1">
        <f t="array" ref="H109">_xlfn.IFS(G109&gt;=Constantes!$C$18,$P$5,G109&gt;=Constantes!$C$17,$P$6,G109&gt;=Constantes!$C$16,$P$7,G109&lt;Constantes!$C$16,$P$8)</f>
        <v>MINOR</v>
      </c>
      <c r="I109" s="102">
        <v>0.42399999999999993</v>
      </c>
      <c r="J109" s="101">
        <f>E109*I109</f>
        <v>0.10599999999999998</v>
      </c>
      <c r="K109" s="101">
        <f>F109*I109</f>
        <v>0.42399999999999993</v>
      </c>
      <c r="L109" s="101">
        <f>G109*I109</f>
        <v>0.10599999999999998</v>
      </c>
      <c r="M109" s="103" t="str" cm="1">
        <f t="array" ref="M109">_xlfn.IFS(L109&gt;=Constantes!$C$18,$P$5,L109&gt;=Constantes!$C$17,$P$6,L109&gt;=Constantes!$C$16,$P$7,L109&lt;Constantes!$C$16,$P$8)</f>
        <v>MINOR</v>
      </c>
      <c r="N109" s="113"/>
    </row>
    <row r="110" spans="1:14">
      <c r="A110" s="100" t="s">
        <v>110</v>
      </c>
      <c r="B110" s="100" t="s">
        <v>111</v>
      </c>
      <c r="C110" s="100" t="s">
        <v>142</v>
      </c>
      <c r="D110" s="100" t="s">
        <v>143</v>
      </c>
      <c r="E110" s="101">
        <v>0.5</v>
      </c>
      <c r="F110" s="101">
        <v>1</v>
      </c>
      <c r="G110" s="101">
        <v>0.5</v>
      </c>
      <c r="H110" s="101" t="str" cm="1">
        <f t="array" ref="H110">_xlfn.IFS(G110&gt;=Constantes!$C$18,$P$5,G110&gt;=Constantes!$C$17,$P$6,G110&gt;=Constantes!$C$16,$P$7,G110&lt;Constantes!$C$16,$P$8)</f>
        <v>MINOR</v>
      </c>
      <c r="I110" s="102">
        <v>0.42399999999999993</v>
      </c>
      <c r="J110" s="101">
        <f>E110*I110</f>
        <v>0.21199999999999997</v>
      </c>
      <c r="K110" s="101">
        <f>F110*I110</f>
        <v>0.42399999999999993</v>
      </c>
      <c r="L110" s="101">
        <f>G110*I110</f>
        <v>0.21199999999999997</v>
      </c>
      <c r="M110" s="103" t="str" cm="1">
        <f t="array" ref="M110">_xlfn.IFS(L110&gt;=Constantes!$C$18,$P$5,L110&gt;=Constantes!$C$17,$P$6,L110&gt;=Constantes!$C$16,$P$7,L110&lt;Constantes!$C$16,$P$8)</f>
        <v>MINOR</v>
      </c>
      <c r="N110" s="113"/>
    </row>
    <row r="111" spans="1:14">
      <c r="A111" s="100" t="s">
        <v>110</v>
      </c>
      <c r="B111" s="100" t="s">
        <v>111</v>
      </c>
      <c r="C111" s="100" t="s">
        <v>160</v>
      </c>
      <c r="D111" s="100" t="s">
        <v>161</v>
      </c>
      <c r="E111" s="101">
        <v>1</v>
      </c>
      <c r="F111" s="101">
        <v>1</v>
      </c>
      <c r="G111" s="101">
        <v>1</v>
      </c>
      <c r="H111" s="101" t="str" cm="1">
        <f t="array" ref="H111">_xlfn.IFS(G111&gt;=Constantes!$C$18,$P$5,G111&gt;=Constantes!$C$17,$P$6,G111&gt;=Constantes!$C$16,$P$7,G111&lt;Constantes!$C$16,$P$8)</f>
        <v>MINOR</v>
      </c>
      <c r="I111" s="102">
        <v>0.42399999999999993</v>
      </c>
      <c r="J111" s="101">
        <f>E111*I111</f>
        <v>0.42399999999999993</v>
      </c>
      <c r="K111" s="101">
        <f>F111*I111</f>
        <v>0.42399999999999993</v>
      </c>
      <c r="L111" s="101">
        <f>G111*I111</f>
        <v>0.42399999999999993</v>
      </c>
      <c r="M111" s="103" t="str" cm="1">
        <f t="array" ref="M111">_xlfn.IFS(L111&gt;=Constantes!$C$18,$P$5,L111&gt;=Constantes!$C$17,$P$6,L111&gt;=Constantes!$C$16,$P$7,L111&lt;Constantes!$C$16,$P$8)</f>
        <v>MINOR</v>
      </c>
      <c r="N111" s="113"/>
    </row>
    <row r="112" spans="1:14">
      <c r="A112" s="100" t="s">
        <v>110</v>
      </c>
      <c r="B112" s="100" t="s">
        <v>111</v>
      </c>
      <c r="C112" s="100" t="s">
        <v>166</v>
      </c>
      <c r="D112" s="100" t="s">
        <v>167</v>
      </c>
      <c r="E112" s="101">
        <v>0.75</v>
      </c>
      <c r="F112" s="101">
        <v>0.75</v>
      </c>
      <c r="G112" s="101">
        <v>0.5625</v>
      </c>
      <c r="H112" s="101" t="str" cm="1">
        <f t="array" ref="H112">_xlfn.IFS(G112&gt;=Constantes!$C$18,$P$5,G112&gt;=Constantes!$C$17,$P$6,G112&gt;=Constantes!$C$16,$P$7,G112&lt;Constantes!$C$16,$P$8)</f>
        <v>MINOR</v>
      </c>
      <c r="I112" s="102">
        <v>0.42399999999999993</v>
      </c>
      <c r="J112" s="101">
        <f>E112*I112</f>
        <v>0.31799999999999995</v>
      </c>
      <c r="K112" s="101">
        <f>F112*I112</f>
        <v>0.31799999999999995</v>
      </c>
      <c r="L112" s="101">
        <f>G112*I112</f>
        <v>0.23849999999999996</v>
      </c>
      <c r="M112" s="103" t="str" cm="1">
        <f t="array" ref="M112">_xlfn.IFS(L112&gt;=Constantes!$C$18,$P$5,L112&gt;=Constantes!$C$17,$P$6,L112&gt;=Constantes!$C$16,$P$7,L112&lt;Constantes!$C$16,$P$8)</f>
        <v>MINOR</v>
      </c>
      <c r="N112" s="113"/>
    </row>
    <row r="113" spans="1:14">
      <c r="A113" s="100" t="s">
        <v>116</v>
      </c>
      <c r="B113" s="100" t="s">
        <v>117</v>
      </c>
      <c r="C113" s="100" t="s">
        <v>88</v>
      </c>
      <c r="D113" s="100" t="s">
        <v>89</v>
      </c>
      <c r="E113" s="101">
        <v>1.875</v>
      </c>
      <c r="F113" s="101">
        <v>1.875</v>
      </c>
      <c r="G113" s="101">
        <v>3.515625</v>
      </c>
      <c r="H113" s="101" t="str" cm="1">
        <f t="array" ref="H113">_xlfn.IFS(G113&gt;=Constantes!$C$18,$P$5,G113&gt;=Constantes!$C$17,$P$6,G113&gt;=Constantes!$C$16,$P$7,G113&lt;Constantes!$C$16,$P$8)</f>
        <v>LIMITED</v>
      </c>
      <c r="I113" s="102">
        <v>0.42399999999999993</v>
      </c>
      <c r="J113" s="101">
        <f>E113*I113</f>
        <v>0.79499999999999993</v>
      </c>
      <c r="K113" s="101">
        <f>F113*I113</f>
        <v>0.79499999999999993</v>
      </c>
      <c r="L113" s="101">
        <f>G113*I113</f>
        <v>1.4906249999999999</v>
      </c>
      <c r="M113" s="103" t="str" cm="1">
        <f t="array" ref="M113">_xlfn.IFS(L113&gt;=Constantes!$C$18,$P$5,L113&gt;=Constantes!$C$17,$P$6,L113&gt;=Constantes!$C$16,$P$7,L113&lt;Constantes!$C$16,$P$8)</f>
        <v>MINOR</v>
      </c>
      <c r="N113" s="113"/>
    </row>
    <row r="114" spans="1:14">
      <c r="A114" s="100" t="s">
        <v>116</v>
      </c>
      <c r="B114" s="100" t="s">
        <v>117</v>
      </c>
      <c r="C114" s="100" t="s">
        <v>112</v>
      </c>
      <c r="D114" s="100" t="s">
        <v>113</v>
      </c>
      <c r="E114" s="101">
        <v>1.25</v>
      </c>
      <c r="F114" s="101">
        <v>1.875</v>
      </c>
      <c r="G114" s="101">
        <v>2.34375</v>
      </c>
      <c r="H114" s="101" t="str" cm="1">
        <f t="array" ref="H114">_xlfn.IFS(G114&gt;=Constantes!$C$18,$P$5,G114&gt;=Constantes!$C$17,$P$6,G114&gt;=Constantes!$C$16,$P$7,G114&lt;Constantes!$C$16,$P$8)</f>
        <v>MINOR</v>
      </c>
      <c r="I114" s="102">
        <v>0.42399999999999993</v>
      </c>
      <c r="J114" s="101">
        <f>E114*I114</f>
        <v>0.52999999999999992</v>
      </c>
      <c r="K114" s="101">
        <f>F114*I114</f>
        <v>0.79499999999999993</v>
      </c>
      <c r="L114" s="101">
        <f>G114*I114</f>
        <v>0.9937499999999998</v>
      </c>
      <c r="M114" s="103" t="str" cm="1">
        <f t="array" ref="M114">_xlfn.IFS(L114&gt;=Constantes!$C$18,$P$5,L114&gt;=Constantes!$C$17,$P$6,L114&gt;=Constantes!$C$16,$P$7,L114&lt;Constantes!$C$16,$P$8)</f>
        <v>MINOR</v>
      </c>
      <c r="N114" s="113"/>
    </row>
    <row r="115" spans="1:14">
      <c r="A115" s="100" t="s">
        <v>116</v>
      </c>
      <c r="B115" s="100" t="s">
        <v>117</v>
      </c>
      <c r="C115" s="100" t="s">
        <v>124</v>
      </c>
      <c r="D115" s="100" t="s">
        <v>125</v>
      </c>
      <c r="E115" s="101">
        <v>2.5</v>
      </c>
      <c r="F115" s="101">
        <v>1.875</v>
      </c>
      <c r="G115" s="101">
        <v>4.6875</v>
      </c>
      <c r="H115" s="101" t="str" cm="1">
        <f t="array" ref="H115">_xlfn.IFS(G115&gt;=Constantes!$C$18,$P$5,G115&gt;=Constantes!$C$17,$P$6,G115&gt;=Constantes!$C$16,$P$7,G115&lt;Constantes!$C$16,$P$8)</f>
        <v>LIMITED</v>
      </c>
      <c r="I115" s="102">
        <v>0.42399999999999993</v>
      </c>
      <c r="J115" s="101">
        <f>E115*I115</f>
        <v>1.0599999999999998</v>
      </c>
      <c r="K115" s="101">
        <f>F115*I115</f>
        <v>0.79499999999999993</v>
      </c>
      <c r="L115" s="101">
        <f>G115*I115</f>
        <v>1.9874999999999996</v>
      </c>
      <c r="M115" s="103" t="str" cm="1">
        <f t="array" ref="M115">_xlfn.IFS(L115&gt;=Constantes!$C$18,$P$5,L115&gt;=Constantes!$C$17,$P$6,L115&gt;=Constantes!$C$16,$P$7,L115&lt;Constantes!$C$16,$P$8)</f>
        <v>MINOR</v>
      </c>
      <c r="N115" s="113"/>
    </row>
    <row r="116" spans="1:14">
      <c r="A116" s="100" t="s">
        <v>116</v>
      </c>
      <c r="B116" s="100" t="s">
        <v>117</v>
      </c>
      <c r="C116" s="100" t="s">
        <v>130</v>
      </c>
      <c r="D116" s="100" t="s">
        <v>131</v>
      </c>
      <c r="E116" s="101">
        <v>1.25</v>
      </c>
      <c r="F116" s="101">
        <v>1.875</v>
      </c>
      <c r="G116" s="101">
        <v>2.34375</v>
      </c>
      <c r="H116" s="101" t="str" cm="1">
        <f t="array" ref="H116">_xlfn.IFS(G116&gt;=Constantes!$C$18,$P$5,G116&gt;=Constantes!$C$17,$P$6,G116&gt;=Constantes!$C$16,$P$7,G116&lt;Constantes!$C$16,$P$8)</f>
        <v>MINOR</v>
      </c>
      <c r="I116" s="102">
        <v>0.42399999999999993</v>
      </c>
      <c r="J116" s="101">
        <f>E116*I116</f>
        <v>0.52999999999999992</v>
      </c>
      <c r="K116" s="101">
        <f>F116*I116</f>
        <v>0.79499999999999993</v>
      </c>
      <c r="L116" s="101">
        <f>G116*I116</f>
        <v>0.9937499999999998</v>
      </c>
      <c r="M116" s="103" t="str" cm="1">
        <f t="array" ref="M116">_xlfn.IFS(L116&gt;=Constantes!$C$18,$P$5,L116&gt;=Constantes!$C$17,$P$6,L116&gt;=Constantes!$C$16,$P$7,L116&lt;Constantes!$C$16,$P$8)</f>
        <v>MINOR</v>
      </c>
      <c r="N116" s="113"/>
    </row>
    <row r="117" spans="1:14">
      <c r="A117" s="100" t="s">
        <v>116</v>
      </c>
      <c r="B117" s="100" t="s">
        <v>117</v>
      </c>
      <c r="C117" s="100" t="s">
        <v>154</v>
      </c>
      <c r="D117" s="100" t="s">
        <v>155</v>
      </c>
      <c r="E117" s="101">
        <v>1.875</v>
      </c>
      <c r="F117" s="101">
        <v>2.5</v>
      </c>
      <c r="G117" s="101">
        <v>4.6875</v>
      </c>
      <c r="H117" s="101" t="str" cm="1">
        <f t="array" ref="H117">_xlfn.IFS(G117&gt;=Constantes!$C$18,$P$5,G117&gt;=Constantes!$C$17,$P$6,G117&gt;=Constantes!$C$16,$P$7,G117&lt;Constantes!$C$16,$P$8)</f>
        <v>LIMITED</v>
      </c>
      <c r="I117" s="102">
        <v>0.45999999999999996</v>
      </c>
      <c r="J117" s="101">
        <f>E117*I117</f>
        <v>0.86249999999999993</v>
      </c>
      <c r="K117" s="101">
        <f>F117*I117</f>
        <v>1.1499999999999999</v>
      </c>
      <c r="L117" s="101">
        <f>G117*I117</f>
        <v>2.15625</v>
      </c>
      <c r="M117" s="103" t="str" cm="1">
        <f t="array" ref="M117">_xlfn.IFS(L117&gt;=Constantes!$C$18,$P$5,L117&gt;=Constantes!$C$17,$P$6,L117&gt;=Constantes!$C$16,$P$7,L117&lt;Constantes!$C$16,$P$8)</f>
        <v>MINOR</v>
      </c>
      <c r="N117" s="113"/>
    </row>
    <row r="118" spans="1:14">
      <c r="A118" s="100" t="s">
        <v>116</v>
      </c>
      <c r="B118" s="100" t="s">
        <v>117</v>
      </c>
      <c r="C118" s="100" t="s">
        <v>160</v>
      </c>
      <c r="D118" s="100" t="s">
        <v>161</v>
      </c>
      <c r="E118" s="101">
        <v>2.5</v>
      </c>
      <c r="F118" s="101">
        <v>2.5</v>
      </c>
      <c r="G118" s="101">
        <v>6.25</v>
      </c>
      <c r="H118" s="101" t="str" cm="1">
        <f t="array" ref="H118">_xlfn.IFS(G118&gt;=Constantes!$C$18,$P$5,G118&gt;=Constantes!$C$17,$P$6,G118&gt;=Constantes!$C$16,$P$7,G118&lt;Constantes!$C$16,$P$8)</f>
        <v>MAJOR</v>
      </c>
      <c r="I118" s="102">
        <v>0.42399999999999993</v>
      </c>
      <c r="J118" s="101">
        <f>E118*I118</f>
        <v>1.0599999999999998</v>
      </c>
      <c r="K118" s="101">
        <f>F118*I118</f>
        <v>1.0599999999999998</v>
      </c>
      <c r="L118" s="101">
        <f>G118*I118</f>
        <v>2.6499999999999995</v>
      </c>
      <c r="M118" s="103" t="str" cm="1">
        <f t="array" ref="M118">_xlfn.IFS(L118&gt;=Constantes!$C$18,$P$5,L118&gt;=Constantes!$C$17,$P$6,L118&gt;=Constantes!$C$16,$P$7,L118&lt;Constantes!$C$16,$P$8)</f>
        <v>MINOR</v>
      </c>
      <c r="N118" s="113"/>
    </row>
    <row r="119" spans="1:14">
      <c r="A119" s="100" t="s">
        <v>116</v>
      </c>
      <c r="B119" s="100" t="s">
        <v>117</v>
      </c>
      <c r="C119" s="100" t="s">
        <v>166</v>
      </c>
      <c r="D119" s="100" t="s">
        <v>167</v>
      </c>
      <c r="E119" s="101">
        <v>1.875</v>
      </c>
      <c r="F119" s="101">
        <v>1.875</v>
      </c>
      <c r="G119" s="101">
        <v>3.515625</v>
      </c>
      <c r="H119" s="101" t="str" cm="1">
        <f t="array" ref="H119">_xlfn.IFS(G119&gt;=Constantes!$C$18,$P$5,G119&gt;=Constantes!$C$17,$P$6,G119&gt;=Constantes!$C$16,$P$7,G119&lt;Constantes!$C$16,$P$8)</f>
        <v>LIMITED</v>
      </c>
      <c r="I119" s="102">
        <v>0.42399999999999993</v>
      </c>
      <c r="J119" s="101">
        <f>E119*I119</f>
        <v>0.79499999999999993</v>
      </c>
      <c r="K119" s="101">
        <f>F119*I119</f>
        <v>0.79499999999999993</v>
      </c>
      <c r="L119" s="101">
        <f>G119*I119</f>
        <v>1.4906249999999999</v>
      </c>
      <c r="M119" s="103" t="str" cm="1">
        <f t="array" ref="M119">_xlfn.IFS(L119&gt;=Constantes!$C$18,$P$5,L119&gt;=Constantes!$C$17,$P$6,L119&gt;=Constantes!$C$16,$P$7,L119&lt;Constantes!$C$16,$P$8)</f>
        <v>MINOR</v>
      </c>
      <c r="N119" s="113"/>
    </row>
    <row r="120" spans="1:14">
      <c r="A120" s="100" t="s">
        <v>122</v>
      </c>
      <c r="B120" s="100" t="s">
        <v>327</v>
      </c>
      <c r="C120" s="100" t="s">
        <v>88</v>
      </c>
      <c r="D120" s="100" t="s">
        <v>89</v>
      </c>
      <c r="E120" s="101">
        <v>1.875</v>
      </c>
      <c r="F120" s="101">
        <v>1.875</v>
      </c>
      <c r="G120" s="101">
        <v>3.515625</v>
      </c>
      <c r="H120" s="101" t="str" cm="1">
        <f t="array" ref="H120">_xlfn.IFS(G120&gt;=Constantes!$C$18,$P$5,G120&gt;=Constantes!$C$17,$P$6,G120&gt;=Constantes!$C$16,$P$7,G120&lt;Constantes!$C$16,$P$8)</f>
        <v>LIMITED</v>
      </c>
      <c r="I120" s="102">
        <v>0.42399999999999993</v>
      </c>
      <c r="J120" s="101">
        <f>E120*I120</f>
        <v>0.79499999999999993</v>
      </c>
      <c r="K120" s="101">
        <f>F120*I120</f>
        <v>0.79499999999999993</v>
      </c>
      <c r="L120" s="101">
        <f>G120*I120</f>
        <v>1.4906249999999999</v>
      </c>
      <c r="M120" s="103" t="str" cm="1">
        <f t="array" ref="M120">_xlfn.IFS(L120&gt;=Constantes!$C$18,$P$5,L120&gt;=Constantes!$C$17,$P$6,L120&gt;=Constantes!$C$16,$P$7,L120&lt;Constantes!$C$16,$P$8)</f>
        <v>MINOR</v>
      </c>
      <c r="N120" s="113"/>
    </row>
    <row r="121" spans="1:14">
      <c r="A121" s="100" t="s">
        <v>122</v>
      </c>
      <c r="B121" s="100" t="s">
        <v>327</v>
      </c>
      <c r="C121" s="100" t="s">
        <v>112</v>
      </c>
      <c r="D121" s="100" t="s">
        <v>113</v>
      </c>
      <c r="E121" s="101">
        <v>1.25</v>
      </c>
      <c r="F121" s="101">
        <v>1.875</v>
      </c>
      <c r="G121" s="101">
        <v>2.34375</v>
      </c>
      <c r="H121" s="101" t="str" cm="1">
        <f t="array" ref="H121">_xlfn.IFS(G121&gt;=Constantes!$C$18,$P$5,G121&gt;=Constantes!$C$17,$P$6,G121&gt;=Constantes!$C$16,$P$7,G121&lt;Constantes!$C$16,$P$8)</f>
        <v>MINOR</v>
      </c>
      <c r="I121" s="102">
        <v>0.42399999999999993</v>
      </c>
      <c r="J121" s="101">
        <f>E121*I121</f>
        <v>0.52999999999999992</v>
      </c>
      <c r="K121" s="101">
        <f>F121*I121</f>
        <v>0.79499999999999993</v>
      </c>
      <c r="L121" s="101">
        <f>G121*I121</f>
        <v>0.9937499999999998</v>
      </c>
      <c r="M121" s="103" t="str" cm="1">
        <f t="array" ref="M121">_xlfn.IFS(L121&gt;=Constantes!$C$18,$P$5,L121&gt;=Constantes!$C$17,$P$6,L121&gt;=Constantes!$C$16,$P$7,L121&lt;Constantes!$C$16,$P$8)</f>
        <v>MINOR</v>
      </c>
      <c r="N121" s="113"/>
    </row>
    <row r="122" spans="1:14">
      <c r="A122" s="100" t="s">
        <v>122</v>
      </c>
      <c r="B122" s="100" t="s">
        <v>327</v>
      </c>
      <c r="C122" s="100" t="s">
        <v>124</v>
      </c>
      <c r="D122" s="100" t="s">
        <v>125</v>
      </c>
      <c r="E122" s="101">
        <v>2.5</v>
      </c>
      <c r="F122" s="101">
        <v>1.875</v>
      </c>
      <c r="G122" s="101">
        <v>4.6875</v>
      </c>
      <c r="H122" s="101" t="str" cm="1">
        <f t="array" ref="H122">_xlfn.IFS(G122&gt;=Constantes!$C$18,$P$5,G122&gt;=Constantes!$C$17,$P$6,G122&gt;=Constantes!$C$16,$P$7,G122&lt;Constantes!$C$16,$P$8)</f>
        <v>LIMITED</v>
      </c>
      <c r="I122" s="102">
        <v>0.42399999999999993</v>
      </c>
      <c r="J122" s="101">
        <f>E122*I122</f>
        <v>1.0599999999999998</v>
      </c>
      <c r="K122" s="101">
        <f>F122*I122</f>
        <v>0.79499999999999993</v>
      </c>
      <c r="L122" s="101">
        <f>G122*I122</f>
        <v>1.9874999999999996</v>
      </c>
      <c r="M122" s="103" t="str" cm="1">
        <f t="array" ref="M122">_xlfn.IFS(L122&gt;=Constantes!$C$18,$P$5,L122&gt;=Constantes!$C$17,$P$6,L122&gt;=Constantes!$C$16,$P$7,L122&lt;Constantes!$C$16,$P$8)</f>
        <v>MINOR</v>
      </c>
      <c r="N122" s="113"/>
    </row>
    <row r="123" spans="1:14">
      <c r="A123" s="100" t="s">
        <v>122</v>
      </c>
      <c r="B123" s="100" t="s">
        <v>327</v>
      </c>
      <c r="C123" s="100" t="s">
        <v>130</v>
      </c>
      <c r="D123" s="100" t="s">
        <v>131</v>
      </c>
      <c r="E123" s="101">
        <v>1.25</v>
      </c>
      <c r="F123" s="101">
        <v>1.875</v>
      </c>
      <c r="G123" s="101">
        <v>2.34375</v>
      </c>
      <c r="H123" s="101" t="str" cm="1">
        <f t="array" ref="H123">_xlfn.IFS(G123&gt;=Constantes!$C$18,$P$5,G123&gt;=Constantes!$C$17,$P$6,G123&gt;=Constantes!$C$16,$P$7,G123&lt;Constantes!$C$16,$P$8)</f>
        <v>MINOR</v>
      </c>
      <c r="I123" s="102">
        <v>0.42399999999999993</v>
      </c>
      <c r="J123" s="101">
        <f>E123*I123</f>
        <v>0.52999999999999992</v>
      </c>
      <c r="K123" s="101">
        <f>F123*I123</f>
        <v>0.79499999999999993</v>
      </c>
      <c r="L123" s="101">
        <f>G123*I123</f>
        <v>0.9937499999999998</v>
      </c>
      <c r="M123" s="103" t="str" cm="1">
        <f t="array" ref="M123">_xlfn.IFS(L123&gt;=Constantes!$C$18,$P$5,L123&gt;=Constantes!$C$17,$P$6,L123&gt;=Constantes!$C$16,$P$7,L123&lt;Constantes!$C$16,$P$8)</f>
        <v>MINOR</v>
      </c>
      <c r="N123" s="113"/>
    </row>
    <row r="124" spans="1:14">
      <c r="A124" s="100" t="s">
        <v>122</v>
      </c>
      <c r="B124" s="100" t="s">
        <v>327</v>
      </c>
      <c r="C124" s="100" t="s">
        <v>154</v>
      </c>
      <c r="D124" s="100" t="s">
        <v>155</v>
      </c>
      <c r="E124" s="101">
        <v>1.875</v>
      </c>
      <c r="F124" s="101">
        <v>2.5</v>
      </c>
      <c r="G124" s="101">
        <v>4.6875</v>
      </c>
      <c r="H124" s="101" t="str" cm="1">
        <f t="array" ref="H124">_xlfn.IFS(G124&gt;=Constantes!$C$18,$P$5,G124&gt;=Constantes!$C$17,$P$6,G124&gt;=Constantes!$C$16,$P$7,G124&lt;Constantes!$C$16,$P$8)</f>
        <v>LIMITED</v>
      </c>
      <c r="I124" s="102">
        <v>0.45999999999999996</v>
      </c>
      <c r="J124" s="101">
        <f>E124*I124</f>
        <v>0.86249999999999993</v>
      </c>
      <c r="K124" s="101">
        <f>F124*I124</f>
        <v>1.1499999999999999</v>
      </c>
      <c r="L124" s="101">
        <f>G124*I124</f>
        <v>2.15625</v>
      </c>
      <c r="M124" s="103" t="str" cm="1">
        <f t="array" ref="M124">_xlfn.IFS(L124&gt;=Constantes!$C$18,$P$5,L124&gt;=Constantes!$C$17,$P$6,L124&gt;=Constantes!$C$16,$P$7,L124&lt;Constantes!$C$16,$P$8)</f>
        <v>MINOR</v>
      </c>
      <c r="N124" s="113"/>
    </row>
    <row r="125" spans="1:14">
      <c r="A125" s="100" t="s">
        <v>122</v>
      </c>
      <c r="B125" s="100" t="s">
        <v>327</v>
      </c>
      <c r="C125" s="100" t="s">
        <v>160</v>
      </c>
      <c r="D125" s="100" t="s">
        <v>161</v>
      </c>
      <c r="E125" s="101">
        <v>2.5</v>
      </c>
      <c r="F125" s="101">
        <v>2.5</v>
      </c>
      <c r="G125" s="101">
        <v>6.25</v>
      </c>
      <c r="H125" s="101" t="str" cm="1">
        <f t="array" ref="H125">_xlfn.IFS(G125&gt;=Constantes!$C$18,$P$5,G125&gt;=Constantes!$C$17,$P$6,G125&gt;=Constantes!$C$16,$P$7,G125&lt;Constantes!$C$16,$P$8)</f>
        <v>MAJOR</v>
      </c>
      <c r="I125" s="102">
        <v>0.42399999999999993</v>
      </c>
      <c r="J125" s="101">
        <f>E125*I125</f>
        <v>1.0599999999999998</v>
      </c>
      <c r="K125" s="101">
        <f>F125*I125</f>
        <v>1.0599999999999998</v>
      </c>
      <c r="L125" s="101">
        <f>G125*I125</f>
        <v>2.6499999999999995</v>
      </c>
      <c r="M125" s="103" t="str" cm="1">
        <f t="array" ref="M125">_xlfn.IFS(L125&gt;=Constantes!$C$18,$P$5,L125&gt;=Constantes!$C$17,$P$6,L125&gt;=Constantes!$C$16,$P$7,L125&lt;Constantes!$C$16,$P$8)</f>
        <v>MINOR</v>
      </c>
      <c r="N125" s="113"/>
    </row>
    <row r="126" spans="1:14">
      <c r="A126" s="100" t="s">
        <v>122</v>
      </c>
      <c r="B126" s="100" t="s">
        <v>327</v>
      </c>
      <c r="C126" s="100" t="s">
        <v>166</v>
      </c>
      <c r="D126" s="100" t="s">
        <v>167</v>
      </c>
      <c r="E126" s="101">
        <v>1.875</v>
      </c>
      <c r="F126" s="101">
        <v>1.875</v>
      </c>
      <c r="G126" s="101">
        <v>3.515625</v>
      </c>
      <c r="H126" s="101" t="str" cm="1">
        <f t="array" ref="H126">_xlfn.IFS(G126&gt;=Constantes!$C$18,$P$5,G126&gt;=Constantes!$C$17,$P$6,G126&gt;=Constantes!$C$16,$P$7,G126&lt;Constantes!$C$16,$P$8)</f>
        <v>LIMITED</v>
      </c>
      <c r="I126" s="102">
        <v>0.42399999999999993</v>
      </c>
      <c r="J126" s="101">
        <f>E126*I126</f>
        <v>0.79499999999999993</v>
      </c>
      <c r="K126" s="101">
        <f>F126*I126</f>
        <v>0.79499999999999993</v>
      </c>
      <c r="L126" s="101">
        <f>G126*I126</f>
        <v>1.4906249999999999</v>
      </c>
      <c r="M126" s="103" t="str" cm="1">
        <f t="array" ref="M126">_xlfn.IFS(L126&gt;=Constantes!$C$18,$P$5,L126&gt;=Constantes!$C$17,$P$6,L126&gt;=Constantes!$C$16,$P$7,L126&lt;Constantes!$C$16,$P$8)</f>
        <v>MINOR</v>
      </c>
      <c r="N126" s="113"/>
    </row>
    <row r="127" spans="1:14">
      <c r="A127" s="100" t="s">
        <v>128</v>
      </c>
      <c r="B127" s="100" t="s">
        <v>129</v>
      </c>
      <c r="C127" s="100" t="s">
        <v>88</v>
      </c>
      <c r="D127" s="100" t="s">
        <v>89</v>
      </c>
      <c r="E127" s="101">
        <v>3</v>
      </c>
      <c r="F127" s="101">
        <v>3</v>
      </c>
      <c r="G127" s="101">
        <v>9</v>
      </c>
      <c r="H127" s="101" t="str" cm="1">
        <f t="array" ref="H127">_xlfn.IFS(G127&gt;=Constantes!$C$18,$P$5,G127&gt;=Constantes!$C$17,$P$6,G127&gt;=Constantes!$C$16,$P$7,G127&lt;Constantes!$C$16,$P$8)</f>
        <v>MAJOR</v>
      </c>
      <c r="I127" s="102">
        <v>0.42399999999999993</v>
      </c>
      <c r="J127" s="101">
        <f>E127*I127</f>
        <v>1.2719999999999998</v>
      </c>
      <c r="K127" s="101">
        <f>F127*I127</f>
        <v>1.2719999999999998</v>
      </c>
      <c r="L127" s="101">
        <f>G127*I127</f>
        <v>3.8159999999999994</v>
      </c>
      <c r="M127" s="103" t="str" cm="1">
        <f t="array" ref="M127">_xlfn.IFS(L127&gt;=Constantes!$C$18,$P$5,L127&gt;=Constantes!$C$17,$P$6,L127&gt;=Constantes!$C$16,$P$7,L127&lt;Constantes!$C$16,$P$8)</f>
        <v>LIMITED</v>
      </c>
      <c r="N127" s="113"/>
    </row>
    <row r="128" spans="1:14">
      <c r="A128" s="100" t="s">
        <v>128</v>
      </c>
      <c r="B128" s="100" t="s">
        <v>129</v>
      </c>
      <c r="C128" s="100" t="s">
        <v>112</v>
      </c>
      <c r="D128" s="100" t="s">
        <v>113</v>
      </c>
      <c r="E128" s="101">
        <v>2</v>
      </c>
      <c r="F128" s="101">
        <v>3</v>
      </c>
      <c r="G128" s="101">
        <v>6</v>
      </c>
      <c r="H128" s="101" t="str" cm="1">
        <f t="array" ref="H128">_xlfn.IFS(G128&gt;=Constantes!$C$18,$P$5,G128&gt;=Constantes!$C$17,$P$6,G128&gt;=Constantes!$C$16,$P$7,G128&lt;Constantes!$C$16,$P$8)</f>
        <v>MAJOR</v>
      </c>
      <c r="I128" s="102">
        <v>0.42399999999999993</v>
      </c>
      <c r="J128" s="101">
        <f>E128*I128</f>
        <v>0.84799999999999986</v>
      </c>
      <c r="K128" s="101">
        <f>F128*I128</f>
        <v>1.2719999999999998</v>
      </c>
      <c r="L128" s="101">
        <f>G128*I128</f>
        <v>2.5439999999999996</v>
      </c>
      <c r="M128" s="103" t="str" cm="1">
        <f t="array" ref="M128">_xlfn.IFS(L128&gt;=Constantes!$C$18,$P$5,L128&gt;=Constantes!$C$17,$P$6,L128&gt;=Constantes!$C$16,$P$7,L128&lt;Constantes!$C$16,$P$8)</f>
        <v>MINOR</v>
      </c>
      <c r="N128" s="113"/>
    </row>
    <row r="129" spans="1:14">
      <c r="A129" s="100" t="s">
        <v>128</v>
      </c>
      <c r="B129" s="100" t="s">
        <v>129</v>
      </c>
      <c r="C129" s="100" t="s">
        <v>124</v>
      </c>
      <c r="D129" s="100" t="s">
        <v>125</v>
      </c>
      <c r="E129" s="101">
        <v>4</v>
      </c>
      <c r="F129" s="101">
        <v>3</v>
      </c>
      <c r="G129" s="101">
        <v>12</v>
      </c>
      <c r="H129" s="101" t="str" cm="1">
        <f t="array" ref="H129">_xlfn.IFS(G129&gt;=Constantes!$C$18,$P$5,G129&gt;=Constantes!$C$17,$P$6,G129&gt;=Constantes!$C$16,$P$7,G129&lt;Constantes!$C$16,$P$8)</f>
        <v>CRITICAL</v>
      </c>
      <c r="I129" s="102">
        <v>0.42399999999999993</v>
      </c>
      <c r="J129" s="101">
        <f>E129*I129</f>
        <v>1.6959999999999997</v>
      </c>
      <c r="K129" s="101">
        <f>F129*I129</f>
        <v>1.2719999999999998</v>
      </c>
      <c r="L129" s="101">
        <f>G129*I129</f>
        <v>5.0879999999999992</v>
      </c>
      <c r="M129" s="103" t="str" cm="1">
        <f t="array" ref="M129">_xlfn.IFS(L129&gt;=Constantes!$C$18,$P$5,L129&gt;=Constantes!$C$17,$P$6,L129&gt;=Constantes!$C$16,$P$7,L129&lt;Constantes!$C$16,$P$8)</f>
        <v>LIMITED</v>
      </c>
      <c r="N129" s="113"/>
    </row>
    <row r="130" spans="1:14">
      <c r="A130" s="100" t="s">
        <v>128</v>
      </c>
      <c r="B130" s="100" t="s">
        <v>129</v>
      </c>
      <c r="C130" s="100" t="s">
        <v>130</v>
      </c>
      <c r="D130" s="100" t="s">
        <v>131</v>
      </c>
      <c r="E130" s="101">
        <v>2</v>
      </c>
      <c r="F130" s="101">
        <v>3</v>
      </c>
      <c r="G130" s="101">
        <v>6</v>
      </c>
      <c r="H130" s="101" t="str" cm="1">
        <f t="array" ref="H130">_xlfn.IFS(G130&gt;=Constantes!$C$18,$P$5,G130&gt;=Constantes!$C$17,$P$6,G130&gt;=Constantes!$C$16,$P$7,G130&lt;Constantes!$C$16,$P$8)</f>
        <v>MAJOR</v>
      </c>
      <c r="I130" s="102">
        <v>0.42399999999999993</v>
      </c>
      <c r="J130" s="101">
        <f>E130*I130</f>
        <v>0.84799999999999986</v>
      </c>
      <c r="K130" s="101">
        <f>F130*I130</f>
        <v>1.2719999999999998</v>
      </c>
      <c r="L130" s="101">
        <f>G130*I130</f>
        <v>2.5439999999999996</v>
      </c>
      <c r="M130" s="103" t="str" cm="1">
        <f t="array" ref="M130">_xlfn.IFS(L130&gt;=Constantes!$C$18,$P$5,L130&gt;=Constantes!$C$17,$P$6,L130&gt;=Constantes!$C$16,$P$7,L130&lt;Constantes!$C$16,$P$8)</f>
        <v>MINOR</v>
      </c>
      <c r="N130" s="113"/>
    </row>
    <row r="131" spans="1:14">
      <c r="A131" s="100" t="s">
        <v>128</v>
      </c>
      <c r="B131" s="100" t="s">
        <v>129</v>
      </c>
      <c r="C131" s="100" t="s">
        <v>154</v>
      </c>
      <c r="D131" s="100" t="s">
        <v>155</v>
      </c>
      <c r="E131" s="101">
        <v>3</v>
      </c>
      <c r="F131" s="101">
        <v>4</v>
      </c>
      <c r="G131" s="101">
        <v>12</v>
      </c>
      <c r="H131" s="101" t="str" cm="1">
        <f t="array" ref="H131">_xlfn.IFS(G131&gt;=Constantes!$C$18,$P$5,G131&gt;=Constantes!$C$17,$P$6,G131&gt;=Constantes!$C$16,$P$7,G131&lt;Constantes!$C$16,$P$8)</f>
        <v>CRITICAL</v>
      </c>
      <c r="I131" s="102">
        <v>0.45999999999999996</v>
      </c>
      <c r="J131" s="101">
        <f>E131*I131</f>
        <v>1.38</v>
      </c>
      <c r="K131" s="101">
        <f>F131*I131</f>
        <v>1.8399999999999999</v>
      </c>
      <c r="L131" s="101">
        <f>G131*I131</f>
        <v>5.52</v>
      </c>
      <c r="M131" s="103" t="str" cm="1">
        <f t="array" ref="M131">_xlfn.IFS(L131&gt;=Constantes!$C$18,$P$5,L131&gt;=Constantes!$C$17,$P$6,L131&gt;=Constantes!$C$16,$P$7,L131&lt;Constantes!$C$16,$P$8)</f>
        <v>LIMITED</v>
      </c>
      <c r="N131" s="113"/>
    </row>
    <row r="132" spans="1:14">
      <c r="A132" s="100" t="s">
        <v>128</v>
      </c>
      <c r="B132" s="100" t="s">
        <v>129</v>
      </c>
      <c r="C132" s="100" t="s">
        <v>160</v>
      </c>
      <c r="D132" s="100" t="s">
        <v>161</v>
      </c>
      <c r="E132" s="101">
        <v>4</v>
      </c>
      <c r="F132" s="101">
        <v>4</v>
      </c>
      <c r="G132" s="101">
        <v>16</v>
      </c>
      <c r="H132" s="101" t="str" cm="1">
        <f t="array" ref="H132">_xlfn.IFS(G132&gt;=Constantes!$C$18,$P$5,G132&gt;=Constantes!$C$17,$P$6,G132&gt;=Constantes!$C$16,$P$7,G132&lt;Constantes!$C$16,$P$8)</f>
        <v>CRITICAL</v>
      </c>
      <c r="I132" s="102">
        <v>0.42399999999999993</v>
      </c>
      <c r="J132" s="101">
        <f>E132*I132</f>
        <v>1.6959999999999997</v>
      </c>
      <c r="K132" s="101">
        <f>F132*I132</f>
        <v>1.6959999999999997</v>
      </c>
      <c r="L132" s="101">
        <f>G132*I132</f>
        <v>6.7839999999999989</v>
      </c>
      <c r="M132" s="103" t="str" cm="1">
        <f t="array" ref="M132">_xlfn.IFS(L132&gt;=Constantes!$C$18,$P$5,L132&gt;=Constantes!$C$17,$P$6,L132&gt;=Constantes!$C$16,$P$7,L132&lt;Constantes!$C$16,$P$8)</f>
        <v>MAJOR</v>
      </c>
      <c r="N132" s="113"/>
    </row>
    <row r="133" spans="1:14">
      <c r="A133" s="100" t="s">
        <v>128</v>
      </c>
      <c r="B133" s="100" t="s">
        <v>129</v>
      </c>
      <c r="C133" s="100" t="s">
        <v>166</v>
      </c>
      <c r="D133" s="100" t="s">
        <v>167</v>
      </c>
      <c r="E133" s="101">
        <v>3</v>
      </c>
      <c r="F133" s="101">
        <v>3</v>
      </c>
      <c r="G133" s="101">
        <v>9</v>
      </c>
      <c r="H133" s="101" t="str" cm="1">
        <f t="array" ref="H133">_xlfn.IFS(G133&gt;=Constantes!$C$18,$P$5,G133&gt;=Constantes!$C$17,$P$6,G133&gt;=Constantes!$C$16,$P$7,G133&lt;Constantes!$C$16,$P$8)</f>
        <v>MAJOR</v>
      </c>
      <c r="I133" s="102">
        <v>0.42399999999999993</v>
      </c>
      <c r="J133" s="101">
        <f>E133*I133</f>
        <v>1.2719999999999998</v>
      </c>
      <c r="K133" s="101">
        <f>F133*I133</f>
        <v>1.2719999999999998</v>
      </c>
      <c r="L133" s="101">
        <f>G133*I133</f>
        <v>3.8159999999999994</v>
      </c>
      <c r="M133" s="103" t="str" cm="1">
        <f t="array" ref="M133">_xlfn.IFS(L133&gt;=Constantes!$C$18,$P$5,L133&gt;=Constantes!$C$17,$P$6,L133&gt;=Constantes!$C$16,$P$7,L133&lt;Constantes!$C$16,$P$8)</f>
        <v>LIMITED</v>
      </c>
      <c r="N133" s="113"/>
    </row>
    <row r="134" spans="1:14">
      <c r="A134" s="100" t="s">
        <v>134</v>
      </c>
      <c r="B134" s="100" t="s">
        <v>135</v>
      </c>
      <c r="C134" s="100" t="s">
        <v>88</v>
      </c>
      <c r="D134" s="100" t="s">
        <v>89</v>
      </c>
      <c r="E134" s="101">
        <v>3</v>
      </c>
      <c r="F134" s="101">
        <v>3</v>
      </c>
      <c r="G134" s="101">
        <v>9</v>
      </c>
      <c r="H134" s="101" t="str" cm="1">
        <f t="array" ref="H134">_xlfn.IFS(G134&gt;=Constantes!$C$18,$P$5,G134&gt;=Constantes!$C$17,$P$6,G134&gt;=Constantes!$C$16,$P$7,G134&lt;Constantes!$C$16,$P$8)</f>
        <v>MAJOR</v>
      </c>
      <c r="I134" s="102">
        <v>0.42399999999999993</v>
      </c>
      <c r="J134" s="101">
        <f>E134*I134</f>
        <v>1.2719999999999998</v>
      </c>
      <c r="K134" s="101">
        <f>F134*I134</f>
        <v>1.2719999999999998</v>
      </c>
      <c r="L134" s="101">
        <f>G134*I134</f>
        <v>3.8159999999999994</v>
      </c>
      <c r="M134" s="103" t="str" cm="1">
        <f t="array" ref="M134">_xlfn.IFS(L134&gt;=Constantes!$C$18,$P$5,L134&gt;=Constantes!$C$17,$P$6,L134&gt;=Constantes!$C$16,$P$7,L134&lt;Constantes!$C$16,$P$8)</f>
        <v>LIMITED</v>
      </c>
      <c r="N134" s="113"/>
    </row>
    <row r="135" spans="1:14">
      <c r="A135" s="100" t="s">
        <v>134</v>
      </c>
      <c r="B135" s="100" t="s">
        <v>135</v>
      </c>
      <c r="C135" s="100" t="s">
        <v>112</v>
      </c>
      <c r="D135" s="100" t="s">
        <v>113</v>
      </c>
      <c r="E135" s="101">
        <v>2</v>
      </c>
      <c r="F135" s="101">
        <v>3</v>
      </c>
      <c r="G135" s="101">
        <v>6</v>
      </c>
      <c r="H135" s="101" t="str" cm="1">
        <f t="array" ref="H135">_xlfn.IFS(G135&gt;=Constantes!$C$18,$P$5,G135&gt;=Constantes!$C$17,$P$6,G135&gt;=Constantes!$C$16,$P$7,G135&lt;Constantes!$C$16,$P$8)</f>
        <v>MAJOR</v>
      </c>
      <c r="I135" s="102">
        <v>0.42399999999999993</v>
      </c>
      <c r="J135" s="101">
        <f>E135*I135</f>
        <v>0.84799999999999986</v>
      </c>
      <c r="K135" s="101">
        <f>F135*I135</f>
        <v>1.2719999999999998</v>
      </c>
      <c r="L135" s="101">
        <f>G135*I135</f>
        <v>2.5439999999999996</v>
      </c>
      <c r="M135" s="103" t="str" cm="1">
        <f t="array" ref="M135">_xlfn.IFS(L135&gt;=Constantes!$C$18,$P$5,L135&gt;=Constantes!$C$17,$P$6,L135&gt;=Constantes!$C$16,$P$7,L135&lt;Constantes!$C$16,$P$8)</f>
        <v>MINOR</v>
      </c>
      <c r="N135" s="113"/>
    </row>
    <row r="136" spans="1:14">
      <c r="A136" s="100" t="s">
        <v>134</v>
      </c>
      <c r="B136" s="100" t="s">
        <v>135</v>
      </c>
      <c r="C136" s="100" t="s">
        <v>124</v>
      </c>
      <c r="D136" s="100" t="s">
        <v>125</v>
      </c>
      <c r="E136" s="101">
        <v>4</v>
      </c>
      <c r="F136" s="101">
        <v>3</v>
      </c>
      <c r="G136" s="101">
        <v>12</v>
      </c>
      <c r="H136" s="101" t="str" cm="1">
        <f t="array" ref="H136">_xlfn.IFS(G136&gt;=Constantes!$C$18,$P$5,G136&gt;=Constantes!$C$17,$P$6,G136&gt;=Constantes!$C$16,$P$7,G136&lt;Constantes!$C$16,$P$8)</f>
        <v>CRITICAL</v>
      </c>
      <c r="I136" s="102">
        <v>0.42399999999999993</v>
      </c>
      <c r="J136" s="101">
        <f>E136*I136</f>
        <v>1.6959999999999997</v>
      </c>
      <c r="K136" s="101">
        <f>F136*I136</f>
        <v>1.2719999999999998</v>
      </c>
      <c r="L136" s="101">
        <f>G136*I136</f>
        <v>5.0879999999999992</v>
      </c>
      <c r="M136" s="103" t="str" cm="1">
        <f t="array" ref="M136">_xlfn.IFS(L136&gt;=Constantes!$C$18,$P$5,L136&gt;=Constantes!$C$17,$P$6,L136&gt;=Constantes!$C$16,$P$7,L136&lt;Constantes!$C$16,$P$8)</f>
        <v>LIMITED</v>
      </c>
      <c r="N136" s="113"/>
    </row>
    <row r="137" spans="1:14">
      <c r="A137" s="100" t="s">
        <v>134</v>
      </c>
      <c r="B137" s="100" t="s">
        <v>135</v>
      </c>
      <c r="C137" s="100" t="s">
        <v>130</v>
      </c>
      <c r="D137" s="100" t="s">
        <v>131</v>
      </c>
      <c r="E137" s="101">
        <v>2</v>
      </c>
      <c r="F137" s="101">
        <v>3</v>
      </c>
      <c r="G137" s="101">
        <v>6</v>
      </c>
      <c r="H137" s="101" t="str" cm="1">
        <f t="array" ref="H137">_xlfn.IFS(G137&gt;=Constantes!$C$18,$P$5,G137&gt;=Constantes!$C$17,$P$6,G137&gt;=Constantes!$C$16,$P$7,G137&lt;Constantes!$C$16,$P$8)</f>
        <v>MAJOR</v>
      </c>
      <c r="I137" s="102">
        <v>0.42399999999999993</v>
      </c>
      <c r="J137" s="101">
        <f>E137*I137</f>
        <v>0.84799999999999986</v>
      </c>
      <c r="K137" s="101">
        <f>F137*I137</f>
        <v>1.2719999999999998</v>
      </c>
      <c r="L137" s="101">
        <f>G137*I137</f>
        <v>2.5439999999999996</v>
      </c>
      <c r="M137" s="103" t="str" cm="1">
        <f t="array" ref="M137">_xlfn.IFS(L137&gt;=Constantes!$C$18,$P$5,L137&gt;=Constantes!$C$17,$P$6,L137&gt;=Constantes!$C$16,$P$7,L137&lt;Constantes!$C$16,$P$8)</f>
        <v>MINOR</v>
      </c>
      <c r="N137" s="113"/>
    </row>
    <row r="138" spans="1:14">
      <c r="A138" s="100" t="s">
        <v>134</v>
      </c>
      <c r="B138" s="100" t="s">
        <v>135</v>
      </c>
      <c r="C138" s="100" t="s">
        <v>154</v>
      </c>
      <c r="D138" s="100" t="s">
        <v>155</v>
      </c>
      <c r="E138" s="101">
        <v>3</v>
      </c>
      <c r="F138" s="101">
        <v>4</v>
      </c>
      <c r="G138" s="101">
        <v>12</v>
      </c>
      <c r="H138" s="101" t="str" cm="1">
        <f t="array" ref="H138">_xlfn.IFS(G138&gt;=Constantes!$C$18,$P$5,G138&gt;=Constantes!$C$17,$P$6,G138&gt;=Constantes!$C$16,$P$7,G138&lt;Constantes!$C$16,$P$8)</f>
        <v>CRITICAL</v>
      </c>
      <c r="I138" s="102">
        <v>0.45999999999999996</v>
      </c>
      <c r="J138" s="101">
        <f>E138*I138</f>
        <v>1.38</v>
      </c>
      <c r="K138" s="101">
        <f>F138*I138</f>
        <v>1.8399999999999999</v>
      </c>
      <c r="L138" s="101">
        <f>G138*I138</f>
        <v>5.52</v>
      </c>
      <c r="M138" s="103" t="str" cm="1">
        <f t="array" ref="M138">_xlfn.IFS(L138&gt;=Constantes!$C$18,$P$5,L138&gt;=Constantes!$C$17,$P$6,L138&gt;=Constantes!$C$16,$P$7,L138&lt;Constantes!$C$16,$P$8)</f>
        <v>LIMITED</v>
      </c>
      <c r="N138" s="113"/>
    </row>
    <row r="139" spans="1:14">
      <c r="A139" s="100" t="s">
        <v>134</v>
      </c>
      <c r="B139" s="100" t="s">
        <v>135</v>
      </c>
      <c r="C139" s="100" t="s">
        <v>160</v>
      </c>
      <c r="D139" s="100" t="s">
        <v>161</v>
      </c>
      <c r="E139" s="101">
        <v>4</v>
      </c>
      <c r="F139" s="101">
        <v>4</v>
      </c>
      <c r="G139" s="101">
        <v>16</v>
      </c>
      <c r="H139" s="101" t="str" cm="1">
        <f t="array" ref="H139">_xlfn.IFS(G139&gt;=Constantes!$C$18,$P$5,G139&gt;=Constantes!$C$17,$P$6,G139&gt;=Constantes!$C$16,$P$7,G139&lt;Constantes!$C$16,$P$8)</f>
        <v>CRITICAL</v>
      </c>
      <c r="I139" s="102">
        <v>0.42399999999999993</v>
      </c>
      <c r="J139" s="101">
        <f>E139*I139</f>
        <v>1.6959999999999997</v>
      </c>
      <c r="K139" s="101">
        <f>F139*I139</f>
        <v>1.6959999999999997</v>
      </c>
      <c r="L139" s="101">
        <f>G139*I139</f>
        <v>6.7839999999999989</v>
      </c>
      <c r="M139" s="103" t="str" cm="1">
        <f t="array" ref="M139">_xlfn.IFS(L139&gt;=Constantes!$C$18,$P$5,L139&gt;=Constantes!$C$17,$P$6,L139&gt;=Constantes!$C$16,$P$7,L139&lt;Constantes!$C$16,$P$8)</f>
        <v>MAJOR</v>
      </c>
      <c r="N139" s="113"/>
    </row>
    <row r="140" spans="1:14">
      <c r="A140" s="100" t="s">
        <v>134</v>
      </c>
      <c r="B140" s="100" t="s">
        <v>135</v>
      </c>
      <c r="C140" s="100" t="s">
        <v>166</v>
      </c>
      <c r="D140" s="100" t="s">
        <v>167</v>
      </c>
      <c r="E140" s="101">
        <v>3</v>
      </c>
      <c r="F140" s="101">
        <v>3</v>
      </c>
      <c r="G140" s="101">
        <v>9</v>
      </c>
      <c r="H140" s="101" t="str" cm="1">
        <f t="array" ref="H140">_xlfn.IFS(G140&gt;=Constantes!$C$18,$P$5,G140&gt;=Constantes!$C$17,$P$6,G140&gt;=Constantes!$C$16,$P$7,G140&lt;Constantes!$C$16,$P$8)</f>
        <v>MAJOR</v>
      </c>
      <c r="I140" s="102">
        <v>0.42399999999999993</v>
      </c>
      <c r="J140" s="101">
        <f>E140*I140</f>
        <v>1.2719999999999998</v>
      </c>
      <c r="K140" s="101">
        <f>F140*I140</f>
        <v>1.2719999999999998</v>
      </c>
      <c r="L140" s="101">
        <f>G140*I140</f>
        <v>3.8159999999999994</v>
      </c>
      <c r="M140" s="103" t="str" cm="1">
        <f t="array" ref="M140">_xlfn.IFS(L140&gt;=Constantes!$C$18,$P$5,L140&gt;=Constantes!$C$17,$P$6,L140&gt;=Constantes!$C$16,$P$7,L140&lt;Constantes!$C$16,$P$8)</f>
        <v>LIMITED</v>
      </c>
      <c r="N140" s="113"/>
    </row>
    <row r="141" spans="1:14">
      <c r="A141" s="100" t="s">
        <v>140</v>
      </c>
      <c r="B141" s="100" t="s">
        <v>141</v>
      </c>
      <c r="C141" s="100" t="s">
        <v>88</v>
      </c>
      <c r="D141" s="100" t="s">
        <v>89</v>
      </c>
      <c r="E141" s="101">
        <v>3</v>
      </c>
      <c r="F141" s="101">
        <v>3</v>
      </c>
      <c r="G141" s="101">
        <v>9</v>
      </c>
      <c r="H141" s="101" t="str" cm="1">
        <f t="array" ref="H141">_xlfn.IFS(G141&gt;=Constantes!$C$18,$P$5,G141&gt;=Constantes!$C$17,$P$6,G141&gt;=Constantes!$C$16,$P$7,G141&lt;Constantes!$C$16,$P$8)</f>
        <v>MAJOR</v>
      </c>
      <c r="I141" s="102">
        <v>0.42399999999999993</v>
      </c>
      <c r="J141" s="101">
        <f>E141*I141</f>
        <v>1.2719999999999998</v>
      </c>
      <c r="K141" s="101">
        <f>F141*I141</f>
        <v>1.2719999999999998</v>
      </c>
      <c r="L141" s="101">
        <f>G141*I141</f>
        <v>3.8159999999999994</v>
      </c>
      <c r="M141" s="103" t="str" cm="1">
        <f t="array" ref="M141">_xlfn.IFS(L141&gt;=Constantes!$C$18,$P$5,L141&gt;=Constantes!$C$17,$P$6,L141&gt;=Constantes!$C$16,$P$7,L141&lt;Constantes!$C$16,$P$8)</f>
        <v>LIMITED</v>
      </c>
      <c r="N141" s="113"/>
    </row>
    <row r="142" spans="1:14">
      <c r="A142" s="100" t="s">
        <v>140</v>
      </c>
      <c r="B142" s="100" t="s">
        <v>141</v>
      </c>
      <c r="C142" s="100" t="s">
        <v>112</v>
      </c>
      <c r="D142" s="100" t="s">
        <v>113</v>
      </c>
      <c r="E142" s="101">
        <v>2</v>
      </c>
      <c r="F142" s="101">
        <v>3</v>
      </c>
      <c r="G142" s="101">
        <v>6</v>
      </c>
      <c r="H142" s="101" t="str" cm="1">
        <f t="array" ref="H142">_xlfn.IFS(G142&gt;=Constantes!$C$18,$P$5,G142&gt;=Constantes!$C$17,$P$6,G142&gt;=Constantes!$C$16,$P$7,G142&lt;Constantes!$C$16,$P$8)</f>
        <v>MAJOR</v>
      </c>
      <c r="I142" s="102">
        <v>0.42399999999999993</v>
      </c>
      <c r="J142" s="101">
        <f>E142*I142</f>
        <v>0.84799999999999986</v>
      </c>
      <c r="K142" s="101">
        <f>F142*I142</f>
        <v>1.2719999999999998</v>
      </c>
      <c r="L142" s="101">
        <f>G142*I142</f>
        <v>2.5439999999999996</v>
      </c>
      <c r="M142" s="103" t="str" cm="1">
        <f t="array" ref="M142">_xlfn.IFS(L142&gt;=Constantes!$C$18,$P$5,L142&gt;=Constantes!$C$17,$P$6,L142&gt;=Constantes!$C$16,$P$7,L142&lt;Constantes!$C$16,$P$8)</f>
        <v>MINOR</v>
      </c>
      <c r="N142" s="113"/>
    </row>
    <row r="143" spans="1:14">
      <c r="A143" s="100" t="s">
        <v>140</v>
      </c>
      <c r="B143" s="100" t="s">
        <v>141</v>
      </c>
      <c r="C143" s="100" t="s">
        <v>124</v>
      </c>
      <c r="D143" s="100" t="s">
        <v>125</v>
      </c>
      <c r="E143" s="101">
        <v>4</v>
      </c>
      <c r="F143" s="101">
        <v>3</v>
      </c>
      <c r="G143" s="101">
        <v>12</v>
      </c>
      <c r="H143" s="101" t="str" cm="1">
        <f t="array" ref="H143">_xlfn.IFS(G143&gt;=Constantes!$C$18,$P$5,G143&gt;=Constantes!$C$17,$P$6,G143&gt;=Constantes!$C$16,$P$7,G143&lt;Constantes!$C$16,$P$8)</f>
        <v>CRITICAL</v>
      </c>
      <c r="I143" s="102">
        <v>0.42399999999999993</v>
      </c>
      <c r="J143" s="101">
        <f>E143*I143</f>
        <v>1.6959999999999997</v>
      </c>
      <c r="K143" s="101">
        <f>F143*I143</f>
        <v>1.2719999999999998</v>
      </c>
      <c r="L143" s="101">
        <f>G143*I143</f>
        <v>5.0879999999999992</v>
      </c>
      <c r="M143" s="103" t="str" cm="1">
        <f t="array" ref="M143">_xlfn.IFS(L143&gt;=Constantes!$C$18,$P$5,L143&gt;=Constantes!$C$17,$P$6,L143&gt;=Constantes!$C$16,$P$7,L143&lt;Constantes!$C$16,$P$8)</f>
        <v>LIMITED</v>
      </c>
      <c r="N143" s="113"/>
    </row>
    <row r="144" spans="1:14">
      <c r="A144" s="100" t="s">
        <v>140</v>
      </c>
      <c r="B144" s="100" t="s">
        <v>141</v>
      </c>
      <c r="C144" s="100" t="s">
        <v>130</v>
      </c>
      <c r="D144" s="100" t="s">
        <v>131</v>
      </c>
      <c r="E144" s="101">
        <v>2</v>
      </c>
      <c r="F144" s="101">
        <v>3</v>
      </c>
      <c r="G144" s="101">
        <v>6</v>
      </c>
      <c r="H144" s="101" t="str" cm="1">
        <f t="array" ref="H144">_xlfn.IFS(G144&gt;=Constantes!$C$18,$P$5,G144&gt;=Constantes!$C$17,$P$6,G144&gt;=Constantes!$C$16,$P$7,G144&lt;Constantes!$C$16,$P$8)</f>
        <v>MAJOR</v>
      </c>
      <c r="I144" s="102">
        <v>0.42399999999999993</v>
      </c>
      <c r="J144" s="101">
        <f>E144*I144</f>
        <v>0.84799999999999986</v>
      </c>
      <c r="K144" s="101">
        <f>F144*I144</f>
        <v>1.2719999999999998</v>
      </c>
      <c r="L144" s="101">
        <f>G144*I144</f>
        <v>2.5439999999999996</v>
      </c>
      <c r="M144" s="103" t="str" cm="1">
        <f t="array" ref="M144">_xlfn.IFS(L144&gt;=Constantes!$C$18,$P$5,L144&gt;=Constantes!$C$17,$P$6,L144&gt;=Constantes!$C$16,$P$7,L144&lt;Constantes!$C$16,$P$8)</f>
        <v>MINOR</v>
      </c>
      <c r="N144" s="113"/>
    </row>
    <row r="145" spans="1:14">
      <c r="A145" s="100" t="s">
        <v>140</v>
      </c>
      <c r="B145" s="100" t="s">
        <v>141</v>
      </c>
      <c r="C145" s="100" t="s">
        <v>154</v>
      </c>
      <c r="D145" s="100" t="s">
        <v>155</v>
      </c>
      <c r="E145" s="101">
        <v>3</v>
      </c>
      <c r="F145" s="101">
        <v>4</v>
      </c>
      <c r="G145" s="101">
        <v>12</v>
      </c>
      <c r="H145" s="101" t="str" cm="1">
        <f t="array" ref="H145">_xlfn.IFS(G145&gt;=Constantes!$C$18,$P$5,G145&gt;=Constantes!$C$17,$P$6,G145&gt;=Constantes!$C$16,$P$7,G145&lt;Constantes!$C$16,$P$8)</f>
        <v>CRITICAL</v>
      </c>
      <c r="I145" s="102">
        <v>0.45999999999999996</v>
      </c>
      <c r="J145" s="101">
        <f>E145*I145</f>
        <v>1.38</v>
      </c>
      <c r="K145" s="101">
        <f>F145*I145</f>
        <v>1.8399999999999999</v>
      </c>
      <c r="L145" s="101">
        <f>G145*I145</f>
        <v>5.52</v>
      </c>
      <c r="M145" s="103" t="str" cm="1">
        <f t="array" ref="M145">_xlfn.IFS(L145&gt;=Constantes!$C$18,$P$5,L145&gt;=Constantes!$C$17,$P$6,L145&gt;=Constantes!$C$16,$P$7,L145&lt;Constantes!$C$16,$P$8)</f>
        <v>LIMITED</v>
      </c>
      <c r="N145" s="113"/>
    </row>
    <row r="146" spans="1:14">
      <c r="A146" s="100" t="s">
        <v>140</v>
      </c>
      <c r="B146" s="100" t="s">
        <v>141</v>
      </c>
      <c r="C146" s="100" t="s">
        <v>160</v>
      </c>
      <c r="D146" s="100" t="s">
        <v>161</v>
      </c>
      <c r="E146" s="101">
        <v>4</v>
      </c>
      <c r="F146" s="101">
        <v>4</v>
      </c>
      <c r="G146" s="101">
        <v>16</v>
      </c>
      <c r="H146" s="101" t="str" cm="1">
        <f t="array" ref="H146">_xlfn.IFS(G146&gt;=Constantes!$C$18,$P$5,G146&gt;=Constantes!$C$17,$P$6,G146&gt;=Constantes!$C$16,$P$7,G146&lt;Constantes!$C$16,$P$8)</f>
        <v>CRITICAL</v>
      </c>
      <c r="I146" s="102">
        <v>0.42399999999999993</v>
      </c>
      <c r="J146" s="101">
        <f>E146*I146</f>
        <v>1.6959999999999997</v>
      </c>
      <c r="K146" s="101">
        <f>F146*I146</f>
        <v>1.6959999999999997</v>
      </c>
      <c r="L146" s="101">
        <f>G146*I146</f>
        <v>6.7839999999999989</v>
      </c>
      <c r="M146" s="103" t="str" cm="1">
        <f t="array" ref="M146">_xlfn.IFS(L146&gt;=Constantes!$C$18,$P$5,L146&gt;=Constantes!$C$17,$P$6,L146&gt;=Constantes!$C$16,$P$7,L146&lt;Constantes!$C$16,$P$8)</f>
        <v>MAJOR</v>
      </c>
      <c r="N146" s="113"/>
    </row>
    <row r="147" spans="1:14">
      <c r="A147" s="100" t="s">
        <v>140</v>
      </c>
      <c r="B147" s="100" t="s">
        <v>141</v>
      </c>
      <c r="C147" s="100" t="s">
        <v>166</v>
      </c>
      <c r="D147" s="100" t="s">
        <v>167</v>
      </c>
      <c r="E147" s="101">
        <v>3</v>
      </c>
      <c r="F147" s="101">
        <v>3</v>
      </c>
      <c r="G147" s="101">
        <v>9</v>
      </c>
      <c r="H147" s="101" t="str" cm="1">
        <f t="array" ref="H147">_xlfn.IFS(G147&gt;=Constantes!$C$18,$P$5,G147&gt;=Constantes!$C$17,$P$6,G147&gt;=Constantes!$C$16,$P$7,G147&lt;Constantes!$C$16,$P$8)</f>
        <v>MAJOR</v>
      </c>
      <c r="I147" s="102">
        <v>0.42399999999999993</v>
      </c>
      <c r="J147" s="101">
        <f>E147*I147</f>
        <v>1.2719999999999998</v>
      </c>
      <c r="K147" s="101">
        <f>F147*I147</f>
        <v>1.2719999999999998</v>
      </c>
      <c r="L147" s="101">
        <f>G147*I147</f>
        <v>3.8159999999999994</v>
      </c>
      <c r="M147" s="103" t="str" cm="1">
        <f t="array" ref="M147">_xlfn.IFS(L147&gt;=Constantes!$C$18,$P$5,L147&gt;=Constantes!$C$17,$P$6,L147&gt;=Constantes!$C$16,$P$7,L147&lt;Constantes!$C$16,$P$8)</f>
        <v>LIMITED</v>
      </c>
      <c r="N147" s="113"/>
    </row>
    <row r="148" spans="1:14">
      <c r="A148" s="100" t="s">
        <v>146</v>
      </c>
      <c r="B148" s="100" t="s">
        <v>147</v>
      </c>
      <c r="C148" s="100" t="s">
        <v>88</v>
      </c>
      <c r="D148" s="100" t="s">
        <v>89</v>
      </c>
      <c r="E148" s="101">
        <v>3</v>
      </c>
      <c r="F148" s="101">
        <v>3</v>
      </c>
      <c r="G148" s="101">
        <v>9</v>
      </c>
      <c r="H148" s="101" t="str" cm="1">
        <f t="array" ref="H148">_xlfn.IFS(G148&gt;=Constantes!$C$18,$P$5,G148&gt;=Constantes!$C$17,$P$6,G148&gt;=Constantes!$C$16,$P$7,G148&lt;Constantes!$C$16,$P$8)</f>
        <v>MAJOR</v>
      </c>
      <c r="I148" s="102">
        <v>0.42399999999999993</v>
      </c>
      <c r="J148" s="101">
        <f>E148*I148</f>
        <v>1.2719999999999998</v>
      </c>
      <c r="K148" s="101">
        <f>F148*I148</f>
        <v>1.2719999999999998</v>
      </c>
      <c r="L148" s="101">
        <f>G148*I148</f>
        <v>3.8159999999999994</v>
      </c>
      <c r="M148" s="103" t="str" cm="1">
        <f t="array" ref="M148">_xlfn.IFS(L148&gt;=Constantes!$C$18,$P$5,L148&gt;=Constantes!$C$17,$P$6,L148&gt;=Constantes!$C$16,$P$7,L148&lt;Constantes!$C$16,$P$8)</f>
        <v>LIMITED</v>
      </c>
      <c r="N148" s="113"/>
    </row>
    <row r="149" spans="1:14">
      <c r="A149" s="100" t="s">
        <v>146</v>
      </c>
      <c r="B149" s="100" t="s">
        <v>147</v>
      </c>
      <c r="C149" s="100" t="s">
        <v>112</v>
      </c>
      <c r="D149" s="100" t="s">
        <v>113</v>
      </c>
      <c r="E149" s="101">
        <v>2</v>
      </c>
      <c r="F149" s="101">
        <v>3</v>
      </c>
      <c r="G149" s="101">
        <v>6</v>
      </c>
      <c r="H149" s="101" t="str" cm="1">
        <f t="array" ref="H149">_xlfn.IFS(G149&gt;=Constantes!$C$18,$P$5,G149&gt;=Constantes!$C$17,$P$6,G149&gt;=Constantes!$C$16,$P$7,G149&lt;Constantes!$C$16,$P$8)</f>
        <v>MAJOR</v>
      </c>
      <c r="I149" s="102">
        <v>0.42399999999999993</v>
      </c>
      <c r="J149" s="101">
        <f>E149*I149</f>
        <v>0.84799999999999986</v>
      </c>
      <c r="K149" s="101">
        <f>F149*I149</f>
        <v>1.2719999999999998</v>
      </c>
      <c r="L149" s="101">
        <f>G149*I149</f>
        <v>2.5439999999999996</v>
      </c>
      <c r="M149" s="103" t="str" cm="1">
        <f t="array" ref="M149">_xlfn.IFS(L149&gt;=Constantes!$C$18,$P$5,L149&gt;=Constantes!$C$17,$P$6,L149&gt;=Constantes!$C$16,$P$7,L149&lt;Constantes!$C$16,$P$8)</f>
        <v>MINOR</v>
      </c>
      <c r="N149" s="113"/>
    </row>
    <row r="150" spans="1:14">
      <c r="A150" s="100" t="s">
        <v>146</v>
      </c>
      <c r="B150" s="100" t="s">
        <v>147</v>
      </c>
      <c r="C150" s="100" t="s">
        <v>124</v>
      </c>
      <c r="D150" s="100" t="s">
        <v>125</v>
      </c>
      <c r="E150" s="101">
        <v>4</v>
      </c>
      <c r="F150" s="101">
        <v>3</v>
      </c>
      <c r="G150" s="101">
        <v>12</v>
      </c>
      <c r="H150" s="101" t="str" cm="1">
        <f t="array" ref="H150">_xlfn.IFS(G150&gt;=Constantes!$C$18,$P$5,G150&gt;=Constantes!$C$17,$P$6,G150&gt;=Constantes!$C$16,$P$7,G150&lt;Constantes!$C$16,$P$8)</f>
        <v>CRITICAL</v>
      </c>
      <c r="I150" s="102">
        <v>0.42399999999999993</v>
      </c>
      <c r="J150" s="101">
        <f>E150*I150</f>
        <v>1.6959999999999997</v>
      </c>
      <c r="K150" s="101">
        <f>F150*I150</f>
        <v>1.2719999999999998</v>
      </c>
      <c r="L150" s="101">
        <f>G150*I150</f>
        <v>5.0879999999999992</v>
      </c>
      <c r="M150" s="103" t="str" cm="1">
        <f t="array" ref="M150">_xlfn.IFS(L150&gt;=Constantes!$C$18,$P$5,L150&gt;=Constantes!$C$17,$P$6,L150&gt;=Constantes!$C$16,$P$7,L150&lt;Constantes!$C$16,$P$8)</f>
        <v>LIMITED</v>
      </c>
      <c r="N150" s="113"/>
    </row>
    <row r="151" spans="1:14">
      <c r="A151" s="100" t="s">
        <v>146</v>
      </c>
      <c r="B151" s="100" t="s">
        <v>147</v>
      </c>
      <c r="C151" s="100" t="s">
        <v>130</v>
      </c>
      <c r="D151" s="100" t="s">
        <v>131</v>
      </c>
      <c r="E151" s="101">
        <v>2</v>
      </c>
      <c r="F151" s="101">
        <v>3</v>
      </c>
      <c r="G151" s="101">
        <v>6</v>
      </c>
      <c r="H151" s="101" t="str" cm="1">
        <f t="array" ref="H151">_xlfn.IFS(G151&gt;=Constantes!$C$18,$P$5,G151&gt;=Constantes!$C$17,$P$6,G151&gt;=Constantes!$C$16,$P$7,G151&lt;Constantes!$C$16,$P$8)</f>
        <v>MAJOR</v>
      </c>
      <c r="I151" s="102">
        <v>0.42399999999999993</v>
      </c>
      <c r="J151" s="101">
        <f>E151*I151</f>
        <v>0.84799999999999986</v>
      </c>
      <c r="K151" s="101">
        <f>F151*I151</f>
        <v>1.2719999999999998</v>
      </c>
      <c r="L151" s="101">
        <f>G151*I151</f>
        <v>2.5439999999999996</v>
      </c>
      <c r="M151" s="103" t="str" cm="1">
        <f t="array" ref="M151">_xlfn.IFS(L151&gt;=Constantes!$C$18,$P$5,L151&gt;=Constantes!$C$17,$P$6,L151&gt;=Constantes!$C$16,$P$7,L151&lt;Constantes!$C$16,$P$8)</f>
        <v>MINOR</v>
      </c>
      <c r="N151" s="113"/>
    </row>
    <row r="152" spans="1:14">
      <c r="A152" s="100" t="s">
        <v>146</v>
      </c>
      <c r="B152" s="100" t="s">
        <v>147</v>
      </c>
      <c r="C152" s="100" t="s">
        <v>154</v>
      </c>
      <c r="D152" s="100" t="s">
        <v>155</v>
      </c>
      <c r="E152" s="101">
        <v>3</v>
      </c>
      <c r="F152" s="101">
        <v>4</v>
      </c>
      <c r="G152" s="101">
        <v>12</v>
      </c>
      <c r="H152" s="101" t="str" cm="1">
        <f t="array" ref="H152">_xlfn.IFS(G152&gt;=Constantes!$C$18,$P$5,G152&gt;=Constantes!$C$17,$P$6,G152&gt;=Constantes!$C$16,$P$7,G152&lt;Constantes!$C$16,$P$8)</f>
        <v>CRITICAL</v>
      </c>
      <c r="I152" s="102">
        <v>0.45999999999999996</v>
      </c>
      <c r="J152" s="101">
        <f>E152*I152</f>
        <v>1.38</v>
      </c>
      <c r="K152" s="101">
        <f>F152*I152</f>
        <v>1.8399999999999999</v>
      </c>
      <c r="L152" s="101">
        <f>G152*I152</f>
        <v>5.52</v>
      </c>
      <c r="M152" s="103" t="str" cm="1">
        <f t="array" ref="M152">_xlfn.IFS(L152&gt;=Constantes!$C$18,$P$5,L152&gt;=Constantes!$C$17,$P$6,L152&gt;=Constantes!$C$16,$P$7,L152&lt;Constantes!$C$16,$P$8)</f>
        <v>LIMITED</v>
      </c>
      <c r="N152" s="113"/>
    </row>
    <row r="153" spans="1:14">
      <c r="A153" s="100" t="s">
        <v>146</v>
      </c>
      <c r="B153" s="100" t="s">
        <v>147</v>
      </c>
      <c r="C153" s="100" t="s">
        <v>160</v>
      </c>
      <c r="D153" s="100" t="s">
        <v>161</v>
      </c>
      <c r="E153" s="101">
        <v>4</v>
      </c>
      <c r="F153" s="101">
        <v>4</v>
      </c>
      <c r="G153" s="101">
        <v>16</v>
      </c>
      <c r="H153" s="101" t="str" cm="1">
        <f t="array" ref="H153">_xlfn.IFS(G153&gt;=Constantes!$C$18,$P$5,G153&gt;=Constantes!$C$17,$P$6,G153&gt;=Constantes!$C$16,$P$7,G153&lt;Constantes!$C$16,$P$8)</f>
        <v>CRITICAL</v>
      </c>
      <c r="I153" s="102">
        <v>0.42399999999999993</v>
      </c>
      <c r="J153" s="101">
        <f>E153*I153</f>
        <v>1.6959999999999997</v>
      </c>
      <c r="K153" s="101">
        <f>F153*I153</f>
        <v>1.6959999999999997</v>
      </c>
      <c r="L153" s="101">
        <f>G153*I153</f>
        <v>6.7839999999999989</v>
      </c>
      <c r="M153" s="103" t="str" cm="1">
        <f t="array" ref="M153">_xlfn.IFS(L153&gt;=Constantes!$C$18,$P$5,L153&gt;=Constantes!$C$17,$P$6,L153&gt;=Constantes!$C$16,$P$7,L153&lt;Constantes!$C$16,$P$8)</f>
        <v>MAJOR</v>
      </c>
      <c r="N153" s="113"/>
    </row>
    <row r="154" spans="1:14">
      <c r="A154" s="100" t="s">
        <v>146</v>
      </c>
      <c r="B154" s="100" t="s">
        <v>147</v>
      </c>
      <c r="C154" s="100" t="s">
        <v>166</v>
      </c>
      <c r="D154" s="100" t="s">
        <v>167</v>
      </c>
      <c r="E154" s="101">
        <v>3</v>
      </c>
      <c r="F154" s="101">
        <v>3</v>
      </c>
      <c r="G154" s="101">
        <v>9</v>
      </c>
      <c r="H154" s="101" t="str" cm="1">
        <f t="array" ref="H154">_xlfn.IFS(G154&gt;=Constantes!$C$18,$P$5,G154&gt;=Constantes!$C$17,$P$6,G154&gt;=Constantes!$C$16,$P$7,G154&lt;Constantes!$C$16,$P$8)</f>
        <v>MAJOR</v>
      </c>
      <c r="I154" s="102">
        <v>0.42399999999999993</v>
      </c>
      <c r="J154" s="101">
        <f>E154*I154</f>
        <v>1.2719999999999998</v>
      </c>
      <c r="K154" s="101">
        <f>F154*I154</f>
        <v>1.2719999999999998</v>
      </c>
      <c r="L154" s="101">
        <f>G154*I154</f>
        <v>3.8159999999999994</v>
      </c>
      <c r="M154" s="103" t="str" cm="1">
        <f t="array" ref="M154">_xlfn.IFS(L154&gt;=Constantes!$C$18,$P$5,L154&gt;=Constantes!$C$17,$P$6,L154&gt;=Constantes!$C$16,$P$7,L154&lt;Constantes!$C$16,$P$8)</f>
        <v>LIMITED</v>
      </c>
      <c r="N154" s="113"/>
    </row>
    <row r="155" spans="1:14">
      <c r="A155" s="100" t="s">
        <v>152</v>
      </c>
      <c r="B155" s="100" t="s">
        <v>153</v>
      </c>
      <c r="C155" s="100" t="s">
        <v>88</v>
      </c>
      <c r="D155" s="100" t="s">
        <v>89</v>
      </c>
      <c r="E155" s="101">
        <v>1.875</v>
      </c>
      <c r="F155" s="101">
        <v>1.875</v>
      </c>
      <c r="G155" s="101">
        <v>3.515625</v>
      </c>
      <c r="H155" s="101" t="str" cm="1">
        <f t="array" ref="H155">_xlfn.IFS(G155&gt;=Constantes!$C$18,$P$5,G155&gt;=Constantes!$C$17,$P$6,G155&gt;=Constantes!$C$16,$P$7,G155&lt;Constantes!$C$16,$P$8)</f>
        <v>LIMITED</v>
      </c>
      <c r="I155" s="102">
        <v>0.42399999999999993</v>
      </c>
      <c r="J155" s="101">
        <f>E155*I155</f>
        <v>0.79499999999999993</v>
      </c>
      <c r="K155" s="101">
        <f>F155*I155</f>
        <v>0.79499999999999993</v>
      </c>
      <c r="L155" s="101">
        <f>G155*I155</f>
        <v>1.4906249999999999</v>
      </c>
      <c r="M155" s="103" t="str" cm="1">
        <f t="array" ref="M155">_xlfn.IFS(L155&gt;=Constantes!$C$18,$P$5,L155&gt;=Constantes!$C$17,$P$6,L155&gt;=Constantes!$C$16,$P$7,L155&lt;Constantes!$C$16,$P$8)</f>
        <v>MINOR</v>
      </c>
      <c r="N155" s="113"/>
    </row>
    <row r="156" spans="1:14">
      <c r="A156" s="100" t="s">
        <v>152</v>
      </c>
      <c r="B156" s="100" t="s">
        <v>153</v>
      </c>
      <c r="C156" s="100" t="s">
        <v>112</v>
      </c>
      <c r="D156" s="100" t="s">
        <v>113</v>
      </c>
      <c r="E156" s="101">
        <v>1.25</v>
      </c>
      <c r="F156" s="101">
        <v>1.875</v>
      </c>
      <c r="G156" s="101">
        <v>2.34375</v>
      </c>
      <c r="H156" s="101" t="str" cm="1">
        <f t="array" ref="H156">_xlfn.IFS(G156&gt;=Constantes!$C$18,$P$5,G156&gt;=Constantes!$C$17,$P$6,G156&gt;=Constantes!$C$16,$P$7,G156&lt;Constantes!$C$16,$P$8)</f>
        <v>MINOR</v>
      </c>
      <c r="I156" s="102">
        <v>0.42399999999999993</v>
      </c>
      <c r="J156" s="101">
        <f>E156*I156</f>
        <v>0.52999999999999992</v>
      </c>
      <c r="K156" s="101">
        <f>F156*I156</f>
        <v>0.79499999999999993</v>
      </c>
      <c r="L156" s="101">
        <f>G156*I156</f>
        <v>0.9937499999999998</v>
      </c>
      <c r="M156" s="103" t="str" cm="1">
        <f t="array" ref="M156">_xlfn.IFS(L156&gt;=Constantes!$C$18,$P$5,L156&gt;=Constantes!$C$17,$P$6,L156&gt;=Constantes!$C$16,$P$7,L156&lt;Constantes!$C$16,$P$8)</f>
        <v>MINOR</v>
      </c>
      <c r="N156" s="113"/>
    </row>
    <row r="157" spans="1:14">
      <c r="A157" s="100" t="s">
        <v>152</v>
      </c>
      <c r="B157" s="100" t="s">
        <v>153</v>
      </c>
      <c r="C157" s="100" t="s">
        <v>124</v>
      </c>
      <c r="D157" s="100" t="s">
        <v>125</v>
      </c>
      <c r="E157" s="101">
        <v>2.5</v>
      </c>
      <c r="F157" s="101">
        <v>1.875</v>
      </c>
      <c r="G157" s="101">
        <v>4.6875</v>
      </c>
      <c r="H157" s="101" t="str" cm="1">
        <f t="array" ref="H157">_xlfn.IFS(G157&gt;=Constantes!$C$18,$P$5,G157&gt;=Constantes!$C$17,$P$6,G157&gt;=Constantes!$C$16,$P$7,G157&lt;Constantes!$C$16,$P$8)</f>
        <v>LIMITED</v>
      </c>
      <c r="I157" s="102">
        <v>0.42399999999999993</v>
      </c>
      <c r="J157" s="101">
        <f>E157*I157</f>
        <v>1.0599999999999998</v>
      </c>
      <c r="K157" s="101">
        <f>F157*I157</f>
        <v>0.79499999999999993</v>
      </c>
      <c r="L157" s="101">
        <f>G157*I157</f>
        <v>1.9874999999999996</v>
      </c>
      <c r="M157" s="103" t="str" cm="1">
        <f t="array" ref="M157">_xlfn.IFS(L157&gt;=Constantes!$C$18,$P$5,L157&gt;=Constantes!$C$17,$P$6,L157&gt;=Constantes!$C$16,$P$7,L157&lt;Constantes!$C$16,$P$8)</f>
        <v>MINOR</v>
      </c>
      <c r="N157" s="113"/>
    </row>
    <row r="158" spans="1:14">
      <c r="A158" s="100" t="s">
        <v>152</v>
      </c>
      <c r="B158" s="100" t="s">
        <v>153</v>
      </c>
      <c r="C158" s="100" t="s">
        <v>130</v>
      </c>
      <c r="D158" s="100" t="s">
        <v>131</v>
      </c>
      <c r="E158" s="101">
        <v>1.25</v>
      </c>
      <c r="F158" s="101">
        <v>1.875</v>
      </c>
      <c r="G158" s="101">
        <v>2.34375</v>
      </c>
      <c r="H158" s="101" t="str" cm="1">
        <f t="array" ref="H158">_xlfn.IFS(G158&gt;=Constantes!$C$18,$P$5,G158&gt;=Constantes!$C$17,$P$6,G158&gt;=Constantes!$C$16,$P$7,G158&lt;Constantes!$C$16,$P$8)</f>
        <v>MINOR</v>
      </c>
      <c r="I158" s="102">
        <v>0.42399999999999993</v>
      </c>
      <c r="J158" s="101">
        <f>E158*I158</f>
        <v>0.52999999999999992</v>
      </c>
      <c r="K158" s="101">
        <f>F158*I158</f>
        <v>0.79499999999999993</v>
      </c>
      <c r="L158" s="101">
        <f>G158*I158</f>
        <v>0.9937499999999998</v>
      </c>
      <c r="M158" s="103" t="str" cm="1">
        <f t="array" ref="M158">_xlfn.IFS(L158&gt;=Constantes!$C$18,$P$5,L158&gt;=Constantes!$C$17,$P$6,L158&gt;=Constantes!$C$16,$P$7,L158&lt;Constantes!$C$16,$P$8)</f>
        <v>MINOR</v>
      </c>
      <c r="N158" s="113"/>
    </row>
    <row r="159" spans="1:14">
      <c r="A159" s="100" t="s">
        <v>152</v>
      </c>
      <c r="B159" s="100" t="s">
        <v>153</v>
      </c>
      <c r="C159" s="100" t="s">
        <v>154</v>
      </c>
      <c r="D159" s="100" t="s">
        <v>155</v>
      </c>
      <c r="E159" s="101">
        <v>1.875</v>
      </c>
      <c r="F159" s="101">
        <v>2.5</v>
      </c>
      <c r="G159" s="101">
        <v>4.6875</v>
      </c>
      <c r="H159" s="101" t="str" cm="1">
        <f t="array" ref="H159">_xlfn.IFS(G159&gt;=Constantes!$C$18,$P$5,G159&gt;=Constantes!$C$17,$P$6,G159&gt;=Constantes!$C$16,$P$7,G159&lt;Constantes!$C$16,$P$8)</f>
        <v>LIMITED</v>
      </c>
      <c r="I159" s="102">
        <v>0.45999999999999996</v>
      </c>
      <c r="J159" s="101">
        <f>E159*I159</f>
        <v>0.86249999999999993</v>
      </c>
      <c r="K159" s="101">
        <f>F159*I159</f>
        <v>1.1499999999999999</v>
      </c>
      <c r="L159" s="101">
        <f>G159*I159</f>
        <v>2.15625</v>
      </c>
      <c r="M159" s="103" t="str" cm="1">
        <f t="array" ref="M159">_xlfn.IFS(L159&gt;=Constantes!$C$18,$P$5,L159&gt;=Constantes!$C$17,$P$6,L159&gt;=Constantes!$C$16,$P$7,L159&lt;Constantes!$C$16,$P$8)</f>
        <v>MINOR</v>
      </c>
      <c r="N159" s="113"/>
    </row>
    <row r="160" spans="1:14">
      <c r="A160" s="100" t="s">
        <v>152</v>
      </c>
      <c r="B160" s="100" t="s">
        <v>153</v>
      </c>
      <c r="C160" s="100" t="s">
        <v>160</v>
      </c>
      <c r="D160" s="100" t="s">
        <v>161</v>
      </c>
      <c r="E160" s="101">
        <v>2.5</v>
      </c>
      <c r="F160" s="101">
        <v>2.5</v>
      </c>
      <c r="G160" s="101">
        <v>6.25</v>
      </c>
      <c r="H160" s="101" t="str" cm="1">
        <f t="array" ref="H160">_xlfn.IFS(G160&gt;=Constantes!$C$18,$P$5,G160&gt;=Constantes!$C$17,$P$6,G160&gt;=Constantes!$C$16,$P$7,G160&lt;Constantes!$C$16,$P$8)</f>
        <v>MAJOR</v>
      </c>
      <c r="I160" s="102">
        <v>0.42399999999999993</v>
      </c>
      <c r="J160" s="101">
        <f>E160*I160</f>
        <v>1.0599999999999998</v>
      </c>
      <c r="K160" s="101">
        <f>F160*I160</f>
        <v>1.0599999999999998</v>
      </c>
      <c r="L160" s="101">
        <f>G160*I160</f>
        <v>2.6499999999999995</v>
      </c>
      <c r="M160" s="103" t="str" cm="1">
        <f t="array" ref="M160">_xlfn.IFS(L160&gt;=Constantes!$C$18,$P$5,L160&gt;=Constantes!$C$17,$P$6,L160&gt;=Constantes!$C$16,$P$7,L160&lt;Constantes!$C$16,$P$8)</f>
        <v>MINOR</v>
      </c>
      <c r="N160" s="113"/>
    </row>
    <row r="161" spans="1:14">
      <c r="A161" s="100" t="s">
        <v>158</v>
      </c>
      <c r="B161" s="100" t="s">
        <v>159</v>
      </c>
      <c r="C161" s="100" t="s">
        <v>19</v>
      </c>
      <c r="D161" s="100" t="s">
        <v>20</v>
      </c>
      <c r="E161" s="101">
        <v>0.625</v>
      </c>
      <c r="F161" s="101">
        <v>2.5</v>
      </c>
      <c r="G161" s="101">
        <v>1.5625</v>
      </c>
      <c r="H161" s="101" t="str" cm="1">
        <f t="array" ref="H161">_xlfn.IFS(G161&gt;=Constantes!$C$18,$P$5,G161&gt;=Constantes!$C$17,$P$6,G161&gt;=Constantes!$C$16,$P$7,G161&lt;Constantes!$C$16,$P$8)</f>
        <v>MINOR</v>
      </c>
      <c r="I161" s="102">
        <v>0.42399999999999993</v>
      </c>
      <c r="J161" s="101">
        <f>E161*I161</f>
        <v>0.26499999999999996</v>
      </c>
      <c r="K161" s="101">
        <f>F161*I161</f>
        <v>1.0599999999999998</v>
      </c>
      <c r="L161" s="101">
        <f>G161*I161</f>
        <v>0.66249999999999987</v>
      </c>
      <c r="M161" s="103" t="str" cm="1">
        <f t="array" ref="M161">_xlfn.IFS(L161&gt;=Constantes!$C$18,$P$5,L161&gt;=Constantes!$C$17,$P$6,L161&gt;=Constantes!$C$16,$P$7,L161&lt;Constantes!$C$16,$P$8)</f>
        <v>MINOR</v>
      </c>
      <c r="N161" s="113"/>
    </row>
    <row r="162" spans="1:14">
      <c r="A162" s="100" t="s">
        <v>158</v>
      </c>
      <c r="B162" s="100" t="s">
        <v>159</v>
      </c>
      <c r="C162" s="100" t="s">
        <v>68</v>
      </c>
      <c r="D162" s="100" t="s">
        <v>69</v>
      </c>
      <c r="E162" s="101">
        <v>0.625</v>
      </c>
      <c r="F162" s="101">
        <v>1.875</v>
      </c>
      <c r="G162" s="101">
        <v>1.171875</v>
      </c>
      <c r="H162" s="101" t="str" cm="1">
        <f t="array" ref="H162">_xlfn.IFS(G162&gt;=Constantes!$C$18,$P$5,G162&gt;=Constantes!$C$17,$P$6,G162&gt;=Constantes!$C$16,$P$7,G162&lt;Constantes!$C$16,$P$8)</f>
        <v>MINOR</v>
      </c>
      <c r="I162" s="102">
        <v>0.42399999999999993</v>
      </c>
      <c r="J162" s="101">
        <f>E162*I162</f>
        <v>0.26499999999999996</v>
      </c>
      <c r="K162" s="101">
        <f>F162*I162</f>
        <v>0.79499999999999993</v>
      </c>
      <c r="L162" s="101">
        <f>G162*I162</f>
        <v>0.4968749999999999</v>
      </c>
      <c r="M162" s="103" t="str" cm="1">
        <f t="array" ref="M162">_xlfn.IFS(L162&gt;=Constantes!$C$18,$P$5,L162&gt;=Constantes!$C$17,$P$6,L162&gt;=Constantes!$C$16,$P$7,L162&lt;Constantes!$C$16,$P$8)</f>
        <v>MINOR</v>
      </c>
      <c r="N162" s="113"/>
    </row>
    <row r="163" spans="1:14">
      <c r="A163" s="100" t="s">
        <v>158</v>
      </c>
      <c r="B163" s="100" t="s">
        <v>159</v>
      </c>
      <c r="C163" s="100" t="s">
        <v>94</v>
      </c>
      <c r="D163" s="100" t="s">
        <v>95</v>
      </c>
      <c r="E163" s="101">
        <v>0.625</v>
      </c>
      <c r="F163" s="101">
        <v>2.5</v>
      </c>
      <c r="G163" s="101">
        <v>1.5625</v>
      </c>
      <c r="H163" s="101" t="str" cm="1">
        <f t="array" ref="H163">_xlfn.IFS(G163&gt;=Constantes!$C$18,$P$5,G163&gt;=Constantes!$C$17,$P$6,G163&gt;=Constantes!$C$16,$P$7,G163&lt;Constantes!$C$16,$P$8)</f>
        <v>MINOR</v>
      </c>
      <c r="I163" s="102">
        <v>0.42399999999999993</v>
      </c>
      <c r="J163" s="101">
        <f>E163*I163</f>
        <v>0.26499999999999996</v>
      </c>
      <c r="K163" s="101">
        <f>F163*I163</f>
        <v>1.0599999999999998</v>
      </c>
      <c r="L163" s="101">
        <f>G163*I163</f>
        <v>0.66249999999999987</v>
      </c>
      <c r="M163" s="103" t="str" cm="1">
        <f t="array" ref="M163">_xlfn.IFS(L163&gt;=Constantes!$C$18,$P$5,L163&gt;=Constantes!$C$17,$P$6,L163&gt;=Constantes!$C$16,$P$7,L163&lt;Constantes!$C$16,$P$8)</f>
        <v>MINOR</v>
      </c>
      <c r="N163" s="113"/>
    </row>
    <row r="164" spans="1:14">
      <c r="A164" s="100" t="s">
        <v>158</v>
      </c>
      <c r="B164" s="100" t="s">
        <v>159</v>
      </c>
      <c r="C164" s="100" t="s">
        <v>154</v>
      </c>
      <c r="D164" s="100" t="s">
        <v>155</v>
      </c>
      <c r="E164" s="101">
        <v>1.875</v>
      </c>
      <c r="F164" s="101">
        <v>2.5</v>
      </c>
      <c r="G164" s="101">
        <v>4.6875</v>
      </c>
      <c r="H164" s="101" t="str" cm="1">
        <f t="array" ref="H164">_xlfn.IFS(G164&gt;=Constantes!$C$18,$P$5,G164&gt;=Constantes!$C$17,$P$6,G164&gt;=Constantes!$C$16,$P$7,G164&lt;Constantes!$C$16,$P$8)</f>
        <v>LIMITED</v>
      </c>
      <c r="I164" s="102">
        <v>0.45999999999999996</v>
      </c>
      <c r="J164" s="101">
        <f>E164*I164</f>
        <v>0.86249999999999993</v>
      </c>
      <c r="K164" s="101">
        <f>F164*I164</f>
        <v>1.1499999999999999</v>
      </c>
      <c r="L164" s="101">
        <f>G164*I164</f>
        <v>2.15625</v>
      </c>
      <c r="M164" s="103" t="str" cm="1">
        <f t="array" ref="M164">_xlfn.IFS(L164&gt;=Constantes!$C$18,$P$5,L164&gt;=Constantes!$C$17,$P$6,L164&gt;=Constantes!$C$16,$P$7,L164&lt;Constantes!$C$16,$P$8)</f>
        <v>MINOR</v>
      </c>
      <c r="N164" s="113"/>
    </row>
    <row r="165" spans="1:14">
      <c r="A165" s="100" t="s">
        <v>158</v>
      </c>
      <c r="B165" s="100" t="s">
        <v>159</v>
      </c>
      <c r="C165" s="100" t="s">
        <v>160</v>
      </c>
      <c r="D165" s="100" t="s">
        <v>161</v>
      </c>
      <c r="E165" s="101">
        <v>2.5</v>
      </c>
      <c r="F165" s="101">
        <v>2.5</v>
      </c>
      <c r="G165" s="101">
        <v>6.25</v>
      </c>
      <c r="H165" s="101" t="str" cm="1">
        <f t="array" ref="H165">_xlfn.IFS(G165&gt;=Constantes!$C$18,$P$5,G165&gt;=Constantes!$C$17,$P$6,G165&gt;=Constantes!$C$16,$P$7,G165&lt;Constantes!$C$16,$P$8)</f>
        <v>MAJOR</v>
      </c>
      <c r="I165" s="102">
        <v>0.42399999999999993</v>
      </c>
      <c r="J165" s="101">
        <f>E165*I165</f>
        <v>1.0599999999999998</v>
      </c>
      <c r="K165" s="101">
        <f>F165*I165</f>
        <v>1.0599999999999998</v>
      </c>
      <c r="L165" s="101">
        <f>G165*I165</f>
        <v>2.6499999999999995</v>
      </c>
      <c r="M165" s="103" t="str" cm="1">
        <f t="array" ref="M165">_xlfn.IFS(L165&gt;=Constantes!$C$18,$P$5,L165&gt;=Constantes!$C$17,$P$6,L165&gt;=Constantes!$C$16,$P$7,L165&lt;Constantes!$C$16,$P$8)</f>
        <v>MINOR</v>
      </c>
      <c r="N165" s="113"/>
    </row>
    <row r="166" spans="1:14">
      <c r="A166" s="100" t="s">
        <v>164</v>
      </c>
      <c r="B166" s="100" t="s">
        <v>165</v>
      </c>
      <c r="C166" s="100" t="s">
        <v>19</v>
      </c>
      <c r="D166" s="100" t="s">
        <v>20</v>
      </c>
      <c r="E166" s="101">
        <v>1</v>
      </c>
      <c r="F166" s="101">
        <v>4</v>
      </c>
      <c r="G166" s="101">
        <v>4</v>
      </c>
      <c r="H166" s="101" t="str" cm="1">
        <f t="array" ref="H166">_xlfn.IFS(G166&gt;=Constantes!$C$18,$P$5,G166&gt;=Constantes!$C$17,$P$6,G166&gt;=Constantes!$C$16,$P$7,G166&lt;Constantes!$C$16,$P$8)</f>
        <v>LIMITED</v>
      </c>
      <c r="I166" s="102">
        <v>0.42399999999999993</v>
      </c>
      <c r="J166" s="101">
        <f>E166*I166</f>
        <v>0.42399999999999993</v>
      </c>
      <c r="K166" s="101">
        <f>F166*I166</f>
        <v>1.6959999999999997</v>
      </c>
      <c r="L166" s="101">
        <f>G166*I166</f>
        <v>1.6959999999999997</v>
      </c>
      <c r="M166" s="103" t="str" cm="1">
        <f t="array" ref="M166">_xlfn.IFS(L166&gt;=Constantes!$C$18,$P$5,L166&gt;=Constantes!$C$17,$P$6,L166&gt;=Constantes!$C$16,$P$7,L166&lt;Constantes!$C$16,$P$8)</f>
        <v>MINOR</v>
      </c>
      <c r="N166" s="113"/>
    </row>
    <row r="167" spans="1:14">
      <c r="A167" s="100" t="s">
        <v>164</v>
      </c>
      <c r="B167" s="100" t="s">
        <v>165</v>
      </c>
      <c r="C167" s="100" t="s">
        <v>68</v>
      </c>
      <c r="D167" s="100" t="s">
        <v>69</v>
      </c>
      <c r="E167" s="101">
        <v>1</v>
      </c>
      <c r="F167" s="101">
        <v>3</v>
      </c>
      <c r="G167" s="101">
        <v>3</v>
      </c>
      <c r="H167" s="101" t="str" cm="1">
        <f t="array" ref="H167">_xlfn.IFS(G167&gt;=Constantes!$C$18,$P$5,G167&gt;=Constantes!$C$17,$P$6,G167&gt;=Constantes!$C$16,$P$7,G167&lt;Constantes!$C$16,$P$8)</f>
        <v>LIMITED</v>
      </c>
      <c r="I167" s="102">
        <v>0.42399999999999993</v>
      </c>
      <c r="J167" s="101">
        <f>E167*I167</f>
        <v>0.42399999999999993</v>
      </c>
      <c r="K167" s="101">
        <f>F167*I167</f>
        <v>1.2719999999999998</v>
      </c>
      <c r="L167" s="101">
        <f>G167*I167</f>
        <v>1.2719999999999998</v>
      </c>
      <c r="M167" s="103" t="str" cm="1">
        <f t="array" ref="M167">_xlfn.IFS(L167&gt;=Constantes!$C$18,$P$5,L167&gt;=Constantes!$C$17,$P$6,L167&gt;=Constantes!$C$16,$P$7,L167&lt;Constantes!$C$16,$P$8)</f>
        <v>MINOR</v>
      </c>
      <c r="N167" s="113"/>
    </row>
    <row r="168" spans="1:14">
      <c r="A168" s="100" t="s">
        <v>164</v>
      </c>
      <c r="B168" s="100" t="s">
        <v>165</v>
      </c>
      <c r="C168" s="100" t="s">
        <v>94</v>
      </c>
      <c r="D168" s="100" t="s">
        <v>95</v>
      </c>
      <c r="E168" s="101">
        <v>1</v>
      </c>
      <c r="F168" s="101">
        <v>4</v>
      </c>
      <c r="G168" s="101">
        <v>4</v>
      </c>
      <c r="H168" s="101" t="str" cm="1">
        <f t="array" ref="H168">_xlfn.IFS(G168&gt;=Constantes!$C$18,$P$5,G168&gt;=Constantes!$C$17,$P$6,G168&gt;=Constantes!$C$16,$P$7,G168&lt;Constantes!$C$16,$P$8)</f>
        <v>LIMITED</v>
      </c>
      <c r="I168" s="102">
        <v>0.42399999999999993</v>
      </c>
      <c r="J168" s="101">
        <f>E168*I168</f>
        <v>0.42399999999999993</v>
      </c>
      <c r="K168" s="101">
        <f>F168*I168</f>
        <v>1.6959999999999997</v>
      </c>
      <c r="L168" s="101">
        <f>G168*I168</f>
        <v>1.6959999999999997</v>
      </c>
      <c r="M168" s="103" t="str" cm="1">
        <f t="array" ref="M168">_xlfn.IFS(L168&gt;=Constantes!$C$18,$P$5,L168&gt;=Constantes!$C$17,$P$6,L168&gt;=Constantes!$C$16,$P$7,L168&lt;Constantes!$C$16,$P$8)</f>
        <v>MINOR</v>
      </c>
      <c r="N168" s="113"/>
    </row>
    <row r="169" spans="1:14">
      <c r="A169" s="100" t="s">
        <v>164</v>
      </c>
      <c r="B169" s="100" t="s">
        <v>165</v>
      </c>
      <c r="C169" s="100" t="s">
        <v>154</v>
      </c>
      <c r="D169" s="100" t="s">
        <v>155</v>
      </c>
      <c r="E169" s="101">
        <v>3</v>
      </c>
      <c r="F169" s="101">
        <v>4</v>
      </c>
      <c r="G169" s="101">
        <v>12</v>
      </c>
      <c r="H169" s="101" t="str" cm="1">
        <f t="array" ref="H169">_xlfn.IFS(G169&gt;=Constantes!$C$18,$P$5,G169&gt;=Constantes!$C$17,$P$6,G169&gt;=Constantes!$C$16,$P$7,G169&lt;Constantes!$C$16,$P$8)</f>
        <v>CRITICAL</v>
      </c>
      <c r="I169" s="102">
        <v>0.45999999999999996</v>
      </c>
      <c r="J169" s="101">
        <f>E169*I169</f>
        <v>1.38</v>
      </c>
      <c r="K169" s="101">
        <f>F169*I169</f>
        <v>1.8399999999999999</v>
      </c>
      <c r="L169" s="101">
        <f>G169*I169</f>
        <v>5.52</v>
      </c>
      <c r="M169" s="103" t="str" cm="1">
        <f t="array" ref="M169">_xlfn.IFS(L169&gt;=Constantes!$C$18,$P$5,L169&gt;=Constantes!$C$17,$P$6,L169&gt;=Constantes!$C$16,$P$7,L169&lt;Constantes!$C$16,$P$8)</f>
        <v>LIMITED</v>
      </c>
      <c r="N169" s="113"/>
    </row>
    <row r="170" spans="1:14">
      <c r="A170" s="100" t="s">
        <v>164</v>
      </c>
      <c r="B170" s="100" t="s">
        <v>165</v>
      </c>
      <c r="C170" s="100" t="s">
        <v>160</v>
      </c>
      <c r="D170" s="100" t="s">
        <v>161</v>
      </c>
      <c r="E170" s="101">
        <v>4</v>
      </c>
      <c r="F170" s="101">
        <v>4</v>
      </c>
      <c r="G170" s="101">
        <v>16</v>
      </c>
      <c r="H170" s="101" t="str" cm="1">
        <f t="array" ref="H170">_xlfn.IFS(G170&gt;=Constantes!$C$18,$P$5,G170&gt;=Constantes!$C$17,$P$6,G170&gt;=Constantes!$C$16,$P$7,G170&lt;Constantes!$C$16,$P$8)</f>
        <v>CRITICAL</v>
      </c>
      <c r="I170" s="102">
        <v>0.42399999999999993</v>
      </c>
      <c r="J170" s="101">
        <f>E170*I170</f>
        <v>1.6959999999999997</v>
      </c>
      <c r="K170" s="101">
        <f>F170*I170</f>
        <v>1.6959999999999997</v>
      </c>
      <c r="L170" s="101">
        <f>G170*I170</f>
        <v>6.7839999999999989</v>
      </c>
      <c r="M170" s="103" t="str" cm="1">
        <f t="array" ref="M170">_xlfn.IFS(L170&gt;=Constantes!$C$18,$P$5,L170&gt;=Constantes!$C$17,$P$6,L170&gt;=Constantes!$C$16,$P$7,L170&lt;Constantes!$C$16,$P$8)</f>
        <v>MAJOR</v>
      </c>
      <c r="N170" s="113"/>
    </row>
    <row r="171" spans="1:14">
      <c r="A171" s="100" t="s">
        <v>170</v>
      </c>
      <c r="B171" s="100" t="s">
        <v>171</v>
      </c>
      <c r="C171" s="100" t="s">
        <v>27</v>
      </c>
      <c r="D171" s="100" t="s">
        <v>28</v>
      </c>
      <c r="E171" s="101">
        <v>3</v>
      </c>
      <c r="F171" s="101">
        <v>4</v>
      </c>
      <c r="G171" s="101">
        <v>12</v>
      </c>
      <c r="H171" s="101" t="str" cm="1">
        <f t="array" ref="H171">_xlfn.IFS(G171&gt;=Constantes!$C$18,$P$5,G171&gt;=Constantes!$C$17,$P$6,G171&gt;=Constantes!$C$16,$P$7,G171&lt;Constantes!$C$16,$P$8)</f>
        <v>CRITICAL</v>
      </c>
      <c r="I171" s="102">
        <v>0.42399999999999993</v>
      </c>
      <c r="J171" s="101">
        <f>E171*I171</f>
        <v>1.2719999999999998</v>
      </c>
      <c r="K171" s="101">
        <f>F171*I171</f>
        <v>1.6959999999999997</v>
      </c>
      <c r="L171" s="101">
        <f>G171*I171</f>
        <v>5.0879999999999992</v>
      </c>
      <c r="M171" s="103" t="str" cm="1">
        <f t="array" ref="M171">_xlfn.IFS(L171&gt;=Constantes!$C$18,$P$5,L171&gt;=Constantes!$C$17,$P$6,L171&gt;=Constantes!$C$16,$P$7,L171&lt;Constantes!$C$16,$P$8)</f>
        <v>LIMITED</v>
      </c>
      <c r="N171" s="113"/>
    </row>
    <row r="172" spans="1:14">
      <c r="A172" s="100" t="s">
        <v>170</v>
      </c>
      <c r="B172" s="100" t="s">
        <v>171</v>
      </c>
      <c r="C172" s="100" t="s">
        <v>35</v>
      </c>
      <c r="D172" s="100" t="s">
        <v>36</v>
      </c>
      <c r="E172" s="101">
        <v>2</v>
      </c>
      <c r="F172" s="101">
        <v>3</v>
      </c>
      <c r="G172" s="101">
        <v>6</v>
      </c>
      <c r="H172" s="101" t="str" cm="1">
        <f t="array" ref="H172">_xlfn.IFS(G172&gt;=Constantes!$C$18,$P$5,G172&gt;=Constantes!$C$17,$P$6,G172&gt;=Constantes!$C$16,$P$7,G172&lt;Constantes!$C$16,$P$8)</f>
        <v>MAJOR</v>
      </c>
      <c r="I172" s="102">
        <v>0.42399999999999993</v>
      </c>
      <c r="J172" s="101">
        <f>E172*I172</f>
        <v>0.84799999999999986</v>
      </c>
      <c r="K172" s="101">
        <f>F172*I172</f>
        <v>1.2719999999999998</v>
      </c>
      <c r="L172" s="101">
        <f>G172*I172</f>
        <v>2.5439999999999996</v>
      </c>
      <c r="M172" s="103" t="str" cm="1">
        <f t="array" ref="M172">_xlfn.IFS(L172&gt;=Constantes!$C$18,$P$5,L172&gt;=Constantes!$C$17,$P$6,L172&gt;=Constantes!$C$16,$P$7,L172&lt;Constantes!$C$16,$P$8)</f>
        <v>MINOR</v>
      </c>
      <c r="N172" s="113"/>
    </row>
    <row r="173" spans="1:14">
      <c r="A173" s="100" t="s">
        <v>170</v>
      </c>
      <c r="B173" s="100" t="s">
        <v>171</v>
      </c>
      <c r="C173" s="100" t="s">
        <v>44</v>
      </c>
      <c r="D173" s="100" t="s">
        <v>45</v>
      </c>
      <c r="E173" s="101">
        <v>4</v>
      </c>
      <c r="F173" s="101">
        <v>4</v>
      </c>
      <c r="G173" s="101">
        <v>16</v>
      </c>
      <c r="H173" s="101" t="str" cm="1">
        <f t="array" ref="H173">_xlfn.IFS(G173&gt;=Constantes!$C$18,$P$5,G173&gt;=Constantes!$C$17,$P$6,G173&gt;=Constantes!$C$16,$P$7,G173&lt;Constantes!$C$16,$P$8)</f>
        <v>CRITICAL</v>
      </c>
      <c r="I173" s="102">
        <v>0.42399999999999993</v>
      </c>
      <c r="J173" s="101">
        <f>E173*I173</f>
        <v>1.6959999999999997</v>
      </c>
      <c r="K173" s="101">
        <f>F173*I173</f>
        <v>1.6959999999999997</v>
      </c>
      <c r="L173" s="101">
        <f>G173*I173</f>
        <v>6.7839999999999989</v>
      </c>
      <c r="M173" s="103" t="str" cm="1">
        <f t="array" ref="M173">_xlfn.IFS(L173&gt;=Constantes!$C$18,$P$5,L173&gt;=Constantes!$C$17,$P$6,L173&gt;=Constantes!$C$16,$P$7,L173&lt;Constantes!$C$16,$P$8)</f>
        <v>MAJOR</v>
      </c>
      <c r="N173" s="113"/>
    </row>
    <row r="174" spans="1:14">
      <c r="A174" s="100" t="s">
        <v>170</v>
      </c>
      <c r="B174" s="100" t="s">
        <v>171</v>
      </c>
      <c r="C174" s="100" t="s">
        <v>53</v>
      </c>
      <c r="D174" s="100" t="s">
        <v>328</v>
      </c>
      <c r="E174" s="101">
        <v>4</v>
      </c>
      <c r="F174" s="101">
        <v>4</v>
      </c>
      <c r="G174" s="101">
        <v>16</v>
      </c>
      <c r="H174" s="101" t="str" cm="1">
        <f t="array" ref="H174">_xlfn.IFS(G174&gt;=Constantes!$C$18,$P$5,G174&gt;=Constantes!$C$17,$P$6,G174&gt;=Constantes!$C$16,$P$7,G174&lt;Constantes!$C$16,$P$8)</f>
        <v>CRITICAL</v>
      </c>
      <c r="I174" s="102">
        <v>0.42399999999999993</v>
      </c>
      <c r="J174" s="101">
        <f>E174*I174</f>
        <v>1.6959999999999997</v>
      </c>
      <c r="K174" s="101">
        <f>F174*I174</f>
        <v>1.6959999999999997</v>
      </c>
      <c r="L174" s="101">
        <f>G174*I174</f>
        <v>6.7839999999999989</v>
      </c>
      <c r="M174" s="103" t="str" cm="1">
        <f t="array" ref="M174">_xlfn.IFS(L174&gt;=Constantes!$C$18,$P$5,L174&gt;=Constantes!$C$17,$P$6,L174&gt;=Constantes!$C$16,$P$7,L174&lt;Constantes!$C$16,$P$8)</f>
        <v>MAJOR</v>
      </c>
      <c r="N174" s="113"/>
    </row>
    <row r="175" spans="1:14">
      <c r="A175" s="100" t="s">
        <v>170</v>
      </c>
      <c r="B175" s="100" t="s">
        <v>171</v>
      </c>
      <c r="C175" s="100" t="s">
        <v>60</v>
      </c>
      <c r="D175" s="100" t="s">
        <v>61</v>
      </c>
      <c r="E175" s="101">
        <v>3</v>
      </c>
      <c r="F175" s="101">
        <v>4</v>
      </c>
      <c r="G175" s="101">
        <v>12</v>
      </c>
      <c r="H175" s="101" t="str" cm="1">
        <f t="array" ref="H175">_xlfn.IFS(G175&gt;=Constantes!$C$18,$P$5,G175&gt;=Constantes!$C$17,$P$6,G175&gt;=Constantes!$C$16,$P$7,G175&lt;Constantes!$C$16,$P$8)</f>
        <v>CRITICAL</v>
      </c>
      <c r="I175" s="102">
        <v>0.42399999999999993</v>
      </c>
      <c r="J175" s="101">
        <f>E175*I175</f>
        <v>1.2719999999999998</v>
      </c>
      <c r="K175" s="101">
        <f>F175*I175</f>
        <v>1.6959999999999997</v>
      </c>
      <c r="L175" s="101">
        <f>G175*I175</f>
        <v>5.0879999999999992</v>
      </c>
      <c r="M175" s="103" t="str" cm="1">
        <f t="array" ref="M175">_xlfn.IFS(L175&gt;=Constantes!$C$18,$P$5,L175&gt;=Constantes!$C$17,$P$6,L175&gt;=Constantes!$C$16,$P$7,L175&lt;Constantes!$C$16,$P$8)</f>
        <v>LIMITED</v>
      </c>
      <c r="N175" s="113"/>
    </row>
    <row r="176" spans="1:14">
      <c r="A176" s="100" t="s">
        <v>170</v>
      </c>
      <c r="B176" s="100" t="s">
        <v>171</v>
      </c>
      <c r="C176" s="100" t="s">
        <v>118</v>
      </c>
      <c r="D176" s="100" t="s">
        <v>119</v>
      </c>
      <c r="E176" s="101">
        <v>2</v>
      </c>
      <c r="F176" s="101">
        <v>4</v>
      </c>
      <c r="G176" s="101">
        <v>8</v>
      </c>
      <c r="H176" s="101" t="str" cm="1">
        <f t="array" ref="H176">_xlfn.IFS(G176&gt;=Constantes!$C$18,$P$5,G176&gt;=Constantes!$C$17,$P$6,G176&gt;=Constantes!$C$16,$P$7,G176&lt;Constantes!$C$16,$P$8)</f>
        <v>MAJOR</v>
      </c>
      <c r="I176" s="102">
        <v>0.45999999999999996</v>
      </c>
      <c r="J176" s="101">
        <f>E176*I176</f>
        <v>0.91999999999999993</v>
      </c>
      <c r="K176" s="101">
        <f>F176*I176</f>
        <v>1.8399999999999999</v>
      </c>
      <c r="L176" s="101">
        <f>G176*I176</f>
        <v>3.6799999999999997</v>
      </c>
      <c r="M176" s="103" t="str" cm="1">
        <f t="array" ref="M176">_xlfn.IFS(L176&gt;=Constantes!$C$18,$P$5,L176&gt;=Constantes!$C$17,$P$6,L176&gt;=Constantes!$C$16,$P$7,L176&lt;Constantes!$C$16,$P$8)</f>
        <v>LIMITED</v>
      </c>
      <c r="N176" s="113"/>
    </row>
    <row r="177" spans="1:14">
      <c r="A177" s="100" t="s">
        <v>176</v>
      </c>
      <c r="B177" s="100" t="s">
        <v>177</v>
      </c>
      <c r="C177" s="100" t="s">
        <v>27</v>
      </c>
      <c r="D177" s="100" t="s">
        <v>28</v>
      </c>
      <c r="E177" s="101">
        <v>0.75</v>
      </c>
      <c r="F177" s="101">
        <v>1</v>
      </c>
      <c r="G177" s="101">
        <v>0.75</v>
      </c>
      <c r="H177" s="101" t="str" cm="1">
        <f t="array" ref="H177">_xlfn.IFS(G177&gt;=Constantes!$C$18,$P$5,G177&gt;=Constantes!$C$17,$P$6,G177&gt;=Constantes!$C$16,$P$7,G177&lt;Constantes!$C$16,$P$8)</f>
        <v>MINOR</v>
      </c>
      <c r="I177" s="102">
        <v>0.42399999999999993</v>
      </c>
      <c r="J177" s="101">
        <f>E177*I177</f>
        <v>0.31799999999999995</v>
      </c>
      <c r="K177" s="101">
        <f>F177*I177</f>
        <v>0.42399999999999993</v>
      </c>
      <c r="L177" s="101">
        <f>G177*I177</f>
        <v>0.31799999999999995</v>
      </c>
      <c r="M177" s="103" t="str" cm="1">
        <f t="array" ref="M177">_xlfn.IFS(L177&gt;=Constantes!$C$18,$P$5,L177&gt;=Constantes!$C$17,$P$6,L177&gt;=Constantes!$C$16,$P$7,L177&lt;Constantes!$C$16,$P$8)</f>
        <v>MINOR</v>
      </c>
      <c r="N177" s="113"/>
    </row>
    <row r="178" spans="1:14">
      <c r="A178" s="100" t="s">
        <v>176</v>
      </c>
      <c r="B178" s="100" t="s">
        <v>177</v>
      </c>
      <c r="C178" s="100" t="s">
        <v>35</v>
      </c>
      <c r="D178" s="100" t="s">
        <v>36</v>
      </c>
      <c r="E178" s="101">
        <v>0.5</v>
      </c>
      <c r="F178" s="101">
        <v>0.75</v>
      </c>
      <c r="G178" s="101">
        <v>0.375</v>
      </c>
      <c r="H178" s="101" t="str" cm="1">
        <f t="array" ref="H178">_xlfn.IFS(G178&gt;=Constantes!$C$18,$P$5,G178&gt;=Constantes!$C$17,$P$6,G178&gt;=Constantes!$C$16,$P$7,G178&lt;Constantes!$C$16,$P$8)</f>
        <v>MINOR</v>
      </c>
      <c r="I178" s="102">
        <v>0.42399999999999993</v>
      </c>
      <c r="J178" s="101">
        <f>E178*I178</f>
        <v>0.21199999999999997</v>
      </c>
      <c r="K178" s="101">
        <f>F178*I178</f>
        <v>0.31799999999999995</v>
      </c>
      <c r="L178" s="101">
        <f>G178*I178</f>
        <v>0.15899999999999997</v>
      </c>
      <c r="M178" s="103" t="str" cm="1">
        <f t="array" ref="M178">_xlfn.IFS(L178&gt;=Constantes!$C$18,$P$5,L178&gt;=Constantes!$C$17,$P$6,L178&gt;=Constantes!$C$16,$P$7,L178&lt;Constantes!$C$16,$P$8)</f>
        <v>MINOR</v>
      </c>
      <c r="N178" s="113"/>
    </row>
    <row r="179" spans="1:14">
      <c r="A179" s="100" t="s">
        <v>176</v>
      </c>
      <c r="B179" s="100" t="s">
        <v>177</v>
      </c>
      <c r="C179" s="100" t="s">
        <v>44</v>
      </c>
      <c r="D179" s="100" t="s">
        <v>45</v>
      </c>
      <c r="E179" s="101">
        <v>1</v>
      </c>
      <c r="F179" s="101">
        <v>1</v>
      </c>
      <c r="G179" s="101">
        <v>1</v>
      </c>
      <c r="H179" s="101" t="str" cm="1">
        <f t="array" ref="H179">_xlfn.IFS(G179&gt;=Constantes!$C$18,$P$5,G179&gt;=Constantes!$C$17,$P$6,G179&gt;=Constantes!$C$16,$P$7,G179&lt;Constantes!$C$16,$P$8)</f>
        <v>MINOR</v>
      </c>
      <c r="I179" s="102">
        <v>0.42399999999999993</v>
      </c>
      <c r="J179" s="101">
        <f>E179*I179</f>
        <v>0.42399999999999993</v>
      </c>
      <c r="K179" s="101">
        <f>F179*I179</f>
        <v>0.42399999999999993</v>
      </c>
      <c r="L179" s="101">
        <f>G179*I179</f>
        <v>0.42399999999999993</v>
      </c>
      <c r="M179" s="103" t="str" cm="1">
        <f t="array" ref="M179">_xlfn.IFS(L179&gt;=Constantes!$C$18,$P$5,L179&gt;=Constantes!$C$17,$P$6,L179&gt;=Constantes!$C$16,$P$7,L179&lt;Constantes!$C$16,$P$8)</f>
        <v>MINOR</v>
      </c>
      <c r="N179" s="113"/>
    </row>
    <row r="180" spans="1:14">
      <c r="A180" s="100" t="s">
        <v>176</v>
      </c>
      <c r="B180" s="100" t="s">
        <v>177</v>
      </c>
      <c r="C180" s="100" t="s">
        <v>53</v>
      </c>
      <c r="D180" s="100" t="s">
        <v>328</v>
      </c>
      <c r="E180" s="101">
        <v>1</v>
      </c>
      <c r="F180" s="101">
        <v>1</v>
      </c>
      <c r="G180" s="101">
        <v>1</v>
      </c>
      <c r="H180" s="101" t="str" cm="1">
        <f t="array" ref="H180">_xlfn.IFS(G180&gt;=Constantes!$C$18,$P$5,G180&gt;=Constantes!$C$17,$P$6,G180&gt;=Constantes!$C$16,$P$7,G180&lt;Constantes!$C$16,$P$8)</f>
        <v>MINOR</v>
      </c>
      <c r="I180" s="102">
        <v>0.42399999999999993</v>
      </c>
      <c r="J180" s="101">
        <f>E180*I180</f>
        <v>0.42399999999999993</v>
      </c>
      <c r="K180" s="101">
        <f>F180*I180</f>
        <v>0.42399999999999993</v>
      </c>
      <c r="L180" s="101">
        <f>G180*I180</f>
        <v>0.42399999999999993</v>
      </c>
      <c r="M180" s="103" t="str" cm="1">
        <f t="array" ref="M180">_xlfn.IFS(L180&gt;=Constantes!$C$18,$P$5,L180&gt;=Constantes!$C$17,$P$6,L180&gt;=Constantes!$C$16,$P$7,L180&lt;Constantes!$C$16,$P$8)</f>
        <v>MINOR</v>
      </c>
      <c r="N180" s="113"/>
    </row>
    <row r="181" spans="1:14">
      <c r="A181" s="100" t="s">
        <v>176</v>
      </c>
      <c r="B181" s="100" t="s">
        <v>177</v>
      </c>
      <c r="C181" s="100" t="s">
        <v>60</v>
      </c>
      <c r="D181" s="100" t="s">
        <v>61</v>
      </c>
      <c r="E181" s="101">
        <v>0.75</v>
      </c>
      <c r="F181" s="101">
        <v>1</v>
      </c>
      <c r="G181" s="101">
        <v>0.75</v>
      </c>
      <c r="H181" s="101" t="str" cm="1">
        <f t="array" ref="H181">_xlfn.IFS(G181&gt;=Constantes!$C$18,$P$5,G181&gt;=Constantes!$C$17,$P$6,G181&gt;=Constantes!$C$16,$P$7,G181&lt;Constantes!$C$16,$P$8)</f>
        <v>MINOR</v>
      </c>
      <c r="I181" s="102">
        <v>0.42399999999999993</v>
      </c>
      <c r="J181" s="101">
        <f>E181*I181</f>
        <v>0.31799999999999995</v>
      </c>
      <c r="K181" s="101">
        <f>F181*I181</f>
        <v>0.42399999999999993</v>
      </c>
      <c r="L181" s="101">
        <f>G181*I181</f>
        <v>0.31799999999999995</v>
      </c>
      <c r="M181" s="103" t="str" cm="1">
        <f t="array" ref="M181">_xlfn.IFS(L181&gt;=Constantes!$C$18,$P$5,L181&gt;=Constantes!$C$17,$P$6,L181&gt;=Constantes!$C$16,$P$7,L181&lt;Constantes!$C$16,$P$8)</f>
        <v>MINOR</v>
      </c>
      <c r="N181" s="113"/>
    </row>
    <row r="182" spans="1:14">
      <c r="A182" s="100" t="s">
        <v>176</v>
      </c>
      <c r="B182" s="100" t="s">
        <v>177</v>
      </c>
      <c r="C182" s="100" t="s">
        <v>118</v>
      </c>
      <c r="D182" s="100" t="s">
        <v>119</v>
      </c>
      <c r="E182" s="101">
        <v>0.5</v>
      </c>
      <c r="F182" s="101">
        <v>1</v>
      </c>
      <c r="G182" s="101">
        <v>0.5</v>
      </c>
      <c r="H182" s="101" t="str" cm="1">
        <f t="array" ref="H182">_xlfn.IFS(G182&gt;=Constantes!$C$18,$P$5,G182&gt;=Constantes!$C$17,$P$6,G182&gt;=Constantes!$C$16,$P$7,G182&lt;Constantes!$C$16,$P$8)</f>
        <v>MINOR</v>
      </c>
      <c r="I182" s="102">
        <v>0.45999999999999996</v>
      </c>
      <c r="J182" s="101">
        <f>E182*I182</f>
        <v>0.22999999999999998</v>
      </c>
      <c r="K182" s="101">
        <f>F182*I182</f>
        <v>0.45999999999999996</v>
      </c>
      <c r="L182" s="101">
        <f>G182*I182</f>
        <v>0.22999999999999998</v>
      </c>
      <c r="M182" s="103" t="str" cm="1">
        <f t="array" ref="M182">_xlfn.IFS(L182&gt;=Constantes!$C$18,$P$5,L182&gt;=Constantes!$C$17,$P$6,L182&gt;=Constantes!$C$16,$P$7,L182&lt;Constantes!$C$16,$P$8)</f>
        <v>MINOR</v>
      </c>
      <c r="N182" s="113"/>
    </row>
    <row r="183" spans="1:14">
      <c r="A183" s="100" t="s">
        <v>182</v>
      </c>
      <c r="B183" s="100" t="s">
        <v>183</v>
      </c>
      <c r="C183" s="100" t="s">
        <v>27</v>
      </c>
      <c r="D183" s="100" t="s">
        <v>28</v>
      </c>
      <c r="E183" s="101">
        <v>3</v>
      </c>
      <c r="F183" s="101">
        <v>4</v>
      </c>
      <c r="G183" s="101">
        <v>12</v>
      </c>
      <c r="H183" s="101" t="str" cm="1">
        <f t="array" ref="H183">_xlfn.IFS(G183&gt;=Constantes!$C$18,$P$5,G183&gt;=Constantes!$C$17,$P$6,G183&gt;=Constantes!$C$16,$P$7,G183&lt;Constantes!$C$16,$P$8)</f>
        <v>CRITICAL</v>
      </c>
      <c r="I183" s="102">
        <v>0.42399999999999993</v>
      </c>
      <c r="J183" s="101">
        <f>E183*I183</f>
        <v>1.2719999999999998</v>
      </c>
      <c r="K183" s="101">
        <f>F183*I183</f>
        <v>1.6959999999999997</v>
      </c>
      <c r="L183" s="101">
        <f>G183*I183</f>
        <v>5.0879999999999992</v>
      </c>
      <c r="M183" s="103" t="str" cm="1">
        <f t="array" ref="M183">_xlfn.IFS(L183&gt;=Constantes!$C$18,$P$5,L183&gt;=Constantes!$C$17,$P$6,L183&gt;=Constantes!$C$16,$P$7,L183&lt;Constantes!$C$16,$P$8)</f>
        <v>LIMITED</v>
      </c>
      <c r="N183" s="113"/>
    </row>
    <row r="184" spans="1:14">
      <c r="A184" s="100" t="s">
        <v>182</v>
      </c>
      <c r="B184" s="100" t="s">
        <v>183</v>
      </c>
      <c r="C184" s="100" t="s">
        <v>35</v>
      </c>
      <c r="D184" s="100" t="s">
        <v>36</v>
      </c>
      <c r="E184" s="101">
        <v>2</v>
      </c>
      <c r="F184" s="101">
        <v>3</v>
      </c>
      <c r="G184" s="101">
        <v>6</v>
      </c>
      <c r="H184" s="101" t="str" cm="1">
        <f t="array" ref="H184">_xlfn.IFS(G184&gt;=Constantes!$C$18,$P$5,G184&gt;=Constantes!$C$17,$P$6,G184&gt;=Constantes!$C$16,$P$7,G184&lt;Constantes!$C$16,$P$8)</f>
        <v>MAJOR</v>
      </c>
      <c r="I184" s="102">
        <v>0.42399999999999993</v>
      </c>
      <c r="J184" s="101">
        <f>E184*I184</f>
        <v>0.84799999999999986</v>
      </c>
      <c r="K184" s="101">
        <f>F184*I184</f>
        <v>1.2719999999999998</v>
      </c>
      <c r="L184" s="101">
        <f>G184*I184</f>
        <v>2.5439999999999996</v>
      </c>
      <c r="M184" s="103" t="str" cm="1">
        <f t="array" ref="M184">_xlfn.IFS(L184&gt;=Constantes!$C$18,$P$5,L184&gt;=Constantes!$C$17,$P$6,L184&gt;=Constantes!$C$16,$P$7,L184&lt;Constantes!$C$16,$P$8)</f>
        <v>MINOR</v>
      </c>
      <c r="N184" s="113"/>
    </row>
    <row r="185" spans="1:14">
      <c r="A185" s="100" t="s">
        <v>182</v>
      </c>
      <c r="B185" s="100" t="s">
        <v>183</v>
      </c>
      <c r="C185" s="100" t="s">
        <v>44</v>
      </c>
      <c r="D185" s="100" t="s">
        <v>45</v>
      </c>
      <c r="E185" s="101">
        <v>4</v>
      </c>
      <c r="F185" s="101">
        <v>4</v>
      </c>
      <c r="G185" s="101">
        <v>16</v>
      </c>
      <c r="H185" s="101" t="str" cm="1">
        <f t="array" ref="H185">_xlfn.IFS(G185&gt;=Constantes!$C$18,$P$5,G185&gt;=Constantes!$C$17,$P$6,G185&gt;=Constantes!$C$16,$P$7,G185&lt;Constantes!$C$16,$P$8)</f>
        <v>CRITICAL</v>
      </c>
      <c r="I185" s="102">
        <v>0.42399999999999993</v>
      </c>
      <c r="J185" s="101">
        <f>E185*I185</f>
        <v>1.6959999999999997</v>
      </c>
      <c r="K185" s="101">
        <f>F185*I185</f>
        <v>1.6959999999999997</v>
      </c>
      <c r="L185" s="101">
        <f>G185*I185</f>
        <v>6.7839999999999989</v>
      </c>
      <c r="M185" s="103" t="str" cm="1">
        <f t="array" ref="M185">_xlfn.IFS(L185&gt;=Constantes!$C$18,$P$5,L185&gt;=Constantes!$C$17,$P$6,L185&gt;=Constantes!$C$16,$P$7,L185&lt;Constantes!$C$16,$P$8)</f>
        <v>MAJOR</v>
      </c>
      <c r="N185" s="113"/>
    </row>
    <row r="186" spans="1:14">
      <c r="A186" s="100" t="s">
        <v>182</v>
      </c>
      <c r="B186" s="100" t="s">
        <v>183</v>
      </c>
      <c r="C186" s="100" t="s">
        <v>53</v>
      </c>
      <c r="D186" s="100" t="s">
        <v>328</v>
      </c>
      <c r="E186" s="101">
        <v>4</v>
      </c>
      <c r="F186" s="101">
        <v>4</v>
      </c>
      <c r="G186" s="101">
        <v>16</v>
      </c>
      <c r="H186" s="101" t="str" cm="1">
        <f t="array" ref="H186">_xlfn.IFS(G186&gt;=Constantes!$C$18,$P$5,G186&gt;=Constantes!$C$17,$P$6,G186&gt;=Constantes!$C$16,$P$7,G186&lt;Constantes!$C$16,$P$8)</f>
        <v>CRITICAL</v>
      </c>
      <c r="I186" s="102">
        <v>0.42399999999999993</v>
      </c>
      <c r="J186" s="101">
        <f>E186*I186</f>
        <v>1.6959999999999997</v>
      </c>
      <c r="K186" s="101">
        <f>F186*I186</f>
        <v>1.6959999999999997</v>
      </c>
      <c r="L186" s="101">
        <f>G186*I186</f>
        <v>6.7839999999999989</v>
      </c>
      <c r="M186" s="103" t="str" cm="1">
        <f t="array" ref="M186">_xlfn.IFS(L186&gt;=Constantes!$C$18,$P$5,L186&gt;=Constantes!$C$17,$P$6,L186&gt;=Constantes!$C$16,$P$7,L186&lt;Constantes!$C$16,$P$8)</f>
        <v>MAJOR</v>
      </c>
      <c r="N186" s="113"/>
    </row>
    <row r="187" spans="1:14">
      <c r="A187" s="100" t="s">
        <v>182</v>
      </c>
      <c r="B187" s="100" t="s">
        <v>183</v>
      </c>
      <c r="C187" s="100" t="s">
        <v>60</v>
      </c>
      <c r="D187" s="100" t="s">
        <v>61</v>
      </c>
      <c r="E187" s="101">
        <v>3</v>
      </c>
      <c r="F187" s="101">
        <v>4</v>
      </c>
      <c r="G187" s="101">
        <v>12</v>
      </c>
      <c r="H187" s="101" t="str" cm="1">
        <f t="array" ref="H187">_xlfn.IFS(G187&gt;=Constantes!$C$18,$P$5,G187&gt;=Constantes!$C$17,$P$6,G187&gt;=Constantes!$C$16,$P$7,G187&lt;Constantes!$C$16,$P$8)</f>
        <v>CRITICAL</v>
      </c>
      <c r="I187" s="102">
        <v>0.42399999999999993</v>
      </c>
      <c r="J187" s="101">
        <f>E187*I187</f>
        <v>1.2719999999999998</v>
      </c>
      <c r="K187" s="101">
        <f>F187*I187</f>
        <v>1.6959999999999997</v>
      </c>
      <c r="L187" s="101">
        <f>G187*I187</f>
        <v>5.0879999999999992</v>
      </c>
      <c r="M187" s="103" t="str" cm="1">
        <f t="array" ref="M187">_xlfn.IFS(L187&gt;=Constantes!$C$18,$P$5,L187&gt;=Constantes!$C$17,$P$6,L187&gt;=Constantes!$C$16,$P$7,L187&lt;Constantes!$C$16,$P$8)</f>
        <v>LIMITED</v>
      </c>
      <c r="N187" s="113"/>
    </row>
    <row r="188" spans="1:14">
      <c r="A188" s="100" t="s">
        <v>182</v>
      </c>
      <c r="B188" s="100" t="s">
        <v>183</v>
      </c>
      <c r="C188" s="100" t="s">
        <v>118</v>
      </c>
      <c r="D188" s="100" t="s">
        <v>119</v>
      </c>
      <c r="E188" s="101">
        <v>2</v>
      </c>
      <c r="F188" s="101">
        <v>4</v>
      </c>
      <c r="G188" s="101">
        <v>8</v>
      </c>
      <c r="H188" s="101" t="str" cm="1">
        <f t="array" ref="H188">_xlfn.IFS(G188&gt;=Constantes!$C$18,$P$5,G188&gt;=Constantes!$C$17,$P$6,G188&gt;=Constantes!$C$16,$P$7,G188&lt;Constantes!$C$16,$P$8)</f>
        <v>MAJOR</v>
      </c>
      <c r="I188" s="102">
        <v>0.45999999999999996</v>
      </c>
      <c r="J188" s="101">
        <f>E188*I188</f>
        <v>0.91999999999999993</v>
      </c>
      <c r="K188" s="101">
        <f>F188*I188</f>
        <v>1.8399999999999999</v>
      </c>
      <c r="L188" s="101">
        <f>G188*I188</f>
        <v>3.6799999999999997</v>
      </c>
      <c r="M188" s="103" t="str" cm="1">
        <f t="array" ref="M188">_xlfn.IFS(L188&gt;=Constantes!$C$18,$P$5,L188&gt;=Constantes!$C$17,$P$6,L188&gt;=Constantes!$C$16,$P$7,L188&lt;Constantes!$C$16,$P$8)</f>
        <v>LIMITED</v>
      </c>
      <c r="N188" s="113"/>
    </row>
    <row r="189" spans="1:14">
      <c r="A189" s="100" t="s">
        <v>188</v>
      </c>
      <c r="B189" s="100" t="s">
        <v>189</v>
      </c>
      <c r="C189" s="100" t="s">
        <v>27</v>
      </c>
      <c r="D189" s="100" t="s">
        <v>28</v>
      </c>
      <c r="E189" s="101">
        <v>3</v>
      </c>
      <c r="F189" s="101">
        <v>4</v>
      </c>
      <c r="G189" s="101">
        <v>12</v>
      </c>
      <c r="H189" s="101" t="str" cm="1">
        <f t="array" ref="H189">_xlfn.IFS(G189&gt;=Constantes!$C$18,$P$5,G189&gt;=Constantes!$C$17,$P$6,G189&gt;=Constantes!$C$16,$P$7,G189&lt;Constantes!$C$16,$P$8)</f>
        <v>CRITICAL</v>
      </c>
      <c r="I189" s="102">
        <v>0.42399999999999993</v>
      </c>
      <c r="J189" s="101">
        <f>E189*I189</f>
        <v>1.2719999999999998</v>
      </c>
      <c r="K189" s="101">
        <f>F189*I189</f>
        <v>1.6959999999999997</v>
      </c>
      <c r="L189" s="101">
        <f>G189*I189</f>
        <v>5.0879999999999992</v>
      </c>
      <c r="M189" s="103" t="str" cm="1">
        <f t="array" ref="M189">_xlfn.IFS(L189&gt;=Constantes!$C$18,$P$5,L189&gt;=Constantes!$C$17,$P$6,L189&gt;=Constantes!$C$16,$P$7,L189&lt;Constantes!$C$16,$P$8)</f>
        <v>LIMITED</v>
      </c>
      <c r="N189" s="113"/>
    </row>
    <row r="190" spans="1:14">
      <c r="A190" s="100" t="s">
        <v>188</v>
      </c>
      <c r="B190" s="100" t="s">
        <v>189</v>
      </c>
      <c r="C190" s="100" t="s">
        <v>35</v>
      </c>
      <c r="D190" s="100" t="s">
        <v>36</v>
      </c>
      <c r="E190" s="101">
        <v>2</v>
      </c>
      <c r="F190" s="101">
        <v>3</v>
      </c>
      <c r="G190" s="101">
        <v>6</v>
      </c>
      <c r="H190" s="101" t="str" cm="1">
        <f t="array" ref="H190">_xlfn.IFS(G190&gt;=Constantes!$C$18,$P$5,G190&gt;=Constantes!$C$17,$P$6,G190&gt;=Constantes!$C$16,$P$7,G190&lt;Constantes!$C$16,$P$8)</f>
        <v>MAJOR</v>
      </c>
      <c r="I190" s="102">
        <v>0.42399999999999993</v>
      </c>
      <c r="J190" s="101">
        <f>E190*I190</f>
        <v>0.84799999999999986</v>
      </c>
      <c r="K190" s="101">
        <f>F190*I190</f>
        <v>1.2719999999999998</v>
      </c>
      <c r="L190" s="101">
        <f>G190*I190</f>
        <v>2.5439999999999996</v>
      </c>
      <c r="M190" s="103" t="str" cm="1">
        <f t="array" ref="M190">_xlfn.IFS(L190&gt;=Constantes!$C$18,$P$5,L190&gt;=Constantes!$C$17,$P$6,L190&gt;=Constantes!$C$16,$P$7,L190&lt;Constantes!$C$16,$P$8)</f>
        <v>MINOR</v>
      </c>
      <c r="N190" s="113"/>
    </row>
    <row r="191" spans="1:14">
      <c r="A191" s="100" t="s">
        <v>188</v>
      </c>
      <c r="B191" s="100" t="s">
        <v>189</v>
      </c>
      <c r="C191" s="100" t="s">
        <v>44</v>
      </c>
      <c r="D191" s="100" t="s">
        <v>45</v>
      </c>
      <c r="E191" s="101">
        <v>4</v>
      </c>
      <c r="F191" s="101">
        <v>4</v>
      </c>
      <c r="G191" s="101">
        <v>16</v>
      </c>
      <c r="H191" s="101" t="str" cm="1">
        <f t="array" ref="H191">_xlfn.IFS(G191&gt;=Constantes!$C$18,$P$5,G191&gt;=Constantes!$C$17,$P$6,G191&gt;=Constantes!$C$16,$P$7,G191&lt;Constantes!$C$16,$P$8)</f>
        <v>CRITICAL</v>
      </c>
      <c r="I191" s="102">
        <v>0.42399999999999993</v>
      </c>
      <c r="J191" s="101">
        <f>E191*I191</f>
        <v>1.6959999999999997</v>
      </c>
      <c r="K191" s="101">
        <f>F191*I191</f>
        <v>1.6959999999999997</v>
      </c>
      <c r="L191" s="101">
        <f>G191*I191</f>
        <v>6.7839999999999989</v>
      </c>
      <c r="M191" s="103" t="str" cm="1">
        <f t="array" ref="M191">_xlfn.IFS(L191&gt;=Constantes!$C$18,$P$5,L191&gt;=Constantes!$C$17,$P$6,L191&gt;=Constantes!$C$16,$P$7,L191&lt;Constantes!$C$16,$P$8)</f>
        <v>MAJOR</v>
      </c>
      <c r="N191" s="113"/>
    </row>
    <row r="192" spans="1:14">
      <c r="A192" s="100" t="s">
        <v>188</v>
      </c>
      <c r="B192" s="100" t="s">
        <v>189</v>
      </c>
      <c r="C192" s="100" t="s">
        <v>53</v>
      </c>
      <c r="D192" s="100" t="s">
        <v>328</v>
      </c>
      <c r="E192" s="101">
        <v>4</v>
      </c>
      <c r="F192" s="101">
        <v>4</v>
      </c>
      <c r="G192" s="101">
        <v>16</v>
      </c>
      <c r="H192" s="101" t="str" cm="1">
        <f t="array" ref="H192">_xlfn.IFS(G192&gt;=Constantes!$C$18,$P$5,G192&gt;=Constantes!$C$17,$P$6,G192&gt;=Constantes!$C$16,$P$7,G192&lt;Constantes!$C$16,$P$8)</f>
        <v>CRITICAL</v>
      </c>
      <c r="I192" s="102">
        <v>0.42399999999999993</v>
      </c>
      <c r="J192" s="101">
        <f>E192*I192</f>
        <v>1.6959999999999997</v>
      </c>
      <c r="K192" s="101">
        <f>F192*I192</f>
        <v>1.6959999999999997</v>
      </c>
      <c r="L192" s="101">
        <f>G192*I192</f>
        <v>6.7839999999999989</v>
      </c>
      <c r="M192" s="103" t="str" cm="1">
        <f t="array" ref="M192">_xlfn.IFS(L192&gt;=Constantes!$C$18,$P$5,L192&gt;=Constantes!$C$17,$P$6,L192&gt;=Constantes!$C$16,$P$7,L192&lt;Constantes!$C$16,$P$8)</f>
        <v>MAJOR</v>
      </c>
      <c r="N192" s="113"/>
    </row>
    <row r="193" spans="1:14">
      <c r="A193" s="100" t="s">
        <v>188</v>
      </c>
      <c r="B193" s="100" t="s">
        <v>189</v>
      </c>
      <c r="C193" s="100" t="s">
        <v>60</v>
      </c>
      <c r="D193" s="100" t="s">
        <v>61</v>
      </c>
      <c r="E193" s="101">
        <v>3</v>
      </c>
      <c r="F193" s="101">
        <v>4</v>
      </c>
      <c r="G193" s="101">
        <v>12</v>
      </c>
      <c r="H193" s="101" t="str" cm="1">
        <f t="array" ref="H193">_xlfn.IFS(G193&gt;=Constantes!$C$18,$P$5,G193&gt;=Constantes!$C$17,$P$6,G193&gt;=Constantes!$C$16,$P$7,G193&lt;Constantes!$C$16,$P$8)</f>
        <v>CRITICAL</v>
      </c>
      <c r="I193" s="102">
        <v>0.42399999999999993</v>
      </c>
      <c r="J193" s="101">
        <f>E193*I193</f>
        <v>1.2719999999999998</v>
      </c>
      <c r="K193" s="101">
        <f>F193*I193</f>
        <v>1.6959999999999997</v>
      </c>
      <c r="L193" s="101">
        <f>G193*I193</f>
        <v>5.0879999999999992</v>
      </c>
      <c r="M193" s="103" t="str" cm="1">
        <f t="array" ref="M193">_xlfn.IFS(L193&gt;=Constantes!$C$18,$P$5,L193&gt;=Constantes!$C$17,$P$6,L193&gt;=Constantes!$C$16,$P$7,L193&lt;Constantes!$C$16,$P$8)</f>
        <v>LIMITED</v>
      </c>
      <c r="N193" s="113"/>
    </row>
    <row r="194" spans="1:14">
      <c r="A194" s="100" t="s">
        <v>188</v>
      </c>
      <c r="B194" s="100" t="s">
        <v>189</v>
      </c>
      <c r="C194" s="100" t="s">
        <v>118</v>
      </c>
      <c r="D194" s="100" t="s">
        <v>119</v>
      </c>
      <c r="E194" s="101">
        <v>2</v>
      </c>
      <c r="F194" s="101">
        <v>4</v>
      </c>
      <c r="G194" s="101">
        <v>8</v>
      </c>
      <c r="H194" s="101" t="str" cm="1">
        <f t="array" ref="H194">_xlfn.IFS(G194&gt;=Constantes!$C$18,$P$5,G194&gt;=Constantes!$C$17,$P$6,G194&gt;=Constantes!$C$16,$P$7,G194&lt;Constantes!$C$16,$P$8)</f>
        <v>MAJOR</v>
      </c>
      <c r="I194" s="102">
        <v>0.45999999999999996</v>
      </c>
      <c r="J194" s="101">
        <f>E194*I194</f>
        <v>0.91999999999999993</v>
      </c>
      <c r="K194" s="101">
        <f>F194*I194</f>
        <v>1.8399999999999999</v>
      </c>
      <c r="L194" s="101">
        <f>G194*I194</f>
        <v>3.6799999999999997</v>
      </c>
      <c r="M194" s="103" t="str" cm="1">
        <f t="array" ref="M194">_xlfn.IFS(L194&gt;=Constantes!$C$18,$P$5,L194&gt;=Constantes!$C$17,$P$6,L194&gt;=Constantes!$C$16,$P$7,L194&lt;Constantes!$C$16,$P$8)</f>
        <v>LIMITED</v>
      </c>
      <c r="N194" s="113"/>
    </row>
    <row r="195" spans="1:14">
      <c r="A195" s="100" t="s">
        <v>192</v>
      </c>
      <c r="B195" s="100" t="s">
        <v>193</v>
      </c>
      <c r="C195" s="100" t="s">
        <v>27</v>
      </c>
      <c r="D195" s="100" t="s">
        <v>28</v>
      </c>
      <c r="E195" s="101">
        <v>1.875</v>
      </c>
      <c r="F195" s="101">
        <v>2.5</v>
      </c>
      <c r="G195" s="101">
        <v>4.6875</v>
      </c>
      <c r="H195" s="101" t="str" cm="1">
        <f t="array" ref="H195">_xlfn.IFS(G195&gt;=Constantes!$C$18,$P$5,G195&gt;=Constantes!$C$17,$P$6,G195&gt;=Constantes!$C$16,$P$7,G195&lt;Constantes!$C$16,$P$8)</f>
        <v>LIMITED</v>
      </c>
      <c r="I195" s="102">
        <v>0.42399999999999993</v>
      </c>
      <c r="J195" s="101">
        <f>E195*I195</f>
        <v>0.79499999999999993</v>
      </c>
      <c r="K195" s="101">
        <f>F195*I195</f>
        <v>1.0599999999999998</v>
      </c>
      <c r="L195" s="101">
        <f>G195*I195</f>
        <v>1.9874999999999996</v>
      </c>
      <c r="M195" s="103" t="str" cm="1">
        <f t="array" ref="M195">_xlfn.IFS(L195&gt;=Constantes!$C$18,$P$5,L195&gt;=Constantes!$C$17,$P$6,L195&gt;=Constantes!$C$16,$P$7,L195&lt;Constantes!$C$16,$P$8)</f>
        <v>MINOR</v>
      </c>
      <c r="N195" s="113"/>
    </row>
    <row r="196" spans="1:14">
      <c r="A196" s="100" t="s">
        <v>192</v>
      </c>
      <c r="B196" s="100" t="s">
        <v>193</v>
      </c>
      <c r="C196" s="100" t="s">
        <v>35</v>
      </c>
      <c r="D196" s="100" t="s">
        <v>36</v>
      </c>
      <c r="E196" s="101">
        <v>1.25</v>
      </c>
      <c r="F196" s="101">
        <v>1.875</v>
      </c>
      <c r="G196" s="101">
        <v>2.34375</v>
      </c>
      <c r="H196" s="101" t="str" cm="1">
        <f t="array" ref="H196">_xlfn.IFS(G196&gt;=Constantes!$C$18,$P$5,G196&gt;=Constantes!$C$17,$P$6,G196&gt;=Constantes!$C$16,$P$7,G196&lt;Constantes!$C$16,$P$8)</f>
        <v>MINOR</v>
      </c>
      <c r="I196" s="102">
        <v>0.42399999999999993</v>
      </c>
      <c r="J196" s="101">
        <f>E196*I196</f>
        <v>0.52999999999999992</v>
      </c>
      <c r="K196" s="101">
        <f>F196*I196</f>
        <v>0.79499999999999993</v>
      </c>
      <c r="L196" s="101">
        <f>G196*I196</f>
        <v>0.9937499999999998</v>
      </c>
      <c r="M196" s="103" t="str" cm="1">
        <f t="array" ref="M196">_xlfn.IFS(L196&gt;=Constantes!$C$18,$P$5,L196&gt;=Constantes!$C$17,$P$6,L196&gt;=Constantes!$C$16,$P$7,L196&lt;Constantes!$C$16,$P$8)</f>
        <v>MINOR</v>
      </c>
      <c r="N196" s="113"/>
    </row>
    <row r="197" spans="1:14">
      <c r="A197" s="100" t="s">
        <v>192</v>
      </c>
      <c r="B197" s="100" t="s">
        <v>193</v>
      </c>
      <c r="C197" s="100" t="s">
        <v>44</v>
      </c>
      <c r="D197" s="100" t="s">
        <v>45</v>
      </c>
      <c r="E197" s="101">
        <v>2.5</v>
      </c>
      <c r="F197" s="101">
        <v>2.5</v>
      </c>
      <c r="G197" s="101">
        <v>6.25</v>
      </c>
      <c r="H197" s="101" t="str" cm="1">
        <f t="array" ref="H197">_xlfn.IFS(G197&gt;=Constantes!$C$18,$P$5,G197&gt;=Constantes!$C$17,$P$6,G197&gt;=Constantes!$C$16,$P$7,G197&lt;Constantes!$C$16,$P$8)</f>
        <v>MAJOR</v>
      </c>
      <c r="I197" s="102">
        <v>0.42399999999999993</v>
      </c>
      <c r="J197" s="101">
        <f>E197*I197</f>
        <v>1.0599999999999998</v>
      </c>
      <c r="K197" s="101">
        <f>F197*I197</f>
        <v>1.0599999999999998</v>
      </c>
      <c r="L197" s="101">
        <f>G197*I197</f>
        <v>2.6499999999999995</v>
      </c>
      <c r="M197" s="103" t="str" cm="1">
        <f t="array" ref="M197">_xlfn.IFS(L197&gt;=Constantes!$C$18,$P$5,L197&gt;=Constantes!$C$17,$P$6,L197&gt;=Constantes!$C$16,$P$7,L197&lt;Constantes!$C$16,$P$8)</f>
        <v>MINOR</v>
      </c>
      <c r="N197" s="113"/>
    </row>
    <row r="198" spans="1:14">
      <c r="A198" s="100" t="s">
        <v>192</v>
      </c>
      <c r="B198" s="100" t="s">
        <v>193</v>
      </c>
      <c r="C198" s="100" t="s">
        <v>53</v>
      </c>
      <c r="D198" s="100" t="s">
        <v>328</v>
      </c>
      <c r="E198" s="101">
        <v>2.5</v>
      </c>
      <c r="F198" s="101">
        <v>2.5</v>
      </c>
      <c r="G198" s="101">
        <v>6.25</v>
      </c>
      <c r="H198" s="101" t="str" cm="1">
        <f t="array" ref="H198">_xlfn.IFS(G198&gt;=Constantes!$C$18,$P$5,G198&gt;=Constantes!$C$17,$P$6,G198&gt;=Constantes!$C$16,$P$7,G198&lt;Constantes!$C$16,$P$8)</f>
        <v>MAJOR</v>
      </c>
      <c r="I198" s="102">
        <v>0.42399999999999993</v>
      </c>
      <c r="J198" s="101">
        <f>E198*I198</f>
        <v>1.0599999999999998</v>
      </c>
      <c r="K198" s="101">
        <f>F198*I198</f>
        <v>1.0599999999999998</v>
      </c>
      <c r="L198" s="101">
        <f>G198*I198</f>
        <v>2.6499999999999995</v>
      </c>
      <c r="M198" s="103" t="str" cm="1">
        <f t="array" ref="M198">_xlfn.IFS(L198&gt;=Constantes!$C$18,$P$5,L198&gt;=Constantes!$C$17,$P$6,L198&gt;=Constantes!$C$16,$P$7,L198&lt;Constantes!$C$16,$P$8)</f>
        <v>MINOR</v>
      </c>
      <c r="N198" s="113"/>
    </row>
    <row r="199" spans="1:14">
      <c r="A199" s="100" t="s">
        <v>192</v>
      </c>
      <c r="B199" s="100" t="s">
        <v>193</v>
      </c>
      <c r="C199" s="100" t="s">
        <v>60</v>
      </c>
      <c r="D199" s="100" t="s">
        <v>61</v>
      </c>
      <c r="E199" s="101">
        <v>1.875</v>
      </c>
      <c r="F199" s="101">
        <v>2.5</v>
      </c>
      <c r="G199" s="101">
        <v>4.6875</v>
      </c>
      <c r="H199" s="101" t="str" cm="1">
        <f t="array" ref="H199">_xlfn.IFS(G199&gt;=Constantes!$C$18,$P$5,G199&gt;=Constantes!$C$17,$P$6,G199&gt;=Constantes!$C$16,$P$7,G199&lt;Constantes!$C$16,$P$8)</f>
        <v>LIMITED</v>
      </c>
      <c r="I199" s="102">
        <v>0.42399999999999993</v>
      </c>
      <c r="J199" s="101">
        <f>E199*I199</f>
        <v>0.79499999999999993</v>
      </c>
      <c r="K199" s="101">
        <f>F199*I199</f>
        <v>1.0599999999999998</v>
      </c>
      <c r="L199" s="101">
        <f>G199*I199</f>
        <v>1.9874999999999996</v>
      </c>
      <c r="M199" s="103" t="str" cm="1">
        <f t="array" ref="M199">_xlfn.IFS(L199&gt;=Constantes!$C$18,$P$5,L199&gt;=Constantes!$C$17,$P$6,L199&gt;=Constantes!$C$16,$P$7,L199&lt;Constantes!$C$16,$P$8)</f>
        <v>MINOR</v>
      </c>
      <c r="N199" s="113"/>
    </row>
    <row r="200" spans="1:14">
      <c r="A200" s="185" t="s">
        <v>192</v>
      </c>
      <c r="B200" s="185" t="s">
        <v>193</v>
      </c>
      <c r="C200" s="185" t="s">
        <v>118</v>
      </c>
      <c r="D200" s="185" t="s">
        <v>119</v>
      </c>
      <c r="E200" s="191">
        <v>1.25</v>
      </c>
      <c r="F200" s="191">
        <v>2.5</v>
      </c>
      <c r="G200" s="191">
        <v>3.125</v>
      </c>
      <c r="H200" s="191" t="str" cm="1">
        <f t="array" ref="H200">_xlfn.IFS(G200&gt;=Constantes!$C$18,$P$5,G200&gt;=Constantes!$C$17,$P$6,G200&gt;=Constantes!$C$16,$P$7,G200&lt;Constantes!$C$16,$P$8)</f>
        <v>LIMITED</v>
      </c>
      <c r="I200" s="192">
        <v>0.42399999999999993</v>
      </c>
      <c r="J200" s="191">
        <f>E200*I200</f>
        <v>0.52999999999999992</v>
      </c>
      <c r="K200" s="191">
        <f>F200*I200</f>
        <v>1.0599999999999998</v>
      </c>
      <c r="L200" s="191">
        <f>G200*I200</f>
        <v>1.3249999999999997</v>
      </c>
      <c r="M200" s="193" t="str" cm="1">
        <f t="array" ref="M200">_xlfn.IFS(L200&gt;=Constantes!$C$18,$P$5,L200&gt;=Constantes!$C$17,$P$6,L200&gt;=Constantes!$C$16,$P$7,L200&lt;Constantes!$C$16,$P$8)</f>
        <v>MINOR</v>
      </c>
      <c r="N200" s="113"/>
    </row>
    <row r="201" spans="1:14" ht="11.25">
      <c r="A201" s="183" t="s">
        <v>39</v>
      </c>
      <c r="B201" s="189" t="s">
        <v>40</v>
      </c>
      <c r="C201" s="183" t="s">
        <v>184</v>
      </c>
      <c r="D201" s="184" t="s">
        <v>185</v>
      </c>
      <c r="E201" s="186">
        <v>1.5</v>
      </c>
      <c r="F201" s="186">
        <v>1</v>
      </c>
      <c r="G201" s="186">
        <v>2</v>
      </c>
      <c r="H201" s="186" t="str" cm="1">
        <f t="array" ref="H201">_xlfn.IFS(G201&gt;=Constantes!$C$18,$P$5,G201&gt;=Constantes!$C$17,$P$6,G201&gt;=Constantes!$C$16,$P$7,G201&lt;Constantes!$C$16,$P$8)</f>
        <v>MINOR</v>
      </c>
      <c r="I201" s="187">
        <v>0.42399999999999993</v>
      </c>
      <c r="J201" s="186">
        <f t="shared" ref="J201:J204" si="0">E201*I201</f>
        <v>0.6359999999999999</v>
      </c>
      <c r="K201" s="186">
        <f t="shared" ref="K201:K204" si="1">F201*I201</f>
        <v>0.42399999999999993</v>
      </c>
      <c r="L201" s="186">
        <f t="shared" ref="L201:L204" si="2">G201*I201</f>
        <v>0.84799999999999986</v>
      </c>
      <c r="M201" s="188" t="str" cm="1">
        <f t="array" ref="M201">_xlfn.IFS(L201&gt;=Constantes!$C$18,$P$5,L201&gt;=Constantes!$C$17,$P$6,L201&gt;=Constantes!$C$16,$P$7,L201&lt;Constantes!$C$16,$P$8)</f>
        <v>MINOR</v>
      </c>
    </row>
    <row r="202" spans="1:14" ht="11.25">
      <c r="A202" s="183" t="s">
        <v>64</v>
      </c>
      <c r="B202" s="189" t="s">
        <v>65</v>
      </c>
      <c r="C202" s="183" t="s">
        <v>184</v>
      </c>
      <c r="D202" s="184" t="s">
        <v>185</v>
      </c>
      <c r="E202" s="186">
        <v>1.5</v>
      </c>
      <c r="F202" s="186">
        <v>2</v>
      </c>
      <c r="G202" s="186">
        <v>1</v>
      </c>
      <c r="H202" s="186" t="str" cm="1">
        <f t="array" ref="H202">_xlfn.IFS(G202&gt;=Constantes!$C$18,$P$5,G202&gt;=Constantes!$C$17,$P$6,G202&gt;=Constantes!$C$16,$P$7,G202&lt;Constantes!$C$16,$P$8)</f>
        <v>MINOR</v>
      </c>
      <c r="I202" s="187">
        <v>0.42399999999999993</v>
      </c>
      <c r="J202" s="186">
        <f t="shared" si="0"/>
        <v>0.6359999999999999</v>
      </c>
      <c r="K202" s="186">
        <f t="shared" si="1"/>
        <v>0.84799999999999986</v>
      </c>
      <c r="L202" s="186">
        <f t="shared" si="2"/>
        <v>0.42399999999999993</v>
      </c>
      <c r="M202" s="188" t="str" cm="1">
        <f t="array" ref="M202">_xlfn.IFS(L202&gt;=Constantes!$C$18,$P$5,L202&gt;=Constantes!$C$17,$P$6,L202&gt;=Constantes!$C$16,$P$7,L202&lt;Constantes!$C$16,$P$8)</f>
        <v>MINOR</v>
      </c>
    </row>
    <row r="203" spans="1:14" ht="11.25">
      <c r="A203" s="183" t="s">
        <v>72</v>
      </c>
      <c r="B203" s="189" t="s">
        <v>73</v>
      </c>
      <c r="C203" s="183" t="s">
        <v>184</v>
      </c>
      <c r="D203" s="184" t="s">
        <v>185</v>
      </c>
      <c r="E203" s="186">
        <v>1.5</v>
      </c>
      <c r="F203" s="186">
        <v>3</v>
      </c>
      <c r="G203" s="186">
        <v>2</v>
      </c>
      <c r="H203" s="186" t="str" cm="1">
        <f t="array" ref="H203">_xlfn.IFS(G203&gt;=Constantes!$C$18,$P$5,G203&gt;=Constantes!$C$17,$P$6,G203&gt;=Constantes!$C$16,$P$7,G203&lt;Constantes!$C$16,$P$8)</f>
        <v>MINOR</v>
      </c>
      <c r="I203" s="187">
        <v>0.42399999999999993</v>
      </c>
      <c r="J203" s="186">
        <f t="shared" si="0"/>
        <v>0.6359999999999999</v>
      </c>
      <c r="K203" s="186">
        <f t="shared" si="1"/>
        <v>1.2719999999999998</v>
      </c>
      <c r="L203" s="186">
        <f t="shared" si="2"/>
        <v>0.84799999999999986</v>
      </c>
      <c r="M203" s="188" t="str" cm="1">
        <f t="array" ref="M203">_xlfn.IFS(L203&gt;=Constantes!$C$18,$P$5,L203&gt;=Constantes!$C$17,$P$6,L203&gt;=Constantes!$C$16,$P$7,L203&lt;Constantes!$C$16,$P$8)</f>
        <v>MINOR</v>
      </c>
    </row>
    <row r="204" spans="1:14" ht="11.25">
      <c r="A204" s="183" t="s">
        <v>128</v>
      </c>
      <c r="B204" s="190" t="s">
        <v>129</v>
      </c>
      <c r="C204" s="183" t="s">
        <v>184</v>
      </c>
      <c r="D204" s="184" t="s">
        <v>185</v>
      </c>
      <c r="E204" s="186">
        <v>1.5</v>
      </c>
      <c r="F204" s="186">
        <v>3.5</v>
      </c>
      <c r="G204" s="186">
        <v>2</v>
      </c>
      <c r="H204" s="186" t="str" cm="1">
        <f t="array" ref="H204">_xlfn.IFS(G204&gt;=Constantes!$C$18,$P$5,G204&gt;=Constantes!$C$17,$P$6,G204&gt;=Constantes!$C$16,$P$7,G204&lt;Constantes!$C$16,$P$8)</f>
        <v>MINOR</v>
      </c>
      <c r="I204" s="187">
        <v>0.42399999999999993</v>
      </c>
      <c r="J204" s="186">
        <f t="shared" si="0"/>
        <v>0.6359999999999999</v>
      </c>
      <c r="K204" s="186">
        <f t="shared" si="1"/>
        <v>1.4839999999999998</v>
      </c>
      <c r="L204" s="186">
        <f t="shared" si="2"/>
        <v>0.84799999999999986</v>
      </c>
      <c r="M204" s="188" t="str" cm="1">
        <f t="array" ref="M204">_xlfn.IFS(L204&gt;=Constantes!$C$18,$P$5,L204&gt;=Constantes!$C$17,$P$6,L204&gt;=Constantes!$C$16,$P$7,L204&lt;Constantes!$C$16,$P$8)</f>
        <v>MINOR</v>
      </c>
    </row>
  </sheetData>
  <autoFilter ref="D3:M200" xr:uid="{D54DDE40-AA50-437F-8C1B-706B0E6F960B}"/>
  <mergeCells count="4">
    <mergeCell ref="I2:M2"/>
    <mergeCell ref="E2:H2"/>
    <mergeCell ref="O2:W2"/>
    <mergeCell ref="O21:W22"/>
  </mergeCells>
  <phoneticPr fontId="13" type="noConversion"/>
  <conditionalFormatting sqref="J4:K9581 E4:F9581">
    <cfRule type="colorScale" priority="10">
      <colorScale>
        <cfvo type="num" val="0"/>
        <cfvo type="num" val="2"/>
        <cfvo type="num" val="4"/>
        <color rgb="FF63BE7B"/>
        <color rgb="FFFFEB84"/>
        <color rgb="FFF8696B"/>
      </colorScale>
    </cfRule>
  </conditionalFormatting>
  <conditionalFormatting sqref="L5:N8 L4:M4 L9:M9 L10:N9581 G4:H9581">
    <cfRule type="colorScale" priority="9">
      <colorScale>
        <cfvo type="num" val="0"/>
        <cfvo type="num" val="12.5"/>
        <cfvo type="num" val="25"/>
        <color rgb="FF63BE7B"/>
        <color rgb="FFFFEB84"/>
        <color rgb="FFF8696B"/>
      </colorScale>
    </cfRule>
  </conditionalFormatting>
  <conditionalFormatting sqref="M5:N8 M4 M9 M10:N200 M201:M204">
    <cfRule type="cellIs" dxfId="4" priority="5" operator="equal">
      <formula>"MUY BAJO"</formula>
    </cfRule>
  </conditionalFormatting>
  <conditionalFormatting sqref="M5:N8 M4 M9 M10:N9581 H4:H9581">
    <cfRule type="cellIs" dxfId="3" priority="1" operator="equal">
      <formula>"CRITICAL"</formula>
    </cfRule>
    <cfRule type="cellIs" dxfId="2" priority="2" operator="equal">
      <formula>"MAJOR"</formula>
    </cfRule>
    <cfRule type="cellIs" dxfId="1" priority="3" operator="equal">
      <formula>"LIMITED"</formula>
    </cfRule>
    <cfRule type="cellIs" dxfId="0" priority="4" operator="equal">
      <formula>"MINOR"</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C80C3-F281-4A8E-AC42-4D55988D6CBD}">
  <sheetPr codeName="Hoja1">
    <tabColor rgb="FF92D050"/>
  </sheetPr>
  <dimension ref="B1:C41"/>
  <sheetViews>
    <sheetView showGridLines="0" workbookViewId="0">
      <selection activeCell="D43" sqref="D43"/>
    </sheetView>
  </sheetViews>
  <sheetFormatPr defaultColWidth="11.42578125" defaultRowHeight="14.45"/>
  <cols>
    <col min="2" max="2" width="60.85546875" bestFit="1" customWidth="1"/>
    <col min="3" max="3" width="14.85546875" bestFit="1" customWidth="1"/>
    <col min="4" max="4" width="26.140625" bestFit="1" customWidth="1"/>
    <col min="5" max="5" width="41.7109375" bestFit="1" customWidth="1"/>
    <col min="6" max="6" width="29.5703125" customWidth="1"/>
    <col min="7" max="7" width="7.42578125" bestFit="1" customWidth="1"/>
    <col min="8" max="8" width="15.5703125" bestFit="1" customWidth="1"/>
    <col min="9" max="9" width="21.28515625" bestFit="1" customWidth="1"/>
    <col min="10" max="10" width="8.140625" bestFit="1" customWidth="1"/>
    <col min="11" max="11" width="11.42578125" bestFit="1" customWidth="1"/>
    <col min="12" max="12" width="18" bestFit="1" customWidth="1"/>
    <col min="13" max="13" width="16.7109375" bestFit="1" customWidth="1"/>
    <col min="14" max="14" width="23.42578125" bestFit="1" customWidth="1"/>
    <col min="15" max="15" width="15.5703125" bestFit="1" customWidth="1"/>
    <col min="16" max="16" width="7.85546875" bestFit="1" customWidth="1"/>
    <col min="17" max="17" width="36.5703125" bestFit="1" customWidth="1"/>
    <col min="18" max="18" width="42.42578125" bestFit="1" customWidth="1"/>
    <col min="19" max="19" width="40.5703125" bestFit="1" customWidth="1"/>
    <col min="20" max="20" width="41.140625" bestFit="1" customWidth="1"/>
    <col min="21" max="21" width="17.7109375" bestFit="1" customWidth="1"/>
    <col min="22" max="22" width="21" bestFit="1" customWidth="1"/>
    <col min="23" max="23" width="6.5703125" bestFit="1" customWidth="1"/>
    <col min="24" max="24" width="9" bestFit="1" customWidth="1"/>
    <col min="25" max="25" width="16.42578125" bestFit="1" customWidth="1"/>
    <col min="26" max="26" width="18.85546875" bestFit="1" customWidth="1"/>
    <col min="27" max="27" width="41" bestFit="1" customWidth="1"/>
    <col min="28" max="28" width="34.140625" bestFit="1" customWidth="1"/>
    <col min="29" max="29" width="32.28515625" bestFit="1" customWidth="1"/>
    <col min="30" max="30" width="11.85546875" bestFit="1" customWidth="1"/>
    <col min="31" max="31" width="10.7109375" bestFit="1" customWidth="1"/>
    <col min="32" max="32" width="13.42578125" bestFit="1" customWidth="1"/>
    <col min="33" max="33" width="9.140625" bestFit="1" customWidth="1"/>
    <col min="34" max="34" width="12.42578125" bestFit="1" customWidth="1"/>
    <col min="35" max="35" width="33.42578125" bestFit="1" customWidth="1"/>
    <col min="36" max="36" width="39.28515625" bestFit="1" customWidth="1"/>
    <col min="37" max="37" width="13.7109375" bestFit="1" customWidth="1"/>
    <col min="38" max="38" width="33.28515625" bestFit="1" customWidth="1"/>
    <col min="39" max="39" width="22.7109375" bestFit="1" customWidth="1"/>
    <col min="40" max="40" width="35.140625" bestFit="1" customWidth="1"/>
    <col min="41" max="41" width="50" bestFit="1" customWidth="1"/>
    <col min="42" max="42" width="33.42578125" bestFit="1" customWidth="1"/>
    <col min="43" max="43" width="12" bestFit="1" customWidth="1"/>
  </cols>
  <sheetData>
    <row r="1" spans="2:3" ht="15"/>
    <row r="2" spans="2:3" ht="15">
      <c r="B2" s="135" t="s">
        <v>329</v>
      </c>
      <c r="C2" s="136" t="s">
        <v>324</v>
      </c>
    </row>
    <row r="3" spans="2:3" ht="15"/>
    <row r="4" spans="2:3" ht="15">
      <c r="B4" s="119"/>
      <c r="C4" s="144" t="s">
        <v>330</v>
      </c>
    </row>
    <row r="5" spans="2:3" ht="14.45" customHeight="1">
      <c r="B5" s="140" t="s">
        <v>161</v>
      </c>
      <c r="C5" s="137">
        <v>28</v>
      </c>
    </row>
    <row r="6" spans="2:3" ht="15" customHeight="1">
      <c r="B6" s="141" t="s">
        <v>45</v>
      </c>
      <c r="C6" s="138">
        <v>3</v>
      </c>
    </row>
    <row r="7" spans="2:3" ht="15">
      <c r="B7" s="141" t="s">
        <v>179</v>
      </c>
      <c r="C7" s="138">
        <v>9</v>
      </c>
    </row>
    <row r="8" spans="2:3" ht="14.45" customHeight="1">
      <c r="B8" s="142" t="s">
        <v>331</v>
      </c>
      <c r="C8" s="138">
        <v>3</v>
      </c>
    </row>
    <row r="9" spans="2:3" ht="15" customHeight="1">
      <c r="B9" s="143" t="s">
        <v>332</v>
      </c>
      <c r="C9" s="139">
        <v>43</v>
      </c>
    </row>
    <row r="10" spans="2:3" ht="15"/>
    <row r="11" spans="2:3" ht="14.45" customHeight="1"/>
    <row r="12" spans="2:3" ht="14.45" customHeight="1" thickBot="1"/>
    <row r="13" spans="2:3" ht="15" thickBot="1">
      <c r="B13" s="173" t="s">
        <v>333</v>
      </c>
      <c r="C13" s="174"/>
    </row>
    <row r="14" spans="2:3" ht="15" thickBot="1">
      <c r="B14" s="163" t="s">
        <v>334</v>
      </c>
      <c r="C14" s="164"/>
    </row>
    <row r="15" spans="2:3" ht="43.15" customHeight="1">
      <c r="B15" s="169" t="s">
        <v>335</v>
      </c>
      <c r="C15" s="170"/>
    </row>
    <row r="16" spans="2:3" ht="36" customHeight="1" thickBot="1">
      <c r="B16" s="167" t="s">
        <v>336</v>
      </c>
      <c r="C16" s="168"/>
    </row>
    <row r="17" spans="2:3" ht="15" thickBot="1">
      <c r="B17" s="163" t="s">
        <v>337</v>
      </c>
      <c r="C17" s="164"/>
    </row>
    <row r="18" spans="2:3" ht="41.1" customHeight="1">
      <c r="B18" s="169" t="s">
        <v>338</v>
      </c>
      <c r="C18" s="170"/>
    </row>
    <row r="19" spans="2:3" ht="41.1" customHeight="1">
      <c r="B19" s="165" t="s">
        <v>339</v>
      </c>
      <c r="C19" s="166"/>
    </row>
    <row r="20" spans="2:3" ht="41.1" customHeight="1" thickBot="1">
      <c r="B20" s="167" t="s">
        <v>340</v>
      </c>
      <c r="C20" s="168"/>
    </row>
    <row r="21" spans="2:3" ht="15" thickBot="1">
      <c r="B21" s="163" t="s">
        <v>341</v>
      </c>
      <c r="C21" s="164"/>
    </row>
    <row r="22" spans="2:3" ht="30.6" customHeight="1" thickBot="1">
      <c r="B22" s="171" t="s">
        <v>342</v>
      </c>
      <c r="C22" s="172"/>
    </row>
    <row r="23" spans="2:3" ht="15" thickBot="1">
      <c r="B23" s="163" t="s">
        <v>343</v>
      </c>
      <c r="C23" s="164"/>
    </row>
    <row r="24" spans="2:3" ht="56.45" customHeight="1">
      <c r="B24" s="169" t="s">
        <v>344</v>
      </c>
      <c r="C24" s="170"/>
    </row>
    <row r="25" spans="2:3" ht="30.6" customHeight="1" thickBot="1">
      <c r="B25" s="167" t="s">
        <v>345</v>
      </c>
      <c r="C25" s="168"/>
    </row>
    <row r="26" spans="2:3" ht="15" thickBot="1">
      <c r="B26" s="163" t="s">
        <v>346</v>
      </c>
      <c r="C26" s="164"/>
    </row>
    <row r="27" spans="2:3" ht="44.1" customHeight="1">
      <c r="B27" s="169" t="s">
        <v>347</v>
      </c>
      <c r="C27" s="170"/>
    </row>
    <row r="28" spans="2:3" ht="42" customHeight="1">
      <c r="B28" s="165" t="s">
        <v>348</v>
      </c>
      <c r="C28" s="166"/>
    </row>
    <row r="29" spans="2:3" ht="30.6" customHeight="1" thickBot="1">
      <c r="B29" s="167" t="s">
        <v>349</v>
      </c>
      <c r="C29" s="168"/>
    </row>
    <row r="30" spans="2:3" ht="15" thickBot="1">
      <c r="B30" s="163" t="s">
        <v>189</v>
      </c>
      <c r="C30" s="164"/>
    </row>
    <row r="31" spans="2:3" ht="32.1" customHeight="1">
      <c r="B31" s="169" t="s">
        <v>350</v>
      </c>
      <c r="C31" s="170"/>
    </row>
    <row r="32" spans="2:3" ht="29.1" customHeight="1" thickBot="1">
      <c r="B32" s="167" t="s">
        <v>351</v>
      </c>
      <c r="C32" s="168"/>
    </row>
    <row r="33" spans="2:3" ht="15" thickBot="1">
      <c r="B33" s="163" t="s">
        <v>257</v>
      </c>
      <c r="C33" s="164"/>
    </row>
    <row r="34" spans="2:3" ht="33.6" customHeight="1" thickBot="1">
      <c r="B34" s="171" t="s">
        <v>352</v>
      </c>
      <c r="C34" s="172"/>
    </row>
    <row r="35" spans="2:3" ht="15" thickBot="1">
      <c r="B35" s="163" t="s">
        <v>353</v>
      </c>
      <c r="C35" s="164"/>
    </row>
    <row r="36" spans="2:3" ht="27.6" customHeight="1">
      <c r="B36" s="169" t="s">
        <v>354</v>
      </c>
      <c r="C36" s="170"/>
    </row>
    <row r="37" spans="2:3" ht="27.6" customHeight="1">
      <c r="B37" s="165" t="s">
        <v>355</v>
      </c>
      <c r="C37" s="166"/>
    </row>
    <row r="38" spans="2:3" ht="27.6" customHeight="1">
      <c r="B38" s="175" t="s">
        <v>356</v>
      </c>
      <c r="C38" s="176"/>
    </row>
    <row r="39" spans="2:3" ht="42.6" customHeight="1" thickBot="1">
      <c r="B39" s="167" t="s">
        <v>357</v>
      </c>
      <c r="C39" s="168"/>
    </row>
    <row r="40" spans="2:3" ht="15" thickBot="1">
      <c r="B40" s="163" t="s">
        <v>358</v>
      </c>
      <c r="C40" s="164"/>
    </row>
    <row r="41" spans="2:3">
      <c r="B41" s="169" t="s">
        <v>359</v>
      </c>
      <c r="C41" s="170"/>
    </row>
  </sheetData>
  <mergeCells count="29">
    <mergeCell ref="B38:C38"/>
    <mergeCell ref="B40:C40"/>
    <mergeCell ref="B41:C41"/>
    <mergeCell ref="B19:C19"/>
    <mergeCell ref="B17:C17"/>
    <mergeCell ref="B39:C39"/>
    <mergeCell ref="B25:C25"/>
    <mergeCell ref="B30:C30"/>
    <mergeCell ref="B29:C29"/>
    <mergeCell ref="B28:C28"/>
    <mergeCell ref="B27:C27"/>
    <mergeCell ref="B26:C26"/>
    <mergeCell ref="B31:C31"/>
    <mergeCell ref="B32:C32"/>
    <mergeCell ref="B33:C33"/>
    <mergeCell ref="B34:C34"/>
    <mergeCell ref="B16:C16"/>
    <mergeCell ref="B15:C15"/>
    <mergeCell ref="B14:C14"/>
    <mergeCell ref="B13:C13"/>
    <mergeCell ref="B18:C18"/>
    <mergeCell ref="B21:C21"/>
    <mergeCell ref="B37:C37"/>
    <mergeCell ref="B20:C20"/>
    <mergeCell ref="B35:C35"/>
    <mergeCell ref="B36:C36"/>
    <mergeCell ref="B24:C24"/>
    <mergeCell ref="B23:C23"/>
    <mergeCell ref="B22:C22"/>
  </mergeCell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tabColor rgb="FFFF0000"/>
  </sheetPr>
  <dimension ref="B2:T7"/>
  <sheetViews>
    <sheetView showGridLines="0" zoomScale="85" zoomScaleNormal="85" workbookViewId="0">
      <selection activeCell="I7" sqref="I7"/>
    </sheetView>
  </sheetViews>
  <sheetFormatPr defaultColWidth="11.42578125" defaultRowHeight="14.45"/>
  <cols>
    <col min="1" max="1" width="7.140625" style="1" customWidth="1"/>
    <col min="2" max="2" width="7" style="1" customWidth="1"/>
    <col min="3" max="3" width="11.7109375" style="1" bestFit="1" customWidth="1"/>
    <col min="4" max="4" width="25.5703125" style="1" customWidth="1"/>
    <col min="5" max="5" width="30.140625" style="1" customWidth="1"/>
    <col min="6" max="6" width="31.140625" style="1" customWidth="1"/>
    <col min="7" max="7" width="23.42578125" style="1" customWidth="1"/>
    <col min="8" max="8" width="13.42578125" style="1" customWidth="1"/>
    <col min="9" max="9" width="35.42578125" style="1" customWidth="1"/>
    <col min="10" max="10" width="11.42578125" style="1"/>
    <col min="11" max="11" width="6.85546875" style="1" customWidth="1"/>
    <col min="12" max="12" width="14.28515625" style="1" customWidth="1"/>
    <col min="13" max="13" width="19.5703125" style="1" customWidth="1"/>
    <col min="14" max="14" width="20.5703125" style="1" customWidth="1"/>
    <col min="15" max="15" width="19.85546875" style="1" customWidth="1"/>
    <col min="16" max="16" width="18.5703125" style="1" customWidth="1"/>
    <col min="17" max="17" width="11.42578125" style="1"/>
    <col min="18" max="18" width="7" style="1" customWidth="1"/>
    <col min="19" max="19" width="26.5703125" style="1" customWidth="1"/>
    <col min="20" max="20" width="15" style="1" bestFit="1" customWidth="1"/>
    <col min="21" max="16384" width="11.42578125" style="1"/>
  </cols>
  <sheetData>
    <row r="2" spans="2:20">
      <c r="B2" s="181" t="s">
        <v>360</v>
      </c>
      <c r="C2" s="182"/>
      <c r="D2" s="182"/>
      <c r="E2" s="182"/>
      <c r="F2" s="182"/>
      <c r="G2" s="182"/>
      <c r="H2" s="182"/>
      <c r="I2" s="182"/>
      <c r="K2" s="177" t="s">
        <v>361</v>
      </c>
      <c r="L2" s="177"/>
      <c r="M2" s="177"/>
      <c r="N2" s="177"/>
      <c r="O2" s="177"/>
      <c r="P2" s="177"/>
      <c r="Q2" s="14"/>
      <c r="R2" s="178" t="s">
        <v>362</v>
      </c>
      <c r="S2" s="179"/>
      <c r="T2" s="180"/>
    </row>
    <row r="3" spans="2:20" ht="39" customHeight="1">
      <c r="B3" s="22" t="s">
        <v>363</v>
      </c>
      <c r="C3" s="22" t="s">
        <v>364</v>
      </c>
      <c r="D3" s="23" t="s">
        <v>365</v>
      </c>
      <c r="E3" s="23" t="s">
        <v>366</v>
      </c>
      <c r="F3" s="23" t="s">
        <v>367</v>
      </c>
      <c r="G3" s="23" t="s">
        <v>368</v>
      </c>
      <c r="H3" s="23" t="s">
        <v>369</v>
      </c>
      <c r="I3" s="23" t="s">
        <v>370</v>
      </c>
      <c r="K3" s="24" t="s">
        <v>363</v>
      </c>
      <c r="L3" s="24" t="s">
        <v>364</v>
      </c>
      <c r="M3" s="24" t="s">
        <v>371</v>
      </c>
      <c r="N3" s="24" t="s">
        <v>372</v>
      </c>
      <c r="O3" s="24" t="s">
        <v>373</v>
      </c>
      <c r="P3" s="24" t="s">
        <v>374</v>
      </c>
      <c r="Q3" s="14"/>
      <c r="R3" s="56" t="s">
        <v>363</v>
      </c>
      <c r="S3" s="56" t="s">
        <v>364</v>
      </c>
      <c r="T3" s="57" t="s">
        <v>375</v>
      </c>
    </row>
    <row r="4" spans="2:20" ht="118.5">
      <c r="B4" s="85">
        <v>4</v>
      </c>
      <c r="C4" s="85" t="s">
        <v>376</v>
      </c>
      <c r="D4" s="26" t="s">
        <v>377</v>
      </c>
      <c r="E4" s="26" t="s">
        <v>378</v>
      </c>
      <c r="F4" s="26" t="s">
        <v>379</v>
      </c>
      <c r="G4" s="26" t="s">
        <v>380</v>
      </c>
      <c r="H4" s="26" t="s">
        <v>381</v>
      </c>
      <c r="I4" s="26" t="s">
        <v>382</v>
      </c>
      <c r="K4" s="85">
        <v>4</v>
      </c>
      <c r="L4" s="85" t="s">
        <v>383</v>
      </c>
      <c r="M4" s="27" t="s">
        <v>384</v>
      </c>
      <c r="N4" s="27" t="s">
        <v>385</v>
      </c>
      <c r="O4" s="27" t="s">
        <v>386</v>
      </c>
      <c r="P4" s="27" t="s">
        <v>387</v>
      </c>
      <c r="Q4" s="14"/>
      <c r="R4" s="83">
        <v>1</v>
      </c>
      <c r="S4" s="27" t="s">
        <v>388</v>
      </c>
      <c r="T4" s="27" t="s">
        <v>66</v>
      </c>
    </row>
    <row r="5" spans="2:20" ht="108.75">
      <c r="B5" s="86">
        <v>3</v>
      </c>
      <c r="C5" s="86" t="s">
        <v>389</v>
      </c>
      <c r="D5" s="26" t="s">
        <v>390</v>
      </c>
      <c r="E5" s="26" t="s">
        <v>391</v>
      </c>
      <c r="F5" s="26" t="s">
        <v>392</v>
      </c>
      <c r="G5" s="26" t="s">
        <v>393</v>
      </c>
      <c r="H5" s="26" t="s">
        <v>394</v>
      </c>
      <c r="I5" s="26" t="s">
        <v>395</v>
      </c>
      <c r="K5" s="86">
        <v>3</v>
      </c>
      <c r="L5" s="86" t="s">
        <v>396</v>
      </c>
      <c r="M5" s="27" t="s">
        <v>397</v>
      </c>
      <c r="N5" s="27" t="s">
        <v>398</v>
      </c>
      <c r="O5" s="27" t="s">
        <v>399</v>
      </c>
      <c r="P5" s="27" t="s">
        <v>400</v>
      </c>
      <c r="Q5" s="14"/>
      <c r="R5" s="84">
        <v>2.5</v>
      </c>
      <c r="S5" s="27" t="s">
        <v>401</v>
      </c>
      <c r="T5" s="27" t="s">
        <v>41</v>
      </c>
    </row>
    <row r="6" spans="2:20" ht="108.75">
      <c r="B6" s="84">
        <v>2</v>
      </c>
      <c r="C6" s="84" t="s">
        <v>402</v>
      </c>
      <c r="D6" s="26" t="s">
        <v>403</v>
      </c>
      <c r="E6" s="26" t="s">
        <v>404</v>
      </c>
      <c r="F6" s="26" t="s">
        <v>405</v>
      </c>
      <c r="G6" s="26" t="s">
        <v>406</v>
      </c>
      <c r="H6" s="26" t="s">
        <v>407</v>
      </c>
      <c r="I6" s="26" t="s">
        <v>408</v>
      </c>
      <c r="K6" s="84">
        <v>2</v>
      </c>
      <c r="L6" s="84" t="s">
        <v>409</v>
      </c>
      <c r="M6" s="27" t="s">
        <v>410</v>
      </c>
      <c r="N6" s="27" t="s">
        <v>411</v>
      </c>
      <c r="O6" s="27" t="s">
        <v>412</v>
      </c>
      <c r="P6" s="27" t="s">
        <v>413</v>
      </c>
      <c r="Q6" s="14"/>
      <c r="R6" s="85">
        <v>4</v>
      </c>
      <c r="S6" s="27" t="s">
        <v>414</v>
      </c>
      <c r="T6" s="27" t="s">
        <v>16</v>
      </c>
    </row>
    <row r="7" spans="2:20" ht="108.75">
      <c r="B7" s="83">
        <v>1</v>
      </c>
      <c r="C7" s="83" t="s">
        <v>415</v>
      </c>
      <c r="D7" s="26" t="s">
        <v>416</v>
      </c>
      <c r="E7" s="26" t="s">
        <v>417</v>
      </c>
      <c r="F7" s="26" t="s">
        <v>418</v>
      </c>
      <c r="G7" s="26" t="s">
        <v>419</v>
      </c>
      <c r="H7" s="26" t="s">
        <v>420</v>
      </c>
      <c r="I7" s="26" t="s">
        <v>421</v>
      </c>
      <c r="K7" s="83">
        <v>1</v>
      </c>
      <c r="L7" s="83" t="s">
        <v>422</v>
      </c>
      <c r="M7" s="27" t="s">
        <v>423</v>
      </c>
      <c r="N7" s="27" t="s">
        <v>424</v>
      </c>
      <c r="O7" s="27" t="s">
        <v>425</v>
      </c>
      <c r="P7" s="27" t="s">
        <v>426</v>
      </c>
      <c r="Q7" s="14"/>
    </row>
  </sheetData>
  <mergeCells count="3">
    <mergeCell ref="K2:P2"/>
    <mergeCell ref="R2:T2"/>
    <mergeCell ref="B2:I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3">
    <tabColor rgb="FFFF0000"/>
  </sheetPr>
  <dimension ref="A1:T31"/>
  <sheetViews>
    <sheetView zoomScale="90" zoomScaleNormal="90" workbookViewId="0">
      <selection activeCell="I7" sqref="I7"/>
    </sheetView>
  </sheetViews>
  <sheetFormatPr defaultColWidth="0" defaultRowHeight="31.5" customHeight="1"/>
  <cols>
    <col min="1" max="1" width="4.28515625" style="2" customWidth="1"/>
    <col min="2" max="2" width="24.28515625" style="9" customWidth="1"/>
    <col min="3" max="3" width="27.28515625" style="2" customWidth="1"/>
    <col min="4" max="6" width="9.5703125" style="2" customWidth="1"/>
    <col min="7" max="7" width="4.85546875" style="2" customWidth="1"/>
    <col min="8" max="8" width="4" style="2" customWidth="1"/>
    <col min="9" max="9" width="30.42578125" style="2" customWidth="1"/>
    <col min="10" max="11" width="11.42578125" style="2" customWidth="1"/>
    <col min="12" max="12" width="6" style="2" customWidth="1"/>
    <col min="13" max="13" width="11.42578125" style="43" customWidth="1"/>
    <col min="14" max="14" width="4.7109375" style="2" customWidth="1"/>
    <col min="15" max="18" width="9.28515625" style="2" customWidth="1"/>
    <col min="19" max="19" width="11.42578125" style="2" customWidth="1"/>
    <col min="20" max="20" width="0" style="2" hidden="1" customWidth="1"/>
    <col min="21" max="16384" width="11.42578125" style="2" hidden="1"/>
  </cols>
  <sheetData>
    <row r="1" spans="2:19" ht="14.45"/>
    <row r="2" spans="2:19" ht="28.5" customHeight="1">
      <c r="B2" s="64" t="s">
        <v>427</v>
      </c>
      <c r="I2" s="64" t="s">
        <v>428</v>
      </c>
      <c r="J2" s="64" t="s">
        <v>429</v>
      </c>
      <c r="K2" s="64" t="s">
        <v>430</v>
      </c>
    </row>
    <row r="3" spans="2:19" ht="20.25" customHeight="1">
      <c r="B3" s="50" t="s">
        <v>66</v>
      </c>
      <c r="C3" s="83">
        <v>1</v>
      </c>
      <c r="D3" s="44" t="s">
        <v>431</v>
      </c>
      <c r="E3" s="45"/>
      <c r="F3" s="45"/>
      <c r="H3" s="52"/>
      <c r="I3" s="53">
        <v>0</v>
      </c>
      <c r="J3" s="54">
        <v>1</v>
      </c>
      <c r="K3" s="54">
        <v>1</v>
      </c>
      <c r="L3" s="55"/>
      <c r="O3" s="46">
        <v>0</v>
      </c>
      <c r="P3" s="46">
        <f>C16</f>
        <v>3</v>
      </c>
      <c r="Q3" s="46">
        <f>C17</f>
        <v>6</v>
      </c>
      <c r="R3" s="46">
        <f>C18</f>
        <v>10</v>
      </c>
      <c r="S3" s="46"/>
    </row>
    <row r="4" spans="2:19" ht="20.25" customHeight="1">
      <c r="B4" s="50" t="s">
        <v>41</v>
      </c>
      <c r="C4" s="84">
        <v>2.5</v>
      </c>
      <c r="D4" s="47" t="s">
        <v>432</v>
      </c>
      <c r="E4" s="48"/>
      <c r="F4" s="48"/>
      <c r="H4" s="52">
        <v>1</v>
      </c>
      <c r="I4" s="53">
        <v>0.2</v>
      </c>
      <c r="J4" s="54">
        <f>$J$3-((0.9/25)*$H4)</f>
        <v>0.96399999999999997</v>
      </c>
      <c r="K4" s="54">
        <f>$J$3-((0.9/25)*$H4)</f>
        <v>0.96399999999999997</v>
      </c>
      <c r="L4" s="55"/>
      <c r="N4" s="2">
        <f>IFERROR(VLOOKUP(MROUND(M4,0.25),Constantes!$I$3:$K$19,2,0),0)</f>
        <v>1</v>
      </c>
      <c r="O4" s="30" t="s">
        <v>326</v>
      </c>
      <c r="P4" s="29" t="s">
        <v>325</v>
      </c>
      <c r="Q4" s="28" t="s">
        <v>324</v>
      </c>
      <c r="R4" s="25" t="s">
        <v>323</v>
      </c>
    </row>
    <row r="5" spans="2:19" ht="20.25" customHeight="1">
      <c r="B5" s="50" t="s">
        <v>16</v>
      </c>
      <c r="C5" s="85">
        <v>4</v>
      </c>
      <c r="D5" s="47" t="s">
        <v>433</v>
      </c>
      <c r="E5" s="48"/>
      <c r="F5" s="48"/>
      <c r="H5" s="52">
        <v>2</v>
      </c>
      <c r="I5" s="53">
        <v>0.4</v>
      </c>
      <c r="J5" s="54">
        <f t="shared" ref="J5:K25" si="0">$J$3-((0.9/25)*$H5)</f>
        <v>0.92799999999999994</v>
      </c>
      <c r="K5" s="54">
        <f t="shared" si="0"/>
        <v>0.92799999999999994</v>
      </c>
      <c r="L5" s="55"/>
    </row>
    <row r="6" spans="2:19" ht="20.25" customHeight="1">
      <c r="H6" s="52">
        <v>3</v>
      </c>
      <c r="I6" s="53">
        <v>0.6</v>
      </c>
      <c r="J6" s="54">
        <f t="shared" si="0"/>
        <v>0.89200000000000002</v>
      </c>
      <c r="K6" s="54">
        <f t="shared" si="0"/>
        <v>0.89200000000000002</v>
      </c>
      <c r="L6" s="55"/>
    </row>
    <row r="7" spans="2:19" ht="27" customHeight="1">
      <c r="H7" s="52">
        <v>4</v>
      </c>
      <c r="I7" s="53">
        <v>0.8</v>
      </c>
      <c r="J7" s="54">
        <f t="shared" si="0"/>
        <v>0.85599999999999998</v>
      </c>
      <c r="K7" s="54">
        <f t="shared" si="0"/>
        <v>0.85599999999999998</v>
      </c>
      <c r="L7" s="55"/>
      <c r="M7" s="43" t="s">
        <v>430</v>
      </c>
    </row>
    <row r="8" spans="2:19" ht="27" customHeight="1">
      <c r="H8" s="52">
        <v>5</v>
      </c>
      <c r="I8" s="53">
        <v>1</v>
      </c>
      <c r="J8" s="54">
        <f t="shared" si="0"/>
        <v>0.82</v>
      </c>
      <c r="K8" s="54">
        <f t="shared" si="0"/>
        <v>0.82</v>
      </c>
      <c r="L8" s="55"/>
      <c r="M8" s="43" t="s">
        <v>434</v>
      </c>
      <c r="N8" s="49">
        <v>4</v>
      </c>
      <c r="O8" s="29">
        <v>4</v>
      </c>
      <c r="P8" s="28">
        <v>8</v>
      </c>
      <c r="Q8" s="25">
        <v>12</v>
      </c>
      <c r="R8" s="25">
        <v>16</v>
      </c>
    </row>
    <row r="9" spans="2:19" ht="27" customHeight="1">
      <c r="D9" s="64" t="s">
        <v>435</v>
      </c>
      <c r="E9" s="48"/>
      <c r="H9" s="52">
        <v>6</v>
      </c>
      <c r="I9" s="53">
        <v>1.2</v>
      </c>
      <c r="J9" s="54">
        <f t="shared" si="0"/>
        <v>0.78400000000000003</v>
      </c>
      <c r="K9" s="54">
        <f t="shared" si="0"/>
        <v>0.78400000000000003</v>
      </c>
      <c r="L9" s="55"/>
      <c r="M9" s="43" t="s">
        <v>41</v>
      </c>
      <c r="N9" s="49">
        <v>3</v>
      </c>
      <c r="O9" s="29">
        <v>3</v>
      </c>
      <c r="P9" s="28">
        <v>6</v>
      </c>
      <c r="Q9" s="28">
        <v>9</v>
      </c>
      <c r="R9" s="25">
        <v>12</v>
      </c>
    </row>
    <row r="10" spans="2:19" ht="27" customHeight="1">
      <c r="B10" s="64" t="s">
        <v>436</v>
      </c>
      <c r="C10" s="50">
        <v>4</v>
      </c>
      <c r="D10" s="50">
        <f>C10*C5</f>
        <v>16</v>
      </c>
      <c r="H10" s="52">
        <v>7</v>
      </c>
      <c r="I10" s="53">
        <v>1.4</v>
      </c>
      <c r="J10" s="54">
        <f t="shared" si="0"/>
        <v>0.748</v>
      </c>
      <c r="K10" s="54">
        <f t="shared" si="0"/>
        <v>0.748</v>
      </c>
      <c r="L10" s="55"/>
      <c r="M10" s="43" t="s">
        <v>437</v>
      </c>
      <c r="N10" s="49">
        <v>2</v>
      </c>
      <c r="O10" s="30">
        <v>2</v>
      </c>
      <c r="P10" s="29">
        <v>4</v>
      </c>
      <c r="Q10" s="28">
        <v>6</v>
      </c>
      <c r="R10" s="28">
        <v>8</v>
      </c>
    </row>
    <row r="11" spans="2:19" ht="26.25" customHeight="1">
      <c r="B11" s="64" t="s">
        <v>438</v>
      </c>
      <c r="C11" s="50">
        <v>4</v>
      </c>
      <c r="D11" s="50">
        <f>C11*C5</f>
        <v>16</v>
      </c>
      <c r="H11" s="52">
        <v>8</v>
      </c>
      <c r="I11" s="53">
        <v>1.6</v>
      </c>
      <c r="J11" s="54">
        <f t="shared" si="0"/>
        <v>0.71199999999999997</v>
      </c>
      <c r="K11" s="54">
        <f t="shared" si="0"/>
        <v>0.71199999999999997</v>
      </c>
      <c r="L11" s="55"/>
      <c r="M11" s="43" t="s">
        <v>439</v>
      </c>
      <c r="N11" s="49">
        <v>1</v>
      </c>
      <c r="O11" s="30">
        <v>1</v>
      </c>
      <c r="P11" s="30">
        <v>2</v>
      </c>
      <c r="Q11" s="29">
        <v>3</v>
      </c>
      <c r="R11" s="29">
        <v>4</v>
      </c>
    </row>
    <row r="12" spans="2:19" ht="26.25" customHeight="1">
      <c r="H12" s="52">
        <v>9</v>
      </c>
      <c r="I12" s="53">
        <v>1.8</v>
      </c>
      <c r="J12" s="54">
        <f t="shared" si="0"/>
        <v>0.67599999999999993</v>
      </c>
      <c r="K12" s="54">
        <f t="shared" si="0"/>
        <v>0.67599999999999993</v>
      </c>
      <c r="L12" s="55"/>
      <c r="O12" s="10">
        <v>1</v>
      </c>
      <c r="P12" s="10">
        <v>2</v>
      </c>
      <c r="Q12" s="10">
        <v>3</v>
      </c>
      <c r="R12" s="10">
        <v>4</v>
      </c>
    </row>
    <row r="13" spans="2:19" ht="26.25" customHeight="1">
      <c r="B13" s="64" t="s">
        <v>440</v>
      </c>
      <c r="C13" s="50">
        <f>C10*C11</f>
        <v>16</v>
      </c>
      <c r="H13" s="52">
        <v>10</v>
      </c>
      <c r="I13" s="53">
        <v>2</v>
      </c>
      <c r="J13" s="54">
        <f t="shared" si="0"/>
        <v>0.6399999999999999</v>
      </c>
      <c r="K13" s="54">
        <f t="shared" si="0"/>
        <v>0.6399999999999999</v>
      </c>
      <c r="L13" s="55"/>
      <c r="O13" s="10" t="s">
        <v>439</v>
      </c>
      <c r="P13" s="10" t="s">
        <v>437</v>
      </c>
      <c r="Q13" s="10" t="s">
        <v>41</v>
      </c>
      <c r="R13" s="10" t="s">
        <v>434</v>
      </c>
      <c r="S13" s="2" t="s">
        <v>429</v>
      </c>
    </row>
    <row r="14" spans="2:19" ht="26.25" customHeight="1">
      <c r="B14" s="2"/>
      <c r="H14" s="52">
        <v>11</v>
      </c>
      <c r="I14" s="53">
        <v>2.2000000000000002</v>
      </c>
      <c r="J14" s="54">
        <f t="shared" si="0"/>
        <v>0.60399999999999998</v>
      </c>
      <c r="K14" s="54">
        <f t="shared" si="0"/>
        <v>0.60399999999999998</v>
      </c>
      <c r="L14" s="55"/>
    </row>
    <row r="15" spans="2:19" ht="26.25" customHeight="1">
      <c r="B15" s="64" t="s">
        <v>441</v>
      </c>
      <c r="H15" s="52">
        <v>12</v>
      </c>
      <c r="I15" s="53">
        <v>2.4</v>
      </c>
      <c r="J15" s="54">
        <f t="shared" si="0"/>
        <v>0.56799999999999995</v>
      </c>
      <c r="K15" s="54">
        <f t="shared" si="0"/>
        <v>0.56799999999999995</v>
      </c>
      <c r="L15" s="55"/>
      <c r="O15" s="62"/>
    </row>
    <row r="16" spans="2:19" ht="26.25" customHeight="1">
      <c r="B16" s="65" t="s">
        <v>442</v>
      </c>
      <c r="C16" s="51">
        <v>3</v>
      </c>
      <c r="D16" s="51">
        <f>(C13/4)*1</f>
        <v>4</v>
      </c>
      <c r="H16" s="52">
        <v>13</v>
      </c>
      <c r="I16" s="53">
        <v>2.6</v>
      </c>
      <c r="J16" s="54">
        <f t="shared" si="0"/>
        <v>0.53199999999999992</v>
      </c>
      <c r="K16" s="54">
        <f t="shared" si="0"/>
        <v>0.53199999999999992</v>
      </c>
      <c r="L16" s="55"/>
    </row>
    <row r="17" spans="2:12" ht="26.25" customHeight="1">
      <c r="B17" s="65" t="s">
        <v>443</v>
      </c>
      <c r="C17" s="51">
        <v>6</v>
      </c>
      <c r="D17" s="51">
        <f>(C13/4)*2</f>
        <v>8</v>
      </c>
      <c r="H17" s="52">
        <v>14</v>
      </c>
      <c r="I17" s="53">
        <v>2.8</v>
      </c>
      <c r="J17" s="54">
        <f t="shared" si="0"/>
        <v>0.496</v>
      </c>
      <c r="K17" s="54">
        <f t="shared" si="0"/>
        <v>0.496</v>
      </c>
      <c r="L17" s="55"/>
    </row>
    <row r="18" spans="2:12" ht="26.25" customHeight="1">
      <c r="B18" s="65" t="s">
        <v>444</v>
      </c>
      <c r="C18" s="51">
        <v>10</v>
      </c>
      <c r="D18" s="51">
        <f>(C13/4)*3</f>
        <v>12</v>
      </c>
      <c r="H18" s="52">
        <v>15</v>
      </c>
      <c r="I18" s="53">
        <v>3</v>
      </c>
      <c r="J18" s="54">
        <f t="shared" si="0"/>
        <v>0.45999999999999996</v>
      </c>
      <c r="K18" s="54">
        <f t="shared" si="0"/>
        <v>0.45999999999999996</v>
      </c>
      <c r="L18" s="55"/>
    </row>
    <row r="19" spans="2:12" ht="26.25" customHeight="1">
      <c r="B19" s="65" t="s">
        <v>445</v>
      </c>
      <c r="C19" s="51">
        <v>16</v>
      </c>
      <c r="D19" s="51">
        <f>(C13/4)*4</f>
        <v>16</v>
      </c>
      <c r="H19" s="52">
        <v>16</v>
      </c>
      <c r="I19" s="53">
        <v>3.2</v>
      </c>
      <c r="J19" s="54">
        <f t="shared" si="0"/>
        <v>0.42399999999999993</v>
      </c>
      <c r="K19" s="54">
        <f t="shared" si="0"/>
        <v>0.42399999999999993</v>
      </c>
      <c r="L19" s="55"/>
    </row>
    <row r="20" spans="2:12" ht="26.25" customHeight="1">
      <c r="C20" s="2" t="s">
        <v>446</v>
      </c>
      <c r="D20" s="2" t="s">
        <v>447</v>
      </c>
      <c r="H20" s="52">
        <v>17</v>
      </c>
      <c r="I20" s="53">
        <v>3.4</v>
      </c>
      <c r="J20" s="54">
        <f t="shared" si="0"/>
        <v>0.3879999999999999</v>
      </c>
      <c r="K20" s="54">
        <f t="shared" si="0"/>
        <v>0.3879999999999999</v>
      </c>
      <c r="L20" s="55"/>
    </row>
    <row r="21" spans="2:12" ht="26.25" customHeight="1">
      <c r="H21" s="52">
        <v>18</v>
      </c>
      <c r="I21" s="53">
        <v>3.6</v>
      </c>
      <c r="J21" s="54">
        <f t="shared" si="0"/>
        <v>0.35199999999999987</v>
      </c>
      <c r="K21" s="54">
        <f t="shared" si="0"/>
        <v>0.35199999999999987</v>
      </c>
      <c r="L21" s="55"/>
    </row>
    <row r="22" spans="2:12" ht="26.25" customHeight="1">
      <c r="H22" s="52">
        <v>19</v>
      </c>
      <c r="I22" s="53">
        <v>3.8</v>
      </c>
      <c r="J22" s="54">
        <f t="shared" si="0"/>
        <v>0.31599999999999995</v>
      </c>
      <c r="K22" s="54">
        <f t="shared" si="0"/>
        <v>0.31599999999999995</v>
      </c>
      <c r="L22" s="55"/>
    </row>
    <row r="23" spans="2:12" ht="26.25" customHeight="1">
      <c r="H23" s="52">
        <v>20</v>
      </c>
      <c r="I23" s="53">
        <v>4</v>
      </c>
      <c r="J23" s="54">
        <f t="shared" si="0"/>
        <v>0.27999999999999992</v>
      </c>
      <c r="K23" s="54">
        <f t="shared" si="0"/>
        <v>0.27999999999999992</v>
      </c>
    </row>
    <row r="24" spans="2:12" ht="26.25" customHeight="1">
      <c r="H24" s="52">
        <v>21</v>
      </c>
      <c r="I24" s="53">
        <v>4.2</v>
      </c>
      <c r="J24" s="54">
        <f>$J$3-((0.9/25)*$H24)</f>
        <v>0.24399999999999988</v>
      </c>
      <c r="K24" s="54">
        <f>$J$3-((0.9/25)*$H24)</f>
        <v>0.24399999999999988</v>
      </c>
    </row>
    <row r="25" spans="2:12" ht="26.25" customHeight="1">
      <c r="H25" s="52">
        <v>22</v>
      </c>
      <c r="I25" s="53">
        <v>4.4000000000000004</v>
      </c>
      <c r="J25" s="54">
        <f t="shared" si="0"/>
        <v>0.20799999999999996</v>
      </c>
      <c r="K25" s="54">
        <f t="shared" si="0"/>
        <v>0.20799999999999996</v>
      </c>
    </row>
    <row r="26" spans="2:12" ht="26.25" customHeight="1">
      <c r="H26" s="52">
        <v>23</v>
      </c>
      <c r="I26" s="53">
        <v>4.5999999999999996</v>
      </c>
      <c r="J26" s="54">
        <f t="shared" ref="J26:K28" si="1">$J$3-((0.9/25)*$H26)</f>
        <v>0.17199999999999993</v>
      </c>
      <c r="K26" s="54">
        <f t="shared" si="1"/>
        <v>0.17199999999999993</v>
      </c>
    </row>
    <row r="27" spans="2:12" ht="26.25" customHeight="1">
      <c r="H27" s="52">
        <v>24</v>
      </c>
      <c r="I27" s="53">
        <v>4.8</v>
      </c>
      <c r="J27" s="54">
        <f t="shared" si="1"/>
        <v>0.1359999999999999</v>
      </c>
      <c r="K27" s="54">
        <f t="shared" si="1"/>
        <v>0.1359999999999999</v>
      </c>
    </row>
    <row r="28" spans="2:12" ht="26.25" customHeight="1">
      <c r="H28" s="52">
        <v>25</v>
      </c>
      <c r="I28" s="53">
        <v>5</v>
      </c>
      <c r="J28" s="54">
        <f t="shared" si="1"/>
        <v>9.9999999999999867E-2</v>
      </c>
      <c r="K28" s="54">
        <f t="shared" si="1"/>
        <v>9.9999999999999867E-2</v>
      </c>
    </row>
    <row r="29" spans="2:12" ht="26.25" customHeight="1"/>
    <row r="30" spans="2:12" ht="26.25" customHeight="1"/>
    <row r="31" spans="2:12" ht="26.25" customHeight="1"/>
  </sheetData>
  <sheetProtection formatCells="0" formatColumns="0"/>
  <conditionalFormatting sqref="B3:B5">
    <cfRule type="colorScale" priority="7">
      <colorScale>
        <cfvo type="min"/>
        <cfvo type="percentile" val="50"/>
        <cfvo type="max"/>
        <color rgb="FFF8696B"/>
        <color rgb="FFFFEB84"/>
        <color rgb="FF63BE7B"/>
      </colorScale>
    </cfRule>
  </conditionalFormatting>
  <conditionalFormatting sqref="I3:I28">
    <cfRule type="colorScale" priority="617">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8CEBDC77C3C6949AA3FB0E15A68A940" ma:contentTypeVersion="11" ma:contentTypeDescription="Crear nuevo documento." ma:contentTypeScope="" ma:versionID="91ef029bec364851dafea2212eefbc04">
  <xsd:schema xmlns:xsd="http://www.w3.org/2001/XMLSchema" xmlns:xs="http://www.w3.org/2001/XMLSchema" xmlns:p="http://schemas.microsoft.com/office/2006/metadata/properties" xmlns:ns2="07f90502-01f0-4cae-a6a0-40862d65de8b" xmlns:ns3="14ea127c-854f-41fb-9adb-d090df6732b5" targetNamespace="http://schemas.microsoft.com/office/2006/metadata/properties" ma:root="true" ma:fieldsID="8ee3b61eb566425b7003f6a822854a91" ns2:_="" ns3:_="">
    <xsd:import namespace="07f90502-01f0-4cae-a6a0-40862d65de8b"/>
    <xsd:import namespace="14ea127c-854f-41fb-9adb-d090df6732b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f90502-01f0-4cae-a6a0-40862d65de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8364831f-9365-4731-affb-44e18c0c24fd"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ea127c-854f-41fb-9adb-d090df6732b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e18a258-aa6e-4edc-845a-317681361ecd}" ma:internalName="TaxCatchAll" ma:showField="CatchAllData" ma:web="14ea127c-854f-41fb-9adb-d090df6732b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14ea127c-854f-41fb-9adb-d090df6732b5" xsi:nil="true"/>
    <lcf76f155ced4ddcb4097134ff3c332f xmlns="07f90502-01f0-4cae-a6a0-40862d65de8b">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19E9925-57D5-4319-91AE-D69AAE34EA6A}"/>
</file>

<file path=customXml/itemProps2.xml><?xml version="1.0" encoding="utf-8"?>
<ds:datastoreItem xmlns:ds="http://schemas.openxmlformats.org/officeDocument/2006/customXml" ds:itemID="{A1211DA6-EAA6-4840-8D55-29CF54D9D0AE}"/>
</file>

<file path=customXml/itemProps3.xml><?xml version="1.0" encoding="utf-8"?>
<ds:datastoreItem xmlns:ds="http://schemas.openxmlformats.org/officeDocument/2006/customXml" ds:itemID="{73BF8F37-4A01-4DD1-9408-0D13C4161DB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David Pozo Sánchez</cp:lastModifiedBy>
  <cp:revision>1</cp:revision>
  <dcterms:created xsi:type="dcterms:W3CDTF">2024-05-21T14:19:12Z</dcterms:created>
  <dcterms:modified xsi:type="dcterms:W3CDTF">2025-11-26T15:23:19Z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0x01010018CEBDC77C3C6949AA3FB0E15A68A940</vt:lpwstr>
  </property>
  <property fmtid="{D5CDD505-2E9C-101B-9397-08002B2CF9AE}" pid="3" name="MediaServiceImageTags">
    <vt:lpwstr/>
  </property>
</Properties>
</file>